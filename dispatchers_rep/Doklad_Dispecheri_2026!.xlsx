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9"/>
  <workbookPr filterPrivacy="1" defaultThemeVersion="124226"/>
  <xr:revisionPtr revIDLastSave="0" documentId="8_{DA4B389C-16E0-4D3F-9A0E-ACC51CA63F02}" xr6:coauthVersionLast="47" xr6:coauthVersionMax="47" xr10:uidLastSave="{00000000-0000-0000-0000-000000000000}"/>
  <bookViews>
    <workbookView xWindow="-120" yWindow="-120" windowWidth="29040" windowHeight="15720" tabRatio="576" xr2:uid="{00000000-000D-0000-FFFF-FFFF00000000}"/>
  </bookViews>
  <sheets>
    <sheet name="Януари " sheetId="1" r:id="rId1"/>
  </sheets>
  <externalReferences>
    <externalReference r:id="rId2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AT3" i="1" l="1"/>
  <c r="AT4" i="1" l="1"/>
  <c r="AV19" i="1" l="1"/>
  <c r="AS19" i="1"/>
  <c r="AL19" i="1"/>
  <c r="AM19" i="1" s="1"/>
  <c r="K19" i="1"/>
  <c r="AH19" i="1" s="1"/>
  <c r="I19" i="1"/>
  <c r="F19" i="1"/>
  <c r="D19" i="1"/>
  <c r="AQ18" i="1"/>
  <c r="AP18" i="1"/>
  <c r="AJ18" i="1"/>
  <c r="AI18" i="1"/>
  <c r="AQ17" i="1"/>
  <c r="AP17" i="1"/>
  <c r="AJ17" i="1"/>
  <c r="AI17" i="1"/>
  <c r="M17" i="1"/>
  <c r="AB17" i="1" s="1"/>
  <c r="AQ16" i="1"/>
  <c r="AP16" i="1"/>
  <c r="AJ16" i="1"/>
  <c r="AI16" i="1"/>
  <c r="M16" i="1"/>
  <c r="AB16" i="1" s="1"/>
  <c r="AV15" i="1"/>
  <c r="AS15" i="1"/>
  <c r="AL15" i="1"/>
  <c r="AM15" i="1" s="1"/>
  <c r="K15" i="1"/>
  <c r="I15" i="1"/>
  <c r="F15" i="1"/>
  <c r="D15" i="1"/>
  <c r="AQ14" i="1"/>
  <c r="AP14" i="1"/>
  <c r="AJ14" i="1"/>
  <c r="AI14" i="1"/>
  <c r="M14" i="1"/>
  <c r="AB14" i="1" s="1"/>
  <c r="AQ13" i="1"/>
  <c r="AP13" i="1"/>
  <c r="AJ13" i="1"/>
  <c r="AI13" i="1"/>
  <c r="M13" i="1"/>
  <c r="AB13" i="1" s="1"/>
  <c r="AQ12" i="1"/>
  <c r="AP12" i="1"/>
  <c r="AJ12" i="1"/>
  <c r="AI12" i="1"/>
  <c r="M12" i="1"/>
  <c r="AB12" i="1" s="1"/>
  <c r="AV11" i="1"/>
  <c r="AS11" i="1"/>
  <c r="AL11" i="1"/>
  <c r="AM11" i="1" s="1"/>
  <c r="K11" i="1"/>
  <c r="AH11" i="1" s="1"/>
  <c r="I11" i="1"/>
  <c r="F11" i="1"/>
  <c r="D11" i="1"/>
  <c r="AQ10" i="1"/>
  <c r="AP10" i="1"/>
  <c r="AJ10" i="1"/>
  <c r="AI10" i="1"/>
  <c r="M10" i="1"/>
  <c r="AQ9" i="1"/>
  <c r="AP9" i="1"/>
  <c r="AJ9" i="1"/>
  <c r="AI9" i="1"/>
  <c r="M9" i="1"/>
  <c r="AQ8" i="1"/>
  <c r="AP8" i="1"/>
  <c r="AJ8" i="1"/>
  <c r="AI8" i="1"/>
  <c r="M8" i="1"/>
  <c r="AV7" i="1"/>
  <c r="AS7" i="1"/>
  <c r="AL7" i="1"/>
  <c r="AM7" i="1" s="1"/>
  <c r="K7" i="1"/>
  <c r="I7" i="1"/>
  <c r="F7" i="1"/>
  <c r="D7" i="1"/>
  <c r="AQ6" i="1"/>
  <c r="AP6" i="1"/>
  <c r="AJ6" i="1"/>
  <c r="AI6" i="1"/>
  <c r="M6" i="1"/>
  <c r="AQ5" i="1"/>
  <c r="AP5" i="1"/>
  <c r="AJ5" i="1"/>
  <c r="AI5" i="1"/>
  <c r="M5" i="1"/>
  <c r="AB5" i="1" s="1"/>
  <c r="AT5" i="1"/>
  <c r="AT6" i="1" s="1"/>
  <c r="AQ4" i="1"/>
  <c r="AP4" i="1"/>
  <c r="AJ4" i="1"/>
  <c r="AI4" i="1"/>
  <c r="M4" i="1"/>
  <c r="AG6" i="1" l="1"/>
  <c r="AB6" i="1"/>
  <c r="AD8" i="1"/>
  <c r="AB8" i="1"/>
  <c r="Z4" i="1"/>
  <c r="AB4" i="1"/>
  <c r="Q9" i="1"/>
  <c r="AB9" i="1"/>
  <c r="AG10" i="1"/>
  <c r="AB10" i="1"/>
  <c r="AB15" i="1"/>
  <c r="Z18" i="1"/>
  <c r="AB18" i="1"/>
  <c r="AB19" i="1" s="1"/>
  <c r="O8" i="1"/>
  <c r="T8" i="1"/>
  <c r="X4" i="1"/>
  <c r="O18" i="1"/>
  <c r="AP19" i="1"/>
  <c r="AQ15" i="1"/>
  <c r="AP15" i="1"/>
  <c r="AE10" i="1"/>
  <c r="AK10" i="1" s="1"/>
  <c r="Q10" i="1"/>
  <c r="T10" i="1"/>
  <c r="AI11" i="1"/>
  <c r="Z10" i="1"/>
  <c r="O10" i="1"/>
  <c r="AD10" i="1"/>
  <c r="AP11" i="1"/>
  <c r="O9" i="1"/>
  <c r="AG9" i="1"/>
  <c r="AE9" i="1" s="1"/>
  <c r="AK9" i="1" s="1"/>
  <c r="AD9" i="1"/>
  <c r="AO11" i="1"/>
  <c r="T9" i="1"/>
  <c r="AQ11" i="1"/>
  <c r="Z9" i="1"/>
  <c r="Q8" i="1"/>
  <c r="AG8" i="1"/>
  <c r="Z8" i="1"/>
  <c r="AP7" i="1"/>
  <c r="AI7" i="1"/>
  <c r="Q4" i="1"/>
  <c r="AD5" i="1"/>
  <c r="Q5" i="1"/>
  <c r="Z5" i="1"/>
  <c r="O5" i="1"/>
  <c r="T5" i="1"/>
  <c r="T6" i="1"/>
  <c r="AG4" i="1"/>
  <c r="AE4" i="1" s="1"/>
  <c r="AK4" i="1" s="1"/>
  <c r="T4" i="1"/>
  <c r="M7" i="1"/>
  <c r="O4" i="1"/>
  <c r="AD4" i="1"/>
  <c r="X5" i="1"/>
  <c r="X6" i="1"/>
  <c r="AG5" i="1"/>
  <c r="AE5" i="1" s="1"/>
  <c r="AK5" i="1" s="1"/>
  <c r="AO7" i="1"/>
  <c r="AH7" i="1"/>
  <c r="AE6" i="1"/>
  <c r="AK6" i="1" s="1"/>
  <c r="AD6" i="1"/>
  <c r="Q6" i="1"/>
  <c r="Z6" i="1"/>
  <c r="O6" i="1"/>
  <c r="X12" i="1"/>
  <c r="X13" i="1"/>
  <c r="X14" i="1"/>
  <c r="M15" i="1"/>
  <c r="AA15" i="1" s="1"/>
  <c r="X16" i="1"/>
  <c r="X17" i="1"/>
  <c r="X18" i="1"/>
  <c r="M19" i="1"/>
  <c r="O12" i="1"/>
  <c r="Z12" i="1"/>
  <c r="O13" i="1"/>
  <c r="Z13" i="1"/>
  <c r="O14" i="1"/>
  <c r="Z14" i="1"/>
  <c r="O16" i="1"/>
  <c r="Z16" i="1"/>
  <c r="O17" i="1"/>
  <c r="Z17" i="1"/>
  <c r="X8" i="1"/>
  <c r="X9" i="1"/>
  <c r="X10" i="1"/>
  <c r="M11" i="1"/>
  <c r="Q12" i="1"/>
  <c r="AD12" i="1"/>
  <c r="Q13" i="1"/>
  <c r="AD13" i="1"/>
  <c r="Q14" i="1"/>
  <c r="AD14" i="1"/>
  <c r="Q16" i="1"/>
  <c r="AD16" i="1"/>
  <c r="Q17" i="1"/>
  <c r="AD17" i="1"/>
  <c r="Q18" i="1"/>
  <c r="AD18" i="1"/>
  <c r="T12" i="1"/>
  <c r="AG12" i="1"/>
  <c r="AE12" i="1" s="1"/>
  <c r="AK12" i="1" s="1"/>
  <c r="T13" i="1"/>
  <c r="AG13" i="1"/>
  <c r="AE13" i="1" s="1"/>
  <c r="AK13" i="1" s="1"/>
  <c r="T14" i="1"/>
  <c r="AG14" i="1"/>
  <c r="AE14" i="1" s="1"/>
  <c r="AK14" i="1" s="1"/>
  <c r="T16" i="1"/>
  <c r="AG16" i="1"/>
  <c r="AE16" i="1" s="1"/>
  <c r="AK16" i="1" s="1"/>
  <c r="T17" i="1"/>
  <c r="AG17" i="1"/>
  <c r="AE17" i="1" s="1"/>
  <c r="AK17" i="1" s="1"/>
  <c r="T18" i="1"/>
  <c r="AG18" i="1"/>
  <c r="AE18" i="1" s="1"/>
  <c r="AK18" i="1" s="1"/>
  <c r="AU7" i="1"/>
  <c r="AT8" i="1"/>
  <c r="AT9" i="1" s="1"/>
  <c r="AT10" i="1" s="1"/>
  <c r="AN15" i="1"/>
  <c r="AF15" i="1"/>
  <c r="L15" i="1"/>
  <c r="AN19" i="1"/>
  <c r="AF19" i="1"/>
  <c r="L19" i="1"/>
  <c r="AN7" i="1"/>
  <c r="AF7" i="1"/>
  <c r="L7" i="1"/>
  <c r="AI15" i="1"/>
  <c r="AO15" i="1"/>
  <c r="AQ19" i="1"/>
  <c r="AQ7" i="1"/>
  <c r="AN11" i="1"/>
  <c r="AF11" i="1"/>
  <c r="L11" i="1"/>
  <c r="AH15" i="1"/>
  <c r="AI19" i="1"/>
  <c r="AO19" i="1"/>
  <c r="V4" i="1"/>
  <c r="V5" i="1"/>
  <c r="V6" i="1"/>
  <c r="V8" i="1"/>
  <c r="V9" i="1"/>
  <c r="V10" i="1"/>
  <c r="V12" i="1"/>
  <c r="V13" i="1"/>
  <c r="V14" i="1"/>
  <c r="V16" i="1"/>
  <c r="V17" i="1"/>
  <c r="V18" i="1"/>
  <c r="AB11" i="1" l="1"/>
  <c r="AA11" i="1" s="1"/>
  <c r="AB7" i="1"/>
  <c r="AA7" i="1" s="1"/>
  <c r="T11" i="1"/>
  <c r="R11" i="1" s="1"/>
  <c r="O11" i="1"/>
  <c r="N11" i="1" s="1"/>
  <c r="Q11" i="1"/>
  <c r="P11" i="1" s="1"/>
  <c r="AD11" i="1"/>
  <c r="AJ11" i="1" s="1"/>
  <c r="Q7" i="1"/>
  <c r="P7" i="1" s="1"/>
  <c r="Z15" i="1"/>
  <c r="Y15" i="1" s="1"/>
  <c r="AG11" i="1"/>
  <c r="Z11" i="1"/>
  <c r="Y11" i="1" s="1"/>
  <c r="X11" i="1"/>
  <c r="W11" i="1" s="1"/>
  <c r="AE8" i="1"/>
  <c r="AK8" i="1" s="1"/>
  <c r="Z7" i="1"/>
  <c r="Y7" i="1" s="1"/>
  <c r="AD7" i="1"/>
  <c r="AJ7" i="1" s="1"/>
  <c r="X7" i="1"/>
  <c r="T7" i="1"/>
  <c r="R7" i="1" s="1"/>
  <c r="AG7" i="1"/>
  <c r="AG19" i="1"/>
  <c r="Q15" i="1"/>
  <c r="P15" i="1" s="1"/>
  <c r="T19" i="1"/>
  <c r="R19" i="1" s="1"/>
  <c r="AD19" i="1"/>
  <c r="AJ19" i="1" s="1"/>
  <c r="O15" i="1"/>
  <c r="N15" i="1" s="1"/>
  <c r="X19" i="1"/>
  <c r="W19" i="1" s="1"/>
  <c r="X15" i="1"/>
  <c r="W15" i="1" s="1"/>
  <c r="AG15" i="1"/>
  <c r="Q19" i="1"/>
  <c r="P19" i="1" s="1"/>
  <c r="Z19" i="1"/>
  <c r="Y19" i="1" s="1"/>
  <c r="AE19" i="1"/>
  <c r="AK19" i="1" s="1"/>
  <c r="AE15" i="1"/>
  <c r="AK15" i="1" s="1"/>
  <c r="O7" i="1"/>
  <c r="N7" i="1" s="1"/>
  <c r="T15" i="1"/>
  <c r="R15" i="1" s="1"/>
  <c r="AD15" i="1"/>
  <c r="AJ15" i="1" s="1"/>
  <c r="O19" i="1"/>
  <c r="N19" i="1" s="1"/>
  <c r="AE7" i="1"/>
  <c r="AK7" i="1" s="1"/>
  <c r="V15" i="1"/>
  <c r="U15" i="1" s="1"/>
  <c r="V7" i="1"/>
  <c r="U7" i="1" s="1"/>
  <c r="V19" i="1"/>
  <c r="U19" i="1" s="1"/>
  <c r="V11" i="1"/>
  <c r="U11" i="1" s="1"/>
  <c r="AT12" i="1"/>
  <c r="AT13" i="1" s="1"/>
  <c r="AT14" i="1" s="1"/>
  <c r="AU11" i="1"/>
  <c r="AC11" i="1" l="1"/>
  <c r="AC7" i="1"/>
  <c r="AC19" i="1"/>
  <c r="AA19" i="1" s="1"/>
  <c r="AC15" i="1"/>
  <c r="AE11" i="1"/>
  <c r="AK11" i="1" s="1"/>
  <c r="W7" i="1"/>
  <c r="AT16" i="1"/>
  <c r="AT17" i="1" s="1"/>
  <c r="AT18" i="1" s="1"/>
  <c r="AU15" i="1"/>
  <c r="AU19" i="1" l="1"/>
</calcChain>
</file>

<file path=xl/sharedStrings.xml><?xml version="1.0" encoding="utf-8"?>
<sst xmlns="http://schemas.openxmlformats.org/spreadsheetml/2006/main" count="105" uniqueCount="60">
  <si>
    <t>Дата</t>
  </si>
  <si>
    <t>Смяна</t>
  </si>
  <si>
    <t>Диспечер</t>
  </si>
  <si>
    <t xml:space="preserve">Подадена руда
 от МГТЛ 
за денонощието </t>
  </si>
  <si>
    <t>Състояние 
на склад №2</t>
  </si>
  <si>
    <t xml:space="preserve">Натрошена 
руда от 
Цех ССТ </t>
  </si>
  <si>
    <t>Класа 
 +15,0мм.</t>
  </si>
  <si>
    <t>Класа     +12,5мм.</t>
  </si>
  <si>
    <t>Превозена руда
 до междинни бункери</t>
  </si>
  <si>
    <t>Състояние на междинни бункери</t>
  </si>
  <si>
    <t xml:space="preserve">Преработена
 руда
 в цех МФЦ </t>
  </si>
  <si>
    <t>Влага на преработената руда</t>
  </si>
  <si>
    <t>Суха преработена руда</t>
  </si>
  <si>
    <t xml:space="preserve">Грано
диорити </t>
  </si>
  <si>
    <t>Дайки</t>
  </si>
  <si>
    <t>Шисти</t>
  </si>
  <si>
    <t>Показания на Гранулометър PSI500i руда, +0,20мм</t>
  </si>
  <si>
    <t>Смилане 
 класа     + 0,20мм</t>
  </si>
  <si>
    <t>Смилане 
 класа       -0,08мм</t>
  </si>
  <si>
    <t>Плътност на пулпа</t>
  </si>
  <si>
    <t>Съдържание 
на мед в рудите по Химия</t>
  </si>
  <si>
    <t>Метал  мед в рудите по Химия</t>
  </si>
  <si>
    <t xml:space="preserve">Съдържание 
на мед в рудите по Куриер </t>
  </si>
  <si>
    <t xml:space="preserve">Метал  мед в рудите по Куриер </t>
  </si>
  <si>
    <t>Коригирана съдържание 
на мед в рудите</t>
  </si>
  <si>
    <t xml:space="preserve">Съдържание
 на мед в отпадъка по Куриер </t>
  </si>
  <si>
    <t>Метал мед в отпадъка по Куриер</t>
  </si>
  <si>
    <t>Съдържание
 на мед
в медния к-т Куриер</t>
  </si>
  <si>
    <t>Метал мед в концентрата по Куриер</t>
  </si>
  <si>
    <t>Технологично 
извличане по Куриер</t>
  </si>
  <si>
    <t xml:space="preserve">Товарно 
извличане </t>
  </si>
  <si>
    <t>Добит
 меден 
концентрат</t>
  </si>
  <si>
    <t>Влага на медния концентрат</t>
  </si>
  <si>
    <t>Съдържание
 на мед
в медния к-т</t>
  </si>
  <si>
    <t>Съдържание
 на мед
в медния к-т  /химия-товарен/</t>
  </si>
  <si>
    <t xml:space="preserve">Метал мед
 в медния концентрат </t>
  </si>
  <si>
    <t>Метал мед
 в медния концентрат /химия/</t>
  </si>
  <si>
    <t>Литрово
 тегло 
в сгъстителя</t>
  </si>
  <si>
    <t>Меден 
концентрат, автомобилна везна</t>
  </si>
  <si>
    <t>Меден концентрат в склад</t>
  </si>
  <si>
    <t>Добит
 молибденов
 концентрат</t>
  </si>
  <si>
    <t>Съдържание
 на Мо в молибденовия к-т</t>
  </si>
  <si>
    <t>последни данни за 
съдържания в 
8-ма пречистка</t>
  </si>
  <si>
    <t>последни данни за 
съдържания във 
2-ра пречистка</t>
  </si>
  <si>
    <t>тона</t>
  </si>
  <si>
    <t xml:space="preserve">метра </t>
  </si>
  <si>
    <t>%</t>
  </si>
  <si>
    <t xml:space="preserve">% </t>
  </si>
  <si>
    <t>кг/литър</t>
  </si>
  <si>
    <t>тон</t>
  </si>
  <si>
    <t>кг.</t>
  </si>
  <si>
    <t>Мо %</t>
  </si>
  <si>
    <t>Cu %</t>
  </si>
  <si>
    <t>Мария Лачева</t>
  </si>
  <si>
    <t>Николинка Мутафова</t>
  </si>
  <si>
    <t>Димитър Цончев</t>
  </si>
  <si>
    <t>Общо</t>
  </si>
  <si>
    <t>Цвета Владова</t>
  </si>
  <si>
    <t>Георги Томов</t>
  </si>
  <si>
    <t>Иванка Копаранска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</si>
</sst>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0.000%"/>
    <numFmt numFmtId="167" formatCode="0.000"/>
  </numFmts>
  <fonts count="16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0"/>
      <color theme="1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0"/>
      <color theme="0" tint="-0.499984740745262"/>
      <name val="Times New Roman"/>
      <family val="1"/>
      <charset val="204"/>
    </font>
    <font>
      <b/>
      <sz val="10"/>
      <color theme="6" tint="-0.499984740745262"/>
      <name val="Times New Roman"/>
      <family val="1"/>
      <charset val="204"/>
    </font>
    <font>
      <sz val="10"/>
      <color theme="0" tint="-0.499984740745262"/>
      <name val="Times New Roman"/>
      <family val="1"/>
      <charset val="204"/>
    </font>
    <font>
      <sz val="10"/>
      <color theme="6" tint="-0.499984740745262"/>
      <name val="Times New Roman"/>
      <family val="1"/>
      <charset val="204"/>
    </font>
    <font>
      <sz val="10"/>
      <color theme="0" tint="-0.499984740745262"/>
      <name val="Calibri"/>
      <family val="2"/>
      <charset val="204"/>
      <scheme val="minor"/>
    </font>
    <font>
      <sz val="10"/>
      <color theme="6" tint="-0.499984740745262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0"/>
      <color rgb="FFFF000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FF0000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/>
    <xf numFmtId="9" fontId="12" fillId="0" borderId="0" applyFont="0" applyFill="0" applyBorder="0" applyAlignment="0" applyProtection="0"/>
  </cellStyleXfs>
  <cellXfs count="132">
    <xf numFmtId="0" fontId="0" fillId="0" borderId="0" xfId="0"/>
    <xf numFmtId="0" fontId="2" fillId="0" borderId="3" xfId="0" applyFont="1" applyBorder="1" applyAlignment="1">
      <alignment vertical="center"/>
    </xf>
    <xf numFmtId="164" fontId="2" fillId="0" borderId="3" xfId="0" applyNumberFormat="1" applyFont="1" applyBorder="1" applyAlignment="1">
      <alignment horizontal="center" vertical="center" wrapText="1"/>
    </xf>
    <xf numFmtId="2" fontId="2" fillId="0" borderId="3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horizontal="left"/>
    </xf>
    <xf numFmtId="1" fontId="3" fillId="0" borderId="3" xfId="0" applyNumberFormat="1" applyFont="1" applyBorder="1"/>
    <xf numFmtId="164" fontId="3" fillId="0" borderId="3" xfId="0" applyNumberFormat="1" applyFont="1" applyBorder="1"/>
    <xf numFmtId="165" fontId="3" fillId="0" borderId="3" xfId="0" applyNumberFormat="1" applyFont="1" applyBorder="1"/>
    <xf numFmtId="10" fontId="3" fillId="0" borderId="3" xfId="0" applyNumberFormat="1" applyFont="1" applyBorder="1"/>
    <xf numFmtId="165" fontId="3" fillId="0" borderId="2" xfId="0" applyNumberFormat="1" applyFont="1" applyBorder="1"/>
    <xf numFmtId="166" fontId="3" fillId="0" borderId="3" xfId="0" applyNumberFormat="1" applyFont="1" applyBorder="1"/>
    <xf numFmtId="167" fontId="3" fillId="0" borderId="9" xfId="0" applyNumberFormat="1" applyFont="1" applyBorder="1"/>
    <xf numFmtId="167" fontId="3" fillId="0" borderId="3" xfId="0" applyNumberFormat="1" applyFont="1" applyBorder="1"/>
    <xf numFmtId="2" fontId="3" fillId="0" borderId="3" xfId="0" applyNumberFormat="1" applyFont="1" applyBorder="1"/>
    <xf numFmtId="165" fontId="2" fillId="3" borderId="5" xfId="0" applyNumberFormat="1" applyFont="1" applyFill="1" applyBorder="1"/>
    <xf numFmtId="0" fontId="4" fillId="0" borderId="0" xfId="0" applyFont="1"/>
    <xf numFmtId="0" fontId="2" fillId="0" borderId="3" xfId="0" applyFont="1" applyBorder="1" applyAlignment="1">
      <alignment horizontal="center"/>
    </xf>
    <xf numFmtId="164" fontId="3" fillId="0" borderId="2" xfId="0" applyNumberFormat="1" applyFont="1" applyBorder="1"/>
    <xf numFmtId="3" fontId="3" fillId="0" borderId="9" xfId="0" applyNumberFormat="1" applyFont="1" applyBorder="1"/>
    <xf numFmtId="10" fontId="3" fillId="0" borderId="0" xfId="0" applyNumberFormat="1" applyFont="1"/>
    <xf numFmtId="166" fontId="3" fillId="0" borderId="10" xfId="0" applyNumberFormat="1" applyFont="1" applyBorder="1" applyAlignment="1">
      <alignment horizontal="right"/>
    </xf>
    <xf numFmtId="10" fontId="3" fillId="0" borderId="9" xfId="0" applyNumberFormat="1" applyFont="1" applyBorder="1"/>
    <xf numFmtId="10" fontId="3" fillId="2" borderId="9" xfId="0" applyNumberFormat="1" applyFont="1" applyFill="1" applyBorder="1"/>
    <xf numFmtId="2" fontId="3" fillId="0" borderId="2" xfId="0" applyNumberFormat="1" applyFont="1" applyBorder="1"/>
    <xf numFmtId="4" fontId="3" fillId="0" borderId="3" xfId="0" applyNumberFormat="1" applyFont="1" applyBorder="1"/>
    <xf numFmtId="0" fontId="5" fillId="0" borderId="0" xfId="0" applyFont="1"/>
    <xf numFmtId="0" fontId="2" fillId="0" borderId="10" xfId="0" applyFont="1" applyBorder="1" applyAlignment="1">
      <alignment horizontal="center"/>
    </xf>
    <xf numFmtId="1" fontId="3" fillId="0" borderId="7" xfId="0" applyNumberFormat="1" applyFont="1" applyBorder="1"/>
    <xf numFmtId="164" fontId="3" fillId="0" borderId="7" xfId="0" applyNumberFormat="1" applyFont="1" applyBorder="1"/>
    <xf numFmtId="165" fontId="3" fillId="0" borderId="7" xfId="0" applyNumberFormat="1" applyFont="1" applyBorder="1"/>
    <xf numFmtId="164" fontId="3" fillId="0" borderId="9" xfId="0" applyNumberFormat="1" applyFont="1" applyBorder="1"/>
    <xf numFmtId="10" fontId="3" fillId="0" borderId="7" xfId="0" applyNumberFormat="1" applyFont="1" applyBorder="1"/>
    <xf numFmtId="165" fontId="3" fillId="0" borderId="9" xfId="0" applyNumberFormat="1" applyFont="1" applyBorder="1"/>
    <xf numFmtId="166" fontId="3" fillId="0" borderId="7" xfId="0" applyNumberFormat="1" applyFont="1" applyBorder="1"/>
    <xf numFmtId="2" fontId="3" fillId="0" borderId="9" xfId="0" applyNumberFormat="1" applyFont="1" applyBorder="1"/>
    <xf numFmtId="167" fontId="3" fillId="0" borderId="7" xfId="0" applyNumberFormat="1" applyFont="1" applyBorder="1"/>
    <xf numFmtId="1" fontId="3" fillId="0" borderId="9" xfId="0" applyNumberFormat="1" applyFont="1" applyBorder="1"/>
    <xf numFmtId="4" fontId="3" fillId="0" borderId="7" xfId="0" applyNumberFormat="1" applyFont="1" applyBorder="1"/>
    <xf numFmtId="2" fontId="3" fillId="0" borderId="7" xfId="0" applyNumberFormat="1" applyFont="1" applyBorder="1"/>
    <xf numFmtId="166" fontId="3" fillId="0" borderId="9" xfId="0" applyNumberFormat="1" applyFont="1" applyBorder="1"/>
    <xf numFmtId="4" fontId="3" fillId="0" borderId="9" xfId="0" applyNumberFormat="1" applyFont="1" applyBorder="1"/>
    <xf numFmtId="0" fontId="2" fillId="3" borderId="5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left"/>
    </xf>
    <xf numFmtId="1" fontId="2" fillId="3" borderId="5" xfId="0" applyNumberFormat="1" applyFont="1" applyFill="1" applyBorder="1"/>
    <xf numFmtId="164" fontId="2" fillId="3" borderId="5" xfId="0" applyNumberFormat="1" applyFont="1" applyFill="1" applyBorder="1"/>
    <xf numFmtId="10" fontId="2" fillId="3" borderId="5" xfId="0" applyNumberFormat="1" applyFont="1" applyFill="1" applyBorder="1"/>
    <xf numFmtId="3" fontId="2" fillId="3" borderId="5" xfId="0" applyNumberFormat="1" applyFont="1" applyFill="1" applyBorder="1"/>
    <xf numFmtId="166" fontId="2" fillId="3" borderId="5" xfId="0" applyNumberFormat="1" applyFont="1" applyFill="1" applyBorder="1"/>
    <xf numFmtId="167" fontId="2" fillId="3" borderId="5" xfId="0" applyNumberFormat="1" applyFont="1" applyFill="1" applyBorder="1"/>
    <xf numFmtId="10" fontId="2" fillId="3" borderId="6" xfId="0" applyNumberFormat="1" applyFont="1" applyFill="1" applyBorder="1"/>
    <xf numFmtId="2" fontId="2" fillId="3" borderId="5" xfId="0" applyNumberFormat="1" applyFont="1" applyFill="1" applyBorder="1"/>
    <xf numFmtId="4" fontId="2" fillId="3" borderId="5" xfId="0" applyNumberFormat="1" applyFont="1" applyFill="1" applyBorder="1"/>
    <xf numFmtId="10" fontId="3" fillId="2" borderId="10" xfId="0" applyNumberFormat="1" applyFont="1" applyFill="1" applyBorder="1"/>
    <xf numFmtId="0" fontId="4" fillId="0" borderId="0" xfId="0" applyFont="1" applyAlignment="1">
      <alignment horizontal="center" vertical="center"/>
    </xf>
    <xf numFmtId="10" fontId="5" fillId="0" borderId="0" xfId="0" applyNumberFormat="1" applyFont="1"/>
    <xf numFmtId="164" fontId="5" fillId="0" borderId="0" xfId="0" applyNumberFormat="1" applyFont="1"/>
    <xf numFmtId="2" fontId="5" fillId="0" borderId="0" xfId="0" applyNumberFormat="1" applyFont="1"/>
    <xf numFmtId="1" fontId="5" fillId="0" borderId="0" xfId="0" applyNumberFormat="1" applyFont="1"/>
    <xf numFmtId="0" fontId="2" fillId="0" borderId="11" xfId="0" applyFont="1" applyBorder="1" applyAlignment="1">
      <alignment horizontal="center" vertical="center" textRotation="90"/>
    </xf>
    <xf numFmtId="0" fontId="2" fillId="0" borderId="13" xfId="0" applyFont="1" applyBorder="1" applyAlignment="1">
      <alignment horizontal="center" vertical="center" textRotation="90"/>
    </xf>
    <xf numFmtId="0" fontId="2" fillId="0" borderId="13" xfId="0" applyFont="1" applyBorder="1" applyAlignment="1">
      <alignment horizontal="center" vertical="center"/>
    </xf>
    <xf numFmtId="164" fontId="2" fillId="0" borderId="13" xfId="0" applyNumberFormat="1" applyFont="1" applyBorder="1" applyAlignment="1">
      <alignment horizontal="center" vertical="center"/>
    </xf>
    <xf numFmtId="2" fontId="2" fillId="0" borderId="13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167" fontId="2" fillId="0" borderId="3" xfId="0" applyNumberFormat="1" applyFont="1" applyBorder="1" applyAlignment="1">
      <alignment horizontal="center" vertical="center" wrapText="1"/>
    </xf>
    <xf numFmtId="167" fontId="6" fillId="0" borderId="3" xfId="0" applyNumberFormat="1" applyFont="1" applyBorder="1" applyAlignment="1">
      <alignment horizontal="center" vertical="center" wrapText="1"/>
    </xf>
    <xf numFmtId="167" fontId="7" fillId="0" borderId="3" xfId="0" applyNumberFormat="1" applyFont="1" applyBorder="1" applyAlignment="1">
      <alignment horizontal="center" vertical="center" wrapText="1"/>
    </xf>
    <xf numFmtId="167" fontId="2" fillId="0" borderId="6" xfId="0" applyNumberFormat="1" applyFont="1" applyBorder="1" applyAlignment="1">
      <alignment horizontal="center" vertical="center"/>
    </xf>
    <xf numFmtId="167" fontId="6" fillId="0" borderId="6" xfId="0" applyNumberFormat="1" applyFont="1" applyBorder="1" applyAlignment="1">
      <alignment horizontal="center" vertical="center"/>
    </xf>
    <xf numFmtId="167" fontId="7" fillId="0" borderId="6" xfId="0" applyNumberFormat="1" applyFont="1" applyBorder="1" applyAlignment="1">
      <alignment horizontal="center" vertical="center"/>
    </xf>
    <xf numFmtId="167" fontId="2" fillId="0" borderId="13" xfId="0" applyNumberFormat="1" applyFont="1" applyBorder="1" applyAlignment="1">
      <alignment horizontal="center" vertical="center"/>
    </xf>
    <xf numFmtId="167" fontId="7" fillId="0" borderId="13" xfId="0" applyNumberFormat="1" applyFont="1" applyBorder="1" applyAlignment="1">
      <alignment horizontal="center" vertical="center"/>
    </xf>
    <xf numFmtId="167" fontId="8" fillId="0" borderId="3" xfId="0" applyNumberFormat="1" applyFont="1" applyBorder="1"/>
    <xf numFmtId="167" fontId="9" fillId="0" borderId="3" xfId="0" applyNumberFormat="1" applyFont="1" applyBorder="1"/>
    <xf numFmtId="167" fontId="9" fillId="0" borderId="7" xfId="0" applyNumberFormat="1" applyFont="1" applyBorder="1"/>
    <xf numFmtId="167" fontId="9" fillId="0" borderId="9" xfId="0" applyNumberFormat="1" applyFont="1" applyBorder="1"/>
    <xf numFmtId="167" fontId="6" fillId="3" borderId="5" xfId="0" applyNumberFormat="1" applyFont="1" applyFill="1" applyBorder="1"/>
    <xf numFmtId="167" fontId="7" fillId="3" borderId="5" xfId="0" applyNumberFormat="1" applyFont="1" applyFill="1" applyBorder="1"/>
    <xf numFmtId="167" fontId="5" fillId="0" borderId="0" xfId="0" applyNumberFormat="1" applyFont="1"/>
    <xf numFmtId="167" fontId="10" fillId="0" borderId="0" xfId="0" applyNumberFormat="1" applyFont="1"/>
    <xf numFmtId="167" fontId="11" fillId="0" borderId="0" xfId="0" applyNumberFormat="1" applyFont="1"/>
    <xf numFmtId="167" fontId="8" fillId="0" borderId="10" xfId="0" applyNumberFormat="1" applyFont="1" applyBorder="1"/>
    <xf numFmtId="10" fontId="2" fillId="0" borderId="3" xfId="0" applyNumberFormat="1" applyFont="1" applyBorder="1" applyAlignment="1">
      <alignment horizontal="center" vertical="center" wrapText="1"/>
    </xf>
    <xf numFmtId="10" fontId="2" fillId="0" borderId="6" xfId="0" applyNumberFormat="1" applyFont="1" applyBorder="1" applyAlignment="1">
      <alignment horizontal="center" vertical="center"/>
    </xf>
    <xf numFmtId="10" fontId="2" fillId="0" borderId="14" xfId="0" applyNumberFormat="1" applyFont="1" applyBorder="1" applyAlignment="1">
      <alignment horizontal="center" vertical="center"/>
    </xf>
    <xf numFmtId="10" fontId="3" fillId="0" borderId="13" xfId="0" applyNumberFormat="1" applyFont="1" applyBorder="1"/>
    <xf numFmtId="2" fontId="2" fillId="0" borderId="14" xfId="0" applyNumberFormat="1" applyFont="1" applyBorder="1" applyAlignment="1">
      <alignment horizontal="center" vertical="center"/>
    </xf>
    <xf numFmtId="167" fontId="6" fillId="0" borderId="14" xfId="0" applyNumberFormat="1" applyFont="1" applyBorder="1" applyAlignment="1">
      <alignment horizontal="center" vertical="center"/>
    </xf>
    <xf numFmtId="164" fontId="2" fillId="0" borderId="3" xfId="2" applyNumberFormat="1" applyFont="1" applyBorder="1" applyAlignment="1">
      <alignment horizontal="center" vertical="center" wrapText="1"/>
    </xf>
    <xf numFmtId="3" fontId="3" fillId="0" borderId="10" xfId="0" applyNumberFormat="1" applyFont="1" applyBorder="1"/>
    <xf numFmtId="0" fontId="2" fillId="0" borderId="3" xfId="0" applyFont="1" applyBorder="1" applyAlignment="1">
      <alignment horizontal="center" vertical="center" wrapText="1"/>
    </xf>
    <xf numFmtId="2" fontId="13" fillId="0" borderId="3" xfId="0" applyNumberFormat="1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/>
    </xf>
    <xf numFmtId="10" fontId="14" fillId="0" borderId="2" xfId="0" applyNumberFormat="1" applyFont="1" applyBorder="1"/>
    <xf numFmtId="2" fontId="14" fillId="0" borderId="2" xfId="0" applyNumberFormat="1" applyFont="1" applyBorder="1"/>
    <xf numFmtId="10" fontId="14" fillId="0" borderId="7" xfId="0" applyNumberFormat="1" applyFont="1" applyBorder="1"/>
    <xf numFmtId="2" fontId="14" fillId="0" borderId="7" xfId="0" applyNumberFormat="1" applyFont="1" applyBorder="1"/>
    <xf numFmtId="10" fontId="14" fillId="0" borderId="9" xfId="0" applyNumberFormat="1" applyFont="1" applyBorder="1"/>
    <xf numFmtId="2" fontId="14" fillId="0" borderId="9" xfId="0" applyNumberFormat="1" applyFont="1" applyBorder="1"/>
    <xf numFmtId="10" fontId="13" fillId="3" borderId="5" xfId="0" applyNumberFormat="1" applyFont="1" applyFill="1" applyBorder="1"/>
    <xf numFmtId="2" fontId="13" fillId="3" borderId="5" xfId="0" applyNumberFormat="1" applyFont="1" applyFill="1" applyBorder="1"/>
    <xf numFmtId="0" fontId="15" fillId="0" borderId="0" xfId="0" applyFont="1"/>
    <xf numFmtId="165" fontId="2" fillId="0" borderId="13" xfId="0" applyNumberFormat="1" applyFont="1" applyBorder="1" applyAlignment="1">
      <alignment horizontal="center" vertical="center"/>
    </xf>
    <xf numFmtId="10" fontId="14" fillId="0" borderId="3" xfId="0" applyNumberFormat="1" applyFont="1" applyBorder="1"/>
    <xf numFmtId="10" fontId="14" fillId="0" borderId="13" xfId="0" applyNumberFormat="1" applyFont="1" applyBorder="1"/>
    <xf numFmtId="166" fontId="13" fillId="0" borderId="3" xfId="0" applyNumberFormat="1" applyFont="1" applyBorder="1" applyAlignment="1">
      <alignment horizontal="center" vertical="center" wrapText="1"/>
    </xf>
    <xf numFmtId="166" fontId="13" fillId="0" borderId="6" xfId="0" applyNumberFormat="1" applyFont="1" applyBorder="1" applyAlignment="1">
      <alignment horizontal="center" vertical="center"/>
    </xf>
    <xf numFmtId="166" fontId="13" fillId="0" borderId="13" xfId="0" applyNumberFormat="1" applyFont="1" applyBorder="1" applyAlignment="1">
      <alignment horizontal="center" vertical="center"/>
    </xf>
    <xf numFmtId="166" fontId="14" fillId="0" borderId="3" xfId="0" applyNumberFormat="1" applyFont="1" applyBorder="1"/>
    <xf numFmtId="166" fontId="14" fillId="0" borderId="7" xfId="0" applyNumberFormat="1" applyFont="1" applyBorder="1"/>
    <xf numFmtId="166" fontId="14" fillId="0" borderId="9" xfId="0" applyNumberFormat="1" applyFont="1" applyBorder="1"/>
    <xf numFmtId="166" fontId="13" fillId="3" borderId="5" xfId="0" applyNumberFormat="1" applyFont="1" applyFill="1" applyBorder="1"/>
    <xf numFmtId="166" fontId="15" fillId="0" borderId="0" xfId="0" applyNumberFormat="1" applyFont="1"/>
    <xf numFmtId="167" fontId="3" fillId="0" borderId="10" xfId="0" applyNumberFormat="1" applyFont="1" applyBorder="1"/>
    <xf numFmtId="0" fontId="2" fillId="0" borderId="3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textRotation="90"/>
    </xf>
    <xf numFmtId="0" fontId="2" fillId="0" borderId="4" xfId="0" applyFont="1" applyBorder="1" applyAlignment="1">
      <alignment horizontal="center" vertical="center" textRotation="90"/>
    </xf>
    <xf numFmtId="0" fontId="2" fillId="0" borderId="2" xfId="0" applyFont="1" applyBorder="1" applyAlignment="1">
      <alignment horizontal="center" vertical="center" textRotation="90"/>
    </xf>
    <xf numFmtId="0" fontId="2" fillId="0" borderId="5" xfId="0" applyFont="1" applyBorder="1" applyAlignment="1">
      <alignment horizontal="center" vertical="center" textRotation="90"/>
    </xf>
    <xf numFmtId="0" fontId="2" fillId="0" borderId="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</cellXfs>
  <cellStyles count="3">
    <cellStyle name="Normal" xfId="0" builtinId="0"/>
    <cellStyle name="Normal 2" xfId="1" xr:uid="{00000000-0005-0000-0000-000001000000}"/>
    <cellStyle name="Percent" xfId="2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W:\PULSE_Reports\MFC\Dispecheri\2025\Doklad_Dispecheri_2025.xlsx" TargetMode="External"/><Relationship Id="rId1" Type="http://schemas.openxmlformats.org/officeDocument/2006/relationships/externalLinkPath" Target="/PULSE_Reports/MFC/Dispecheri/2025/Doklad_Dispecheri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Януари "/>
      <sheetName val="Февруари"/>
      <sheetName val="Март"/>
      <sheetName val="Април"/>
      <sheetName val="Май"/>
      <sheetName val="Юни"/>
      <sheetName val="Юли"/>
      <sheetName val="Август"/>
      <sheetName val="Септември"/>
      <sheetName val="Октомври"/>
      <sheetName val="Ноември"/>
      <sheetName val="Декемвр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>
        <row r="127">
          <cell r="AU127">
            <v>1441.6199999999994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19"/>
  <sheetViews>
    <sheetView tabSelected="1" zoomScale="110" zoomScaleNormal="110" workbookViewId="0">
      <pane xSplit="3" ySplit="2" topLeftCell="D3" activePane="bottomRight" state="frozen"/>
      <selection pane="bottomRight" activeCell="C22" sqref="C22"/>
      <selection pane="bottomLeft" activeCell="A3" sqref="A3"/>
      <selection pane="topRight" activeCell="D1" sqref="D1"/>
    </sheetView>
  </sheetViews>
  <sheetFormatPr defaultColWidth="9.140625" defaultRowHeight="12.75"/>
  <cols>
    <col min="1" max="1" width="3.28515625" style="59" bestFit="1" customWidth="1"/>
    <col min="2" max="2" width="5.85546875" style="21" customWidth="1"/>
    <col min="3" max="3" width="16" style="31" customWidth="1"/>
    <col min="4" max="4" width="13.140625" style="31" customWidth="1"/>
    <col min="5" max="5" width="10.7109375" style="31" customWidth="1"/>
    <col min="6" max="6" width="11.28515625" style="31" customWidth="1"/>
    <col min="7" max="7" width="9.42578125" style="61" customWidth="1"/>
    <col min="8" max="8" width="8.85546875" style="31" customWidth="1"/>
    <col min="9" max="9" width="12.7109375" style="31" customWidth="1"/>
    <col min="10" max="10" width="10.85546875" style="61" customWidth="1"/>
    <col min="11" max="11" width="11.28515625" style="31" customWidth="1"/>
    <col min="12" max="12" width="10.42578125" style="31" customWidth="1"/>
    <col min="13" max="13" width="12.5703125" style="31" customWidth="1"/>
    <col min="14" max="14" width="8.5703125" style="31" bestFit="1" customWidth="1"/>
    <col min="15" max="15" width="10.7109375" style="31" hidden="1" customWidth="1"/>
    <col min="16" max="16" width="8.5703125" style="31" customWidth="1"/>
    <col min="17" max="17" width="0.7109375" style="31" hidden="1" customWidth="1"/>
    <col min="18" max="18" width="7.7109375" style="31" bestFit="1" customWidth="1"/>
    <col min="19" max="19" width="13.5703125" style="31" customWidth="1"/>
    <col min="20" max="20" width="8.42578125" style="31" hidden="1" customWidth="1"/>
    <col min="21" max="21" width="9" style="31" customWidth="1"/>
    <col min="22" max="22" width="6.7109375" style="31" hidden="1" customWidth="1"/>
    <col min="23" max="23" width="9" style="31" customWidth="1"/>
    <col min="24" max="24" width="7.42578125" style="31" hidden="1" customWidth="1"/>
    <col min="25" max="25" width="9.85546875" style="31" customWidth="1"/>
    <col min="26" max="26" width="14.42578125" style="31" hidden="1" customWidth="1"/>
    <col min="27" max="27" width="12.140625" style="120" customWidth="1"/>
    <col min="28" max="28" width="0.42578125" style="31" hidden="1" customWidth="1"/>
    <col min="29" max="29" width="12.28515625" style="31" customWidth="1"/>
    <col min="30" max="30" width="7.5703125" style="31" hidden="1" customWidth="1"/>
    <col min="31" max="31" width="11.7109375" style="31" hidden="1" customWidth="1"/>
    <col min="32" max="32" width="12.28515625" style="31" customWidth="1"/>
    <col min="33" max="33" width="0.42578125" style="31" hidden="1" customWidth="1"/>
    <col min="34" max="34" width="12.85546875" style="60" customWidth="1"/>
    <col min="35" max="35" width="15" style="62" hidden="1" customWidth="1"/>
    <col min="36" max="36" width="11" style="31" customWidth="1"/>
    <col min="37" max="37" width="10" style="31" customWidth="1"/>
    <col min="38" max="38" width="12" style="31" customWidth="1"/>
    <col min="39" max="39" width="8.85546875" style="61" customWidth="1"/>
    <col min="40" max="40" width="12.5703125" style="62" customWidth="1"/>
    <col min="41" max="41" width="12.28515625" style="62" customWidth="1"/>
    <col min="42" max="42" width="8.5703125" style="31" customWidth="1"/>
    <col min="43" max="43" width="11.7109375" style="109" customWidth="1"/>
    <col min="44" max="44" width="11.85546875" style="31" customWidth="1"/>
    <col min="45" max="45" width="12.7109375" style="85" customWidth="1"/>
    <col min="46" max="46" width="11.5703125" style="86" customWidth="1"/>
    <col min="47" max="47" width="11.5703125" style="87" customWidth="1"/>
    <col min="48" max="48" width="12.140625" style="63" customWidth="1"/>
    <col min="49" max="49" width="14.85546875" style="31" customWidth="1"/>
    <col min="50" max="50" width="6.42578125" style="31" bestFit="1" customWidth="1"/>
    <col min="51" max="51" width="10.42578125" style="31" customWidth="1"/>
    <col min="52" max="52" width="6.42578125" style="31" bestFit="1" customWidth="1"/>
    <col min="53" max="53" width="11.140625" style="31" customWidth="1"/>
    <col min="54" max="16384" width="9.140625" style="31"/>
  </cols>
  <sheetData>
    <row r="1" spans="1:53" s="21" customFormat="1" ht="66" customHeight="1">
      <c r="A1" s="126" t="s">
        <v>0</v>
      </c>
      <c r="B1" s="128" t="s">
        <v>1</v>
      </c>
      <c r="C1" s="130" t="s">
        <v>2</v>
      </c>
      <c r="D1" s="97" t="s">
        <v>3</v>
      </c>
      <c r="E1" s="97" t="s">
        <v>4</v>
      </c>
      <c r="F1" s="97" t="s">
        <v>5</v>
      </c>
      <c r="G1" s="2" t="s">
        <v>6</v>
      </c>
      <c r="H1" s="97" t="s">
        <v>7</v>
      </c>
      <c r="I1" s="97" t="s">
        <v>8</v>
      </c>
      <c r="J1" s="95" t="s">
        <v>9</v>
      </c>
      <c r="K1" s="97" t="s">
        <v>10</v>
      </c>
      <c r="L1" s="97" t="s">
        <v>11</v>
      </c>
      <c r="M1" s="97" t="s">
        <v>12</v>
      </c>
      <c r="N1" s="97" t="s">
        <v>13</v>
      </c>
      <c r="O1" s="97"/>
      <c r="P1" s="1" t="s">
        <v>14</v>
      </c>
      <c r="Q1" s="1"/>
      <c r="R1" s="1" t="s">
        <v>15</v>
      </c>
      <c r="S1" s="99" t="s">
        <v>16</v>
      </c>
      <c r="T1" s="1"/>
      <c r="U1" s="97" t="s">
        <v>17</v>
      </c>
      <c r="V1" s="97"/>
      <c r="W1" s="97" t="s">
        <v>18</v>
      </c>
      <c r="X1" s="97"/>
      <c r="Y1" s="97" t="s">
        <v>19</v>
      </c>
      <c r="Z1" s="97"/>
      <c r="AA1" s="113" t="s">
        <v>20</v>
      </c>
      <c r="AB1" s="99" t="s">
        <v>21</v>
      </c>
      <c r="AC1" s="97" t="s">
        <v>22</v>
      </c>
      <c r="AD1" s="97" t="s">
        <v>23</v>
      </c>
      <c r="AE1" s="97" t="s">
        <v>24</v>
      </c>
      <c r="AF1" s="97" t="s">
        <v>25</v>
      </c>
      <c r="AG1" s="97" t="s">
        <v>26</v>
      </c>
      <c r="AH1" s="89" t="s">
        <v>27</v>
      </c>
      <c r="AI1" s="3" t="s">
        <v>28</v>
      </c>
      <c r="AJ1" s="97" t="s">
        <v>29</v>
      </c>
      <c r="AK1" s="97" t="s">
        <v>30</v>
      </c>
      <c r="AL1" s="97" t="s">
        <v>31</v>
      </c>
      <c r="AM1" s="2" t="s">
        <v>32</v>
      </c>
      <c r="AN1" s="3" t="s">
        <v>33</v>
      </c>
      <c r="AO1" s="98" t="s">
        <v>34</v>
      </c>
      <c r="AP1" s="97" t="s">
        <v>35</v>
      </c>
      <c r="AQ1" s="99" t="s">
        <v>36</v>
      </c>
      <c r="AR1" s="97" t="s">
        <v>37</v>
      </c>
      <c r="AS1" s="71" t="s">
        <v>38</v>
      </c>
      <c r="AT1" s="72" t="s">
        <v>39</v>
      </c>
      <c r="AU1" s="73" t="s">
        <v>39</v>
      </c>
      <c r="AV1" s="4" t="s">
        <v>40</v>
      </c>
      <c r="AW1" s="97" t="s">
        <v>41</v>
      </c>
      <c r="AX1" s="122" t="s">
        <v>42</v>
      </c>
      <c r="AY1" s="122"/>
      <c r="AZ1" s="122" t="s">
        <v>43</v>
      </c>
      <c r="BA1" s="122"/>
    </row>
    <row r="2" spans="1:53" s="21" customFormat="1" ht="13.5" thickBot="1">
      <c r="A2" s="127"/>
      <c r="B2" s="129"/>
      <c r="C2" s="131"/>
      <c r="D2" s="5" t="s">
        <v>44</v>
      </c>
      <c r="E2" s="5" t="s">
        <v>45</v>
      </c>
      <c r="F2" s="5" t="s">
        <v>44</v>
      </c>
      <c r="G2" s="7" t="s">
        <v>46</v>
      </c>
      <c r="H2" s="5" t="s">
        <v>46</v>
      </c>
      <c r="I2" s="5" t="s">
        <v>44</v>
      </c>
      <c r="J2" s="5" t="s">
        <v>45</v>
      </c>
      <c r="K2" s="5" t="s">
        <v>44</v>
      </c>
      <c r="L2" s="5" t="s">
        <v>46</v>
      </c>
      <c r="M2" s="5" t="s">
        <v>44</v>
      </c>
      <c r="N2" s="5" t="s">
        <v>46</v>
      </c>
      <c r="O2" s="6"/>
      <c r="P2" s="5" t="s">
        <v>46</v>
      </c>
      <c r="Q2" s="5"/>
      <c r="R2" s="5" t="s">
        <v>46</v>
      </c>
      <c r="S2" s="5" t="s">
        <v>46</v>
      </c>
      <c r="T2" s="5"/>
      <c r="U2" s="5" t="s">
        <v>46</v>
      </c>
      <c r="V2" s="5"/>
      <c r="W2" s="5" t="s">
        <v>47</v>
      </c>
      <c r="X2" s="5"/>
      <c r="Y2" s="5" t="s">
        <v>47</v>
      </c>
      <c r="Z2" s="5"/>
      <c r="AA2" s="114" t="s">
        <v>46</v>
      </c>
      <c r="AB2" s="5" t="s">
        <v>46</v>
      </c>
      <c r="AC2" s="5" t="s">
        <v>46</v>
      </c>
      <c r="AD2" s="5" t="s">
        <v>46</v>
      </c>
      <c r="AE2" s="5" t="s">
        <v>46</v>
      </c>
      <c r="AF2" s="5" t="s">
        <v>46</v>
      </c>
      <c r="AG2" s="5" t="s">
        <v>44</v>
      </c>
      <c r="AH2" s="90" t="s">
        <v>46</v>
      </c>
      <c r="AI2" s="8" t="s">
        <v>44</v>
      </c>
      <c r="AJ2" s="5" t="s">
        <v>46</v>
      </c>
      <c r="AK2" s="5" t="s">
        <v>46</v>
      </c>
      <c r="AL2" s="5" t="s">
        <v>44</v>
      </c>
      <c r="AM2" s="7" t="s">
        <v>46</v>
      </c>
      <c r="AN2" s="8" t="s">
        <v>46</v>
      </c>
      <c r="AO2" s="5" t="s">
        <v>46</v>
      </c>
      <c r="AP2" s="5" t="s">
        <v>44</v>
      </c>
      <c r="AQ2" s="5" t="s">
        <v>44</v>
      </c>
      <c r="AR2" s="5" t="s">
        <v>48</v>
      </c>
      <c r="AS2" s="74" t="s">
        <v>49</v>
      </c>
      <c r="AT2" s="75" t="s">
        <v>49</v>
      </c>
      <c r="AU2" s="76" t="s">
        <v>49</v>
      </c>
      <c r="AV2" s="9" t="s">
        <v>50</v>
      </c>
      <c r="AW2" s="5" t="s">
        <v>46</v>
      </c>
      <c r="AX2" s="5" t="s">
        <v>51</v>
      </c>
      <c r="AY2" s="5" t="s">
        <v>52</v>
      </c>
      <c r="AZ2" s="5" t="s">
        <v>51</v>
      </c>
      <c r="BA2" s="5" t="s">
        <v>52</v>
      </c>
    </row>
    <row r="3" spans="1:53" s="21" customFormat="1" ht="13.5" thickBot="1">
      <c r="A3" s="64"/>
      <c r="B3" s="65"/>
      <c r="C3" s="70"/>
      <c r="D3" s="66"/>
      <c r="E3" s="66"/>
      <c r="F3" s="66"/>
      <c r="G3" s="67"/>
      <c r="H3" s="66"/>
      <c r="I3" s="66"/>
      <c r="J3" s="67"/>
      <c r="K3" s="66"/>
      <c r="L3" s="66"/>
      <c r="M3" s="66"/>
      <c r="N3" s="66"/>
      <c r="O3" s="6"/>
      <c r="P3" s="66"/>
      <c r="Q3" s="6"/>
      <c r="R3" s="66"/>
      <c r="S3" s="110"/>
      <c r="T3" s="6"/>
      <c r="U3" s="70"/>
      <c r="V3" s="6"/>
      <c r="W3" s="66"/>
      <c r="X3" s="6"/>
      <c r="Y3" s="66"/>
      <c r="Z3" s="70"/>
      <c r="AA3" s="115"/>
      <c r="AB3" s="66"/>
      <c r="AC3" s="66"/>
      <c r="AD3" s="6"/>
      <c r="AE3" s="70"/>
      <c r="AF3" s="66"/>
      <c r="AG3" s="66"/>
      <c r="AH3" s="91"/>
      <c r="AI3" s="93"/>
      <c r="AJ3" s="70"/>
      <c r="AK3" s="70"/>
      <c r="AL3" s="66"/>
      <c r="AM3" s="67"/>
      <c r="AN3" s="68"/>
      <c r="AO3" s="68"/>
      <c r="AP3" s="66"/>
      <c r="AQ3" s="100"/>
      <c r="AR3" s="66"/>
      <c r="AS3" s="77"/>
      <c r="AT3" s="94">
        <f>[1]Декември!AU127</f>
        <v>1441.6199999999994</v>
      </c>
      <c r="AU3" s="78"/>
      <c r="AV3" s="69"/>
      <c r="AW3" s="66"/>
      <c r="AX3" s="66"/>
      <c r="AY3" s="66"/>
      <c r="AZ3" s="66"/>
      <c r="BA3" s="66"/>
    </row>
    <row r="4" spans="1:53" ht="13.5" thickBot="1">
      <c r="A4" s="123">
        <v>1</v>
      </c>
      <c r="B4" s="22">
        <v>1</v>
      </c>
      <c r="C4" s="10" t="s">
        <v>53</v>
      </c>
      <c r="D4" s="11">
        <v>10200</v>
      </c>
      <c r="E4" s="11">
        <v>5</v>
      </c>
      <c r="F4" s="11">
        <v>14204</v>
      </c>
      <c r="G4" s="12">
        <v>0.9</v>
      </c>
      <c r="H4" s="12">
        <v>7.3</v>
      </c>
      <c r="I4" s="11">
        <v>13837</v>
      </c>
      <c r="J4" s="12">
        <v>3</v>
      </c>
      <c r="K4" s="11">
        <v>16058</v>
      </c>
      <c r="L4" s="13">
        <v>4.8000000000000001E-2</v>
      </c>
      <c r="M4" s="23">
        <f>ROUND(K4*(1-L4),0)</f>
        <v>15287</v>
      </c>
      <c r="N4" s="14">
        <v>0.70199999999999996</v>
      </c>
      <c r="O4" s="24">
        <f t="shared" ref="O4:O6" si="0">M4*N4</f>
        <v>10731.474</v>
      </c>
      <c r="P4" s="13">
        <v>0.19800000000000001</v>
      </c>
      <c r="Q4" s="24">
        <f t="shared" ref="Q4:Q6" si="1">M4*P4</f>
        <v>3026.826</v>
      </c>
      <c r="R4" s="15">
        <v>0.1</v>
      </c>
      <c r="S4" s="111"/>
      <c r="T4" s="24">
        <f t="shared" ref="T4:T6" si="2">M4*R4</f>
        <v>1528.7</v>
      </c>
      <c r="U4" s="25">
        <v>0.24199999999999999</v>
      </c>
      <c r="V4" s="24">
        <f t="shared" ref="V4:V6" si="3">M4*U4</f>
        <v>3699.4539999999997</v>
      </c>
      <c r="W4" s="15">
        <v>0.49199999999999999</v>
      </c>
      <c r="X4" s="24">
        <f>M4*W4</f>
        <v>7521.2039999999997</v>
      </c>
      <c r="Y4" s="15">
        <v>0.41</v>
      </c>
      <c r="Z4" s="96">
        <f t="shared" ref="Z4:Z6" si="4">Y4*M4</f>
        <v>6267.67</v>
      </c>
      <c r="AA4" s="116">
        <v>2.7200000000000002E-3</v>
      </c>
      <c r="AB4" s="18">
        <f>M4*AA4</f>
        <v>41.580640000000002</v>
      </c>
      <c r="AC4" s="16">
        <v>2.47E-3</v>
      </c>
      <c r="AD4" s="18">
        <f>M4*AC4</f>
        <v>37.758890000000001</v>
      </c>
      <c r="AE4" s="26">
        <f>IF(M4&gt;0,(AG4+AP4)/M4,0)</f>
        <v>2.5474268136324988E-3</v>
      </c>
      <c r="AF4" s="16">
        <v>2.9999999999999997E-4</v>
      </c>
      <c r="AG4" s="23">
        <f t="shared" ref="AG4:AG6" si="5">AF4*M4</f>
        <v>4.5860999999999992</v>
      </c>
      <c r="AH4" s="92">
        <v>0.21049999999999999</v>
      </c>
      <c r="AI4" s="29">
        <f>AL4*(1-AM4)*AH4</f>
        <v>33.007873500000002</v>
      </c>
      <c r="AJ4" s="27">
        <f>IF(AND(AH4&gt;0,AF4&gt;0,AC4&gt;0),((AC4-AF4)*AH4)/((AH4-AF4)*AC4),0)</f>
        <v>0.8797963766915643</v>
      </c>
      <c r="AK4" s="58">
        <f t="shared" ref="AK4:AK19" si="6">IF(AND(AE4&gt;0,AN4&gt;0,AF4&gt;0),((AN4*(AE4-AF4))/(AE4*(AN4-AF4))),0)</f>
        <v>0.88344374903916667</v>
      </c>
      <c r="AL4" s="11">
        <v>171</v>
      </c>
      <c r="AM4" s="13">
        <v>8.3000000000000004E-2</v>
      </c>
      <c r="AN4" s="14">
        <v>0.21909999999999999</v>
      </c>
      <c r="AO4" s="101">
        <v>0.22889999999999999</v>
      </c>
      <c r="AP4" s="29">
        <f>AL4*(1-AM4)*AN4</f>
        <v>34.356413700000004</v>
      </c>
      <c r="AQ4" s="102">
        <f>AL4*(1-AM4)*AO4</f>
        <v>35.893122300000002</v>
      </c>
      <c r="AR4" s="18">
        <v>1.66</v>
      </c>
      <c r="AS4" s="18"/>
      <c r="AT4" s="88">
        <f>AT3+AL4-AS4</f>
        <v>1612.6199999999994</v>
      </c>
      <c r="AU4" s="80"/>
      <c r="AV4" s="11"/>
      <c r="AW4" s="30"/>
      <c r="AX4" s="19"/>
      <c r="AY4" s="19"/>
      <c r="AZ4" s="19"/>
      <c r="BA4" s="19"/>
    </row>
    <row r="5" spans="1:53">
      <c r="A5" s="124"/>
      <c r="B5" s="32">
        <v>2</v>
      </c>
      <c r="C5" s="10" t="s">
        <v>54</v>
      </c>
      <c r="D5" s="33">
        <v>17500</v>
      </c>
      <c r="E5" s="33">
        <v>8</v>
      </c>
      <c r="F5" s="33">
        <v>16708</v>
      </c>
      <c r="G5" s="34">
        <v>0.6</v>
      </c>
      <c r="H5" s="34">
        <v>6.5</v>
      </c>
      <c r="I5" s="33">
        <v>16484</v>
      </c>
      <c r="J5" s="34">
        <v>3.3</v>
      </c>
      <c r="K5" s="33">
        <v>16154</v>
      </c>
      <c r="L5" s="35">
        <v>4.9000000000000002E-2</v>
      </c>
      <c r="M5" s="36">
        <f>ROUND(K5*(1-L5),0)</f>
        <v>15362</v>
      </c>
      <c r="N5" s="37">
        <v>0.59</v>
      </c>
      <c r="O5" s="24">
        <f t="shared" si="0"/>
        <v>9063.58</v>
      </c>
      <c r="P5" s="35">
        <v>0.33900000000000002</v>
      </c>
      <c r="Q5" s="24">
        <f t="shared" si="1"/>
        <v>5207.7180000000008</v>
      </c>
      <c r="R5" s="38">
        <v>7.0999999999999994E-2</v>
      </c>
      <c r="S5" s="105"/>
      <c r="T5" s="24">
        <f t="shared" si="2"/>
        <v>1090.702</v>
      </c>
      <c r="U5" s="27">
        <v>0.27600000000000002</v>
      </c>
      <c r="V5" s="24">
        <f t="shared" si="3"/>
        <v>4239.9120000000003</v>
      </c>
      <c r="W5" s="38">
        <v>0.46500000000000002</v>
      </c>
      <c r="X5" s="24">
        <f>M5*W5</f>
        <v>7143.33</v>
      </c>
      <c r="Y5" s="38">
        <v>0.4</v>
      </c>
      <c r="Z5" s="24">
        <f t="shared" si="4"/>
        <v>6144.8</v>
      </c>
      <c r="AA5" s="117">
        <v>2.4499999999999999E-3</v>
      </c>
      <c r="AB5" s="18">
        <f t="shared" ref="AB5:AB6" si="7">M5*AA5</f>
        <v>37.636899999999997</v>
      </c>
      <c r="AC5" s="39">
        <v>2.3400000000000001E-3</v>
      </c>
      <c r="AD5" s="17">
        <f>M5*AC5</f>
        <v>35.94708</v>
      </c>
      <c r="AE5" s="26">
        <f>IF(M5&gt;0,(AG5+AP5)/M5,0)</f>
        <v>2.6066588920713456E-3</v>
      </c>
      <c r="AF5" s="39">
        <v>2.9999999999999997E-4</v>
      </c>
      <c r="AG5" s="36">
        <f t="shared" si="5"/>
        <v>4.6086</v>
      </c>
      <c r="AH5" s="27">
        <v>0.20979999999999999</v>
      </c>
      <c r="AI5" s="40">
        <f>AL5*(1-AM5)*AH5</f>
        <v>35.283534600000003</v>
      </c>
      <c r="AJ5" s="27">
        <f>IF(AND(AH5&gt;0,AF5&gt;0,AC5&gt;0),((AC5-AF5)*AH5)/((AH5-AF5)*AC5),0)</f>
        <v>0.87304326540603383</v>
      </c>
      <c r="AK5" s="28">
        <f t="shared" si="6"/>
        <v>0.88617189667435092</v>
      </c>
      <c r="AL5" s="33">
        <v>183</v>
      </c>
      <c r="AM5" s="35">
        <v>8.1000000000000003E-2</v>
      </c>
      <c r="AN5" s="37">
        <v>0.2107</v>
      </c>
      <c r="AO5" s="103">
        <v>0.2213</v>
      </c>
      <c r="AP5" s="40">
        <f>AL5*(1-AM5)*AN5</f>
        <v>35.434893900000006</v>
      </c>
      <c r="AQ5" s="104">
        <f t="shared" ref="AQ5:AQ6" si="8">AL5*(1-AM5)*AO5</f>
        <v>37.217570100000003</v>
      </c>
      <c r="AR5" s="41">
        <v>1.65</v>
      </c>
      <c r="AS5" s="41"/>
      <c r="AT5" s="88">
        <f>AT4+AL5-AS5</f>
        <v>1795.6199999999994</v>
      </c>
      <c r="AU5" s="81"/>
      <c r="AV5" s="42"/>
      <c r="AW5" s="43"/>
      <c r="AX5" s="44"/>
      <c r="AY5" s="44"/>
      <c r="AZ5" s="44"/>
      <c r="BA5" s="44"/>
    </row>
    <row r="6" spans="1:53">
      <c r="A6" s="124"/>
      <c r="B6" s="32">
        <v>3</v>
      </c>
      <c r="C6" s="10" t="s">
        <v>55</v>
      </c>
      <c r="D6" s="42">
        <v>14570</v>
      </c>
      <c r="E6" s="42">
        <v>8</v>
      </c>
      <c r="F6" s="42">
        <v>17413</v>
      </c>
      <c r="G6" s="36">
        <v>0.8</v>
      </c>
      <c r="H6" s="36">
        <v>6.5</v>
      </c>
      <c r="I6" s="42">
        <v>16908</v>
      </c>
      <c r="J6" s="36">
        <v>2.5</v>
      </c>
      <c r="K6" s="42">
        <v>16221</v>
      </c>
      <c r="L6" s="38">
        <v>5.3999999999999999E-2</v>
      </c>
      <c r="M6" s="36">
        <f>ROUND(K6*(1-L6),0)</f>
        <v>15345</v>
      </c>
      <c r="N6" s="27">
        <v>0.54800000000000004</v>
      </c>
      <c r="O6" s="24">
        <f t="shared" si="0"/>
        <v>8409.0600000000013</v>
      </c>
      <c r="P6" s="38">
        <v>0.40100000000000002</v>
      </c>
      <c r="Q6" s="24">
        <f t="shared" si="1"/>
        <v>6153.3450000000003</v>
      </c>
      <c r="R6" s="38">
        <v>5.0999999999999997E-2</v>
      </c>
      <c r="S6" s="105"/>
      <c r="T6" s="24">
        <f t="shared" si="2"/>
        <v>782.59499999999991</v>
      </c>
      <c r="U6" s="27">
        <v>0.26900000000000002</v>
      </c>
      <c r="V6" s="24">
        <f t="shared" si="3"/>
        <v>4127.8050000000003</v>
      </c>
      <c r="W6" s="38">
        <v>0.45800000000000002</v>
      </c>
      <c r="X6" s="24">
        <f>M6*W6</f>
        <v>7028.01</v>
      </c>
      <c r="Y6" s="38">
        <v>0.43</v>
      </c>
      <c r="Z6" s="24">
        <f t="shared" si="4"/>
        <v>6598.3499999999995</v>
      </c>
      <c r="AA6" s="118">
        <v>2.4499999999999999E-3</v>
      </c>
      <c r="AB6" s="121">
        <f t="shared" si="7"/>
        <v>37.59525</v>
      </c>
      <c r="AC6" s="45">
        <v>2.4399999999999999E-3</v>
      </c>
      <c r="AD6" s="17">
        <f>M6*AC6</f>
        <v>37.441800000000001</v>
      </c>
      <c r="AE6" s="26">
        <f>IF(M6&gt;0,(AG6+AP6)/M6,0)</f>
        <v>2.812501661779081E-3</v>
      </c>
      <c r="AF6" s="45">
        <v>2.9E-4</v>
      </c>
      <c r="AG6" s="36">
        <f t="shared" si="5"/>
        <v>4.4500500000000001</v>
      </c>
      <c r="AH6" s="27">
        <v>0.2102</v>
      </c>
      <c r="AI6" s="40">
        <f>AL6*(1-AM6)*AH6</f>
        <v>36.782898000000003</v>
      </c>
      <c r="AJ6" s="27">
        <f>IF(AND(AH6&gt;0,AF6&gt;0,AC6&gt;0),((AC6-AF6)*AH6)/((AH6-AF6)*AC6),0)</f>
        <v>0.88236488549737568</v>
      </c>
      <c r="AK6" s="28">
        <f t="shared" si="6"/>
        <v>0.89806634239525251</v>
      </c>
      <c r="AL6" s="42">
        <v>190</v>
      </c>
      <c r="AM6" s="38">
        <v>7.9000000000000001E-2</v>
      </c>
      <c r="AN6" s="27">
        <v>0.22120000000000001</v>
      </c>
      <c r="AO6" s="105">
        <v>0.23119999999999999</v>
      </c>
      <c r="AP6" s="40">
        <f>AL6*(1-AM6)*AN6</f>
        <v>38.707788000000001</v>
      </c>
      <c r="AQ6" s="106">
        <f t="shared" si="8"/>
        <v>40.457687999999997</v>
      </c>
      <c r="AR6" s="17">
        <v>1.6</v>
      </c>
      <c r="AS6" s="17"/>
      <c r="AT6" s="88">
        <f>AT5+AL6-AS6</f>
        <v>1985.6199999999994</v>
      </c>
      <c r="AU6" s="82"/>
      <c r="AV6" s="42"/>
      <c r="AW6" s="46"/>
      <c r="AX6" s="40"/>
      <c r="AY6" s="40"/>
      <c r="AZ6" s="40"/>
      <c r="BA6" s="40"/>
    </row>
    <row r="7" spans="1:53" s="21" customFormat="1" ht="13.5" thickBot="1">
      <c r="A7" s="125"/>
      <c r="B7" s="47" t="s">
        <v>56</v>
      </c>
      <c r="C7" s="48"/>
      <c r="D7" s="49">
        <f>SUM(D4:D6)</f>
        <v>42270</v>
      </c>
      <c r="E7" s="49"/>
      <c r="F7" s="49">
        <f>SUM(F4:F6)</f>
        <v>48325</v>
      </c>
      <c r="G7" s="50"/>
      <c r="H7" s="50"/>
      <c r="I7" s="49">
        <f>SUM(I4:I6)</f>
        <v>47229</v>
      </c>
      <c r="J7" s="50"/>
      <c r="K7" s="49">
        <f>SUM(K4:K6)</f>
        <v>48433</v>
      </c>
      <c r="L7" s="20">
        <f>IF(K7&gt;0,(K4*L4+K5*L5+K6*L6)/K7,0)</f>
        <v>5.0343030578324698E-2</v>
      </c>
      <c r="M7" s="50">
        <f>M4+M5+M6</f>
        <v>45994</v>
      </c>
      <c r="N7" s="51">
        <f>IF(M7&gt;0,O7/M7,0)</f>
        <v>0.61321289733443496</v>
      </c>
      <c r="O7" s="52">
        <f>O4+O5+O6</f>
        <v>28204.114000000001</v>
      </c>
      <c r="P7" s="20">
        <f>IF(M7&gt;0,Q7/M7,0)</f>
        <v>0.31282099839109456</v>
      </c>
      <c r="Q7" s="52">
        <f>Q4+Q5+Q6</f>
        <v>14387.889000000003</v>
      </c>
      <c r="R7" s="20">
        <f>IF(M7&gt;0,T7/M7,0)</f>
        <v>7.3966104274470576E-2</v>
      </c>
      <c r="S7" s="107"/>
      <c r="T7" s="52">
        <f>T4+T5+T6</f>
        <v>3401.9969999999998</v>
      </c>
      <c r="U7" s="20">
        <f>IF(M7&gt;0,V7/M7,0)</f>
        <v>0.26236402574248818</v>
      </c>
      <c r="V7" s="52">
        <f>V4+V5+V6</f>
        <v>12067.171</v>
      </c>
      <c r="W7" s="20">
        <f>IF(M7&gt;0,X7/M7,0)</f>
        <v>0.47163856155150674</v>
      </c>
      <c r="X7" s="52">
        <f>X4+X5+X6</f>
        <v>21692.544000000002</v>
      </c>
      <c r="Y7" s="20">
        <f>IF(M7&gt;0,Z7/M7,0)</f>
        <v>0.41333260860112186</v>
      </c>
      <c r="Z7" s="52">
        <f>Z4+Z5+Z6</f>
        <v>19010.82</v>
      </c>
      <c r="AA7" s="119">
        <f>IF(M7&gt;0,AB7/M7,0)</f>
        <v>2.5397397486628692E-3</v>
      </c>
      <c r="AB7" s="54">
        <f t="shared" ref="AB7" si="9">SUM(AB4:AB6)</f>
        <v>116.81279000000001</v>
      </c>
      <c r="AC7" s="53">
        <f>IF(M7&gt;0,AD7/M7,0)</f>
        <v>2.4165710744879767E-3</v>
      </c>
      <c r="AD7" s="54">
        <f>SUM(AD4:AD6)</f>
        <v>111.14777000000001</v>
      </c>
      <c r="AE7" s="53">
        <f>IF(M7&gt;0,(AE4*M4+AE5*M5+AE6*M6)/M7,0)</f>
        <v>2.6556473800930561E-3</v>
      </c>
      <c r="AF7" s="53">
        <f>IF(K7&gt;0,(K4*AF4+K5*AF5+K6*AF6)/K7,0)</f>
        <v>2.9665083723907253E-4</v>
      </c>
      <c r="AG7" s="50">
        <f>SUM(AG4:AG6)</f>
        <v>13.644749999999998</v>
      </c>
      <c r="AH7" s="51">
        <f>IF(K7&gt;0,(K4*AH4+K5*AH5+K6*AH6)/K7,0)</f>
        <v>0.21016605207193439</v>
      </c>
      <c r="AI7" s="56">
        <f>SUM(AI4:AI6)</f>
        <v>105.07430610000002</v>
      </c>
      <c r="AJ7" s="51">
        <f>IF(AND(AD7&gt;0),((AD4*AJ4+AD5*AJ5+AD6*AJ6)/AD7),0)</f>
        <v>0.87847754646560072</v>
      </c>
      <c r="AK7" s="55">
        <f t="shared" si="6"/>
        <v>0.88951034221732794</v>
      </c>
      <c r="AL7" s="49">
        <f>SUM(AL4:AL6)</f>
        <v>544</v>
      </c>
      <c r="AM7" s="20">
        <f>IF(AL7&gt;0,(AM4*AL4+AM5*AL5+AM6*AL6)/AL7,0)</f>
        <v>8.0930147058823537E-2</v>
      </c>
      <c r="AN7" s="51">
        <f>IF(K7&gt;0,(AN4*K4+AN5*K5+AN6*K6)/K7,0)</f>
        <v>0.21700164763694177</v>
      </c>
      <c r="AO7" s="107">
        <f>IF(K7&gt;0,(AO4*K4+AO5*K5+AO6*K6)/K7,0)</f>
        <v>0.22713545722957487</v>
      </c>
      <c r="AP7" s="56">
        <f>SUM(AP4:AP6)</f>
        <v>108.4990956</v>
      </c>
      <c r="AQ7" s="108">
        <f t="shared" ref="AQ7" si="10">SUM(AQ4:AQ6)</f>
        <v>113.5683804</v>
      </c>
      <c r="AR7" s="54"/>
      <c r="AS7" s="54">
        <f>SUM(AS4:AS6)</f>
        <v>0</v>
      </c>
      <c r="AT7" s="83"/>
      <c r="AU7" s="84">
        <f>AT6</f>
        <v>1985.6199999999994</v>
      </c>
      <c r="AV7" s="49">
        <f>SUM(AV4:AV6)</f>
        <v>0</v>
      </c>
      <c r="AW7" s="57"/>
      <c r="AX7" s="56"/>
      <c r="AY7" s="56"/>
      <c r="AZ7" s="56"/>
      <c r="BA7" s="56"/>
    </row>
    <row r="8" spans="1:53" ht="13.5" thickBot="1">
      <c r="A8" s="123">
        <v>2</v>
      </c>
      <c r="B8" s="22">
        <v>1</v>
      </c>
      <c r="C8" s="10" t="s">
        <v>57</v>
      </c>
      <c r="D8" s="11">
        <v>11300</v>
      </c>
      <c r="E8" s="11">
        <v>5</v>
      </c>
      <c r="F8" s="11">
        <v>12057</v>
      </c>
      <c r="G8" s="12">
        <v>0.7</v>
      </c>
      <c r="H8" s="12">
        <v>4.5999999999999996</v>
      </c>
      <c r="I8" s="11">
        <v>11914</v>
      </c>
      <c r="J8" s="12">
        <v>4.0999999999999996</v>
      </c>
      <c r="K8" s="11">
        <v>16337</v>
      </c>
      <c r="L8" s="13">
        <v>0.05</v>
      </c>
      <c r="M8" s="23">
        <f>ROUND(K8*(1-L8),0)</f>
        <v>15520</v>
      </c>
      <c r="N8" s="14">
        <v>0.49099999999999999</v>
      </c>
      <c r="O8" s="24">
        <f t="shared" ref="O8:O10" si="11">M8*N8</f>
        <v>7620.32</v>
      </c>
      <c r="P8" s="13">
        <v>0.42799999999999999</v>
      </c>
      <c r="Q8" s="24">
        <f t="shared" ref="Q8:Q10" si="12">M8*P8</f>
        <v>6642.5599999999995</v>
      </c>
      <c r="R8" s="15">
        <v>8.1000000000000003E-2</v>
      </c>
      <c r="S8" s="112"/>
      <c r="T8" s="24">
        <f t="shared" ref="T8:T10" si="13">M8*R8</f>
        <v>1257.1200000000001</v>
      </c>
      <c r="U8" s="25">
        <v>0.255</v>
      </c>
      <c r="V8" s="24">
        <f t="shared" ref="V8:V10" si="14">M8*U8</f>
        <v>3957.6</v>
      </c>
      <c r="W8" s="15">
        <v>0.502</v>
      </c>
      <c r="X8" s="24">
        <f t="shared" ref="X8:X10" si="15">M8*W8</f>
        <v>7791.04</v>
      </c>
      <c r="Y8" s="15">
        <v>0.43</v>
      </c>
      <c r="Z8" s="24">
        <f t="shared" ref="Z8:Z10" si="16">Y8*M8</f>
        <v>6673.5999999999995</v>
      </c>
      <c r="AA8" s="116">
        <v>2.4299999999999999E-3</v>
      </c>
      <c r="AB8" s="18">
        <f>M8*AA8</f>
        <v>37.7136</v>
      </c>
      <c r="AC8" s="16">
        <v>2.4199999999999998E-3</v>
      </c>
      <c r="AD8" s="17">
        <f t="shared" ref="AD8:AD10" si="17">M8*AC8</f>
        <v>37.558399999999999</v>
      </c>
      <c r="AE8" s="26">
        <f>IF(M8&gt;0,(AG8+AP8)/M8,0)</f>
        <v>2.5911870360824743E-3</v>
      </c>
      <c r="AF8" s="16">
        <v>2.9E-4</v>
      </c>
      <c r="AG8" s="23">
        <f t="shared" ref="AG8:AG10" si="18">AF8*M8</f>
        <v>4.5007999999999999</v>
      </c>
      <c r="AH8" s="92">
        <v>0.21249999999999999</v>
      </c>
      <c r="AI8" s="29">
        <f t="shared" ref="AI8:AI10" si="19">AL8*(1-AM8)*AH8</f>
        <v>34.528275000000001</v>
      </c>
      <c r="AJ8" s="27">
        <f t="shared" ref="AJ8:AJ10" si="20">IF(AND(AH8&gt;0,AF8&gt;0,AC8&gt;0),((AC8-AF8)*AH8)/((AH8-AF8)*AC8),0)</f>
        <v>0.88136809748335221</v>
      </c>
      <c r="AK8" s="58">
        <f t="shared" si="6"/>
        <v>0.88925544862628314</v>
      </c>
      <c r="AL8" s="11">
        <v>177</v>
      </c>
      <c r="AM8" s="13">
        <v>8.2000000000000003E-2</v>
      </c>
      <c r="AN8" s="14">
        <v>0.2198</v>
      </c>
      <c r="AO8" s="101">
        <v>0.2203</v>
      </c>
      <c r="AP8" s="29">
        <f>AL8*(1-AM8)*AN8</f>
        <v>35.714422800000001</v>
      </c>
      <c r="AQ8" s="102">
        <f t="shared" ref="AQ8:AQ18" si="21">AL8*(1-AM8)*AO8</f>
        <v>35.795665800000002</v>
      </c>
      <c r="AR8" s="18">
        <v>1.55</v>
      </c>
      <c r="AS8" s="18"/>
      <c r="AT8" s="79">
        <f>AT6+AL8-AS8</f>
        <v>2162.6199999999994</v>
      </c>
      <c r="AU8" s="80"/>
      <c r="AV8" s="11"/>
      <c r="AW8" s="30"/>
      <c r="AX8" s="19"/>
      <c r="AY8" s="19"/>
      <c r="AZ8" s="19"/>
      <c r="BA8" s="19"/>
    </row>
    <row r="9" spans="1:53">
      <c r="A9" s="124"/>
      <c r="B9" s="32">
        <v>2</v>
      </c>
      <c r="C9" s="10" t="s">
        <v>54</v>
      </c>
      <c r="D9" s="33">
        <v>20400</v>
      </c>
      <c r="E9" s="33">
        <v>7</v>
      </c>
      <c r="F9" s="33">
        <v>16122</v>
      </c>
      <c r="G9" s="34">
        <v>1</v>
      </c>
      <c r="H9" s="34">
        <v>6.3</v>
      </c>
      <c r="I9" s="33">
        <v>16059</v>
      </c>
      <c r="J9" s="34">
        <v>4</v>
      </c>
      <c r="K9" s="33">
        <v>16152</v>
      </c>
      <c r="L9" s="35">
        <v>4.2000000000000003E-2</v>
      </c>
      <c r="M9" s="36">
        <f>ROUND(K9*(1-L9),0)</f>
        <v>15474</v>
      </c>
      <c r="N9" s="37">
        <v>0.623</v>
      </c>
      <c r="O9" s="24">
        <f t="shared" si="11"/>
        <v>9640.3019999999997</v>
      </c>
      <c r="P9" s="35">
        <v>0.28399999999999997</v>
      </c>
      <c r="Q9" s="24">
        <f t="shared" si="12"/>
        <v>4394.616</v>
      </c>
      <c r="R9" s="38">
        <v>9.2999999999999999E-2</v>
      </c>
      <c r="S9" s="105"/>
      <c r="T9" s="24">
        <f t="shared" si="13"/>
        <v>1439.0819999999999</v>
      </c>
      <c r="U9" s="27">
        <v>0.26900000000000002</v>
      </c>
      <c r="V9" s="24">
        <f t="shared" si="14"/>
        <v>4162.5060000000003</v>
      </c>
      <c r="W9" s="38">
        <v>0.47099999999999997</v>
      </c>
      <c r="X9" s="24">
        <f t="shared" si="15"/>
        <v>7288.2539999999999</v>
      </c>
      <c r="Y9" s="38">
        <v>0.42</v>
      </c>
      <c r="Z9" s="24">
        <f t="shared" si="16"/>
        <v>6499.08</v>
      </c>
      <c r="AA9" s="117">
        <v>2.64E-3</v>
      </c>
      <c r="AB9" s="18">
        <f t="shared" ref="AB9:AB10" si="22">M9*AA9</f>
        <v>40.85136</v>
      </c>
      <c r="AC9" s="39">
        <v>2.4099999999999998E-3</v>
      </c>
      <c r="AD9" s="17">
        <f t="shared" si="17"/>
        <v>37.292339999999996</v>
      </c>
      <c r="AE9" s="26">
        <f>IF(M9&gt;0,(AG9+AP9)/M9,0)</f>
        <v>2.6842749903063204E-3</v>
      </c>
      <c r="AF9" s="39">
        <v>2.9E-4</v>
      </c>
      <c r="AG9" s="36">
        <f t="shared" si="18"/>
        <v>4.4874600000000004</v>
      </c>
      <c r="AH9" s="27">
        <v>0.2019</v>
      </c>
      <c r="AI9" s="40">
        <f t="shared" si="19"/>
        <v>35.586086399999999</v>
      </c>
      <c r="AJ9" s="27">
        <f t="shared" si="20"/>
        <v>0.88093338253614439</v>
      </c>
      <c r="AK9" s="28">
        <f t="shared" si="6"/>
        <v>0.89319566599571143</v>
      </c>
      <c r="AL9" s="33">
        <v>192</v>
      </c>
      <c r="AM9" s="35">
        <v>8.2000000000000003E-2</v>
      </c>
      <c r="AN9" s="37">
        <v>0.2102</v>
      </c>
      <c r="AO9" s="103">
        <v>0.21920000000000001</v>
      </c>
      <c r="AP9" s="40">
        <f>AL9*(1-AM9)*AN9</f>
        <v>37.049011200000002</v>
      </c>
      <c r="AQ9" s="104">
        <f t="shared" si="21"/>
        <v>38.635315200000001</v>
      </c>
      <c r="AR9" s="41">
        <v>1.55</v>
      </c>
      <c r="AS9" s="41"/>
      <c r="AT9" s="88">
        <f>AT8+AL9-AS9</f>
        <v>2354.6199999999994</v>
      </c>
      <c r="AU9" s="82"/>
      <c r="AV9" s="42"/>
      <c r="AW9" s="43"/>
      <c r="AX9" s="44"/>
      <c r="AY9" s="44"/>
      <c r="AZ9" s="44"/>
      <c r="BA9" s="44"/>
    </row>
    <row r="10" spans="1:53">
      <c r="A10" s="124"/>
      <c r="B10" s="32">
        <v>3</v>
      </c>
      <c r="C10" s="10" t="s">
        <v>55</v>
      </c>
      <c r="D10" s="42">
        <v>19105</v>
      </c>
      <c r="E10" s="42">
        <v>3</v>
      </c>
      <c r="F10" s="42">
        <v>17830</v>
      </c>
      <c r="G10" s="36">
        <v>0.5</v>
      </c>
      <c r="H10" s="36">
        <v>5.5</v>
      </c>
      <c r="I10" s="42">
        <v>18111</v>
      </c>
      <c r="J10" s="36">
        <v>3.3</v>
      </c>
      <c r="K10" s="42">
        <v>16199</v>
      </c>
      <c r="L10" s="38">
        <v>5.0999999999999997E-2</v>
      </c>
      <c r="M10" s="36">
        <f>ROUND(K10*(1-L10),0)</f>
        <v>15373</v>
      </c>
      <c r="N10" s="27">
        <v>0.55200000000000005</v>
      </c>
      <c r="O10" s="24">
        <f t="shared" si="11"/>
        <v>8485.8960000000006</v>
      </c>
      <c r="P10" s="38">
        <v>0.372</v>
      </c>
      <c r="Q10" s="24">
        <f t="shared" si="12"/>
        <v>5718.7560000000003</v>
      </c>
      <c r="R10" s="38">
        <v>7.5999999999999998E-2</v>
      </c>
      <c r="S10" s="105"/>
      <c r="T10" s="24">
        <f t="shared" si="13"/>
        <v>1168.348</v>
      </c>
      <c r="U10" s="27">
        <v>0.27300000000000002</v>
      </c>
      <c r="V10" s="24">
        <f t="shared" si="14"/>
        <v>4196.8290000000006</v>
      </c>
      <c r="W10" s="38">
        <v>0.46800000000000003</v>
      </c>
      <c r="X10" s="24">
        <f t="shared" si="15"/>
        <v>7194.5640000000003</v>
      </c>
      <c r="Y10" s="38">
        <v>0.43</v>
      </c>
      <c r="Z10" s="24">
        <f t="shared" si="16"/>
        <v>6610.39</v>
      </c>
      <c r="AA10" s="118">
        <v>2.5699999999999998E-3</v>
      </c>
      <c r="AB10" s="121">
        <f t="shared" si="22"/>
        <v>39.508609999999997</v>
      </c>
      <c r="AC10" s="45">
        <v>2.4499999999999999E-3</v>
      </c>
      <c r="AD10" s="17">
        <f t="shared" si="17"/>
        <v>37.663849999999996</v>
      </c>
      <c r="AE10" s="26">
        <f>IF(M10&gt;0,(AG10+AP10)/M10,0)</f>
        <v>2.5024279450985491E-3</v>
      </c>
      <c r="AF10" s="45">
        <v>2.9999999999999997E-4</v>
      </c>
      <c r="AG10" s="36">
        <f t="shared" si="18"/>
        <v>4.6118999999999994</v>
      </c>
      <c r="AH10" s="27">
        <v>0.21049999999999999</v>
      </c>
      <c r="AI10" s="40">
        <f t="shared" si="19"/>
        <v>33.164695999999999</v>
      </c>
      <c r="AJ10" s="27">
        <f t="shared" si="20"/>
        <v>0.87880347191207597</v>
      </c>
      <c r="AK10" s="28">
        <f t="shared" si="6"/>
        <v>0.88134678676597722</v>
      </c>
      <c r="AL10" s="42">
        <v>172</v>
      </c>
      <c r="AM10" s="38">
        <v>8.4000000000000005E-2</v>
      </c>
      <c r="AN10" s="27">
        <v>0.21490000000000001</v>
      </c>
      <c r="AO10" s="105">
        <v>0.22720000000000001</v>
      </c>
      <c r="AP10" s="40">
        <f>AL10*(1-AM10)*AN10</f>
        <v>33.857924799999999</v>
      </c>
      <c r="AQ10" s="106">
        <f t="shared" si="21"/>
        <v>35.795814399999998</v>
      </c>
      <c r="AR10" s="17">
        <v>1.55</v>
      </c>
      <c r="AS10" s="17"/>
      <c r="AT10" s="88">
        <f>AT9+AL10-AS10</f>
        <v>2526.6199999999994</v>
      </c>
      <c r="AU10" s="82"/>
      <c r="AV10" s="42"/>
      <c r="AW10" s="46"/>
      <c r="AX10" s="40"/>
      <c r="AY10" s="40"/>
      <c r="AZ10" s="40"/>
      <c r="BA10" s="40"/>
    </row>
    <row r="11" spans="1:53" s="21" customFormat="1" ht="13.5" thickBot="1">
      <c r="A11" s="125"/>
      <c r="B11" s="47" t="s">
        <v>56</v>
      </c>
      <c r="C11" s="48"/>
      <c r="D11" s="49">
        <f t="shared" ref="D11" si="23">SUM(D8:D10)</f>
        <v>50805</v>
      </c>
      <c r="E11" s="49"/>
      <c r="F11" s="49">
        <f t="shared" ref="F11" si="24">SUM(F8:F10)</f>
        <v>46009</v>
      </c>
      <c r="G11" s="50"/>
      <c r="H11" s="50"/>
      <c r="I11" s="49">
        <f t="shared" ref="I11:K11" si="25">SUM(I8:I10)</f>
        <v>46084</v>
      </c>
      <c r="J11" s="50"/>
      <c r="K11" s="49">
        <f t="shared" si="25"/>
        <v>48688</v>
      </c>
      <c r="L11" s="20">
        <f t="shared" ref="L11" si="26">IF(K11&gt;0,(K8*L8+K9*L9+K10*L10)/K11,0)</f>
        <v>4.7678750410778833E-2</v>
      </c>
      <c r="M11" s="50">
        <f t="shared" ref="M11" si="27">M8+M9+M10</f>
        <v>46367</v>
      </c>
      <c r="N11" s="51">
        <f t="shared" ref="N11" si="28">IF(M11&gt;0,O11/M11,0)</f>
        <v>0.55527677011667786</v>
      </c>
      <c r="O11" s="52">
        <f t="shared" ref="O11" si="29">O8+O9+O10</f>
        <v>25746.518</v>
      </c>
      <c r="P11" s="20">
        <f t="shared" ref="P11" si="30">IF(M11&gt;0,Q11/M11,0)</f>
        <v>0.36137623741022712</v>
      </c>
      <c r="Q11" s="52">
        <f t="shared" ref="Q11" si="31">Q8+Q9+Q10</f>
        <v>16755.932000000001</v>
      </c>
      <c r="R11" s="20">
        <f t="shared" ref="R11" si="32">IF(M11&gt;0,T11/M11,0)</f>
        <v>8.33469924730951E-2</v>
      </c>
      <c r="S11" s="107"/>
      <c r="T11" s="52">
        <f t="shared" ref="T11" si="33">T8+T9+T10</f>
        <v>3864.55</v>
      </c>
      <c r="U11" s="20">
        <f t="shared" ref="U11" si="34">IF(M11&gt;0,V11/M11,0)</f>
        <v>0.2656401104233615</v>
      </c>
      <c r="V11" s="52">
        <f t="shared" ref="V11" si="35">V8+V9+V10</f>
        <v>12316.935000000001</v>
      </c>
      <c r="W11" s="20">
        <f t="shared" ref="W11" si="36">IF(M11&gt;0,X11/M11,0)</f>
        <v>0.48038169387711088</v>
      </c>
      <c r="X11" s="52">
        <f t="shared" ref="X11" si="37">X8+X9+X10</f>
        <v>22273.858</v>
      </c>
      <c r="Y11" s="20">
        <f t="shared" ref="Y11" si="38">IF(M11&gt;0,Z11/M11,0)</f>
        <v>0.42666271270515665</v>
      </c>
      <c r="Z11" s="52">
        <f t="shared" ref="Z11" si="39">Z8+Z9+Z10</f>
        <v>19783.07</v>
      </c>
      <c r="AA11" s="119">
        <f>IF(M11&gt;0,AB11/M11,0)</f>
        <v>2.5465000970517821E-3</v>
      </c>
      <c r="AB11" s="54">
        <f t="shared" ref="AB11" si="40">SUM(AB8:AB10)</f>
        <v>118.07356999999999</v>
      </c>
      <c r="AC11" s="53">
        <f t="shared" ref="AC11" si="41">IF(M11&gt;0,AD11/M11,0)</f>
        <v>2.4266092263894581E-3</v>
      </c>
      <c r="AD11" s="54">
        <f t="shared" ref="AD11" si="42">SUM(AD8:AD10)</f>
        <v>112.51459</v>
      </c>
      <c r="AE11" s="53">
        <f t="shared" ref="AE11" si="43">IF(M11&gt;0,(AE8*M8+AE9*M9+AE10*M10)/M11,0)</f>
        <v>2.5928250436733019E-3</v>
      </c>
      <c r="AF11" s="53">
        <f t="shared" ref="AF11" si="44">IF(K11&gt;0,(K8*AF8+K9*AF9+K10*AF10)/K11,0)</f>
        <v>2.9332710318764378E-4</v>
      </c>
      <c r="AG11" s="50">
        <f t="shared" ref="AG11" si="45">SUM(AG8:AG10)</f>
        <v>13.600159999999999</v>
      </c>
      <c r="AH11" s="51">
        <f t="shared" ref="AH11" si="46">IF(K11&gt;0,(K8*AH8+K9*AH9+K10*AH10)/K11,0)</f>
        <v>0.2083180824843904</v>
      </c>
      <c r="AI11" s="56">
        <f t="shared" ref="AI11" si="47">SUM(AI8:AI10)</f>
        <v>103.2790574</v>
      </c>
      <c r="AJ11" s="51">
        <f t="shared" ref="AJ11" si="48">IF(AND(AD11&gt;0),((AD8*AJ8+AD9*AJ9+AD10*AJ10)/AD11),0)</f>
        <v>0.88036551452555911</v>
      </c>
      <c r="AK11" s="55">
        <f t="shared" si="6"/>
        <v>0.88808139406247855</v>
      </c>
      <c r="AL11" s="49">
        <f t="shared" ref="AL11" si="49">SUM(AL8:AL10)</f>
        <v>541</v>
      </c>
      <c r="AM11" s="20">
        <f t="shared" ref="AM11" si="50">IF(AL11&gt;0,(AM8*AL8+AM9*AL9+AM10*AL10)/AL11,0)</f>
        <v>8.2635859519408508E-2</v>
      </c>
      <c r="AN11" s="51">
        <f>IF(K11&gt;0,(AN8*K8+AN9*K9+AN10*K10)/K11,0)</f>
        <v>0.21498496754847188</v>
      </c>
      <c r="AO11" s="107">
        <f>IF(K11&gt;0,(AO8*K8+AO9*K9+AO10*K10)/K11,0)</f>
        <v>0.22223078171212618</v>
      </c>
      <c r="AP11" s="56">
        <f t="shared" ref="AP11" si="51">SUM(AP8:AP10)</f>
        <v>106.6213588</v>
      </c>
      <c r="AQ11" s="108">
        <f t="shared" ref="AQ11:AQ19" si="52">SUM(AQ8:AQ10)</f>
        <v>110.2267954</v>
      </c>
      <c r="AR11" s="54"/>
      <c r="AS11" s="54">
        <f t="shared" ref="AS11" si="53">SUM(AS8:AS10)</f>
        <v>0</v>
      </c>
      <c r="AT11" s="83"/>
      <c r="AU11" s="84">
        <f>AT10</f>
        <v>2526.6199999999994</v>
      </c>
      <c r="AV11" s="49">
        <f t="shared" ref="AV11" si="54">SUM(AV8:AV10)</f>
        <v>0</v>
      </c>
      <c r="AW11" s="57"/>
      <c r="AX11" s="56"/>
      <c r="AY11" s="56"/>
      <c r="AZ11" s="56"/>
      <c r="BA11" s="56"/>
    </row>
    <row r="12" spans="1:53" ht="13.5" thickBot="1">
      <c r="A12" s="123">
        <v>3</v>
      </c>
      <c r="B12" s="22">
        <v>1</v>
      </c>
      <c r="C12" s="10" t="s">
        <v>57</v>
      </c>
      <c r="D12" s="11">
        <v>11759</v>
      </c>
      <c r="E12" s="11">
        <v>2</v>
      </c>
      <c r="F12" s="11">
        <v>13799</v>
      </c>
      <c r="G12" s="12">
        <v>0.5</v>
      </c>
      <c r="H12" s="12">
        <v>5.8</v>
      </c>
      <c r="I12" s="11">
        <v>13119</v>
      </c>
      <c r="J12" s="12">
        <v>4.9000000000000004</v>
      </c>
      <c r="K12" s="11">
        <v>16298</v>
      </c>
      <c r="L12" s="13">
        <v>4.3999999999999997E-2</v>
      </c>
      <c r="M12" s="23">
        <f>ROUND(K12*(1-L12),0)</f>
        <v>15581</v>
      </c>
      <c r="N12" s="14">
        <v>0.64</v>
      </c>
      <c r="O12" s="24">
        <f t="shared" ref="O12:O14" si="55">M12*N12</f>
        <v>9971.84</v>
      </c>
      <c r="P12" s="13">
        <v>0.317</v>
      </c>
      <c r="Q12" s="24">
        <f t="shared" ref="Q12:Q14" si="56">M12*P12</f>
        <v>4939.1769999999997</v>
      </c>
      <c r="R12" s="15">
        <v>4.2999999999999997E-2</v>
      </c>
      <c r="S12" s="112"/>
      <c r="T12" s="24">
        <f t="shared" ref="T12:T14" si="57">M12*R12</f>
        <v>669.98299999999995</v>
      </c>
      <c r="U12" s="25">
        <v>0.28399999999999997</v>
      </c>
      <c r="V12" s="24">
        <f t="shared" ref="V12:V14" si="58">M12*U12</f>
        <v>4425.0039999999999</v>
      </c>
      <c r="W12" s="15">
        <v>0.45900000000000002</v>
      </c>
      <c r="X12" s="24">
        <f t="shared" ref="X12:X14" si="59">M12*W12</f>
        <v>7151.6790000000001</v>
      </c>
      <c r="Y12" s="15">
        <v>0.43</v>
      </c>
      <c r="Z12" s="24">
        <f t="shared" ref="Z12:Z14" si="60">Y12*M12</f>
        <v>6699.83</v>
      </c>
      <c r="AA12" s="116">
        <v>2.65E-3</v>
      </c>
      <c r="AB12" s="18">
        <f t="shared" ref="AB12:AB18" si="61">M12*AA12</f>
        <v>41.289650000000002</v>
      </c>
      <c r="AC12" s="16">
        <v>2.4399999999999999E-3</v>
      </c>
      <c r="AD12" s="17">
        <f t="shared" ref="AD12:AD14" si="62">M12*AC12</f>
        <v>38.01764</v>
      </c>
      <c r="AE12" s="26">
        <f>IF(M12&gt;0,(AG12+AP12)/M12,0)</f>
        <v>2.6140800975547143E-3</v>
      </c>
      <c r="AF12" s="16">
        <v>3.1E-4</v>
      </c>
      <c r="AG12" s="23">
        <f t="shared" ref="AG12:AG14" si="63">AF12*M12</f>
        <v>4.8301100000000003</v>
      </c>
      <c r="AH12" s="92">
        <v>0.20799999999999999</v>
      </c>
      <c r="AI12" s="29">
        <f t="shared" ref="AI12:AI14" si="64">AL12*(1-AM12)*AH12</f>
        <v>35.057152000000002</v>
      </c>
      <c r="AJ12" s="27">
        <f t="shared" ref="AJ12:AJ14" si="65">IF(AND(AH12&gt;0,AF12&gt;0,AC12&gt;0),((AC12-AF12)*AH12)/((AH12-AF12)*AC12),0)</f>
        <v>0.87425379407676485</v>
      </c>
      <c r="AK12" s="58">
        <f t="shared" si="6"/>
        <v>0.88269611298760853</v>
      </c>
      <c r="AL12" s="11">
        <v>184</v>
      </c>
      <c r="AM12" s="13">
        <v>8.4000000000000005E-2</v>
      </c>
      <c r="AN12" s="14">
        <v>0.21299999999999999</v>
      </c>
      <c r="AO12" s="101">
        <v>0.22450000000000001</v>
      </c>
      <c r="AP12" s="29">
        <f>AL12*(1-AM12)*AN12</f>
        <v>35.899872000000002</v>
      </c>
      <c r="AQ12" s="102">
        <f t="shared" ref="AQ12" si="66">AL12*(1-AM12)*AO12</f>
        <v>37.838128000000005</v>
      </c>
      <c r="AR12" s="18">
        <v>1.55</v>
      </c>
      <c r="AS12" s="18"/>
      <c r="AT12" s="79">
        <f>AT10+AL12-AS12</f>
        <v>2710.6199999999994</v>
      </c>
      <c r="AU12" s="80"/>
      <c r="AV12" s="11"/>
      <c r="AW12" s="30"/>
      <c r="AX12" s="19"/>
      <c r="AY12" s="19"/>
      <c r="AZ12" s="19"/>
      <c r="BA12" s="19"/>
    </row>
    <row r="13" spans="1:53">
      <c r="A13" s="124"/>
      <c r="B13" s="32">
        <v>2</v>
      </c>
      <c r="C13" s="10" t="s">
        <v>58</v>
      </c>
      <c r="D13" s="33">
        <v>18500</v>
      </c>
      <c r="E13" s="33">
        <v>5</v>
      </c>
      <c r="F13" s="33">
        <v>16383</v>
      </c>
      <c r="G13" s="34">
        <v>0.9</v>
      </c>
      <c r="H13" s="34">
        <v>6.2</v>
      </c>
      <c r="I13" s="33">
        <v>16756</v>
      </c>
      <c r="J13" s="34">
        <v>3.7</v>
      </c>
      <c r="K13" s="33">
        <v>15982</v>
      </c>
      <c r="L13" s="35">
        <v>0.05</v>
      </c>
      <c r="M13" s="36">
        <f>ROUND(K13*(1-L13),0)</f>
        <v>15183</v>
      </c>
      <c r="N13" s="37">
        <v>0.66300000000000003</v>
      </c>
      <c r="O13" s="24">
        <f t="shared" si="55"/>
        <v>10066.329</v>
      </c>
      <c r="P13" s="35">
        <v>0.17199999999999999</v>
      </c>
      <c r="Q13" s="24">
        <f t="shared" si="56"/>
        <v>2611.4759999999997</v>
      </c>
      <c r="R13" s="38">
        <v>0.16500000000000001</v>
      </c>
      <c r="S13" s="105"/>
      <c r="T13" s="24">
        <f t="shared" si="57"/>
        <v>2505.1950000000002</v>
      </c>
      <c r="U13" s="27">
        <v>0.26200000000000001</v>
      </c>
      <c r="V13" s="24">
        <f t="shared" si="58"/>
        <v>3977.9460000000004</v>
      </c>
      <c r="W13" s="38">
        <v>0.48299999999999998</v>
      </c>
      <c r="X13" s="24">
        <f t="shared" si="59"/>
        <v>7333.3890000000001</v>
      </c>
      <c r="Y13" s="38">
        <v>0.45</v>
      </c>
      <c r="Z13" s="24">
        <f t="shared" si="60"/>
        <v>6832.35</v>
      </c>
      <c r="AA13" s="117">
        <v>2.64E-3</v>
      </c>
      <c r="AB13" s="18">
        <f t="shared" si="61"/>
        <v>40.083120000000001</v>
      </c>
      <c r="AC13" s="39">
        <v>2.4099999999999998E-3</v>
      </c>
      <c r="AD13" s="17">
        <f t="shared" si="62"/>
        <v>36.591029999999996</v>
      </c>
      <c r="AE13" s="26">
        <f>IF(M13&gt;0,(AG13+AP13)/M13,0)</f>
        <v>2.6328500296384115E-3</v>
      </c>
      <c r="AF13" s="39">
        <v>3.1E-4</v>
      </c>
      <c r="AG13" s="36">
        <f t="shared" si="63"/>
        <v>4.7067300000000003</v>
      </c>
      <c r="AH13" s="27">
        <v>0.20349999999999999</v>
      </c>
      <c r="AI13" s="40">
        <f t="shared" si="64"/>
        <v>33.553079999999994</v>
      </c>
      <c r="AJ13" s="27">
        <f t="shared" si="65"/>
        <v>0.87269871279237254</v>
      </c>
      <c r="AK13" s="28">
        <f t="shared" si="6"/>
        <v>0.88353736018508067</v>
      </c>
      <c r="AL13" s="33">
        <v>180</v>
      </c>
      <c r="AM13" s="35">
        <v>8.4000000000000005E-2</v>
      </c>
      <c r="AN13" s="37">
        <v>0.21390000000000001</v>
      </c>
      <c r="AO13" s="103">
        <v>0.2263</v>
      </c>
      <c r="AP13" s="40">
        <f>AL13*(1-AM13)*AN13</f>
        <v>35.267831999999999</v>
      </c>
      <c r="AQ13" s="104">
        <f t="shared" si="21"/>
        <v>37.312343999999996</v>
      </c>
      <c r="AR13" s="41">
        <v>1.5</v>
      </c>
      <c r="AS13" s="41"/>
      <c r="AT13" s="88">
        <f>AT12+AL13-AS13</f>
        <v>2890.6199999999994</v>
      </c>
      <c r="AU13" s="82"/>
      <c r="AV13" s="42"/>
      <c r="AW13" s="43"/>
      <c r="AX13" s="44"/>
      <c r="AY13" s="44"/>
      <c r="AZ13" s="44"/>
      <c r="BA13" s="44"/>
    </row>
    <row r="14" spans="1:53">
      <c r="A14" s="124"/>
      <c r="B14" s="32">
        <v>3</v>
      </c>
      <c r="C14" s="10" t="s">
        <v>55</v>
      </c>
      <c r="D14" s="42">
        <v>19616</v>
      </c>
      <c r="E14" s="42">
        <v>2</v>
      </c>
      <c r="F14" s="42">
        <v>19304</v>
      </c>
      <c r="G14" s="36">
        <v>0.6</v>
      </c>
      <c r="H14" s="36">
        <v>7.1</v>
      </c>
      <c r="I14" s="42">
        <v>18785</v>
      </c>
      <c r="J14" s="36">
        <v>3.2</v>
      </c>
      <c r="K14" s="42">
        <v>15916</v>
      </c>
      <c r="L14" s="38">
        <v>4.9000000000000002E-2</v>
      </c>
      <c r="M14" s="36">
        <f>ROUND(K14*(1-L14),0)</f>
        <v>15136</v>
      </c>
      <c r="N14" s="27">
        <v>0.628</v>
      </c>
      <c r="O14" s="24">
        <f t="shared" si="55"/>
        <v>9505.4079999999994</v>
      </c>
      <c r="P14" s="38">
        <v>0.29299999999999998</v>
      </c>
      <c r="Q14" s="24">
        <f t="shared" si="56"/>
        <v>4434.848</v>
      </c>
      <c r="R14" s="38">
        <v>7.9000000000000001E-2</v>
      </c>
      <c r="S14" s="105"/>
      <c r="T14" s="24">
        <f t="shared" si="57"/>
        <v>1195.7439999999999</v>
      </c>
      <c r="U14" s="27">
        <v>0.27500000000000002</v>
      </c>
      <c r="V14" s="24">
        <f t="shared" si="58"/>
        <v>4162.4000000000005</v>
      </c>
      <c r="W14" s="38">
        <v>0.47099999999999997</v>
      </c>
      <c r="X14" s="24">
        <f t="shared" si="59"/>
        <v>7129.0559999999996</v>
      </c>
      <c r="Y14" s="38">
        <v>0.43</v>
      </c>
      <c r="Z14" s="24">
        <f t="shared" si="60"/>
        <v>6508.48</v>
      </c>
      <c r="AA14" s="118">
        <v>2.47E-3</v>
      </c>
      <c r="AB14" s="121">
        <f t="shared" si="61"/>
        <v>37.385919999999999</v>
      </c>
      <c r="AC14" s="45">
        <v>2.3700000000000001E-3</v>
      </c>
      <c r="AD14" s="17">
        <f t="shared" si="62"/>
        <v>35.872320000000002</v>
      </c>
      <c r="AE14" s="26">
        <f>IF(M14&gt;0,(AG14+AP14)/M14,0)</f>
        <v>2.3157769556025371E-3</v>
      </c>
      <c r="AF14" s="45">
        <v>2.9999999999999997E-4</v>
      </c>
      <c r="AG14" s="36">
        <f t="shared" si="63"/>
        <v>4.5407999999999999</v>
      </c>
      <c r="AH14" s="27">
        <v>0.2064</v>
      </c>
      <c r="AI14" s="40">
        <f t="shared" si="64"/>
        <v>30.349056000000004</v>
      </c>
      <c r="AJ14" s="27">
        <f t="shared" si="65"/>
        <v>0.87468907191421141</v>
      </c>
      <c r="AK14" s="28">
        <f t="shared" si="6"/>
        <v>0.87171415480964831</v>
      </c>
      <c r="AL14" s="42">
        <v>160</v>
      </c>
      <c r="AM14" s="38">
        <v>8.1000000000000003E-2</v>
      </c>
      <c r="AN14" s="27">
        <v>0.20749999999999999</v>
      </c>
      <c r="AO14" s="105">
        <v>0.21460000000000001</v>
      </c>
      <c r="AP14" s="40">
        <f>AL14*(1-AM14)*AN14</f>
        <v>30.510800000000003</v>
      </c>
      <c r="AQ14" s="106">
        <f t="shared" si="21"/>
        <v>31.554784000000005</v>
      </c>
      <c r="AR14" s="17">
        <v>1.5</v>
      </c>
      <c r="AS14" s="17"/>
      <c r="AT14" s="88">
        <f>AT13+AL14-AS14</f>
        <v>3050.6199999999994</v>
      </c>
      <c r="AU14" s="82"/>
      <c r="AV14" s="42"/>
      <c r="AW14" s="46"/>
      <c r="AX14" s="40"/>
      <c r="AY14" s="40"/>
      <c r="AZ14" s="40"/>
      <c r="BA14" s="40"/>
    </row>
    <row r="15" spans="1:53" s="21" customFormat="1" ht="13.5" thickBot="1">
      <c r="A15" s="125"/>
      <c r="B15" s="47" t="s">
        <v>56</v>
      </c>
      <c r="C15" s="48"/>
      <c r="D15" s="49">
        <f t="shared" ref="D15" si="67">SUM(D12:D14)</f>
        <v>49875</v>
      </c>
      <c r="E15" s="49"/>
      <c r="F15" s="49">
        <f t="shared" ref="F15" si="68">SUM(F12:F14)</f>
        <v>49486</v>
      </c>
      <c r="G15" s="50"/>
      <c r="H15" s="50"/>
      <c r="I15" s="49">
        <f t="shared" ref="I15:K15" si="69">SUM(I12:I14)</f>
        <v>48660</v>
      </c>
      <c r="J15" s="50"/>
      <c r="K15" s="49">
        <f t="shared" si="69"/>
        <v>48196</v>
      </c>
      <c r="L15" s="20">
        <f t="shared" ref="L15" si="70">IF(K15&gt;0,(K12*L12+K13*L13+K14*L14)/K15,0)</f>
        <v>4.7640800066395553E-2</v>
      </c>
      <c r="M15" s="50">
        <f t="shared" ref="M15" si="71">M12+M13+M14</f>
        <v>45900</v>
      </c>
      <c r="N15" s="51">
        <f t="shared" ref="N15" si="72">IF(M15&gt;0,O15/M15,0)</f>
        <v>0.64365091503267979</v>
      </c>
      <c r="O15" s="52">
        <f t="shared" ref="O15" si="73">O12+O13+O14</f>
        <v>29543.577000000001</v>
      </c>
      <c r="P15" s="20">
        <f t="shared" ref="P15" si="74">IF(M15&gt;0,Q15/M15,0)</f>
        <v>0.26112202614379088</v>
      </c>
      <c r="Q15" s="52">
        <f t="shared" ref="Q15" si="75">Q12+Q13+Q14</f>
        <v>11985.501</v>
      </c>
      <c r="R15" s="20">
        <f t="shared" ref="R15" si="76">IF(M15&gt;0,T15/M15,0)</f>
        <v>9.5227058823529401E-2</v>
      </c>
      <c r="S15" s="107"/>
      <c r="T15" s="52">
        <f t="shared" ref="T15" si="77">T12+T13+T14</f>
        <v>4370.9219999999996</v>
      </c>
      <c r="U15" s="20">
        <f t="shared" ref="U15" si="78">IF(M15&gt;0,V15/M15,0)</f>
        <v>0.27375490196078434</v>
      </c>
      <c r="V15" s="52">
        <f t="shared" ref="V15" si="79">V12+V13+V14</f>
        <v>12565.350000000002</v>
      </c>
      <c r="W15" s="20">
        <f t="shared" ref="W15" si="80">IF(M15&gt;0,X15/M15,0)</f>
        <v>0.47089594771241827</v>
      </c>
      <c r="X15" s="52">
        <f t="shared" ref="X15" si="81">X12+X13+X14</f>
        <v>21614.124</v>
      </c>
      <c r="Y15" s="20">
        <f t="shared" ref="Y15" si="82">IF(M15&gt;0,Z15/M15,0)</f>
        <v>0.43661568627450981</v>
      </c>
      <c r="Z15" s="52">
        <f t="shared" ref="Z15" si="83">Z12+Z13+Z14</f>
        <v>20040.66</v>
      </c>
      <c r="AA15" s="119">
        <f>IF(M15&gt;0,AB15/M15,0)</f>
        <v>2.587335294117647E-3</v>
      </c>
      <c r="AB15" s="54">
        <f t="shared" ref="AB15" si="84">SUM(AB12:AB14)</f>
        <v>118.75869</v>
      </c>
      <c r="AC15" s="53">
        <f t="shared" ref="AC15" si="85">IF(M15&gt;0,AD15/M15,0)</f>
        <v>2.4069932461873635E-3</v>
      </c>
      <c r="AD15" s="54">
        <f t="shared" ref="AD15" si="86">SUM(AD12:AD14)</f>
        <v>110.48098999999999</v>
      </c>
      <c r="AE15" s="53">
        <f t="shared" ref="AE15" si="87">IF(M15&gt;0,(AE12*M12+AE13*M13+AE14*M14)/M15,0)</f>
        <v>2.5219203485838783E-3</v>
      </c>
      <c r="AF15" s="53">
        <f t="shared" ref="AF15" si="88">IF(K15&gt;0,(K12*AF12+K13*AF13+K14*AF14)/K15,0)</f>
        <v>3.0669765125736578E-4</v>
      </c>
      <c r="AG15" s="50">
        <f t="shared" ref="AG15" si="89">SUM(AG12:AG14)</f>
        <v>14.077640000000002</v>
      </c>
      <c r="AH15" s="51">
        <f t="shared" ref="AH15" si="90">IF(K15&gt;0,(K12*AH12+K13*AH13+K14*AH14)/K15,0)</f>
        <v>0.20597940492986969</v>
      </c>
      <c r="AI15" s="56">
        <f t="shared" ref="AI15" si="91">SUM(AI12:AI14)</f>
        <v>98.959288000000001</v>
      </c>
      <c r="AJ15" s="51">
        <f t="shared" ref="AJ15" si="92">IF(AND(AD15&gt;0),((AD12*AJ12+AD13*AJ13+AD14*AJ14)/AD15),0)</f>
        <v>0.87388008634608783</v>
      </c>
      <c r="AK15" s="55">
        <f t="shared" si="6"/>
        <v>0.87966297015593853</v>
      </c>
      <c r="AL15" s="49">
        <f t="shared" ref="AL15" si="93">SUM(AL12:AL14)</f>
        <v>524</v>
      </c>
      <c r="AM15" s="20">
        <f t="shared" ref="AM15" si="94">IF(AL15&gt;0,(AM12*AL12+AM13*AL13+AM14*AL14)/AL15,0)</f>
        <v>8.308396946564886E-2</v>
      </c>
      <c r="AN15" s="51">
        <f>IF(K15&gt;0,(AN12*K12+AN13*K13+AN14*K14)/K15,0)</f>
        <v>0.21148215204581292</v>
      </c>
      <c r="AO15" s="107">
        <f>IF(K15&gt;0,(AO12*K12+AO13*K13+AO14*K14)/K15,0)</f>
        <v>0.22182756245331561</v>
      </c>
      <c r="AP15" s="56">
        <f t="shared" ref="AP15" si="95">SUM(AP12:AP14)</f>
        <v>101.678504</v>
      </c>
      <c r="AQ15" s="108">
        <f t="shared" si="52"/>
        <v>106.70525600000002</v>
      </c>
      <c r="AR15" s="54"/>
      <c r="AS15" s="54">
        <f t="shared" ref="AS15" si="96">SUM(AS12:AS14)</f>
        <v>0</v>
      </c>
      <c r="AT15" s="83"/>
      <c r="AU15" s="84">
        <f>AT14</f>
        <v>3050.6199999999994</v>
      </c>
      <c r="AV15" s="49">
        <f t="shared" ref="AV15" si="97">SUM(AV12:AV14)</f>
        <v>0</v>
      </c>
      <c r="AW15" s="57"/>
      <c r="AX15" s="56"/>
      <c r="AY15" s="56"/>
      <c r="AZ15" s="56"/>
      <c r="BA15" s="56"/>
    </row>
    <row r="16" spans="1:53" ht="13.5" thickBot="1">
      <c r="A16" s="123">
        <v>4</v>
      </c>
      <c r="B16" s="22">
        <v>1</v>
      </c>
      <c r="C16" s="10" t="s">
        <v>57</v>
      </c>
      <c r="D16" s="11">
        <v>11570</v>
      </c>
      <c r="E16" s="11">
        <v>4</v>
      </c>
      <c r="F16" s="11">
        <v>19230</v>
      </c>
      <c r="G16" s="12">
        <v>0.5</v>
      </c>
      <c r="H16" s="12">
        <v>4.8</v>
      </c>
      <c r="I16" s="11">
        <v>19611</v>
      </c>
      <c r="J16" s="12">
        <v>1.9</v>
      </c>
      <c r="K16" s="11">
        <v>16403</v>
      </c>
      <c r="L16" s="13">
        <v>5.0999999999999997E-2</v>
      </c>
      <c r="M16" s="23">
        <f>ROUND(K16*(1-L16),0)</f>
        <v>15566</v>
      </c>
      <c r="N16" s="14">
        <v>0.63800000000000001</v>
      </c>
      <c r="O16" s="24">
        <f t="shared" ref="O16:O18" si="98">M16*N16</f>
        <v>9931.1080000000002</v>
      </c>
      <c r="P16" s="13">
        <v>0.30599999999999999</v>
      </c>
      <c r="Q16" s="24">
        <f t="shared" ref="Q16:Q18" si="99">M16*P16</f>
        <v>4763.1959999999999</v>
      </c>
      <c r="R16" s="15">
        <v>5.6000000000000001E-2</v>
      </c>
      <c r="S16" s="112"/>
      <c r="T16" s="24">
        <f t="shared" ref="T16:T18" si="100">M16*R16</f>
        <v>871.69600000000003</v>
      </c>
      <c r="U16" s="25">
        <v>0.27200000000000002</v>
      </c>
      <c r="V16" s="24">
        <f t="shared" ref="V16:V18" si="101">M16*U16</f>
        <v>4233.9520000000002</v>
      </c>
      <c r="W16" s="15">
        <v>0.46</v>
      </c>
      <c r="X16" s="24">
        <f t="shared" ref="X16:X18" si="102">M16*W16</f>
        <v>7160.3600000000006</v>
      </c>
      <c r="Y16" s="15">
        <v>0.44</v>
      </c>
      <c r="Z16" s="24">
        <f t="shared" ref="Z16:Z18" si="103">Y16*M16</f>
        <v>6849.04</v>
      </c>
      <c r="AA16" s="116">
        <v>2.5899999999999999E-3</v>
      </c>
      <c r="AB16" s="18">
        <f t="shared" ref="AB16" si="104">M16*AA16</f>
        <v>40.315939999999998</v>
      </c>
      <c r="AC16" s="16">
        <v>2.5899999999999999E-3</v>
      </c>
      <c r="AD16" s="17">
        <f t="shared" ref="AD16:AD18" si="105">M16*AC16</f>
        <v>40.315939999999998</v>
      </c>
      <c r="AE16" s="26">
        <f>IF(M16&gt;0,(AG16+AP16)/M16,0)</f>
        <v>2.4307580110497239E-3</v>
      </c>
      <c r="AF16" s="16">
        <v>2.9E-4</v>
      </c>
      <c r="AG16" s="23">
        <f t="shared" ref="AG16:AG18" si="106">AF16*M16</f>
        <v>4.5141400000000003</v>
      </c>
      <c r="AH16" s="92">
        <v>0.20860000000000001</v>
      </c>
      <c r="AI16" s="29">
        <f t="shared" ref="AI16:AI18" si="107">AL16*(1-AM16)*AH16</f>
        <v>32.757709599999998</v>
      </c>
      <c r="AJ16" s="27">
        <f t="shared" ref="AJ16:AJ18" si="108">IF(AND(AH16&gt;0,AF16&gt;0,AC16&gt;0),((AC16-AF16)*AH16)/((AH16-AF16)*AC16),0)</f>
        <v>0.88926716549010254</v>
      </c>
      <c r="AK16" s="58">
        <f t="shared" si="6"/>
        <v>0.88190088869897854</v>
      </c>
      <c r="AL16" s="11">
        <v>172</v>
      </c>
      <c r="AM16" s="13">
        <v>8.6999999999999994E-2</v>
      </c>
      <c r="AN16" s="14">
        <v>0.2122</v>
      </c>
      <c r="AO16" s="101">
        <v>0.22450000000000001</v>
      </c>
      <c r="AP16" s="29">
        <f>AL16*(1-AM16)*AN16</f>
        <v>33.323039200000004</v>
      </c>
      <c r="AQ16" s="102">
        <f t="shared" ref="AQ16" si="109">AL16*(1-AM16)*AO16</f>
        <v>35.254581999999999</v>
      </c>
      <c r="AR16" s="18">
        <v>1.5</v>
      </c>
      <c r="AS16" s="18"/>
      <c r="AT16" s="79">
        <f>AT14+AL16-AS16</f>
        <v>3222.6199999999994</v>
      </c>
      <c r="AU16" s="80"/>
      <c r="AV16" s="11"/>
      <c r="AW16" s="30"/>
      <c r="AX16" s="19"/>
      <c r="AY16" s="19"/>
      <c r="AZ16" s="19"/>
      <c r="BA16" s="19"/>
    </row>
    <row r="17" spans="1:53">
      <c r="A17" s="124"/>
      <c r="B17" s="32">
        <v>2</v>
      </c>
      <c r="C17" s="10" t="s">
        <v>59</v>
      </c>
      <c r="D17" s="33">
        <v>18800</v>
      </c>
      <c r="E17" s="33">
        <v>7</v>
      </c>
      <c r="F17" s="33">
        <v>17316</v>
      </c>
      <c r="G17" s="34">
        <v>0.3</v>
      </c>
      <c r="H17" s="34">
        <v>5.4</v>
      </c>
      <c r="I17" s="33">
        <v>16910</v>
      </c>
      <c r="J17" s="34">
        <v>2.2999999999999998</v>
      </c>
      <c r="K17" s="33">
        <v>16423</v>
      </c>
      <c r="L17" s="35">
        <v>4.5999999999999999E-2</v>
      </c>
      <c r="M17" s="36">
        <f>ROUND(K17*(1-L17),0)</f>
        <v>15668</v>
      </c>
      <c r="N17" s="37">
        <v>0.66500000000000004</v>
      </c>
      <c r="O17" s="24">
        <f t="shared" si="98"/>
        <v>10419.220000000001</v>
      </c>
      <c r="P17" s="35">
        <v>0.21299999999999999</v>
      </c>
      <c r="Q17" s="24">
        <f t="shared" si="99"/>
        <v>3337.2840000000001</v>
      </c>
      <c r="R17" s="38">
        <v>0.122</v>
      </c>
      <c r="S17" s="105"/>
      <c r="T17" s="24">
        <f t="shared" si="100"/>
        <v>1911.4959999999999</v>
      </c>
      <c r="U17" s="27">
        <v>0.27</v>
      </c>
      <c r="V17" s="24">
        <f t="shared" si="101"/>
        <v>4230.3600000000006</v>
      </c>
      <c r="W17" s="38">
        <v>0.46100000000000002</v>
      </c>
      <c r="X17" s="24">
        <f t="shared" si="102"/>
        <v>7222.9480000000003</v>
      </c>
      <c r="Y17" s="38">
        <v>0.44</v>
      </c>
      <c r="Z17" s="24">
        <f t="shared" si="103"/>
        <v>6893.92</v>
      </c>
      <c r="AA17" s="117">
        <v>2.5699999999999998E-3</v>
      </c>
      <c r="AB17" s="18">
        <f t="shared" si="61"/>
        <v>40.266759999999998</v>
      </c>
      <c r="AC17" s="39">
        <v>2.5300000000000001E-3</v>
      </c>
      <c r="AD17" s="17">
        <f t="shared" si="105"/>
        <v>39.640039999999999</v>
      </c>
      <c r="AE17" s="26">
        <f>IF(M17&gt;0,(AG17+AP17)/M17,0)</f>
        <v>2.6391452706152666E-3</v>
      </c>
      <c r="AF17" s="39">
        <v>2.9E-4</v>
      </c>
      <c r="AG17" s="36">
        <f t="shared" si="106"/>
        <v>4.5437200000000004</v>
      </c>
      <c r="AH17" s="27">
        <v>0.20519999999999999</v>
      </c>
      <c r="AI17" s="40">
        <f t="shared" si="107"/>
        <v>35.408696400000004</v>
      </c>
      <c r="AJ17" s="27">
        <f t="shared" si="108"/>
        <v>0.88662852658923064</v>
      </c>
      <c r="AK17" s="28">
        <f t="shared" si="6"/>
        <v>0.89132777701024946</v>
      </c>
      <c r="AL17" s="33">
        <v>189</v>
      </c>
      <c r="AM17" s="35">
        <v>8.6999999999999994E-2</v>
      </c>
      <c r="AN17" s="37">
        <v>0.21329999999999999</v>
      </c>
      <c r="AO17" s="103">
        <v>0.2261</v>
      </c>
      <c r="AP17" s="40">
        <f>AL17*(1-AM17)*AN17</f>
        <v>36.806408099999999</v>
      </c>
      <c r="AQ17" s="104">
        <f t="shared" si="21"/>
        <v>39.015137700000004</v>
      </c>
      <c r="AR17" s="41">
        <v>1.6</v>
      </c>
      <c r="AS17" s="41"/>
      <c r="AT17" s="88">
        <f>AT16+AL17-AS17</f>
        <v>3411.6199999999994</v>
      </c>
      <c r="AU17" s="82"/>
      <c r="AV17" s="42"/>
      <c r="AW17" s="43"/>
      <c r="AX17" s="44"/>
      <c r="AY17" s="44"/>
      <c r="AZ17" s="44"/>
      <c r="BA17" s="44"/>
    </row>
    <row r="18" spans="1:53">
      <c r="A18" s="124"/>
      <c r="B18" s="32">
        <v>3</v>
      </c>
      <c r="C18" s="10" t="s">
        <v>53</v>
      </c>
      <c r="D18" s="42">
        <v>19820</v>
      </c>
      <c r="E18" s="42">
        <v>3</v>
      </c>
      <c r="F18" s="42">
        <v>18274</v>
      </c>
      <c r="G18" s="36">
        <v>0.5</v>
      </c>
      <c r="H18" s="36">
        <v>4</v>
      </c>
      <c r="I18" s="42">
        <v>18257</v>
      </c>
      <c r="J18" s="36">
        <v>1.6</v>
      </c>
      <c r="K18" s="42">
        <v>16319</v>
      </c>
      <c r="L18" s="38">
        <v>4.4999999999999998E-2</v>
      </c>
      <c r="M18" s="36">
        <f>ROUND(K18*(1-L18),0)</f>
        <v>15585</v>
      </c>
      <c r="N18" s="27">
        <v>0.627</v>
      </c>
      <c r="O18" s="24">
        <f t="shared" si="98"/>
        <v>9771.7950000000001</v>
      </c>
      <c r="P18" s="38">
        <v>0.28799999999999998</v>
      </c>
      <c r="Q18" s="24">
        <f t="shared" si="99"/>
        <v>4488.4799999999996</v>
      </c>
      <c r="R18" s="38">
        <v>8.5000000000000006E-2</v>
      </c>
      <c r="S18" s="105"/>
      <c r="T18" s="24">
        <f t="shared" si="100"/>
        <v>1324.7250000000001</v>
      </c>
      <c r="U18" s="27">
        <v>0.27</v>
      </c>
      <c r="V18" s="24">
        <f t="shared" si="101"/>
        <v>4207.9500000000007</v>
      </c>
      <c r="W18" s="38">
        <v>0.46700000000000003</v>
      </c>
      <c r="X18" s="24">
        <f t="shared" si="102"/>
        <v>7278.1950000000006</v>
      </c>
      <c r="Y18" s="38">
        <v>0.43</v>
      </c>
      <c r="Z18" s="24">
        <f t="shared" si="103"/>
        <v>6701.55</v>
      </c>
      <c r="AA18" s="118">
        <v>2.5300000000000001E-3</v>
      </c>
      <c r="AB18" s="121">
        <f t="shared" si="61"/>
        <v>39.430050000000001</v>
      </c>
      <c r="AC18" s="45">
        <v>2.5500000000000002E-3</v>
      </c>
      <c r="AD18" s="17">
        <f t="shared" si="105"/>
        <v>39.741750000000003</v>
      </c>
      <c r="AE18" s="26">
        <f>IF(M18&gt;0,(AG18+AP18)/M18,0)</f>
        <v>2.5825644658325313E-3</v>
      </c>
      <c r="AF18" s="45">
        <v>2.9E-4</v>
      </c>
      <c r="AG18" s="36">
        <f t="shared" si="106"/>
        <v>4.5196500000000004</v>
      </c>
      <c r="AH18" s="27">
        <v>0.20799999999999999</v>
      </c>
      <c r="AI18" s="40">
        <f t="shared" si="107"/>
        <v>34.598511999999999</v>
      </c>
      <c r="AJ18" s="27">
        <f t="shared" si="108"/>
        <v>0.88751190621162057</v>
      </c>
      <c r="AK18" s="28">
        <f t="shared" si="6"/>
        <v>0.8889086240122972</v>
      </c>
      <c r="AL18" s="42">
        <v>181</v>
      </c>
      <c r="AM18" s="38">
        <v>8.1000000000000003E-2</v>
      </c>
      <c r="AN18" s="27">
        <v>0.21479999999999999</v>
      </c>
      <c r="AO18" s="105">
        <v>0.2238</v>
      </c>
      <c r="AP18" s="40">
        <f>AL18*(1-AM18)*AN18</f>
        <v>35.7296172</v>
      </c>
      <c r="AQ18" s="106">
        <f t="shared" si="21"/>
        <v>37.226668199999999</v>
      </c>
      <c r="AR18" s="17">
        <v>1.6</v>
      </c>
      <c r="AS18" s="17"/>
      <c r="AT18" s="88">
        <f>AT17+AL18-AS18</f>
        <v>3592.6199999999994</v>
      </c>
      <c r="AU18" s="82"/>
      <c r="AV18" s="42"/>
      <c r="AW18" s="46"/>
      <c r="AX18" s="40"/>
      <c r="AY18" s="40"/>
      <c r="AZ18" s="40"/>
      <c r="BA18" s="40"/>
    </row>
    <row r="19" spans="1:53" s="21" customFormat="1">
      <c r="A19" s="125"/>
      <c r="B19" s="47" t="s">
        <v>56</v>
      </c>
      <c r="C19" s="48"/>
      <c r="D19" s="49">
        <f t="shared" ref="D19" si="110">SUM(D16:D18)</f>
        <v>50190</v>
      </c>
      <c r="E19" s="49"/>
      <c r="F19" s="49">
        <f t="shared" ref="F19" si="111">SUM(F16:F18)</f>
        <v>54820</v>
      </c>
      <c r="G19" s="50"/>
      <c r="H19" s="50"/>
      <c r="I19" s="49">
        <f t="shared" ref="I19:K19" si="112">SUM(I16:I18)</f>
        <v>54778</v>
      </c>
      <c r="J19" s="50"/>
      <c r="K19" s="49">
        <f t="shared" si="112"/>
        <v>49145</v>
      </c>
      <c r="L19" s="20">
        <f t="shared" ref="L19" si="113">IF(K19&gt;0,(K16*L16+K17*L17+K18*L18)/K19,0)</f>
        <v>4.7336778919523856E-2</v>
      </c>
      <c r="M19" s="50">
        <f t="shared" ref="M19" si="114">M16+M17+M18</f>
        <v>46819</v>
      </c>
      <c r="N19" s="51">
        <f t="shared" ref="N19" si="115">IF(M19&gt;0,O19/M19,0)</f>
        <v>0.64337390802879169</v>
      </c>
      <c r="O19" s="52">
        <f t="shared" ref="O19" si="116">O16+O17+O18</f>
        <v>30122.123</v>
      </c>
      <c r="P19" s="20">
        <f t="shared" ref="P19" si="117">IF(M19&gt;0,Q19/M19,0)</f>
        <v>0.26888570879343854</v>
      </c>
      <c r="Q19" s="52">
        <f t="shared" ref="Q19" si="118">Q16+Q17+Q18</f>
        <v>12588.96</v>
      </c>
      <c r="R19" s="20">
        <f t="shared" ref="R19" si="119">IF(M19&gt;0,T19/M19,0)</f>
        <v>8.7740383177769721E-2</v>
      </c>
      <c r="S19" s="107"/>
      <c r="T19" s="52">
        <f t="shared" ref="T19" si="120">T16+T17+T18</f>
        <v>4107.9170000000004</v>
      </c>
      <c r="U19" s="20">
        <f t="shared" ref="U19" si="121">IF(M19&gt;0,V19/M19,0)</f>
        <v>0.27066494371943017</v>
      </c>
      <c r="V19" s="52">
        <f t="shared" ref="V19" si="122">V16+V17+V18</f>
        <v>12672.262000000002</v>
      </c>
      <c r="W19" s="20">
        <f t="shared" ref="W19" si="123">IF(M19&gt;0,X19/M19,0)</f>
        <v>0.46266479420747986</v>
      </c>
      <c r="X19" s="52">
        <f t="shared" ref="X19" si="124">X16+X17+X18</f>
        <v>21661.503000000001</v>
      </c>
      <c r="Y19" s="20">
        <f t="shared" ref="Y19" si="125">IF(M19&gt;0,Z19/M19,0)</f>
        <v>0.43667122322134172</v>
      </c>
      <c r="Z19" s="52">
        <f t="shared" ref="Z19" si="126">Z16+Z17+Z18</f>
        <v>20444.509999999998</v>
      </c>
      <c r="AA19" s="119">
        <f>IF(M19&gt;0,AC19/M19,0)</f>
        <v>5.4606161283671613E-8</v>
      </c>
      <c r="AB19" s="54">
        <f t="shared" ref="AB19" si="127">SUM(AB16:AB18)</f>
        <v>120.01274999999998</v>
      </c>
      <c r="AC19" s="53">
        <f t="shared" ref="AC19" si="128">IF(M19&gt;0,AD19/M19,0)</f>
        <v>2.5566058651402212E-3</v>
      </c>
      <c r="AD19" s="54">
        <f t="shared" ref="AD19" si="129">SUM(AD16:AD18)</f>
        <v>119.69773000000001</v>
      </c>
      <c r="AE19" s="53">
        <f t="shared" ref="AE19" si="130">IF(M19&gt;0,(AE16*M16+AE17*M17+AE18*M18)/M19,0)</f>
        <v>2.5510278839787266E-3</v>
      </c>
      <c r="AF19" s="53">
        <f t="shared" ref="AF19" si="131">IF(K19&gt;0,(K16*AF16+K17*AF17+K18*AF18)/K19,0)</f>
        <v>2.9E-4</v>
      </c>
      <c r="AG19" s="50">
        <f t="shared" ref="AG19" si="132">SUM(AG16:AG18)</f>
        <v>13.577510000000002</v>
      </c>
      <c r="AH19" s="51">
        <f t="shared" ref="AH19" si="133">IF(K19&gt;0,(K16*AH16+K17*AH17+K18*AH18)/K19,0)</f>
        <v>0.20726457218435243</v>
      </c>
      <c r="AI19" s="56">
        <f t="shared" ref="AI19" si="134">SUM(AI16:AI18)</f>
        <v>102.76491799999999</v>
      </c>
      <c r="AJ19" s="51">
        <f t="shared" ref="AJ19" si="135">IF(AND(AD19&gt;0),((AD16*AJ16+AD17*AJ17+AD18*AJ18)/AD19),0)</f>
        <v>0.88781055618759752</v>
      </c>
      <c r="AK19" s="55">
        <f t="shared" si="6"/>
        <v>0.88752626238543531</v>
      </c>
      <c r="AL19" s="49">
        <f t="shared" ref="AL19" si="136">SUM(AL16:AL18)</f>
        <v>542</v>
      </c>
      <c r="AM19" s="20">
        <f t="shared" ref="AM19" si="137">IF(AL19&gt;0,(AM16*AL16+AM17*AL17+AM18*AL18)/AL19,0)</f>
        <v>8.4996309963099634E-2</v>
      </c>
      <c r="AN19" s="51">
        <f>IF(K19&gt;0,(AN16*K16+AN17*K17+AN18*K18)/K19,0)</f>
        <v>0.21343094312747993</v>
      </c>
      <c r="AO19" s="107">
        <f>IF(K19&gt;0,(AO16*K16+AO17*K17+AO18*K18)/K19,0)</f>
        <v>0.22480223827449383</v>
      </c>
      <c r="AP19" s="56">
        <f t="shared" ref="AP19" si="138">SUM(AP16:AP18)</f>
        <v>105.85906450000002</v>
      </c>
      <c r="AQ19" s="108">
        <f t="shared" si="52"/>
        <v>111.4963879</v>
      </c>
      <c r="AR19" s="54"/>
      <c r="AS19" s="54">
        <f t="shared" ref="AS19" si="139">SUM(AS16:AS18)</f>
        <v>0</v>
      </c>
      <c r="AT19" s="83"/>
      <c r="AU19" s="84">
        <f>AT18</f>
        <v>3592.6199999999994</v>
      </c>
      <c r="AV19" s="49">
        <f t="shared" ref="AV19" si="140">SUM(AV16:AV18)</f>
        <v>0</v>
      </c>
      <c r="AW19" s="57"/>
      <c r="AX19" s="56"/>
      <c r="AY19" s="56"/>
      <c r="AZ19" s="56"/>
      <c r="BA19" s="56"/>
    </row>
  </sheetData>
  <protectedRanges>
    <protectedRange sqref="Q1:Q3 V1:V3 X1:X3 Z1:Z3 O1:O3 T1:T3 AG1:AG3 AD1:AE3 AD20:AE1048576 O20:O1048576 Q20:Q1048576 T20:T1048576 V20:V1048576 X20:X1048576 Z20:Z1048576 AG20:AG1048576 AP1:AQ1048576 M1:M1048576 AK1:AK1048576" name="Range1_1_1_1_1_1_1_1_1"/>
    <protectedRange sqref="AH3:AJ3 AH7:AJ7 AI1:AJ2 AH4:AI6 AH16:AI18 AH8:AI10 AH11:AJ11 AH15:AJ15 AH19:AJ1048576 AH12:AI14" name="Range1_1_1_1_1_1_1"/>
    <protectedRange sqref="AJ4:AJ6 AJ8:AJ10 AJ12:AJ14 AJ16:AJ18" name="Range1_1_1_1"/>
    <protectedRange sqref="AD7:AE7 AD4:AD6 AD11:AE11 AD8:AD10 AD15:AE15 AD12:AD14 AD19:AE19 AD16:AD18" name="Range1_1_1_1_1_2_2_1"/>
    <protectedRange sqref="O4:O19" name="Range1_1_1_1_1_5_1_1"/>
    <protectedRange sqref="Q4:Q19" name="Range1_1_1_1_1_7_1_1"/>
    <protectedRange sqref="T4:T19" name="Range1_1_1_1_1_8_1_1"/>
    <protectedRange sqref="V4:V19" name="Range1_1_1_1_1_10_1_1"/>
    <protectedRange sqref="X4:X19" name="Range1_1_1_1_1_12_1_1"/>
    <protectedRange sqref="Z4:Z19" name="Range1_1_1_1_1_16_1_1"/>
    <protectedRange sqref="AG4:AG19" name="Range1_1_1_1_1_18_1_1"/>
    <protectedRange sqref="AE4:AE6" name="Range1_1_1_1_1_2_1_31_1_1"/>
    <protectedRange sqref="AE8:AE10" name="Range1_1_1_1_1_2_1_1_2_1_1"/>
    <protectedRange sqref="AE12:AE14" name="Range1_1_1_1_1_2_1_2_1_1_1"/>
    <protectedRange sqref="AE16:AE18" name="Range1_1_1_1_1_2_1_3_1_1_1"/>
    <protectedRange sqref="AA3 AA20:AA1048576" name="Range1_1_1_1_1_1_1_1_1_1_1"/>
    <protectedRange sqref="AB3 AB20:AB1048576" name="Range1_1_1_1_1_1_1_1_1_1_1_1"/>
    <protectedRange sqref="AB4:AB19" name="Range1_1_1_1_1_2_2_1_1_1"/>
    <protectedRange sqref="AB1" name="Range1_1_1_1_1_1_1_1_1_1_1_1_1"/>
  </protectedRanges>
  <mergeCells count="9">
    <mergeCell ref="AZ1:BA1"/>
    <mergeCell ref="C1:C2"/>
    <mergeCell ref="A8:A11"/>
    <mergeCell ref="A12:A15"/>
    <mergeCell ref="AX1:AY1"/>
    <mergeCell ref="A4:A7"/>
    <mergeCell ref="A16:A19"/>
    <mergeCell ref="A1:A2"/>
    <mergeCell ref="B1:B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2026-01-05T17:39:56Z</dcterms:modified>
  <cp:category/>
  <cp:contentStatus/>
</cp:coreProperties>
</file>