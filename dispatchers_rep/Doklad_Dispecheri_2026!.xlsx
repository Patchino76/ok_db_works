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3"/>
  <workbookPr filterPrivacy="1" defaultThemeVersion="124226"/>
  <xr:revisionPtr revIDLastSave="0" documentId="8_{22ACA00C-667B-45C2-BEB0-307B9AF460C0}" xr6:coauthVersionLast="47" xr6:coauthVersionMax="47" xr10:uidLastSave="{00000000-0000-0000-0000-000000000000}"/>
  <bookViews>
    <workbookView xWindow="-120" yWindow="-120" windowWidth="29040" windowHeight="15720" tabRatio="576" firstSheet="6" activeTab="8" xr2:uid="{00000000-000D-0000-FFFF-FFFF00000000}"/>
  </bookViews>
  <sheets>
    <sheet name="Януари " sheetId="1" r:id="rId1"/>
    <sheet name="Февруари" sheetId="2" r:id="rId2"/>
    <sheet name="Март" sheetId="3" r:id="rId3"/>
    <sheet name="Април" sheetId="4" r:id="rId4"/>
    <sheet name="Май" sheetId="5" r:id="rId5"/>
    <sheet name="Юни" sheetId="6" r:id="rId6"/>
    <sheet name="Юли" sheetId="7" r:id="rId7"/>
    <sheet name="Август" sheetId="8" r:id="rId8"/>
    <sheet name="Септември" sheetId="9" r:id="rId9"/>
    <sheet name="Октомври" sheetId="10" r:id="rId10"/>
  </sheets>
  <externalReferences>
    <externalReference r:id="rId11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91" i="10" l="1"/>
  <c r="AS91" i="10"/>
  <c r="AL91" i="10"/>
  <c r="AM91" i="10" s="1"/>
  <c r="K91" i="10"/>
  <c r="I91" i="10"/>
  <c r="F91" i="10"/>
  <c r="D91" i="10"/>
  <c r="AQ90" i="10"/>
  <c r="AP90" i="10"/>
  <c r="AJ90" i="10"/>
  <c r="AI90" i="10"/>
  <c r="M90" i="10"/>
  <c r="AQ89" i="10"/>
  <c r="AP89" i="10"/>
  <c r="AJ89" i="10"/>
  <c r="AI89" i="10"/>
  <c r="M89" i="10"/>
  <c r="AQ88" i="10"/>
  <c r="AQ91" i="10" s="1"/>
  <c r="AP88" i="10"/>
  <c r="AP91" i="10" s="1"/>
  <c r="AJ88" i="10"/>
  <c r="AI88" i="10"/>
  <c r="AI91" i="10" s="1"/>
  <c r="M88" i="10"/>
  <c r="AV87" i="10"/>
  <c r="AS87" i="10"/>
  <c r="AL87" i="10"/>
  <c r="AM87" i="10" s="1"/>
  <c r="K87" i="10"/>
  <c r="I87" i="10"/>
  <c r="F87" i="10"/>
  <c r="D87" i="10"/>
  <c r="AQ86" i="10"/>
  <c r="AP86" i="10"/>
  <c r="AJ86" i="10"/>
  <c r="AI86" i="10"/>
  <c r="M86" i="10"/>
  <c r="AQ85" i="10"/>
  <c r="AP85" i="10"/>
  <c r="AJ85" i="10"/>
  <c r="AI85" i="10"/>
  <c r="M85" i="10"/>
  <c r="AQ84" i="10"/>
  <c r="AQ87" i="10" s="1"/>
  <c r="AP84" i="10"/>
  <c r="AP87" i="10" s="1"/>
  <c r="AJ84" i="10"/>
  <c r="AI84" i="10"/>
  <c r="AI87" i="10" s="1"/>
  <c r="M84" i="10"/>
  <c r="AV83" i="10"/>
  <c r="AS83" i="10"/>
  <c r="AL83" i="10"/>
  <c r="AM83" i="10" s="1"/>
  <c r="K83" i="10"/>
  <c r="I83" i="10"/>
  <c r="F83" i="10"/>
  <c r="D83" i="10"/>
  <c r="AQ82" i="10"/>
  <c r="AP82" i="10"/>
  <c r="AJ82" i="10"/>
  <c r="AI82" i="10"/>
  <c r="M82" i="10"/>
  <c r="AQ81" i="10"/>
  <c r="AP81" i="10"/>
  <c r="AJ81" i="10"/>
  <c r="AI81" i="10"/>
  <c r="M81" i="10"/>
  <c r="AQ80" i="10"/>
  <c r="AQ83" i="10" s="1"/>
  <c r="AP80" i="10"/>
  <c r="AP83" i="10" s="1"/>
  <c r="AJ80" i="10"/>
  <c r="AI80" i="10"/>
  <c r="AI83" i="10" s="1"/>
  <c r="M80" i="10"/>
  <c r="AV79" i="10"/>
  <c r="AS79" i="10"/>
  <c r="AL79" i="10"/>
  <c r="AM79" i="10" s="1"/>
  <c r="K79" i="10"/>
  <c r="I79" i="10"/>
  <c r="F79" i="10"/>
  <c r="D79" i="10"/>
  <c r="AQ78" i="10"/>
  <c r="AP78" i="10"/>
  <c r="AJ78" i="10"/>
  <c r="AI78" i="10"/>
  <c r="M78" i="10"/>
  <c r="AQ77" i="10"/>
  <c r="AP77" i="10"/>
  <c r="AJ77" i="10"/>
  <c r="AI77" i="10"/>
  <c r="M77" i="10"/>
  <c r="AQ76" i="10"/>
  <c r="AQ79" i="10" s="1"/>
  <c r="AP76" i="10"/>
  <c r="AP79" i="10" s="1"/>
  <c r="AJ76" i="10"/>
  <c r="AI76" i="10"/>
  <c r="AI79" i="10" s="1"/>
  <c r="M76" i="10"/>
  <c r="AV75" i="10"/>
  <c r="AS75" i="10"/>
  <c r="AL75" i="10"/>
  <c r="AM75" i="10" s="1"/>
  <c r="K75" i="10"/>
  <c r="I75" i="10"/>
  <c r="F75" i="10"/>
  <c r="D75" i="10"/>
  <c r="AQ74" i="10"/>
  <c r="AP74" i="10"/>
  <c r="AJ74" i="10"/>
  <c r="AI74" i="10"/>
  <c r="M74" i="10"/>
  <c r="AQ73" i="10"/>
  <c r="AP73" i="10"/>
  <c r="AJ73" i="10"/>
  <c r="AI73" i="10"/>
  <c r="M73" i="10"/>
  <c r="AQ72" i="10"/>
  <c r="AQ75" i="10" s="1"/>
  <c r="AP72" i="10"/>
  <c r="AP75" i="10" s="1"/>
  <c r="AJ72" i="10"/>
  <c r="AI72" i="10"/>
  <c r="AI75" i="10" s="1"/>
  <c r="M72" i="10"/>
  <c r="AV71" i="10"/>
  <c r="AS71" i="10"/>
  <c r="AL71" i="10"/>
  <c r="AM71" i="10" s="1"/>
  <c r="K71" i="10"/>
  <c r="I71" i="10"/>
  <c r="F71" i="10"/>
  <c r="D71" i="10"/>
  <c r="AQ70" i="10"/>
  <c r="AP70" i="10"/>
  <c r="AJ70" i="10"/>
  <c r="AI70" i="10"/>
  <c r="M70" i="10"/>
  <c r="AQ69" i="10"/>
  <c r="AP69" i="10"/>
  <c r="AJ69" i="10"/>
  <c r="AI69" i="10"/>
  <c r="M69" i="10"/>
  <c r="AQ68" i="10"/>
  <c r="AQ71" i="10" s="1"/>
  <c r="AP68" i="10"/>
  <c r="AP71" i="10" s="1"/>
  <c r="AJ68" i="10"/>
  <c r="AI68" i="10"/>
  <c r="AI71" i="10" s="1"/>
  <c r="M68" i="10"/>
  <c r="AV67" i="10"/>
  <c r="AS67" i="10"/>
  <c r="AL67" i="10"/>
  <c r="AM67" i="10" s="1"/>
  <c r="K67" i="10"/>
  <c r="I67" i="10"/>
  <c r="F67" i="10"/>
  <c r="D67" i="10"/>
  <c r="AQ66" i="10"/>
  <c r="AP66" i="10"/>
  <c r="AJ66" i="10"/>
  <c r="AI66" i="10"/>
  <c r="M66" i="10"/>
  <c r="AQ65" i="10"/>
  <c r="AP65" i="10"/>
  <c r="AJ65" i="10"/>
  <c r="AI65" i="10"/>
  <c r="M65" i="10"/>
  <c r="AQ64" i="10"/>
  <c r="AQ67" i="10" s="1"/>
  <c r="AP64" i="10"/>
  <c r="AP67" i="10" s="1"/>
  <c r="AJ64" i="10"/>
  <c r="AI64" i="10"/>
  <c r="AI67" i="10" s="1"/>
  <c r="M64" i="10"/>
  <c r="AV63" i="10"/>
  <c r="AS63" i="10"/>
  <c r="AL63" i="10"/>
  <c r="AM63" i="10" s="1"/>
  <c r="K63" i="10"/>
  <c r="I63" i="10"/>
  <c r="F63" i="10"/>
  <c r="D63" i="10"/>
  <c r="AQ62" i="10"/>
  <c r="AP62" i="10"/>
  <c r="AJ62" i="10"/>
  <c r="AI62" i="10"/>
  <c r="M62" i="10"/>
  <c r="AQ61" i="10"/>
  <c r="AP61" i="10"/>
  <c r="AJ61" i="10"/>
  <c r="AI61" i="10"/>
  <c r="M61" i="10"/>
  <c r="AQ60" i="10"/>
  <c r="AQ63" i="10" s="1"/>
  <c r="AP60" i="10"/>
  <c r="AP63" i="10" s="1"/>
  <c r="AJ60" i="10"/>
  <c r="AI60" i="10"/>
  <c r="AI63" i="10" s="1"/>
  <c r="M60" i="10"/>
  <c r="AV59" i="10"/>
  <c r="AS59" i="10"/>
  <c r="AL59" i="10"/>
  <c r="AM59" i="10" s="1"/>
  <c r="K59" i="10"/>
  <c r="I59" i="10"/>
  <c r="F59" i="10"/>
  <c r="D59" i="10"/>
  <c r="AQ58" i="10"/>
  <c r="AP58" i="10"/>
  <c r="AJ58" i="10"/>
  <c r="AI58" i="10"/>
  <c r="M58" i="10"/>
  <c r="AQ57" i="10"/>
  <c r="AP57" i="10"/>
  <c r="AJ57" i="10"/>
  <c r="AI57" i="10"/>
  <c r="M57" i="10"/>
  <c r="AQ56" i="10"/>
  <c r="AQ59" i="10" s="1"/>
  <c r="AP56" i="10"/>
  <c r="AP59" i="10" s="1"/>
  <c r="AJ56" i="10"/>
  <c r="AI56" i="10"/>
  <c r="AI59" i="10" s="1"/>
  <c r="M56" i="10"/>
  <c r="AV55" i="10"/>
  <c r="AS55" i="10"/>
  <c r="AL55" i="10"/>
  <c r="AM55" i="10" s="1"/>
  <c r="K55" i="10"/>
  <c r="I55" i="10"/>
  <c r="F55" i="10"/>
  <c r="D55" i="10"/>
  <c r="AQ54" i="10"/>
  <c r="AP54" i="10"/>
  <c r="AJ54" i="10"/>
  <c r="AI54" i="10"/>
  <c r="M54" i="10"/>
  <c r="AQ53" i="10"/>
  <c r="AP53" i="10"/>
  <c r="AJ53" i="10"/>
  <c r="AI53" i="10"/>
  <c r="M53" i="10"/>
  <c r="AQ52" i="10"/>
  <c r="AQ55" i="10" s="1"/>
  <c r="AP52" i="10"/>
  <c r="AP55" i="10" s="1"/>
  <c r="AJ52" i="10"/>
  <c r="AI52" i="10"/>
  <c r="AI55" i="10" s="1"/>
  <c r="M52" i="10"/>
  <c r="AV51" i="10"/>
  <c r="AS51" i="10"/>
  <c r="AL51" i="10"/>
  <c r="AM51" i="10" s="1"/>
  <c r="K51" i="10"/>
  <c r="I51" i="10"/>
  <c r="F51" i="10"/>
  <c r="D51" i="10"/>
  <c r="AQ50" i="10"/>
  <c r="AP50" i="10"/>
  <c r="AJ50" i="10"/>
  <c r="AI50" i="10"/>
  <c r="M50" i="10"/>
  <c r="AQ49" i="10"/>
  <c r="AP49" i="10"/>
  <c r="AJ49" i="10"/>
  <c r="AI49" i="10"/>
  <c r="M49" i="10"/>
  <c r="AQ48" i="10"/>
  <c r="AQ51" i="10" s="1"/>
  <c r="AP48" i="10"/>
  <c r="AP51" i="10" s="1"/>
  <c r="AJ48" i="10"/>
  <c r="AI48" i="10"/>
  <c r="AI51" i="10" s="1"/>
  <c r="M48" i="10"/>
  <c r="AV47" i="10"/>
  <c r="AS47" i="10"/>
  <c r="AL47" i="10"/>
  <c r="AM47" i="10" s="1"/>
  <c r="K47" i="10"/>
  <c r="I47" i="10"/>
  <c r="F47" i="10"/>
  <c r="D47" i="10"/>
  <c r="AQ46" i="10"/>
  <c r="AP46" i="10"/>
  <c r="AJ46" i="10"/>
  <c r="AI46" i="10"/>
  <c r="M46" i="10"/>
  <c r="AQ45" i="10"/>
  <c r="AP45" i="10"/>
  <c r="AJ45" i="10"/>
  <c r="AI45" i="10"/>
  <c r="M45" i="10"/>
  <c r="AQ44" i="10"/>
  <c r="AQ47" i="10" s="1"/>
  <c r="AP44" i="10"/>
  <c r="AP47" i="10" s="1"/>
  <c r="AJ44" i="10"/>
  <c r="AI44" i="10"/>
  <c r="AI47" i="10" s="1"/>
  <c r="M44" i="10"/>
  <c r="AV43" i="10"/>
  <c r="AS43" i="10"/>
  <c r="AL43" i="10"/>
  <c r="AM43" i="10" s="1"/>
  <c r="K43" i="10"/>
  <c r="I43" i="10"/>
  <c r="F43" i="10"/>
  <c r="D43" i="10"/>
  <c r="AQ42" i="10"/>
  <c r="AP42" i="10"/>
  <c r="AJ42" i="10"/>
  <c r="AI42" i="10"/>
  <c r="M42" i="10"/>
  <c r="AQ41" i="10"/>
  <c r="AP41" i="10"/>
  <c r="AJ41" i="10"/>
  <c r="AI41" i="10"/>
  <c r="M41" i="10"/>
  <c r="AQ40" i="10"/>
  <c r="AQ43" i="10" s="1"/>
  <c r="AP40" i="10"/>
  <c r="AP43" i="10" s="1"/>
  <c r="AJ40" i="10"/>
  <c r="AI40" i="10"/>
  <c r="AI43" i="10" s="1"/>
  <c r="M40" i="10"/>
  <c r="AV39" i="10"/>
  <c r="AS39" i="10"/>
  <c r="AL39" i="10"/>
  <c r="AM39" i="10" s="1"/>
  <c r="K39" i="10"/>
  <c r="I39" i="10"/>
  <c r="F39" i="10"/>
  <c r="D39" i="10"/>
  <c r="AQ38" i="10"/>
  <c r="AP38" i="10"/>
  <c r="AJ38" i="10"/>
  <c r="AI38" i="10"/>
  <c r="M38" i="10"/>
  <c r="AQ37" i="10"/>
  <c r="AP37" i="10"/>
  <c r="AJ37" i="10"/>
  <c r="AI37" i="10"/>
  <c r="M37" i="10"/>
  <c r="AQ36" i="10"/>
  <c r="AQ39" i="10" s="1"/>
  <c r="AP36" i="10"/>
  <c r="AP39" i="10" s="1"/>
  <c r="AJ36" i="10"/>
  <c r="AI36" i="10"/>
  <c r="AI39" i="10" s="1"/>
  <c r="M36" i="10"/>
  <c r="AV35" i="10"/>
  <c r="AS35" i="10"/>
  <c r="AL35" i="10"/>
  <c r="AM35" i="10" s="1"/>
  <c r="K35" i="10"/>
  <c r="I35" i="10"/>
  <c r="F35" i="10"/>
  <c r="D35" i="10"/>
  <c r="AQ34" i="10"/>
  <c r="AP34" i="10"/>
  <c r="AJ34" i="10"/>
  <c r="AI34" i="10"/>
  <c r="M34" i="10"/>
  <c r="AQ33" i="10"/>
  <c r="AP33" i="10"/>
  <c r="AJ33" i="10"/>
  <c r="AI33" i="10"/>
  <c r="M33" i="10"/>
  <c r="AQ32" i="10"/>
  <c r="AQ35" i="10" s="1"/>
  <c r="AP32" i="10"/>
  <c r="AP35" i="10" s="1"/>
  <c r="AJ32" i="10"/>
  <c r="AI32" i="10"/>
  <c r="AI35" i="10" s="1"/>
  <c r="M32" i="10"/>
  <c r="AV31" i="10"/>
  <c r="AS31" i="10"/>
  <c r="AL31" i="10"/>
  <c r="AM31" i="10" s="1"/>
  <c r="K31" i="10"/>
  <c r="I31" i="10"/>
  <c r="F31" i="10"/>
  <c r="D31" i="10"/>
  <c r="AQ30" i="10"/>
  <c r="AP30" i="10"/>
  <c r="AJ30" i="10"/>
  <c r="AI30" i="10"/>
  <c r="M30" i="10"/>
  <c r="AQ29" i="10"/>
  <c r="AP29" i="10"/>
  <c r="AJ29" i="10"/>
  <c r="AI29" i="10"/>
  <c r="M29" i="10"/>
  <c r="AQ28" i="10"/>
  <c r="AQ31" i="10" s="1"/>
  <c r="AP28" i="10"/>
  <c r="AP31" i="10" s="1"/>
  <c r="AJ28" i="10"/>
  <c r="AI28" i="10"/>
  <c r="AI31" i="10" s="1"/>
  <c r="M28" i="10"/>
  <c r="AV27" i="10"/>
  <c r="AS27" i="10"/>
  <c r="AL27" i="10"/>
  <c r="AM27" i="10" s="1"/>
  <c r="K27" i="10"/>
  <c r="I27" i="10"/>
  <c r="F27" i="10"/>
  <c r="D27" i="10"/>
  <c r="AQ26" i="10"/>
  <c r="AP26" i="10"/>
  <c r="AJ26" i="10"/>
  <c r="AI26" i="10"/>
  <c r="M26" i="10"/>
  <c r="AQ25" i="10"/>
  <c r="AP25" i="10"/>
  <c r="AJ25" i="10"/>
  <c r="AI25" i="10"/>
  <c r="M25" i="10"/>
  <c r="AQ24" i="10"/>
  <c r="AQ27" i="10" s="1"/>
  <c r="AP24" i="10"/>
  <c r="AP27" i="10" s="1"/>
  <c r="AJ24" i="10"/>
  <c r="AI24" i="10"/>
  <c r="AI27" i="10" s="1"/>
  <c r="M24" i="10"/>
  <c r="AV23" i="10"/>
  <c r="AS23" i="10"/>
  <c r="AL23" i="10"/>
  <c r="AM23" i="10" s="1"/>
  <c r="K23" i="10"/>
  <c r="I23" i="10"/>
  <c r="F23" i="10"/>
  <c r="D23" i="10"/>
  <c r="AQ22" i="10"/>
  <c r="AP22" i="10"/>
  <c r="AJ22" i="10"/>
  <c r="AI22" i="10"/>
  <c r="M22" i="10"/>
  <c r="AQ21" i="10"/>
  <c r="AP21" i="10"/>
  <c r="AJ21" i="10"/>
  <c r="AI21" i="10"/>
  <c r="M21" i="10"/>
  <c r="AQ20" i="10"/>
  <c r="AQ23" i="10" s="1"/>
  <c r="AP20" i="10"/>
  <c r="AP23" i="10" s="1"/>
  <c r="AJ20" i="10"/>
  <c r="AI20" i="10"/>
  <c r="AI23" i="10" s="1"/>
  <c r="M20" i="10"/>
  <c r="AV19" i="10"/>
  <c r="AS19" i="10"/>
  <c r="AL19" i="10"/>
  <c r="AM19" i="10" s="1"/>
  <c r="K19" i="10"/>
  <c r="I19" i="10"/>
  <c r="F19" i="10"/>
  <c r="D19" i="10"/>
  <c r="AQ18" i="10"/>
  <c r="AP18" i="10"/>
  <c r="AJ18" i="10"/>
  <c r="AI18" i="10"/>
  <c r="M18" i="10"/>
  <c r="AQ17" i="10"/>
  <c r="AP17" i="10"/>
  <c r="AJ17" i="10"/>
  <c r="AI17" i="10"/>
  <c r="M17" i="10"/>
  <c r="AQ16" i="10"/>
  <c r="AQ19" i="10" s="1"/>
  <c r="AP16" i="10"/>
  <c r="AP19" i="10" s="1"/>
  <c r="AJ16" i="10"/>
  <c r="AI16" i="10"/>
  <c r="AI19" i="10" s="1"/>
  <c r="M16" i="10"/>
  <c r="AV15" i="10"/>
  <c r="AS15" i="10"/>
  <c r="AL15" i="10"/>
  <c r="AM15" i="10" s="1"/>
  <c r="K15" i="10"/>
  <c r="I15" i="10"/>
  <c r="F15" i="10"/>
  <c r="D15" i="10"/>
  <c r="AQ14" i="10"/>
  <c r="AP14" i="10"/>
  <c r="AJ14" i="10"/>
  <c r="AI14" i="10"/>
  <c r="M14" i="10"/>
  <c r="AQ13" i="10"/>
  <c r="AP13" i="10"/>
  <c r="AJ13" i="10"/>
  <c r="AI13" i="10"/>
  <c r="M13" i="10"/>
  <c r="AQ12" i="10"/>
  <c r="AQ15" i="10" s="1"/>
  <c r="AP12" i="10"/>
  <c r="AP15" i="10" s="1"/>
  <c r="AJ12" i="10"/>
  <c r="AI12" i="10"/>
  <c r="AI15" i="10" s="1"/>
  <c r="M12" i="10"/>
  <c r="AV11" i="10"/>
  <c r="AS11" i="10"/>
  <c r="AL11" i="10"/>
  <c r="AM11" i="10" s="1"/>
  <c r="K11" i="10"/>
  <c r="I11" i="10"/>
  <c r="F11" i="10"/>
  <c r="D11" i="10"/>
  <c r="AQ10" i="10"/>
  <c r="AP10" i="10"/>
  <c r="AJ10" i="10"/>
  <c r="AI10" i="10"/>
  <c r="M10" i="10"/>
  <c r="AQ9" i="10"/>
  <c r="AP9" i="10"/>
  <c r="AJ9" i="10"/>
  <c r="AI9" i="10"/>
  <c r="M9" i="10"/>
  <c r="AQ8" i="10"/>
  <c r="AQ11" i="10" s="1"/>
  <c r="AP8" i="10"/>
  <c r="AP11" i="10" s="1"/>
  <c r="AJ8" i="10"/>
  <c r="AI8" i="10"/>
  <c r="AI11" i="10" s="1"/>
  <c r="M8" i="10"/>
  <c r="AV7" i="10"/>
  <c r="AS7" i="10"/>
  <c r="AL7" i="10"/>
  <c r="AM7" i="10" s="1"/>
  <c r="K7" i="10"/>
  <c r="I7" i="10"/>
  <c r="F7" i="10"/>
  <c r="D7" i="10"/>
  <c r="AQ6" i="10"/>
  <c r="AP6" i="10"/>
  <c r="AJ6" i="10"/>
  <c r="AI6" i="10"/>
  <c r="M6" i="10"/>
  <c r="AQ5" i="10"/>
  <c r="AP5" i="10"/>
  <c r="AJ5" i="10"/>
  <c r="AI5" i="10"/>
  <c r="M5" i="10"/>
  <c r="AT4" i="10"/>
  <c r="AT5" i="10" s="1"/>
  <c r="AT6" i="10" s="1"/>
  <c r="AQ4" i="10"/>
  <c r="AQ7" i="10" s="1"/>
  <c r="AP4" i="10"/>
  <c r="AP7" i="10" s="1"/>
  <c r="AJ4" i="10"/>
  <c r="AI4" i="10"/>
  <c r="AI7" i="10" s="1"/>
  <c r="M4" i="10"/>
  <c r="AV123" i="9"/>
  <c r="AS123" i="9"/>
  <c r="AL123" i="9"/>
  <c r="AM123" i="9" s="1"/>
  <c r="K123" i="9"/>
  <c r="I123" i="9"/>
  <c r="F123" i="9"/>
  <c r="D123" i="9"/>
  <c r="AQ122" i="9"/>
  <c r="AP122" i="9"/>
  <c r="AJ122" i="9"/>
  <c r="AI122" i="9"/>
  <c r="M122" i="9"/>
  <c r="AQ121" i="9"/>
  <c r="AP121" i="9"/>
  <c r="AJ121" i="9"/>
  <c r="AI121" i="9"/>
  <c r="M121" i="9"/>
  <c r="AQ120" i="9"/>
  <c r="AQ123" i="9" s="1"/>
  <c r="AP120" i="9"/>
  <c r="AP123" i="9" s="1"/>
  <c r="AJ120" i="9"/>
  <c r="AI120" i="9"/>
  <c r="AI123" i="9" s="1"/>
  <c r="M120" i="9"/>
  <c r="AV119" i="9"/>
  <c r="AS119" i="9"/>
  <c r="AL119" i="9"/>
  <c r="AM119" i="9" s="1"/>
  <c r="K119" i="9"/>
  <c r="I119" i="9"/>
  <c r="F119" i="9"/>
  <c r="D119" i="9"/>
  <c r="AQ118" i="9"/>
  <c r="AP118" i="9"/>
  <c r="AJ118" i="9"/>
  <c r="AI118" i="9"/>
  <c r="M118" i="9"/>
  <c r="AQ117" i="9"/>
  <c r="AP117" i="9"/>
  <c r="AJ117" i="9"/>
  <c r="AI117" i="9"/>
  <c r="M117" i="9"/>
  <c r="AQ116" i="9"/>
  <c r="AQ119" i="9" s="1"/>
  <c r="AP116" i="9"/>
  <c r="AP119" i="9" s="1"/>
  <c r="AJ116" i="9"/>
  <c r="AI116" i="9"/>
  <c r="AI119" i="9" s="1"/>
  <c r="M116" i="9"/>
  <c r="AV115" i="9"/>
  <c r="AS115" i="9"/>
  <c r="AL115" i="9"/>
  <c r="AM115" i="9" s="1"/>
  <c r="K115" i="9"/>
  <c r="I115" i="9"/>
  <c r="F115" i="9"/>
  <c r="D115" i="9"/>
  <c r="AQ114" i="9"/>
  <c r="AP114" i="9"/>
  <c r="AJ114" i="9"/>
  <c r="AI114" i="9"/>
  <c r="M114" i="9"/>
  <c r="AQ113" i="9"/>
  <c r="AP113" i="9"/>
  <c r="AJ113" i="9"/>
  <c r="AI113" i="9"/>
  <c r="M113" i="9"/>
  <c r="AQ112" i="9"/>
  <c r="AQ115" i="9" s="1"/>
  <c r="AP112" i="9"/>
  <c r="AP115" i="9" s="1"/>
  <c r="AJ112" i="9"/>
  <c r="AI112" i="9"/>
  <c r="AI115" i="9" s="1"/>
  <c r="M112" i="9"/>
  <c r="AV111" i="9"/>
  <c r="AS111" i="9"/>
  <c r="AL111" i="9"/>
  <c r="K111" i="9"/>
  <c r="I111" i="9"/>
  <c r="F111" i="9"/>
  <c r="D111" i="9"/>
  <c r="AQ110" i="9"/>
  <c r="AP110" i="9"/>
  <c r="AJ110" i="9"/>
  <c r="AI110" i="9"/>
  <c r="M110" i="9"/>
  <c r="AQ109" i="9"/>
  <c r="AP109" i="9"/>
  <c r="AJ109" i="9"/>
  <c r="AI109" i="9"/>
  <c r="M109" i="9"/>
  <c r="AQ108" i="9"/>
  <c r="AQ111" i="9" s="1"/>
  <c r="AP108" i="9"/>
  <c r="AP111" i="9" s="1"/>
  <c r="AJ108" i="9"/>
  <c r="AI108" i="9"/>
  <c r="AI111" i="9" s="1"/>
  <c r="M108" i="9"/>
  <c r="AV107" i="9"/>
  <c r="AS107" i="9"/>
  <c r="AL107" i="9"/>
  <c r="AM107" i="9" s="1"/>
  <c r="K107" i="9"/>
  <c r="I107" i="9"/>
  <c r="F107" i="9"/>
  <c r="D107" i="9"/>
  <c r="AQ106" i="9"/>
  <c r="AP106" i="9"/>
  <c r="AJ106" i="9"/>
  <c r="AI106" i="9"/>
  <c r="M106" i="9"/>
  <c r="AQ105" i="9"/>
  <c r="AP105" i="9"/>
  <c r="AJ105" i="9"/>
  <c r="AI105" i="9"/>
  <c r="M105" i="9"/>
  <c r="AQ104" i="9"/>
  <c r="AQ107" i="9" s="1"/>
  <c r="AP104" i="9"/>
  <c r="AP107" i="9" s="1"/>
  <c r="AJ104" i="9"/>
  <c r="AI104" i="9"/>
  <c r="AI107" i="9" s="1"/>
  <c r="M104" i="9"/>
  <c r="AV103" i="9"/>
  <c r="AS103" i="9"/>
  <c r="AL103" i="9"/>
  <c r="AM103" i="9" s="1"/>
  <c r="K103" i="9"/>
  <c r="I103" i="9"/>
  <c r="F103" i="9"/>
  <c r="D103" i="9"/>
  <c r="AQ102" i="9"/>
  <c r="AP102" i="9"/>
  <c r="AJ102" i="9"/>
  <c r="AI102" i="9"/>
  <c r="M102" i="9"/>
  <c r="AQ101" i="9"/>
  <c r="AP101" i="9"/>
  <c r="AJ101" i="9"/>
  <c r="AI101" i="9"/>
  <c r="M101" i="9"/>
  <c r="AQ100" i="9"/>
  <c r="AQ103" i="9" s="1"/>
  <c r="AP100" i="9"/>
  <c r="AP103" i="9" s="1"/>
  <c r="AJ100" i="9"/>
  <c r="AI100" i="9"/>
  <c r="AI103" i="9" s="1"/>
  <c r="M100" i="9"/>
  <c r="AV99" i="9"/>
  <c r="AS99" i="9"/>
  <c r="AL99" i="9"/>
  <c r="AM99" i="9" s="1"/>
  <c r="K99" i="9"/>
  <c r="I99" i="9"/>
  <c r="F99" i="9"/>
  <c r="D99" i="9"/>
  <c r="AQ98" i="9"/>
  <c r="AP98" i="9"/>
  <c r="AJ98" i="9"/>
  <c r="AI98" i="9"/>
  <c r="M98" i="9"/>
  <c r="AQ97" i="9"/>
  <c r="AP97" i="9"/>
  <c r="AJ97" i="9"/>
  <c r="AI97" i="9"/>
  <c r="M97" i="9"/>
  <c r="AQ96" i="9"/>
  <c r="AQ99" i="9" s="1"/>
  <c r="AP96" i="9"/>
  <c r="AP99" i="9" s="1"/>
  <c r="AJ96" i="9"/>
  <c r="AI96" i="9"/>
  <c r="AI99" i="9" s="1"/>
  <c r="M96" i="9"/>
  <c r="AV95" i="9"/>
  <c r="AS95" i="9"/>
  <c r="AL95" i="9"/>
  <c r="AM95" i="9" s="1"/>
  <c r="K95" i="9"/>
  <c r="I95" i="9"/>
  <c r="F95" i="9"/>
  <c r="D95" i="9"/>
  <c r="AQ94" i="9"/>
  <c r="AP94" i="9"/>
  <c r="AJ94" i="9"/>
  <c r="AI94" i="9"/>
  <c r="M94" i="9"/>
  <c r="AQ93" i="9"/>
  <c r="AP93" i="9"/>
  <c r="AJ93" i="9"/>
  <c r="AI93" i="9"/>
  <c r="M93" i="9"/>
  <c r="AQ92" i="9"/>
  <c r="AQ95" i="9" s="1"/>
  <c r="AP92" i="9"/>
  <c r="AP95" i="9" s="1"/>
  <c r="AJ92" i="9"/>
  <c r="AI92" i="9"/>
  <c r="AI95" i="9" s="1"/>
  <c r="M92" i="9"/>
  <c r="AV91" i="9"/>
  <c r="AS91" i="9"/>
  <c r="AL91" i="9"/>
  <c r="AM91" i="9" s="1"/>
  <c r="K91" i="9"/>
  <c r="I91" i="9"/>
  <c r="F91" i="9"/>
  <c r="D91" i="9"/>
  <c r="AQ90" i="9"/>
  <c r="AP90" i="9"/>
  <c r="AJ90" i="9"/>
  <c r="AI90" i="9"/>
  <c r="M90" i="9"/>
  <c r="AQ89" i="9"/>
  <c r="AP89" i="9"/>
  <c r="AJ89" i="9"/>
  <c r="AI89" i="9"/>
  <c r="M89" i="9"/>
  <c r="AQ88" i="9"/>
  <c r="AQ91" i="9" s="1"/>
  <c r="AP88" i="9"/>
  <c r="AP91" i="9" s="1"/>
  <c r="AJ88" i="9"/>
  <c r="AI88" i="9"/>
  <c r="AI91" i="9" s="1"/>
  <c r="M88" i="9"/>
  <c r="AV87" i="9"/>
  <c r="AS87" i="9"/>
  <c r="AL87" i="9"/>
  <c r="AM87" i="9" s="1"/>
  <c r="K87" i="9"/>
  <c r="I87" i="9"/>
  <c r="F87" i="9"/>
  <c r="D87" i="9"/>
  <c r="AQ86" i="9"/>
  <c r="AP86" i="9"/>
  <c r="AJ86" i="9"/>
  <c r="AI86" i="9"/>
  <c r="M86" i="9"/>
  <c r="AQ85" i="9"/>
  <c r="AP85" i="9"/>
  <c r="AJ85" i="9"/>
  <c r="AI85" i="9"/>
  <c r="M85" i="9"/>
  <c r="AQ84" i="9"/>
  <c r="AQ87" i="9" s="1"/>
  <c r="AP84" i="9"/>
  <c r="AP87" i="9" s="1"/>
  <c r="AJ84" i="9"/>
  <c r="AI84" i="9"/>
  <c r="AI87" i="9" s="1"/>
  <c r="M84" i="9"/>
  <c r="AV83" i="9"/>
  <c r="AS83" i="9"/>
  <c r="AL83" i="9"/>
  <c r="AM83" i="9" s="1"/>
  <c r="K83" i="9"/>
  <c r="I83" i="9"/>
  <c r="F83" i="9"/>
  <c r="D83" i="9"/>
  <c r="AQ82" i="9"/>
  <c r="AP82" i="9"/>
  <c r="AJ82" i="9"/>
  <c r="AI82" i="9"/>
  <c r="M82" i="9"/>
  <c r="AQ81" i="9"/>
  <c r="AP81" i="9"/>
  <c r="AJ81" i="9"/>
  <c r="AI81" i="9"/>
  <c r="M81" i="9"/>
  <c r="AQ80" i="9"/>
  <c r="AQ83" i="9" s="1"/>
  <c r="AP80" i="9"/>
  <c r="AP83" i="9" s="1"/>
  <c r="AJ80" i="9"/>
  <c r="AI80" i="9"/>
  <c r="AI83" i="9" s="1"/>
  <c r="M80" i="9"/>
  <c r="AV79" i="9"/>
  <c r="AS79" i="9"/>
  <c r="AL79" i="9"/>
  <c r="AM79" i="9" s="1"/>
  <c r="K79" i="9"/>
  <c r="I79" i="9"/>
  <c r="F79" i="9"/>
  <c r="D79" i="9"/>
  <c r="AQ78" i="9"/>
  <c r="AP78" i="9"/>
  <c r="AJ78" i="9"/>
  <c r="AI78" i="9"/>
  <c r="M78" i="9"/>
  <c r="AQ77" i="9"/>
  <c r="AP77" i="9"/>
  <c r="AJ77" i="9"/>
  <c r="AI77" i="9"/>
  <c r="M77" i="9"/>
  <c r="AQ76" i="9"/>
  <c r="AQ79" i="9" s="1"/>
  <c r="AP76" i="9"/>
  <c r="AP79" i="9" s="1"/>
  <c r="AJ76" i="9"/>
  <c r="AI76" i="9"/>
  <c r="AI79" i="9" s="1"/>
  <c r="M76" i="9"/>
  <c r="AV75" i="9"/>
  <c r="AS75" i="9"/>
  <c r="AL75" i="9"/>
  <c r="AM75" i="9" s="1"/>
  <c r="K75" i="9"/>
  <c r="I75" i="9"/>
  <c r="F75" i="9"/>
  <c r="D75" i="9"/>
  <c r="AQ74" i="9"/>
  <c r="AP74" i="9"/>
  <c r="AJ74" i="9"/>
  <c r="AI74" i="9"/>
  <c r="M74" i="9"/>
  <c r="AQ73" i="9"/>
  <c r="AP73" i="9"/>
  <c r="AJ73" i="9"/>
  <c r="AI73" i="9"/>
  <c r="M73" i="9"/>
  <c r="AQ72" i="9"/>
  <c r="AQ75" i="9" s="1"/>
  <c r="AP72" i="9"/>
  <c r="AP75" i="9" s="1"/>
  <c r="AJ72" i="9"/>
  <c r="AI72" i="9"/>
  <c r="AI75" i="9" s="1"/>
  <c r="M72" i="9"/>
  <c r="AV71" i="9"/>
  <c r="AS71" i="9"/>
  <c r="AL71" i="9"/>
  <c r="AM71" i="9" s="1"/>
  <c r="K71" i="9"/>
  <c r="I71" i="9"/>
  <c r="F71" i="9"/>
  <c r="D71" i="9"/>
  <c r="AQ70" i="9"/>
  <c r="AP70" i="9"/>
  <c r="AJ70" i="9"/>
  <c r="AI70" i="9"/>
  <c r="M70" i="9"/>
  <c r="AQ69" i="9"/>
  <c r="AP69" i="9"/>
  <c r="AJ69" i="9"/>
  <c r="AI69" i="9"/>
  <c r="M69" i="9"/>
  <c r="AQ68" i="9"/>
  <c r="AQ71" i="9" s="1"/>
  <c r="AP68" i="9"/>
  <c r="AP71" i="9" s="1"/>
  <c r="AJ68" i="9"/>
  <c r="AI68" i="9"/>
  <c r="AI71" i="9" s="1"/>
  <c r="M68" i="9"/>
  <c r="AV67" i="9"/>
  <c r="AS67" i="9"/>
  <c r="AL67" i="9"/>
  <c r="AM67" i="9" s="1"/>
  <c r="K67" i="9"/>
  <c r="I67" i="9"/>
  <c r="F67" i="9"/>
  <c r="D67" i="9"/>
  <c r="AQ66" i="9"/>
  <c r="AP66" i="9"/>
  <c r="AJ66" i="9"/>
  <c r="AI66" i="9"/>
  <c r="M66" i="9"/>
  <c r="AQ65" i="9"/>
  <c r="AP65" i="9"/>
  <c r="AJ65" i="9"/>
  <c r="AI65" i="9"/>
  <c r="M65" i="9"/>
  <c r="AQ64" i="9"/>
  <c r="AQ67" i="9" s="1"/>
  <c r="AP64" i="9"/>
  <c r="AP67" i="9" s="1"/>
  <c r="AJ64" i="9"/>
  <c r="AI64" i="9"/>
  <c r="AI67" i="9" s="1"/>
  <c r="M64" i="9"/>
  <c r="AV63" i="9"/>
  <c r="AS63" i="9"/>
  <c r="AL63" i="9"/>
  <c r="AM63" i="9" s="1"/>
  <c r="K63" i="9"/>
  <c r="I63" i="9"/>
  <c r="F63" i="9"/>
  <c r="D63" i="9"/>
  <c r="AQ62" i="9"/>
  <c r="AP62" i="9"/>
  <c r="AJ62" i="9"/>
  <c r="AI62" i="9"/>
  <c r="M62" i="9"/>
  <c r="AQ61" i="9"/>
  <c r="AP61" i="9"/>
  <c r="AJ61" i="9"/>
  <c r="AI61" i="9"/>
  <c r="M61" i="9"/>
  <c r="AQ60" i="9"/>
  <c r="AQ63" i="9" s="1"/>
  <c r="AP60" i="9"/>
  <c r="AP63" i="9" s="1"/>
  <c r="AJ60" i="9"/>
  <c r="AI60" i="9"/>
  <c r="AI63" i="9" s="1"/>
  <c r="M60" i="9"/>
  <c r="AV59" i="9"/>
  <c r="AS59" i="9"/>
  <c r="AL59" i="9"/>
  <c r="AM59" i="9" s="1"/>
  <c r="K59" i="9"/>
  <c r="I59" i="9"/>
  <c r="F59" i="9"/>
  <c r="D59" i="9"/>
  <c r="AQ58" i="9"/>
  <c r="AP58" i="9"/>
  <c r="AJ58" i="9"/>
  <c r="AI58" i="9"/>
  <c r="M58" i="9"/>
  <c r="AQ57" i="9"/>
  <c r="AP57" i="9"/>
  <c r="AJ57" i="9"/>
  <c r="AI57" i="9"/>
  <c r="M57" i="9"/>
  <c r="AQ56" i="9"/>
  <c r="AQ59" i="9" s="1"/>
  <c r="AP56" i="9"/>
  <c r="AP59" i="9" s="1"/>
  <c r="AJ56" i="9"/>
  <c r="AI56" i="9"/>
  <c r="AI59" i="9" s="1"/>
  <c r="M56" i="9"/>
  <c r="AV55" i="9"/>
  <c r="AS55" i="9"/>
  <c r="AL55" i="9"/>
  <c r="AM55" i="9" s="1"/>
  <c r="K55" i="9"/>
  <c r="I55" i="9"/>
  <c r="F55" i="9"/>
  <c r="D55" i="9"/>
  <c r="AQ54" i="9"/>
  <c r="AP54" i="9"/>
  <c r="AJ54" i="9"/>
  <c r="AI54" i="9"/>
  <c r="M54" i="9"/>
  <c r="AQ53" i="9"/>
  <c r="AP53" i="9"/>
  <c r="AJ53" i="9"/>
  <c r="AI53" i="9"/>
  <c r="M53" i="9"/>
  <c r="AQ52" i="9"/>
  <c r="AQ55" i="9" s="1"/>
  <c r="AP52" i="9"/>
  <c r="AP55" i="9" s="1"/>
  <c r="AJ52" i="9"/>
  <c r="AI52" i="9"/>
  <c r="AI55" i="9" s="1"/>
  <c r="M52" i="9"/>
  <c r="AV51" i="9"/>
  <c r="AS51" i="9"/>
  <c r="AL51" i="9"/>
  <c r="AM51" i="9" s="1"/>
  <c r="K51" i="9"/>
  <c r="I51" i="9"/>
  <c r="F51" i="9"/>
  <c r="D51" i="9"/>
  <c r="AQ50" i="9"/>
  <c r="AP50" i="9"/>
  <c r="AJ50" i="9"/>
  <c r="AI50" i="9"/>
  <c r="M50" i="9"/>
  <c r="AQ49" i="9"/>
  <c r="AP49" i="9"/>
  <c r="AJ49" i="9"/>
  <c r="AI49" i="9"/>
  <c r="M49" i="9"/>
  <c r="AQ48" i="9"/>
  <c r="AQ51" i="9" s="1"/>
  <c r="AP48" i="9"/>
  <c r="AP51" i="9" s="1"/>
  <c r="AJ48" i="9"/>
  <c r="AI48" i="9"/>
  <c r="AI51" i="9" s="1"/>
  <c r="M48" i="9"/>
  <c r="AV47" i="9"/>
  <c r="AS47" i="9"/>
  <c r="AL47" i="9"/>
  <c r="AM47" i="9" s="1"/>
  <c r="K47" i="9"/>
  <c r="I47" i="9"/>
  <c r="F47" i="9"/>
  <c r="D47" i="9"/>
  <c r="AQ46" i="9"/>
  <c r="AP46" i="9"/>
  <c r="AJ46" i="9"/>
  <c r="AI46" i="9"/>
  <c r="M46" i="9"/>
  <c r="AQ45" i="9"/>
  <c r="AP45" i="9"/>
  <c r="AJ45" i="9"/>
  <c r="AI45" i="9"/>
  <c r="M45" i="9"/>
  <c r="AQ44" i="9"/>
  <c r="AQ47" i="9" s="1"/>
  <c r="AP44" i="9"/>
  <c r="AP47" i="9" s="1"/>
  <c r="AJ44" i="9"/>
  <c r="AI44" i="9"/>
  <c r="AI47" i="9" s="1"/>
  <c r="M44" i="9"/>
  <c r="AV43" i="9"/>
  <c r="AS43" i="9"/>
  <c r="AL43" i="9"/>
  <c r="AM43" i="9" s="1"/>
  <c r="K43" i="9"/>
  <c r="I43" i="9"/>
  <c r="F43" i="9"/>
  <c r="D43" i="9"/>
  <c r="AQ42" i="9"/>
  <c r="AP42" i="9"/>
  <c r="AJ42" i="9"/>
  <c r="AI42" i="9"/>
  <c r="M42" i="9"/>
  <c r="AQ41" i="9"/>
  <c r="AP41" i="9"/>
  <c r="AJ41" i="9"/>
  <c r="AI41" i="9"/>
  <c r="M41" i="9"/>
  <c r="AQ40" i="9"/>
  <c r="AQ43" i="9" s="1"/>
  <c r="AP40" i="9"/>
  <c r="AP43" i="9" s="1"/>
  <c r="AJ40" i="9"/>
  <c r="AI40" i="9"/>
  <c r="AI43" i="9" s="1"/>
  <c r="M40" i="9"/>
  <c r="AV39" i="9"/>
  <c r="AS39" i="9"/>
  <c r="AL39" i="9"/>
  <c r="AM39" i="9" s="1"/>
  <c r="K39" i="9"/>
  <c r="I39" i="9"/>
  <c r="F39" i="9"/>
  <c r="D39" i="9"/>
  <c r="AQ38" i="9"/>
  <c r="AP38" i="9"/>
  <c r="AJ38" i="9"/>
  <c r="AI38" i="9"/>
  <c r="M38" i="9"/>
  <c r="AQ37" i="9"/>
  <c r="AP37" i="9"/>
  <c r="AJ37" i="9"/>
  <c r="AI37" i="9"/>
  <c r="M37" i="9"/>
  <c r="AQ36" i="9"/>
  <c r="AQ39" i="9" s="1"/>
  <c r="AP36" i="9"/>
  <c r="AP39" i="9" s="1"/>
  <c r="AJ36" i="9"/>
  <c r="AI36" i="9"/>
  <c r="AI39" i="9" s="1"/>
  <c r="M36" i="9"/>
  <c r="AV35" i="9"/>
  <c r="AS35" i="9"/>
  <c r="AL35" i="9"/>
  <c r="AM35" i="9" s="1"/>
  <c r="K35" i="9"/>
  <c r="I35" i="9"/>
  <c r="F35" i="9"/>
  <c r="D35" i="9"/>
  <c r="AQ34" i="9"/>
  <c r="AP34" i="9"/>
  <c r="AJ34" i="9"/>
  <c r="AI34" i="9"/>
  <c r="M34" i="9"/>
  <c r="AQ33" i="9"/>
  <c r="AP33" i="9"/>
  <c r="AJ33" i="9"/>
  <c r="AI33" i="9"/>
  <c r="M33" i="9"/>
  <c r="AQ32" i="9"/>
  <c r="AQ35" i="9" s="1"/>
  <c r="AP32" i="9"/>
  <c r="AP35" i="9" s="1"/>
  <c r="AJ32" i="9"/>
  <c r="AI32" i="9"/>
  <c r="AI35" i="9" s="1"/>
  <c r="M32" i="9"/>
  <c r="AV31" i="9"/>
  <c r="AS31" i="9"/>
  <c r="AL31" i="9"/>
  <c r="AM31" i="9" s="1"/>
  <c r="K31" i="9"/>
  <c r="I31" i="9"/>
  <c r="F31" i="9"/>
  <c r="D31" i="9"/>
  <c r="AQ30" i="9"/>
  <c r="AP30" i="9"/>
  <c r="AJ30" i="9"/>
  <c r="AI30" i="9"/>
  <c r="M30" i="9"/>
  <c r="AQ29" i="9"/>
  <c r="AP29" i="9"/>
  <c r="AJ29" i="9"/>
  <c r="AI29" i="9"/>
  <c r="M29" i="9"/>
  <c r="AQ28" i="9"/>
  <c r="AQ31" i="9" s="1"/>
  <c r="AP28" i="9"/>
  <c r="AP31" i="9" s="1"/>
  <c r="AJ28" i="9"/>
  <c r="AI28" i="9"/>
  <c r="AI31" i="9" s="1"/>
  <c r="M28" i="9"/>
  <c r="AV27" i="9"/>
  <c r="AS27" i="9"/>
  <c r="AL27" i="9"/>
  <c r="AM27" i="9" s="1"/>
  <c r="K27" i="9"/>
  <c r="I27" i="9"/>
  <c r="F27" i="9"/>
  <c r="D27" i="9"/>
  <c r="AQ26" i="9"/>
  <c r="AP26" i="9"/>
  <c r="AJ26" i="9"/>
  <c r="AI26" i="9"/>
  <c r="M26" i="9"/>
  <c r="AQ25" i="9"/>
  <c r="AP25" i="9"/>
  <c r="AJ25" i="9"/>
  <c r="AI25" i="9"/>
  <c r="M25" i="9"/>
  <c r="AQ24" i="9"/>
  <c r="AQ27" i="9" s="1"/>
  <c r="AP24" i="9"/>
  <c r="AP27" i="9" s="1"/>
  <c r="AJ24" i="9"/>
  <c r="AI24" i="9"/>
  <c r="AI27" i="9" s="1"/>
  <c r="M24" i="9"/>
  <c r="AV23" i="9"/>
  <c r="AS23" i="9"/>
  <c r="AL23" i="9"/>
  <c r="AM23" i="9" s="1"/>
  <c r="K23" i="9"/>
  <c r="I23" i="9"/>
  <c r="F23" i="9"/>
  <c r="D23" i="9"/>
  <c r="AQ22" i="9"/>
  <c r="AP22" i="9"/>
  <c r="AJ22" i="9"/>
  <c r="AI22" i="9"/>
  <c r="M22" i="9"/>
  <c r="AQ21" i="9"/>
  <c r="AP21" i="9"/>
  <c r="AJ21" i="9"/>
  <c r="AI21" i="9"/>
  <c r="M21" i="9"/>
  <c r="AQ20" i="9"/>
  <c r="AQ23" i="9" s="1"/>
  <c r="AP20" i="9"/>
  <c r="AP23" i="9" s="1"/>
  <c r="AJ20" i="9"/>
  <c r="AI20" i="9"/>
  <c r="AI23" i="9" s="1"/>
  <c r="M20" i="9"/>
  <c r="AV19" i="9"/>
  <c r="AS19" i="9"/>
  <c r="AL19" i="9"/>
  <c r="AM19" i="9" s="1"/>
  <c r="K19" i="9"/>
  <c r="I19" i="9"/>
  <c r="F19" i="9"/>
  <c r="D19" i="9"/>
  <c r="AQ18" i="9"/>
  <c r="AP18" i="9"/>
  <c r="AJ18" i="9"/>
  <c r="AI18" i="9"/>
  <c r="M18" i="9"/>
  <c r="AQ17" i="9"/>
  <c r="AP17" i="9"/>
  <c r="AJ17" i="9"/>
  <c r="AI17" i="9"/>
  <c r="M17" i="9"/>
  <c r="AQ16" i="9"/>
  <c r="AQ19" i="9" s="1"/>
  <c r="AP16" i="9"/>
  <c r="AP19" i="9" s="1"/>
  <c r="AJ16" i="9"/>
  <c r="AI16" i="9"/>
  <c r="AI19" i="9" s="1"/>
  <c r="M16" i="9"/>
  <c r="AV15" i="9"/>
  <c r="AS15" i="9"/>
  <c r="AL15" i="9"/>
  <c r="AM15" i="9" s="1"/>
  <c r="K15" i="9"/>
  <c r="I15" i="9"/>
  <c r="F15" i="9"/>
  <c r="D15" i="9"/>
  <c r="AQ14" i="9"/>
  <c r="AP14" i="9"/>
  <c r="AJ14" i="9"/>
  <c r="AI14" i="9"/>
  <c r="M14" i="9"/>
  <c r="AQ13" i="9"/>
  <c r="AP13" i="9"/>
  <c r="AJ13" i="9"/>
  <c r="AI13" i="9"/>
  <c r="M13" i="9"/>
  <c r="AQ12" i="9"/>
  <c r="AQ15" i="9" s="1"/>
  <c r="AP12" i="9"/>
  <c r="AP15" i="9" s="1"/>
  <c r="AJ12" i="9"/>
  <c r="AI12" i="9"/>
  <c r="AI15" i="9" s="1"/>
  <c r="M12" i="9"/>
  <c r="AV11" i="9"/>
  <c r="AS11" i="9"/>
  <c r="AL11" i="9"/>
  <c r="AM11" i="9" s="1"/>
  <c r="K11" i="9"/>
  <c r="I11" i="9"/>
  <c r="F11" i="9"/>
  <c r="D11" i="9"/>
  <c r="AQ10" i="9"/>
  <c r="AP10" i="9"/>
  <c r="AJ10" i="9"/>
  <c r="AI10" i="9"/>
  <c r="M10" i="9"/>
  <c r="AQ9" i="9"/>
  <c r="AP9" i="9"/>
  <c r="AJ9" i="9"/>
  <c r="AI9" i="9"/>
  <c r="M9" i="9"/>
  <c r="AQ8" i="9"/>
  <c r="AQ11" i="9" s="1"/>
  <c r="AP8" i="9"/>
  <c r="AP11" i="9" s="1"/>
  <c r="AJ8" i="9"/>
  <c r="AI8" i="9"/>
  <c r="AI11" i="9" s="1"/>
  <c r="M8" i="9"/>
  <c r="AV7" i="9"/>
  <c r="AS7" i="9"/>
  <c r="AL7" i="9"/>
  <c r="AM7" i="9" s="1"/>
  <c r="K7" i="9"/>
  <c r="I7" i="9"/>
  <c r="F7" i="9"/>
  <c r="D7" i="9"/>
  <c r="AQ6" i="9"/>
  <c r="AP6" i="9"/>
  <c r="AJ6" i="9"/>
  <c r="AI6" i="9"/>
  <c r="M6" i="9"/>
  <c r="AQ5" i="9"/>
  <c r="AP5" i="9"/>
  <c r="AJ5" i="9"/>
  <c r="AI5" i="9"/>
  <c r="M5" i="9"/>
  <c r="AT4" i="9"/>
  <c r="AT5" i="9" s="1"/>
  <c r="AT6" i="9" s="1"/>
  <c r="AQ4" i="9"/>
  <c r="AQ7" i="9" s="1"/>
  <c r="AP4" i="9"/>
  <c r="AP7" i="9" s="1"/>
  <c r="AJ4" i="9"/>
  <c r="AI4" i="9"/>
  <c r="AI7" i="9" s="1"/>
  <c r="M4" i="9"/>
  <c r="AV127" i="8"/>
  <c r="AS127" i="8"/>
  <c r="AL127" i="8"/>
  <c r="AM127" i="8" s="1"/>
  <c r="K127" i="8"/>
  <c r="I127" i="8"/>
  <c r="F127" i="8"/>
  <c r="D127" i="8"/>
  <c r="AQ126" i="8"/>
  <c r="AP126" i="8"/>
  <c r="AJ126" i="8"/>
  <c r="AI126" i="8"/>
  <c r="M126" i="8"/>
  <c r="AQ125" i="8"/>
  <c r="AP125" i="8"/>
  <c r="AJ125" i="8"/>
  <c r="AI125" i="8"/>
  <c r="M125" i="8"/>
  <c r="AQ124" i="8"/>
  <c r="AQ127" i="8" s="1"/>
  <c r="AP124" i="8"/>
  <c r="AP127" i="8" s="1"/>
  <c r="AJ124" i="8"/>
  <c r="AI124" i="8"/>
  <c r="AI127" i="8" s="1"/>
  <c r="M124" i="8"/>
  <c r="AV123" i="8"/>
  <c r="AS123" i="8"/>
  <c r="AL123" i="8"/>
  <c r="AM123" i="8" s="1"/>
  <c r="K123" i="8"/>
  <c r="I123" i="8"/>
  <c r="F123" i="8"/>
  <c r="D123" i="8"/>
  <c r="AQ122" i="8"/>
  <c r="AP122" i="8"/>
  <c r="AJ122" i="8"/>
  <c r="AI122" i="8"/>
  <c r="M122" i="8"/>
  <c r="AQ121" i="8"/>
  <c r="AP121" i="8"/>
  <c r="AJ121" i="8"/>
  <c r="AI121" i="8"/>
  <c r="M121" i="8"/>
  <c r="AQ120" i="8"/>
  <c r="AQ123" i="8" s="1"/>
  <c r="AP120" i="8"/>
  <c r="AP123" i="8" s="1"/>
  <c r="AJ120" i="8"/>
  <c r="AI120" i="8"/>
  <c r="AI123" i="8" s="1"/>
  <c r="M120" i="8"/>
  <c r="AV119" i="8"/>
  <c r="AS119" i="8"/>
  <c r="AL119" i="8"/>
  <c r="AM119" i="8" s="1"/>
  <c r="K119" i="8"/>
  <c r="I119" i="8"/>
  <c r="F119" i="8"/>
  <c r="D119" i="8"/>
  <c r="AQ118" i="8"/>
  <c r="AP118" i="8"/>
  <c r="AJ118" i="8"/>
  <c r="AI118" i="8"/>
  <c r="M118" i="8"/>
  <c r="AQ117" i="8"/>
  <c r="AP117" i="8"/>
  <c r="AJ117" i="8"/>
  <c r="AI117" i="8"/>
  <c r="M117" i="8"/>
  <c r="AQ116" i="8"/>
  <c r="AQ119" i="8" s="1"/>
  <c r="AP116" i="8"/>
  <c r="AP119" i="8" s="1"/>
  <c r="AJ116" i="8"/>
  <c r="AI116" i="8"/>
  <c r="AI119" i="8" s="1"/>
  <c r="M116" i="8"/>
  <c r="AV115" i="8"/>
  <c r="AS115" i="8"/>
  <c r="AL115" i="8"/>
  <c r="AM115" i="8" s="1"/>
  <c r="K115" i="8"/>
  <c r="I115" i="8"/>
  <c r="F115" i="8"/>
  <c r="D115" i="8"/>
  <c r="AQ114" i="8"/>
  <c r="AP114" i="8"/>
  <c r="AJ114" i="8"/>
  <c r="AI114" i="8"/>
  <c r="M114" i="8"/>
  <c r="AQ113" i="8"/>
  <c r="AP113" i="8"/>
  <c r="AJ113" i="8"/>
  <c r="AI113" i="8"/>
  <c r="M113" i="8"/>
  <c r="AQ112" i="8"/>
  <c r="AQ115" i="8" s="1"/>
  <c r="AP112" i="8"/>
  <c r="AP115" i="8" s="1"/>
  <c r="AJ112" i="8"/>
  <c r="AI112" i="8"/>
  <c r="AI115" i="8" s="1"/>
  <c r="M112" i="8"/>
  <c r="AV111" i="8"/>
  <c r="AS111" i="8"/>
  <c r="AL111" i="8"/>
  <c r="AM111" i="8" s="1"/>
  <c r="K111" i="8"/>
  <c r="I111" i="8"/>
  <c r="F111" i="8"/>
  <c r="D111" i="8"/>
  <c r="AQ110" i="8"/>
  <c r="AP110" i="8"/>
  <c r="AJ110" i="8"/>
  <c r="AI110" i="8"/>
  <c r="M110" i="8"/>
  <c r="AQ109" i="8"/>
  <c r="AP109" i="8"/>
  <c r="AJ109" i="8"/>
  <c r="AI109" i="8"/>
  <c r="M109" i="8"/>
  <c r="AQ108" i="8"/>
  <c r="AQ111" i="8" s="1"/>
  <c r="AP108" i="8"/>
  <c r="AP111" i="8" s="1"/>
  <c r="AJ108" i="8"/>
  <c r="AI108" i="8"/>
  <c r="AI111" i="8" s="1"/>
  <c r="M108" i="8"/>
  <c r="AV107" i="8"/>
  <c r="AS107" i="8"/>
  <c r="AL107" i="8"/>
  <c r="AM107" i="8" s="1"/>
  <c r="K107" i="8"/>
  <c r="I107" i="8"/>
  <c r="F107" i="8"/>
  <c r="D107" i="8"/>
  <c r="AQ106" i="8"/>
  <c r="AP106" i="8"/>
  <c r="AJ106" i="8"/>
  <c r="AI106" i="8"/>
  <c r="M106" i="8"/>
  <c r="AQ105" i="8"/>
  <c r="AP105" i="8"/>
  <c r="AJ105" i="8"/>
  <c r="AI105" i="8"/>
  <c r="M105" i="8"/>
  <c r="AQ104" i="8"/>
  <c r="AQ107" i="8" s="1"/>
  <c r="AP104" i="8"/>
  <c r="AP107" i="8" s="1"/>
  <c r="AJ104" i="8"/>
  <c r="AI104" i="8"/>
  <c r="AI107" i="8" s="1"/>
  <c r="M104" i="8"/>
  <c r="AV103" i="8"/>
  <c r="AS103" i="8"/>
  <c r="AL103" i="8"/>
  <c r="AM103" i="8" s="1"/>
  <c r="K103" i="8"/>
  <c r="I103" i="8"/>
  <c r="F103" i="8"/>
  <c r="D103" i="8"/>
  <c r="AQ102" i="8"/>
  <c r="AP102" i="8"/>
  <c r="AJ102" i="8"/>
  <c r="AI102" i="8"/>
  <c r="M102" i="8"/>
  <c r="AQ101" i="8"/>
  <c r="AP101" i="8"/>
  <c r="AJ101" i="8"/>
  <c r="AI101" i="8"/>
  <c r="M101" i="8"/>
  <c r="AQ100" i="8"/>
  <c r="AQ103" i="8" s="1"/>
  <c r="AP100" i="8"/>
  <c r="AP103" i="8" s="1"/>
  <c r="AJ100" i="8"/>
  <c r="AI100" i="8"/>
  <c r="AI103" i="8" s="1"/>
  <c r="M100" i="8"/>
  <c r="AV99" i="8"/>
  <c r="AS99" i="8"/>
  <c r="AL99" i="8"/>
  <c r="AM99" i="8" s="1"/>
  <c r="K99" i="8"/>
  <c r="I99" i="8"/>
  <c r="F99" i="8"/>
  <c r="D99" i="8"/>
  <c r="AQ98" i="8"/>
  <c r="AP98" i="8"/>
  <c r="AJ98" i="8"/>
  <c r="AI98" i="8"/>
  <c r="M98" i="8"/>
  <c r="AQ97" i="8"/>
  <c r="AP97" i="8"/>
  <c r="AJ97" i="8"/>
  <c r="AI97" i="8"/>
  <c r="M97" i="8"/>
  <c r="AQ96" i="8"/>
  <c r="AQ99" i="8" s="1"/>
  <c r="AP96" i="8"/>
  <c r="AP99" i="8" s="1"/>
  <c r="AJ96" i="8"/>
  <c r="AI96" i="8"/>
  <c r="AI99" i="8" s="1"/>
  <c r="M96" i="8"/>
  <c r="AV95" i="8"/>
  <c r="AS95" i="8"/>
  <c r="AL95" i="8"/>
  <c r="AM95" i="8" s="1"/>
  <c r="K95" i="8"/>
  <c r="I95" i="8"/>
  <c r="F95" i="8"/>
  <c r="D95" i="8"/>
  <c r="AQ94" i="8"/>
  <c r="AP94" i="8"/>
  <c r="AJ94" i="8"/>
  <c r="AI94" i="8"/>
  <c r="M94" i="8"/>
  <c r="AQ93" i="8"/>
  <c r="AP93" i="8"/>
  <c r="AJ93" i="8"/>
  <c r="AI93" i="8"/>
  <c r="M93" i="8"/>
  <c r="AQ92" i="8"/>
  <c r="AQ95" i="8" s="1"/>
  <c r="AP92" i="8"/>
  <c r="AP95" i="8" s="1"/>
  <c r="AJ92" i="8"/>
  <c r="AI92" i="8"/>
  <c r="AI95" i="8" s="1"/>
  <c r="M92" i="8"/>
  <c r="AV91" i="8"/>
  <c r="AS91" i="8"/>
  <c r="AL91" i="8"/>
  <c r="AM91" i="8" s="1"/>
  <c r="K91" i="8"/>
  <c r="I91" i="8"/>
  <c r="F91" i="8"/>
  <c r="D91" i="8"/>
  <c r="AQ90" i="8"/>
  <c r="AP90" i="8"/>
  <c r="AJ90" i="8"/>
  <c r="AI90" i="8"/>
  <c r="M90" i="8"/>
  <c r="AQ89" i="8"/>
  <c r="AP89" i="8"/>
  <c r="AJ89" i="8"/>
  <c r="AI89" i="8"/>
  <c r="M89" i="8"/>
  <c r="AQ88" i="8"/>
  <c r="AQ91" i="8" s="1"/>
  <c r="AP88" i="8"/>
  <c r="AP91" i="8" s="1"/>
  <c r="AJ88" i="8"/>
  <c r="AI88" i="8"/>
  <c r="AI91" i="8" s="1"/>
  <c r="M88" i="8"/>
  <c r="AV87" i="8"/>
  <c r="AS87" i="8"/>
  <c r="AL87" i="8"/>
  <c r="AM87" i="8" s="1"/>
  <c r="K87" i="8"/>
  <c r="I87" i="8"/>
  <c r="F87" i="8"/>
  <c r="D87" i="8"/>
  <c r="AQ86" i="8"/>
  <c r="AP86" i="8"/>
  <c r="AJ86" i="8"/>
  <c r="AI86" i="8"/>
  <c r="M86" i="8"/>
  <c r="AQ85" i="8"/>
  <c r="AP85" i="8"/>
  <c r="AJ85" i="8"/>
  <c r="AI85" i="8"/>
  <c r="M85" i="8"/>
  <c r="AQ84" i="8"/>
  <c r="AQ87" i="8" s="1"/>
  <c r="AP84" i="8"/>
  <c r="AP87" i="8" s="1"/>
  <c r="AJ84" i="8"/>
  <c r="AI84" i="8"/>
  <c r="AI87" i="8" s="1"/>
  <c r="M84" i="8"/>
  <c r="AV83" i="8"/>
  <c r="AS83" i="8"/>
  <c r="AL83" i="8"/>
  <c r="AM83" i="8" s="1"/>
  <c r="K83" i="8"/>
  <c r="I83" i="8"/>
  <c r="F83" i="8"/>
  <c r="D83" i="8"/>
  <c r="AQ82" i="8"/>
  <c r="AP82" i="8"/>
  <c r="AJ82" i="8"/>
  <c r="AI82" i="8"/>
  <c r="M82" i="8"/>
  <c r="AQ81" i="8"/>
  <c r="AP81" i="8"/>
  <c r="AJ81" i="8"/>
  <c r="AI81" i="8"/>
  <c r="M81" i="8"/>
  <c r="AQ80" i="8"/>
  <c r="AQ83" i="8" s="1"/>
  <c r="AP80" i="8"/>
  <c r="AP83" i="8" s="1"/>
  <c r="AJ80" i="8"/>
  <c r="AI80" i="8"/>
  <c r="AI83" i="8" s="1"/>
  <c r="M80" i="8"/>
  <c r="AV79" i="8"/>
  <c r="AS79" i="8"/>
  <c r="AL79" i="8"/>
  <c r="AM79" i="8" s="1"/>
  <c r="K79" i="8"/>
  <c r="I79" i="8"/>
  <c r="F79" i="8"/>
  <c r="D79" i="8"/>
  <c r="AQ78" i="8"/>
  <c r="AP78" i="8"/>
  <c r="AJ78" i="8"/>
  <c r="AI78" i="8"/>
  <c r="M78" i="8"/>
  <c r="AQ77" i="8"/>
  <c r="AP77" i="8"/>
  <c r="AJ77" i="8"/>
  <c r="AI77" i="8"/>
  <c r="M77" i="8"/>
  <c r="AQ76" i="8"/>
  <c r="AQ79" i="8" s="1"/>
  <c r="AP76" i="8"/>
  <c r="AP79" i="8" s="1"/>
  <c r="AJ76" i="8"/>
  <c r="AI76" i="8"/>
  <c r="AI79" i="8" s="1"/>
  <c r="M76" i="8"/>
  <c r="AV75" i="8"/>
  <c r="AS75" i="8"/>
  <c r="AL75" i="8"/>
  <c r="AM75" i="8" s="1"/>
  <c r="K75" i="8"/>
  <c r="I75" i="8"/>
  <c r="F75" i="8"/>
  <c r="D75" i="8"/>
  <c r="AQ74" i="8"/>
  <c r="AP74" i="8"/>
  <c r="AJ74" i="8"/>
  <c r="AI74" i="8"/>
  <c r="M74" i="8"/>
  <c r="AQ73" i="8"/>
  <c r="AP73" i="8"/>
  <c r="AJ73" i="8"/>
  <c r="AI73" i="8"/>
  <c r="M73" i="8"/>
  <c r="AQ72" i="8"/>
  <c r="AQ75" i="8" s="1"/>
  <c r="AP72" i="8"/>
  <c r="AP75" i="8" s="1"/>
  <c r="AJ72" i="8"/>
  <c r="AI72" i="8"/>
  <c r="AI75" i="8" s="1"/>
  <c r="M72" i="8"/>
  <c r="AV71" i="8"/>
  <c r="AS71" i="8"/>
  <c r="AL71" i="8"/>
  <c r="AM71" i="8" s="1"/>
  <c r="K71" i="8"/>
  <c r="I71" i="8"/>
  <c r="F71" i="8"/>
  <c r="D71" i="8"/>
  <c r="AQ70" i="8"/>
  <c r="AP70" i="8"/>
  <c r="AJ70" i="8"/>
  <c r="AI70" i="8"/>
  <c r="M70" i="8"/>
  <c r="AQ69" i="8"/>
  <c r="AP69" i="8"/>
  <c r="AJ69" i="8"/>
  <c r="AI69" i="8"/>
  <c r="M69" i="8"/>
  <c r="AQ68" i="8"/>
  <c r="AQ71" i="8" s="1"/>
  <c r="AP68" i="8"/>
  <c r="AP71" i="8" s="1"/>
  <c r="AJ68" i="8"/>
  <c r="AI68" i="8"/>
  <c r="AI71" i="8" s="1"/>
  <c r="M68" i="8"/>
  <c r="AV67" i="8"/>
  <c r="AS67" i="8"/>
  <c r="AL67" i="8"/>
  <c r="AM67" i="8" s="1"/>
  <c r="K67" i="8"/>
  <c r="I67" i="8"/>
  <c r="F67" i="8"/>
  <c r="D67" i="8"/>
  <c r="AQ66" i="8"/>
  <c r="AP66" i="8"/>
  <c r="AJ66" i="8"/>
  <c r="AI66" i="8"/>
  <c r="M66" i="8"/>
  <c r="AQ65" i="8"/>
  <c r="AP65" i="8"/>
  <c r="AJ65" i="8"/>
  <c r="AI65" i="8"/>
  <c r="M65" i="8"/>
  <c r="AQ64" i="8"/>
  <c r="AQ67" i="8" s="1"/>
  <c r="AP64" i="8"/>
  <c r="AP67" i="8" s="1"/>
  <c r="AJ64" i="8"/>
  <c r="AI64" i="8"/>
  <c r="AI67" i="8" s="1"/>
  <c r="M64" i="8"/>
  <c r="AV63" i="8"/>
  <c r="AS63" i="8"/>
  <c r="AL63" i="8"/>
  <c r="AM63" i="8" s="1"/>
  <c r="K63" i="8"/>
  <c r="I63" i="8"/>
  <c r="F63" i="8"/>
  <c r="D63" i="8"/>
  <c r="AQ62" i="8"/>
  <c r="AP62" i="8"/>
  <c r="AJ62" i="8"/>
  <c r="AI62" i="8"/>
  <c r="M62" i="8"/>
  <c r="AQ61" i="8"/>
  <c r="AP61" i="8"/>
  <c r="AJ61" i="8"/>
  <c r="AI61" i="8"/>
  <c r="M61" i="8"/>
  <c r="AQ60" i="8"/>
  <c r="AQ63" i="8" s="1"/>
  <c r="AP60" i="8"/>
  <c r="AP63" i="8" s="1"/>
  <c r="AJ60" i="8"/>
  <c r="AI60" i="8"/>
  <c r="AI63" i="8" s="1"/>
  <c r="M60" i="8"/>
  <c r="AV59" i="8"/>
  <c r="AS59" i="8"/>
  <c r="AL59" i="8"/>
  <c r="AM59" i="8" s="1"/>
  <c r="K59" i="8"/>
  <c r="I59" i="8"/>
  <c r="F59" i="8"/>
  <c r="D59" i="8"/>
  <c r="AQ58" i="8"/>
  <c r="AP58" i="8"/>
  <c r="AJ58" i="8"/>
  <c r="AI58" i="8"/>
  <c r="M58" i="8"/>
  <c r="AQ57" i="8"/>
  <c r="AP57" i="8"/>
  <c r="AJ57" i="8"/>
  <c r="AI57" i="8"/>
  <c r="M57" i="8"/>
  <c r="AQ56" i="8"/>
  <c r="AQ59" i="8" s="1"/>
  <c r="AP56" i="8"/>
  <c r="AP59" i="8" s="1"/>
  <c r="AJ56" i="8"/>
  <c r="AI56" i="8"/>
  <c r="AI59" i="8" s="1"/>
  <c r="M56" i="8"/>
  <c r="AV55" i="8"/>
  <c r="AS55" i="8"/>
  <c r="AL55" i="8"/>
  <c r="AM55" i="8" s="1"/>
  <c r="K55" i="8"/>
  <c r="I55" i="8"/>
  <c r="F55" i="8"/>
  <c r="D55" i="8"/>
  <c r="AQ54" i="8"/>
  <c r="AP54" i="8"/>
  <c r="AJ54" i="8"/>
  <c r="AI54" i="8"/>
  <c r="M54" i="8"/>
  <c r="AQ53" i="8"/>
  <c r="AP53" i="8"/>
  <c r="AJ53" i="8"/>
  <c r="AI53" i="8"/>
  <c r="M53" i="8"/>
  <c r="AQ52" i="8"/>
  <c r="AQ55" i="8" s="1"/>
  <c r="AP52" i="8"/>
  <c r="AP55" i="8" s="1"/>
  <c r="AJ52" i="8"/>
  <c r="AI52" i="8"/>
  <c r="AI55" i="8" s="1"/>
  <c r="M52" i="8"/>
  <c r="AV51" i="8"/>
  <c r="AS51" i="8"/>
  <c r="AL51" i="8"/>
  <c r="AM51" i="8" s="1"/>
  <c r="K51" i="8"/>
  <c r="I51" i="8"/>
  <c r="F51" i="8"/>
  <c r="D51" i="8"/>
  <c r="AQ50" i="8"/>
  <c r="AP50" i="8"/>
  <c r="AJ50" i="8"/>
  <c r="AI50" i="8"/>
  <c r="M50" i="8"/>
  <c r="AQ49" i="8"/>
  <c r="AP49" i="8"/>
  <c r="AJ49" i="8"/>
  <c r="AI49" i="8"/>
  <c r="M49" i="8"/>
  <c r="AQ48" i="8"/>
  <c r="AQ51" i="8" s="1"/>
  <c r="AP48" i="8"/>
  <c r="AP51" i="8" s="1"/>
  <c r="AJ48" i="8"/>
  <c r="AI48" i="8"/>
  <c r="AI51" i="8" s="1"/>
  <c r="M48" i="8"/>
  <c r="AV47" i="8"/>
  <c r="AS47" i="8"/>
  <c r="AL47" i="8"/>
  <c r="AM47" i="8" s="1"/>
  <c r="K47" i="8"/>
  <c r="I47" i="8"/>
  <c r="F47" i="8"/>
  <c r="D47" i="8"/>
  <c r="AQ46" i="8"/>
  <c r="AP46" i="8"/>
  <c r="AJ46" i="8"/>
  <c r="AI46" i="8"/>
  <c r="M46" i="8"/>
  <c r="AQ45" i="8"/>
  <c r="AP45" i="8"/>
  <c r="AJ45" i="8"/>
  <c r="AI45" i="8"/>
  <c r="M45" i="8"/>
  <c r="AQ44" i="8"/>
  <c r="AQ47" i="8" s="1"/>
  <c r="AP44" i="8"/>
  <c r="AP47" i="8" s="1"/>
  <c r="AJ44" i="8"/>
  <c r="AI44" i="8"/>
  <c r="AI47" i="8" s="1"/>
  <c r="M44" i="8"/>
  <c r="AV43" i="8"/>
  <c r="AS43" i="8"/>
  <c r="AL43" i="8"/>
  <c r="AM43" i="8" s="1"/>
  <c r="K43" i="8"/>
  <c r="I43" i="8"/>
  <c r="F43" i="8"/>
  <c r="D43" i="8"/>
  <c r="AQ42" i="8"/>
  <c r="AP42" i="8"/>
  <c r="AJ42" i="8"/>
  <c r="AI42" i="8"/>
  <c r="M42" i="8"/>
  <c r="AQ41" i="8"/>
  <c r="AP41" i="8"/>
  <c r="AJ41" i="8"/>
  <c r="AI41" i="8"/>
  <c r="M41" i="8"/>
  <c r="AQ40" i="8"/>
  <c r="AQ43" i="8" s="1"/>
  <c r="AP40" i="8"/>
  <c r="AP43" i="8" s="1"/>
  <c r="AJ40" i="8"/>
  <c r="AI40" i="8"/>
  <c r="AI43" i="8" s="1"/>
  <c r="M40" i="8"/>
  <c r="AV39" i="8"/>
  <c r="AS39" i="8"/>
  <c r="AL39" i="8"/>
  <c r="AM39" i="8" s="1"/>
  <c r="K39" i="8"/>
  <c r="I39" i="8"/>
  <c r="F39" i="8"/>
  <c r="D39" i="8"/>
  <c r="AQ38" i="8"/>
  <c r="AP38" i="8"/>
  <c r="AJ38" i="8"/>
  <c r="AI38" i="8"/>
  <c r="M38" i="8"/>
  <c r="AQ37" i="8"/>
  <c r="AP37" i="8"/>
  <c r="AJ37" i="8"/>
  <c r="AI37" i="8"/>
  <c r="M37" i="8"/>
  <c r="AQ36" i="8"/>
  <c r="AQ39" i="8" s="1"/>
  <c r="AP36" i="8"/>
  <c r="AP39" i="8" s="1"/>
  <c r="AJ36" i="8"/>
  <c r="AI36" i="8"/>
  <c r="AI39" i="8" s="1"/>
  <c r="M36" i="8"/>
  <c r="AV35" i="8"/>
  <c r="AS35" i="8"/>
  <c r="AL35" i="8"/>
  <c r="AM35" i="8" s="1"/>
  <c r="K35" i="8"/>
  <c r="I35" i="8"/>
  <c r="F35" i="8"/>
  <c r="D35" i="8"/>
  <c r="AQ34" i="8"/>
  <c r="AP34" i="8"/>
  <c r="AJ34" i="8"/>
  <c r="AI34" i="8"/>
  <c r="M34" i="8"/>
  <c r="AQ33" i="8"/>
  <c r="AP33" i="8"/>
  <c r="AJ33" i="8"/>
  <c r="AI33" i="8"/>
  <c r="M33" i="8"/>
  <c r="AQ32" i="8"/>
  <c r="AQ35" i="8" s="1"/>
  <c r="AP32" i="8"/>
  <c r="AP35" i="8" s="1"/>
  <c r="AJ32" i="8"/>
  <c r="AI32" i="8"/>
  <c r="AI35" i="8" s="1"/>
  <c r="M32" i="8"/>
  <c r="AV31" i="8"/>
  <c r="AS31" i="8"/>
  <c r="AL31" i="8"/>
  <c r="AM31" i="8" s="1"/>
  <c r="K31" i="8"/>
  <c r="I31" i="8"/>
  <c r="F31" i="8"/>
  <c r="D31" i="8"/>
  <c r="AQ30" i="8"/>
  <c r="AP30" i="8"/>
  <c r="AJ30" i="8"/>
  <c r="AI30" i="8"/>
  <c r="M30" i="8"/>
  <c r="AQ29" i="8"/>
  <c r="AP29" i="8"/>
  <c r="AJ29" i="8"/>
  <c r="AI29" i="8"/>
  <c r="M29" i="8"/>
  <c r="AQ28" i="8"/>
  <c r="AQ31" i="8" s="1"/>
  <c r="AP28" i="8"/>
  <c r="AP31" i="8" s="1"/>
  <c r="AJ28" i="8"/>
  <c r="AI28" i="8"/>
  <c r="AI31" i="8" s="1"/>
  <c r="M28" i="8"/>
  <c r="AV27" i="8"/>
  <c r="AS27" i="8"/>
  <c r="AL27" i="8"/>
  <c r="AM27" i="8" s="1"/>
  <c r="K27" i="8"/>
  <c r="I27" i="8"/>
  <c r="F27" i="8"/>
  <c r="D27" i="8"/>
  <c r="AQ26" i="8"/>
  <c r="AP26" i="8"/>
  <c r="AJ26" i="8"/>
  <c r="AI26" i="8"/>
  <c r="M26" i="8"/>
  <c r="AQ25" i="8"/>
  <c r="AP25" i="8"/>
  <c r="AJ25" i="8"/>
  <c r="AI25" i="8"/>
  <c r="M25" i="8"/>
  <c r="AQ24" i="8"/>
  <c r="AQ27" i="8" s="1"/>
  <c r="AP24" i="8"/>
  <c r="AP27" i="8" s="1"/>
  <c r="AJ24" i="8"/>
  <c r="AI24" i="8"/>
  <c r="AI27" i="8" s="1"/>
  <c r="M24" i="8"/>
  <c r="AV23" i="8"/>
  <c r="AS23" i="8"/>
  <c r="AL23" i="8"/>
  <c r="AM23" i="8" s="1"/>
  <c r="K23" i="8"/>
  <c r="I23" i="8"/>
  <c r="F23" i="8"/>
  <c r="D23" i="8"/>
  <c r="AQ22" i="8"/>
  <c r="AP22" i="8"/>
  <c r="AJ22" i="8"/>
  <c r="AI22" i="8"/>
  <c r="M22" i="8"/>
  <c r="AQ21" i="8"/>
  <c r="AP21" i="8"/>
  <c r="AJ21" i="8"/>
  <c r="AI21" i="8"/>
  <c r="M21" i="8"/>
  <c r="AQ20" i="8"/>
  <c r="AQ23" i="8" s="1"/>
  <c r="AP20" i="8"/>
  <c r="AP23" i="8" s="1"/>
  <c r="AJ20" i="8"/>
  <c r="AI20" i="8"/>
  <c r="AI23" i="8" s="1"/>
  <c r="M20" i="8"/>
  <c r="AV19" i="8"/>
  <c r="AS19" i="8"/>
  <c r="AL19" i="8"/>
  <c r="AM19" i="8" s="1"/>
  <c r="K19" i="8"/>
  <c r="I19" i="8"/>
  <c r="F19" i="8"/>
  <c r="D19" i="8"/>
  <c r="AQ18" i="8"/>
  <c r="AP18" i="8"/>
  <c r="AJ18" i="8"/>
  <c r="AI18" i="8"/>
  <c r="M18" i="8"/>
  <c r="AQ17" i="8"/>
  <c r="AP17" i="8"/>
  <c r="AJ17" i="8"/>
  <c r="AI17" i="8"/>
  <c r="M17" i="8"/>
  <c r="AQ16" i="8"/>
  <c r="AQ19" i="8" s="1"/>
  <c r="AP16" i="8"/>
  <c r="AP19" i="8" s="1"/>
  <c r="AJ16" i="8"/>
  <c r="AI16" i="8"/>
  <c r="AI19" i="8" s="1"/>
  <c r="M16" i="8"/>
  <c r="AV15" i="8"/>
  <c r="AS15" i="8"/>
  <c r="AL15" i="8"/>
  <c r="AM15" i="8" s="1"/>
  <c r="K15" i="8"/>
  <c r="I15" i="8"/>
  <c r="F15" i="8"/>
  <c r="D15" i="8"/>
  <c r="AQ14" i="8"/>
  <c r="AP14" i="8"/>
  <c r="AJ14" i="8"/>
  <c r="AI14" i="8"/>
  <c r="M14" i="8"/>
  <c r="AQ13" i="8"/>
  <c r="AP13" i="8"/>
  <c r="AJ13" i="8"/>
  <c r="AI13" i="8"/>
  <c r="M13" i="8"/>
  <c r="AQ12" i="8"/>
  <c r="AQ15" i="8" s="1"/>
  <c r="AP12" i="8"/>
  <c r="AP15" i="8" s="1"/>
  <c r="AJ12" i="8"/>
  <c r="AI12" i="8"/>
  <c r="AI15" i="8" s="1"/>
  <c r="M12" i="8"/>
  <c r="AV11" i="8"/>
  <c r="AS11" i="8"/>
  <c r="AL11" i="8"/>
  <c r="AM11" i="8" s="1"/>
  <c r="K11" i="8"/>
  <c r="I11" i="8"/>
  <c r="F11" i="8"/>
  <c r="D11" i="8"/>
  <c r="AQ10" i="8"/>
  <c r="AP10" i="8"/>
  <c r="AJ10" i="8"/>
  <c r="AI10" i="8"/>
  <c r="M10" i="8"/>
  <c r="AQ9" i="8"/>
  <c r="AP9" i="8"/>
  <c r="AJ9" i="8"/>
  <c r="AI9" i="8"/>
  <c r="M9" i="8"/>
  <c r="AQ8" i="8"/>
  <c r="AQ11" i="8" s="1"/>
  <c r="AP8" i="8"/>
  <c r="AP11" i="8" s="1"/>
  <c r="AJ8" i="8"/>
  <c r="AI8" i="8"/>
  <c r="AI11" i="8" s="1"/>
  <c r="M8" i="8"/>
  <c r="AV7" i="8"/>
  <c r="AS7" i="8"/>
  <c r="AL7" i="8"/>
  <c r="AM7" i="8" s="1"/>
  <c r="K7" i="8"/>
  <c r="I7" i="8"/>
  <c r="F7" i="8"/>
  <c r="D7" i="8"/>
  <c r="AQ6" i="8"/>
  <c r="AP6" i="8"/>
  <c r="AJ6" i="8"/>
  <c r="AI6" i="8"/>
  <c r="M6" i="8"/>
  <c r="AQ5" i="8"/>
  <c r="AP5" i="8"/>
  <c r="AJ5" i="8"/>
  <c r="AI5" i="8"/>
  <c r="M5" i="8"/>
  <c r="AT4" i="8"/>
  <c r="AT5" i="8" s="1"/>
  <c r="AT6" i="8" s="1"/>
  <c r="AQ4" i="8"/>
  <c r="AQ7" i="8" s="1"/>
  <c r="AP4" i="8"/>
  <c r="AP7" i="8" s="1"/>
  <c r="AJ4" i="8"/>
  <c r="AI4" i="8"/>
  <c r="AI7" i="8" s="1"/>
  <c r="M4" i="8"/>
  <c r="AV126" i="7"/>
  <c r="AS126" i="7"/>
  <c r="AL126" i="7"/>
  <c r="AM126" i="7" s="1"/>
  <c r="K126" i="7"/>
  <c r="I126" i="7"/>
  <c r="F126" i="7"/>
  <c r="D126" i="7"/>
  <c r="AQ125" i="7"/>
  <c r="AP125" i="7"/>
  <c r="AJ125" i="7"/>
  <c r="AI125" i="7"/>
  <c r="M125" i="7"/>
  <c r="AQ124" i="7"/>
  <c r="AP124" i="7"/>
  <c r="AJ124" i="7"/>
  <c r="AI124" i="7"/>
  <c r="M124" i="7"/>
  <c r="AQ123" i="7"/>
  <c r="AQ126" i="7" s="1"/>
  <c r="AP123" i="7"/>
  <c r="AP126" i="7" s="1"/>
  <c r="AJ123" i="7"/>
  <c r="AI123" i="7"/>
  <c r="AI126" i="7" s="1"/>
  <c r="M123" i="7"/>
  <c r="AV122" i="7"/>
  <c r="AS122" i="7"/>
  <c r="AL122" i="7"/>
  <c r="AM122" i="7" s="1"/>
  <c r="K122" i="7"/>
  <c r="I122" i="7"/>
  <c r="F122" i="7"/>
  <c r="D122" i="7"/>
  <c r="AQ121" i="7"/>
  <c r="AP121" i="7"/>
  <c r="AJ121" i="7"/>
  <c r="AI121" i="7"/>
  <c r="M121" i="7"/>
  <c r="AQ120" i="7"/>
  <c r="AP120" i="7"/>
  <c r="AJ120" i="7"/>
  <c r="AI120" i="7"/>
  <c r="M120" i="7"/>
  <c r="AQ119" i="7"/>
  <c r="AQ122" i="7" s="1"/>
  <c r="AP119" i="7"/>
  <c r="AP122" i="7" s="1"/>
  <c r="AJ119" i="7"/>
  <c r="AI119" i="7"/>
  <c r="AI122" i="7" s="1"/>
  <c r="M119" i="7"/>
  <c r="AV118" i="7"/>
  <c r="AS118" i="7"/>
  <c r="AL118" i="7"/>
  <c r="AM118" i="7" s="1"/>
  <c r="K118" i="7"/>
  <c r="I118" i="7"/>
  <c r="F118" i="7"/>
  <c r="D118" i="7"/>
  <c r="AQ117" i="7"/>
  <c r="AP117" i="7"/>
  <c r="AJ117" i="7"/>
  <c r="AI117" i="7"/>
  <c r="M117" i="7"/>
  <c r="AQ116" i="7"/>
  <c r="AP116" i="7"/>
  <c r="AJ116" i="7"/>
  <c r="AI116" i="7"/>
  <c r="M116" i="7"/>
  <c r="AQ115" i="7"/>
  <c r="AQ118" i="7" s="1"/>
  <c r="AP115" i="7"/>
  <c r="AP118" i="7" s="1"/>
  <c r="AJ115" i="7"/>
  <c r="AI115" i="7"/>
  <c r="AI118" i="7" s="1"/>
  <c r="M115" i="7"/>
  <c r="AV114" i="7"/>
  <c r="AS114" i="7"/>
  <c r="AL114" i="7"/>
  <c r="AM114" i="7" s="1"/>
  <c r="K114" i="7"/>
  <c r="I114" i="7"/>
  <c r="F114" i="7"/>
  <c r="D114" i="7"/>
  <c r="AQ113" i="7"/>
  <c r="AP113" i="7"/>
  <c r="AJ113" i="7"/>
  <c r="AI113" i="7"/>
  <c r="M113" i="7"/>
  <c r="AQ112" i="7"/>
  <c r="AP112" i="7"/>
  <c r="AJ112" i="7"/>
  <c r="AI112" i="7"/>
  <c r="M112" i="7"/>
  <c r="AQ111" i="7"/>
  <c r="AQ114" i="7" s="1"/>
  <c r="AP111" i="7"/>
  <c r="AP114" i="7" s="1"/>
  <c r="AJ111" i="7"/>
  <c r="AI111" i="7"/>
  <c r="AI114" i="7" s="1"/>
  <c r="M111" i="7"/>
  <c r="AV110" i="7"/>
  <c r="AS110" i="7"/>
  <c r="AL110" i="7"/>
  <c r="AM110" i="7" s="1"/>
  <c r="K110" i="7"/>
  <c r="I110" i="7"/>
  <c r="F110" i="7"/>
  <c r="D110" i="7"/>
  <c r="AQ109" i="7"/>
  <c r="AP109" i="7"/>
  <c r="AJ109" i="7"/>
  <c r="AI109" i="7"/>
  <c r="M109" i="7"/>
  <c r="AQ108" i="7"/>
  <c r="AP108" i="7"/>
  <c r="AJ108" i="7"/>
  <c r="AI108" i="7"/>
  <c r="M108" i="7"/>
  <c r="AQ107" i="7"/>
  <c r="AQ110" i="7" s="1"/>
  <c r="AP107" i="7"/>
  <c r="AP110" i="7" s="1"/>
  <c r="AJ107" i="7"/>
  <c r="AI107" i="7"/>
  <c r="AI110" i="7" s="1"/>
  <c r="M107" i="7"/>
  <c r="AV106" i="7"/>
  <c r="AS106" i="7"/>
  <c r="AL106" i="7"/>
  <c r="AM106" i="7" s="1"/>
  <c r="K106" i="7"/>
  <c r="I106" i="7"/>
  <c r="F106" i="7"/>
  <c r="D106" i="7"/>
  <c r="AQ105" i="7"/>
  <c r="AP105" i="7"/>
  <c r="AJ105" i="7"/>
  <c r="AI105" i="7"/>
  <c r="M105" i="7"/>
  <c r="AQ104" i="7"/>
  <c r="AP104" i="7"/>
  <c r="AJ104" i="7"/>
  <c r="AI104" i="7"/>
  <c r="M104" i="7"/>
  <c r="AQ103" i="7"/>
  <c r="AQ106" i="7" s="1"/>
  <c r="AP103" i="7"/>
  <c r="AP106" i="7" s="1"/>
  <c r="AJ103" i="7"/>
  <c r="AI103" i="7"/>
  <c r="AI106" i="7" s="1"/>
  <c r="M103" i="7"/>
  <c r="AV102" i="7"/>
  <c r="AS102" i="7"/>
  <c r="AL102" i="7"/>
  <c r="AM102" i="7" s="1"/>
  <c r="K102" i="7"/>
  <c r="I102" i="7"/>
  <c r="F102" i="7"/>
  <c r="D102" i="7"/>
  <c r="AQ101" i="7"/>
  <c r="AP101" i="7"/>
  <c r="AJ101" i="7"/>
  <c r="AI101" i="7"/>
  <c r="M101" i="7"/>
  <c r="AQ100" i="7"/>
  <c r="AP100" i="7"/>
  <c r="AJ100" i="7"/>
  <c r="AI100" i="7"/>
  <c r="M100" i="7"/>
  <c r="AQ99" i="7"/>
  <c r="AQ102" i="7" s="1"/>
  <c r="AP99" i="7"/>
  <c r="AP102" i="7" s="1"/>
  <c r="AJ99" i="7"/>
  <c r="AI99" i="7"/>
  <c r="AI102" i="7" s="1"/>
  <c r="M99" i="7"/>
  <c r="AV98" i="7"/>
  <c r="AS98" i="7"/>
  <c r="AL98" i="7"/>
  <c r="AM98" i="7" s="1"/>
  <c r="K98" i="7"/>
  <c r="I98" i="7"/>
  <c r="F98" i="7"/>
  <c r="D98" i="7"/>
  <c r="AQ97" i="7"/>
  <c r="AP97" i="7"/>
  <c r="AJ97" i="7"/>
  <c r="AI97" i="7"/>
  <c r="M97" i="7"/>
  <c r="AQ96" i="7"/>
  <c r="AP96" i="7"/>
  <c r="AJ96" i="7"/>
  <c r="AI96" i="7"/>
  <c r="M96" i="7"/>
  <c r="AQ95" i="7"/>
  <c r="AQ98" i="7" s="1"/>
  <c r="AP95" i="7"/>
  <c r="AP98" i="7" s="1"/>
  <c r="AJ95" i="7"/>
  <c r="AI95" i="7"/>
  <c r="AI98" i="7" s="1"/>
  <c r="M95" i="7"/>
  <c r="AV94" i="7"/>
  <c r="AS94" i="7"/>
  <c r="AL94" i="7"/>
  <c r="AM94" i="7" s="1"/>
  <c r="K94" i="7"/>
  <c r="I94" i="7"/>
  <c r="F94" i="7"/>
  <c r="D94" i="7"/>
  <c r="AQ93" i="7"/>
  <c r="AP93" i="7"/>
  <c r="AJ93" i="7"/>
  <c r="AI93" i="7"/>
  <c r="M93" i="7"/>
  <c r="AQ92" i="7"/>
  <c r="AP92" i="7"/>
  <c r="AJ92" i="7"/>
  <c r="AI92" i="7"/>
  <c r="M92" i="7"/>
  <c r="AQ91" i="7"/>
  <c r="AQ94" i="7" s="1"/>
  <c r="AP91" i="7"/>
  <c r="AP94" i="7" s="1"/>
  <c r="AJ91" i="7"/>
  <c r="AI91" i="7"/>
  <c r="AI94" i="7" s="1"/>
  <c r="M91" i="7"/>
  <c r="AV90" i="7"/>
  <c r="AS90" i="7"/>
  <c r="AL90" i="7"/>
  <c r="AM90" i="7" s="1"/>
  <c r="K90" i="7"/>
  <c r="I90" i="7"/>
  <c r="F90" i="7"/>
  <c r="D90" i="7"/>
  <c r="AQ89" i="7"/>
  <c r="AP89" i="7"/>
  <c r="AJ89" i="7"/>
  <c r="AI89" i="7"/>
  <c r="M89" i="7"/>
  <c r="AQ88" i="7"/>
  <c r="AP88" i="7"/>
  <c r="AJ88" i="7"/>
  <c r="AI88" i="7"/>
  <c r="M88" i="7"/>
  <c r="AQ87" i="7"/>
  <c r="AQ90" i="7" s="1"/>
  <c r="AP87" i="7"/>
  <c r="AP90" i="7" s="1"/>
  <c r="AJ87" i="7"/>
  <c r="AI87" i="7"/>
  <c r="AI90" i="7" s="1"/>
  <c r="M87" i="7"/>
  <c r="AV86" i="7"/>
  <c r="AS86" i="7"/>
  <c r="AL86" i="7"/>
  <c r="AM86" i="7" s="1"/>
  <c r="K86" i="7"/>
  <c r="I86" i="7"/>
  <c r="F86" i="7"/>
  <c r="D86" i="7"/>
  <c r="AQ85" i="7"/>
  <c r="AP85" i="7"/>
  <c r="AJ85" i="7"/>
  <c r="AI85" i="7"/>
  <c r="M85" i="7"/>
  <c r="AQ84" i="7"/>
  <c r="AP84" i="7"/>
  <c r="AJ84" i="7"/>
  <c r="AI84" i="7"/>
  <c r="M84" i="7"/>
  <c r="AQ83" i="7"/>
  <c r="AQ86" i="7" s="1"/>
  <c r="AP83" i="7"/>
  <c r="AP86" i="7" s="1"/>
  <c r="AJ83" i="7"/>
  <c r="AI83" i="7"/>
  <c r="AI86" i="7" s="1"/>
  <c r="M83" i="7"/>
  <c r="AV82" i="7"/>
  <c r="AS82" i="7"/>
  <c r="AL82" i="7"/>
  <c r="AM82" i="7" s="1"/>
  <c r="K82" i="7"/>
  <c r="I82" i="7"/>
  <c r="F82" i="7"/>
  <c r="D82" i="7"/>
  <c r="AQ81" i="7"/>
  <c r="AP81" i="7"/>
  <c r="AJ81" i="7"/>
  <c r="AI81" i="7"/>
  <c r="M81" i="7"/>
  <c r="AQ80" i="7"/>
  <c r="AP80" i="7"/>
  <c r="AJ80" i="7"/>
  <c r="AI80" i="7"/>
  <c r="M80" i="7"/>
  <c r="AQ79" i="7"/>
  <c r="AQ82" i="7" s="1"/>
  <c r="AP79" i="7"/>
  <c r="AP82" i="7" s="1"/>
  <c r="AJ79" i="7"/>
  <c r="AI79" i="7"/>
  <c r="AI82" i="7" s="1"/>
  <c r="M79" i="7"/>
  <c r="AV78" i="7"/>
  <c r="AS78" i="7"/>
  <c r="AL78" i="7"/>
  <c r="AM78" i="7" s="1"/>
  <c r="K78" i="7"/>
  <c r="I78" i="7"/>
  <c r="F78" i="7"/>
  <c r="D78" i="7"/>
  <c r="AQ77" i="7"/>
  <c r="AP77" i="7"/>
  <c r="AJ77" i="7"/>
  <c r="AI77" i="7"/>
  <c r="M77" i="7"/>
  <c r="AQ76" i="7"/>
  <c r="AP76" i="7"/>
  <c r="AJ76" i="7"/>
  <c r="AI76" i="7"/>
  <c r="M76" i="7"/>
  <c r="AQ75" i="7"/>
  <c r="AQ78" i="7" s="1"/>
  <c r="AP75" i="7"/>
  <c r="AP78" i="7" s="1"/>
  <c r="AJ75" i="7"/>
  <c r="AI75" i="7"/>
  <c r="AI78" i="7" s="1"/>
  <c r="M75" i="7"/>
  <c r="AV74" i="7"/>
  <c r="AS74" i="7"/>
  <c r="AL74" i="7"/>
  <c r="AM74" i="7" s="1"/>
  <c r="K74" i="7"/>
  <c r="I74" i="7"/>
  <c r="F74" i="7"/>
  <c r="D74" i="7"/>
  <c r="AQ73" i="7"/>
  <c r="AP73" i="7"/>
  <c r="AJ73" i="7"/>
  <c r="AI73" i="7"/>
  <c r="M73" i="7"/>
  <c r="AQ72" i="7"/>
  <c r="AP72" i="7"/>
  <c r="AJ72" i="7"/>
  <c r="AI72" i="7"/>
  <c r="M72" i="7"/>
  <c r="AQ71" i="7"/>
  <c r="AQ74" i="7" s="1"/>
  <c r="AP71" i="7"/>
  <c r="AP74" i="7" s="1"/>
  <c r="AJ71" i="7"/>
  <c r="AI71" i="7"/>
  <c r="AI74" i="7" s="1"/>
  <c r="M71" i="7"/>
  <c r="AV70" i="7"/>
  <c r="AS70" i="7"/>
  <c r="AL70" i="7"/>
  <c r="AM70" i="7" s="1"/>
  <c r="K70" i="7"/>
  <c r="I70" i="7"/>
  <c r="F70" i="7"/>
  <c r="D70" i="7"/>
  <c r="AQ69" i="7"/>
  <c r="AP69" i="7"/>
  <c r="AJ69" i="7"/>
  <c r="AI69" i="7"/>
  <c r="M69" i="7"/>
  <c r="AQ68" i="7"/>
  <c r="AP68" i="7"/>
  <c r="AJ68" i="7"/>
  <c r="AI68" i="7"/>
  <c r="M68" i="7"/>
  <c r="AT67" i="7"/>
  <c r="AT68" i="7" s="1"/>
  <c r="AT69" i="7" s="1"/>
  <c r="AQ67" i="7"/>
  <c r="AQ70" i="7" s="1"/>
  <c r="AP67" i="7"/>
  <c r="AP70" i="7" s="1"/>
  <c r="AJ67" i="7"/>
  <c r="AI67" i="7"/>
  <c r="AI70" i="7" s="1"/>
  <c r="M67" i="7"/>
  <c r="AQ66" i="7"/>
  <c r="AP66" i="7"/>
  <c r="AJ66" i="7"/>
  <c r="AI66" i="7"/>
  <c r="M66" i="7"/>
  <c r="AQ65" i="7"/>
  <c r="AP65" i="7"/>
  <c r="AJ65" i="7"/>
  <c r="AI65" i="7"/>
  <c r="M65" i="7"/>
  <c r="AQ64" i="7"/>
  <c r="AP64" i="7"/>
  <c r="AJ64" i="7"/>
  <c r="AI64" i="7"/>
  <c r="M64" i="7"/>
  <c r="AV63" i="7"/>
  <c r="AS63" i="7"/>
  <c r="AL63" i="7"/>
  <c r="AM63" i="7" s="1"/>
  <c r="K63" i="7"/>
  <c r="I63" i="7"/>
  <c r="F63" i="7"/>
  <c r="D63" i="7"/>
  <c r="AQ62" i="7"/>
  <c r="AP62" i="7"/>
  <c r="AJ62" i="7"/>
  <c r="AI62" i="7"/>
  <c r="M62" i="7"/>
  <c r="AQ61" i="7"/>
  <c r="AP61" i="7"/>
  <c r="AJ61" i="7"/>
  <c r="AI61" i="7"/>
  <c r="M61" i="7"/>
  <c r="AQ60" i="7"/>
  <c r="AQ63" i="7" s="1"/>
  <c r="AP60" i="7"/>
  <c r="AP63" i="7" s="1"/>
  <c r="AJ60" i="7"/>
  <c r="AI60" i="7"/>
  <c r="AI63" i="7" s="1"/>
  <c r="M60" i="7"/>
  <c r="AV59" i="7"/>
  <c r="AS59" i="7"/>
  <c r="AL59" i="7"/>
  <c r="AM59" i="7" s="1"/>
  <c r="K59" i="7"/>
  <c r="I59" i="7"/>
  <c r="F59" i="7"/>
  <c r="D59" i="7"/>
  <c r="AQ58" i="7"/>
  <c r="AP58" i="7"/>
  <c r="AJ58" i="7"/>
  <c r="AI58" i="7"/>
  <c r="M58" i="7"/>
  <c r="AQ57" i="7"/>
  <c r="AP57" i="7"/>
  <c r="AJ57" i="7"/>
  <c r="AI57" i="7"/>
  <c r="M57" i="7"/>
  <c r="AQ56" i="7"/>
  <c r="AQ59" i="7" s="1"/>
  <c r="AP56" i="7"/>
  <c r="AP59" i="7" s="1"/>
  <c r="AJ56" i="7"/>
  <c r="AI56" i="7"/>
  <c r="AI59" i="7" s="1"/>
  <c r="M56" i="7"/>
  <c r="AV55" i="7"/>
  <c r="AS55" i="7"/>
  <c r="AL55" i="7"/>
  <c r="AM55" i="7" s="1"/>
  <c r="K55" i="7"/>
  <c r="I55" i="7"/>
  <c r="F55" i="7"/>
  <c r="D55" i="7"/>
  <c r="AQ54" i="7"/>
  <c r="AP54" i="7"/>
  <c r="AJ54" i="7"/>
  <c r="AI54" i="7"/>
  <c r="M54" i="7"/>
  <c r="AQ53" i="7"/>
  <c r="AP53" i="7"/>
  <c r="AJ53" i="7"/>
  <c r="AI53" i="7"/>
  <c r="M53" i="7"/>
  <c r="AQ52" i="7"/>
  <c r="AQ55" i="7" s="1"/>
  <c r="AP52" i="7"/>
  <c r="AP55" i="7" s="1"/>
  <c r="AJ52" i="7"/>
  <c r="AI52" i="7"/>
  <c r="AI55" i="7" s="1"/>
  <c r="M52" i="7"/>
  <c r="AV51" i="7"/>
  <c r="AS51" i="7"/>
  <c r="AL51" i="7"/>
  <c r="AM51" i="7" s="1"/>
  <c r="K51" i="7"/>
  <c r="I51" i="7"/>
  <c r="F51" i="7"/>
  <c r="D51" i="7"/>
  <c r="AQ50" i="7"/>
  <c r="AP50" i="7"/>
  <c r="AJ50" i="7"/>
  <c r="AI50" i="7"/>
  <c r="M50" i="7"/>
  <c r="AQ49" i="7"/>
  <c r="AP49" i="7"/>
  <c r="AJ49" i="7"/>
  <c r="AI49" i="7"/>
  <c r="M49" i="7"/>
  <c r="AQ48" i="7"/>
  <c r="AQ51" i="7" s="1"/>
  <c r="AP48" i="7"/>
  <c r="AP51" i="7" s="1"/>
  <c r="AJ48" i="7"/>
  <c r="AI48" i="7"/>
  <c r="AI51" i="7" s="1"/>
  <c r="M48" i="7"/>
  <c r="AV47" i="7"/>
  <c r="AS47" i="7"/>
  <c r="AL47" i="7"/>
  <c r="AM47" i="7" s="1"/>
  <c r="K47" i="7"/>
  <c r="I47" i="7"/>
  <c r="F47" i="7"/>
  <c r="D47" i="7"/>
  <c r="AQ46" i="7"/>
  <c r="AP46" i="7"/>
  <c r="AJ46" i="7"/>
  <c r="AI46" i="7"/>
  <c r="M46" i="7"/>
  <c r="AQ45" i="7"/>
  <c r="AP45" i="7"/>
  <c r="AJ45" i="7"/>
  <c r="AI45" i="7"/>
  <c r="M45" i="7"/>
  <c r="AQ44" i="7"/>
  <c r="AQ47" i="7" s="1"/>
  <c r="AP44" i="7"/>
  <c r="AP47" i="7" s="1"/>
  <c r="AJ44" i="7"/>
  <c r="AI44" i="7"/>
  <c r="AI47" i="7" s="1"/>
  <c r="M44" i="7"/>
  <c r="AV43" i="7"/>
  <c r="AS43" i="7"/>
  <c r="AL43" i="7"/>
  <c r="AM43" i="7" s="1"/>
  <c r="K43" i="7"/>
  <c r="I43" i="7"/>
  <c r="F43" i="7"/>
  <c r="D43" i="7"/>
  <c r="AQ42" i="7"/>
  <c r="AP42" i="7"/>
  <c r="AJ42" i="7"/>
  <c r="AI42" i="7"/>
  <c r="M42" i="7"/>
  <c r="AQ41" i="7"/>
  <c r="AP41" i="7"/>
  <c r="AJ41" i="7"/>
  <c r="AI41" i="7"/>
  <c r="M41" i="7"/>
  <c r="AQ40" i="7"/>
  <c r="AQ43" i="7" s="1"/>
  <c r="AP40" i="7"/>
  <c r="AP43" i="7" s="1"/>
  <c r="AJ40" i="7"/>
  <c r="AI40" i="7"/>
  <c r="AI43" i="7" s="1"/>
  <c r="M40" i="7"/>
  <c r="AV39" i="7"/>
  <c r="AS39" i="7"/>
  <c r="AL39" i="7"/>
  <c r="AM39" i="7" s="1"/>
  <c r="K39" i="7"/>
  <c r="I39" i="7"/>
  <c r="F39" i="7"/>
  <c r="D39" i="7"/>
  <c r="AQ38" i="7"/>
  <c r="AP38" i="7"/>
  <c r="AJ38" i="7"/>
  <c r="AI38" i="7"/>
  <c r="M38" i="7"/>
  <c r="AQ37" i="7"/>
  <c r="AP37" i="7"/>
  <c r="AJ37" i="7"/>
  <c r="AI37" i="7"/>
  <c r="M37" i="7"/>
  <c r="AQ36" i="7"/>
  <c r="AQ39" i="7" s="1"/>
  <c r="AP36" i="7"/>
  <c r="AP39" i="7" s="1"/>
  <c r="AJ36" i="7"/>
  <c r="AI36" i="7"/>
  <c r="AI39" i="7" s="1"/>
  <c r="M36" i="7"/>
  <c r="AV35" i="7"/>
  <c r="AS35" i="7"/>
  <c r="AL35" i="7"/>
  <c r="AM35" i="7" s="1"/>
  <c r="K35" i="7"/>
  <c r="I35" i="7"/>
  <c r="F35" i="7"/>
  <c r="D35" i="7"/>
  <c r="AQ34" i="7"/>
  <c r="AP34" i="7"/>
  <c r="AJ34" i="7"/>
  <c r="AI34" i="7"/>
  <c r="M34" i="7"/>
  <c r="AQ33" i="7"/>
  <c r="AP33" i="7"/>
  <c r="AJ33" i="7"/>
  <c r="AI33" i="7"/>
  <c r="M33" i="7"/>
  <c r="AQ32" i="7"/>
  <c r="AQ35" i="7" s="1"/>
  <c r="AP32" i="7"/>
  <c r="AP35" i="7" s="1"/>
  <c r="AJ32" i="7"/>
  <c r="AI32" i="7"/>
  <c r="AI35" i="7" s="1"/>
  <c r="M32" i="7"/>
  <c r="AV31" i="7"/>
  <c r="AS31" i="7"/>
  <c r="AL31" i="7"/>
  <c r="AM31" i="7" s="1"/>
  <c r="K31" i="7"/>
  <c r="I31" i="7"/>
  <c r="F31" i="7"/>
  <c r="D31" i="7"/>
  <c r="AQ30" i="7"/>
  <c r="AP30" i="7"/>
  <c r="AJ30" i="7"/>
  <c r="AI30" i="7"/>
  <c r="M30" i="7"/>
  <c r="AQ29" i="7"/>
  <c r="AP29" i="7"/>
  <c r="AJ29" i="7"/>
  <c r="AI29" i="7"/>
  <c r="M29" i="7"/>
  <c r="AT28" i="7"/>
  <c r="AT29" i="7" s="1"/>
  <c r="AT30" i="7" s="1"/>
  <c r="AQ28" i="7"/>
  <c r="AQ31" i="7" s="1"/>
  <c r="AP28" i="7"/>
  <c r="AP31" i="7" s="1"/>
  <c r="AJ28" i="7"/>
  <c r="AI28" i="7"/>
  <c r="AI31" i="7" s="1"/>
  <c r="M28" i="7"/>
  <c r="AV27" i="7"/>
  <c r="AS27" i="7"/>
  <c r="AL27" i="7"/>
  <c r="AM27" i="7" s="1"/>
  <c r="K27" i="7"/>
  <c r="I27" i="7"/>
  <c r="F27" i="7"/>
  <c r="D27" i="7"/>
  <c r="AQ26" i="7"/>
  <c r="AP26" i="7"/>
  <c r="AJ26" i="7"/>
  <c r="AI26" i="7"/>
  <c r="M26" i="7"/>
  <c r="AQ25" i="7"/>
  <c r="AP25" i="7"/>
  <c r="AJ25" i="7"/>
  <c r="AI25" i="7"/>
  <c r="M25" i="7"/>
  <c r="AQ24" i="7"/>
  <c r="AQ27" i="7" s="1"/>
  <c r="AP24" i="7"/>
  <c r="AP27" i="7" s="1"/>
  <c r="AJ24" i="7"/>
  <c r="AI24" i="7"/>
  <c r="AI27" i="7" s="1"/>
  <c r="M24" i="7"/>
  <c r="AV23" i="7"/>
  <c r="AS23" i="7"/>
  <c r="AL23" i="7"/>
  <c r="AM23" i="7" s="1"/>
  <c r="K23" i="7"/>
  <c r="I23" i="7"/>
  <c r="F23" i="7"/>
  <c r="D23" i="7"/>
  <c r="AQ22" i="7"/>
  <c r="AP22" i="7"/>
  <c r="AJ22" i="7"/>
  <c r="AI22" i="7"/>
  <c r="M22" i="7"/>
  <c r="AQ21" i="7"/>
  <c r="AP21" i="7"/>
  <c r="AJ21" i="7"/>
  <c r="AI21" i="7"/>
  <c r="M21" i="7"/>
  <c r="AQ20" i="7"/>
  <c r="AQ23" i="7" s="1"/>
  <c r="AP20" i="7"/>
  <c r="AP23" i="7" s="1"/>
  <c r="AJ20" i="7"/>
  <c r="AI20" i="7"/>
  <c r="AI23" i="7" s="1"/>
  <c r="M20" i="7"/>
  <c r="AV19" i="7"/>
  <c r="AS19" i="7"/>
  <c r="AL19" i="7"/>
  <c r="AM19" i="7" s="1"/>
  <c r="K19" i="7"/>
  <c r="I19" i="7"/>
  <c r="F19" i="7"/>
  <c r="D19" i="7"/>
  <c r="AQ18" i="7"/>
  <c r="AP18" i="7"/>
  <c r="AJ18" i="7"/>
  <c r="AI18" i="7"/>
  <c r="M18" i="7"/>
  <c r="AQ17" i="7"/>
  <c r="AP17" i="7"/>
  <c r="AJ17" i="7"/>
  <c r="AI17" i="7"/>
  <c r="M17" i="7"/>
  <c r="AQ16" i="7"/>
  <c r="AQ19" i="7" s="1"/>
  <c r="AP16" i="7"/>
  <c r="AP19" i="7" s="1"/>
  <c r="AJ16" i="7"/>
  <c r="AI16" i="7"/>
  <c r="AI19" i="7" s="1"/>
  <c r="M16" i="7"/>
  <c r="AV15" i="7"/>
  <c r="AS15" i="7"/>
  <c r="AL15" i="7"/>
  <c r="AM15" i="7" s="1"/>
  <c r="K15" i="7"/>
  <c r="I15" i="7"/>
  <c r="F15" i="7"/>
  <c r="D15" i="7"/>
  <c r="AQ14" i="7"/>
  <c r="AP14" i="7"/>
  <c r="AJ14" i="7"/>
  <c r="AI14" i="7"/>
  <c r="M14" i="7"/>
  <c r="AQ13" i="7"/>
  <c r="AP13" i="7"/>
  <c r="AJ13" i="7"/>
  <c r="AI13" i="7"/>
  <c r="M13" i="7"/>
  <c r="AQ12" i="7"/>
  <c r="AQ15" i="7" s="1"/>
  <c r="AP12" i="7"/>
  <c r="AP15" i="7" s="1"/>
  <c r="AI12" i="7"/>
  <c r="AI15" i="7" s="1"/>
  <c r="M12" i="7"/>
  <c r="AV11" i="7"/>
  <c r="AS11" i="7"/>
  <c r="AL11" i="7"/>
  <c r="AM11" i="7" s="1"/>
  <c r="K11" i="7"/>
  <c r="I11" i="7"/>
  <c r="F11" i="7"/>
  <c r="D11" i="7"/>
  <c r="AQ10" i="7"/>
  <c r="AP10" i="7"/>
  <c r="AJ10" i="7"/>
  <c r="AI10" i="7"/>
  <c r="M10" i="7"/>
  <c r="AQ9" i="7"/>
  <c r="AP9" i="7"/>
  <c r="AJ9" i="7"/>
  <c r="AI9" i="7"/>
  <c r="M9" i="7"/>
  <c r="AQ8" i="7"/>
  <c r="AQ11" i="7" s="1"/>
  <c r="AP8" i="7"/>
  <c r="AP11" i="7" s="1"/>
  <c r="AJ8" i="7"/>
  <c r="AI8" i="7"/>
  <c r="AI11" i="7" s="1"/>
  <c r="M8" i="7"/>
  <c r="AV7" i="7"/>
  <c r="AS7" i="7"/>
  <c r="AL7" i="7"/>
  <c r="AM7" i="7" s="1"/>
  <c r="K7" i="7"/>
  <c r="I7" i="7"/>
  <c r="F7" i="7"/>
  <c r="D7" i="7"/>
  <c r="AQ6" i="7"/>
  <c r="AP6" i="7"/>
  <c r="AJ6" i="7"/>
  <c r="AI6" i="7"/>
  <c r="M6" i="7"/>
  <c r="AQ5" i="7"/>
  <c r="AP5" i="7"/>
  <c r="AJ5" i="7"/>
  <c r="AI5" i="7"/>
  <c r="M5" i="7"/>
  <c r="AT4" i="7"/>
  <c r="AT5" i="7" s="1"/>
  <c r="AT6" i="7" s="1"/>
  <c r="AQ4" i="7"/>
  <c r="AQ7" i="7" s="1"/>
  <c r="AP4" i="7"/>
  <c r="AP7" i="7" s="1"/>
  <c r="AJ4" i="7"/>
  <c r="AI4" i="7"/>
  <c r="AI7" i="7" s="1"/>
  <c r="M4" i="7"/>
  <c r="AV123" i="6"/>
  <c r="AS123" i="6"/>
  <c r="AL123" i="6"/>
  <c r="AM123" i="6" s="1"/>
  <c r="K123" i="6"/>
  <c r="I123" i="6"/>
  <c r="F123" i="6"/>
  <c r="D123" i="6"/>
  <c r="AQ122" i="6"/>
  <c r="AP122" i="6"/>
  <c r="AJ122" i="6"/>
  <c r="AI122" i="6"/>
  <c r="M122" i="6"/>
  <c r="AQ121" i="6"/>
  <c r="AP121" i="6"/>
  <c r="AJ121" i="6"/>
  <c r="AI121" i="6"/>
  <c r="M121" i="6"/>
  <c r="AQ120" i="6"/>
  <c r="AQ123" i="6" s="1"/>
  <c r="AP120" i="6"/>
  <c r="AP123" i="6" s="1"/>
  <c r="AJ120" i="6"/>
  <c r="AI120" i="6"/>
  <c r="AI123" i="6" s="1"/>
  <c r="M120" i="6"/>
  <c r="AV119" i="6"/>
  <c r="AS119" i="6"/>
  <c r="AL119" i="6"/>
  <c r="AM119" i="6" s="1"/>
  <c r="K119" i="6"/>
  <c r="I119" i="6"/>
  <c r="F119" i="6"/>
  <c r="D119" i="6"/>
  <c r="AQ118" i="6"/>
  <c r="AP118" i="6"/>
  <c r="AJ118" i="6"/>
  <c r="AI118" i="6"/>
  <c r="M118" i="6"/>
  <c r="AQ117" i="6"/>
  <c r="AP117" i="6"/>
  <c r="AJ117" i="6"/>
  <c r="AI117" i="6"/>
  <c r="M117" i="6"/>
  <c r="AQ116" i="6"/>
  <c r="AQ119" i="6" s="1"/>
  <c r="AP116" i="6"/>
  <c r="AP119" i="6" s="1"/>
  <c r="AJ116" i="6"/>
  <c r="AI116" i="6"/>
  <c r="AI119" i="6" s="1"/>
  <c r="M116" i="6"/>
  <c r="AV115" i="6"/>
  <c r="AS115" i="6"/>
  <c r="AL115" i="6"/>
  <c r="AM115" i="6" s="1"/>
  <c r="K115" i="6"/>
  <c r="I115" i="6"/>
  <c r="F115" i="6"/>
  <c r="D115" i="6"/>
  <c r="AQ114" i="6"/>
  <c r="AP114" i="6"/>
  <c r="AJ114" i="6"/>
  <c r="AI114" i="6"/>
  <c r="M114" i="6"/>
  <c r="AQ113" i="6"/>
  <c r="AP113" i="6"/>
  <c r="AJ113" i="6"/>
  <c r="AI113" i="6"/>
  <c r="M113" i="6"/>
  <c r="AQ112" i="6"/>
  <c r="AQ115" i="6" s="1"/>
  <c r="AP112" i="6"/>
  <c r="AP115" i="6" s="1"/>
  <c r="AJ112" i="6"/>
  <c r="AI112" i="6"/>
  <c r="AI115" i="6" s="1"/>
  <c r="M112" i="6"/>
  <c r="AV111" i="6"/>
  <c r="AS111" i="6"/>
  <c r="AL111" i="6"/>
  <c r="AM111" i="6" s="1"/>
  <c r="K111" i="6"/>
  <c r="I111" i="6"/>
  <c r="F111" i="6"/>
  <c r="D111" i="6"/>
  <c r="AQ110" i="6"/>
  <c r="AP110" i="6"/>
  <c r="AJ110" i="6"/>
  <c r="AI110" i="6"/>
  <c r="M110" i="6"/>
  <c r="AQ109" i="6"/>
  <c r="AP109" i="6"/>
  <c r="AJ109" i="6"/>
  <c r="AI109" i="6"/>
  <c r="M109" i="6"/>
  <c r="AQ108" i="6"/>
  <c r="AQ111" i="6" s="1"/>
  <c r="AP108" i="6"/>
  <c r="AP111" i="6" s="1"/>
  <c r="AJ108" i="6"/>
  <c r="AI108" i="6"/>
  <c r="AI111" i="6" s="1"/>
  <c r="M108" i="6"/>
  <c r="AV107" i="6"/>
  <c r="AS107" i="6"/>
  <c r="AL107" i="6"/>
  <c r="AM107" i="6" s="1"/>
  <c r="K107" i="6"/>
  <c r="I107" i="6"/>
  <c r="F107" i="6"/>
  <c r="D107" i="6"/>
  <c r="AQ106" i="6"/>
  <c r="AP106" i="6"/>
  <c r="AJ106" i="6"/>
  <c r="AI106" i="6"/>
  <c r="M106" i="6"/>
  <c r="AQ105" i="6"/>
  <c r="AP105" i="6"/>
  <c r="AJ105" i="6"/>
  <c r="AI105" i="6"/>
  <c r="M105" i="6"/>
  <c r="AQ104" i="6"/>
  <c r="AQ107" i="6" s="1"/>
  <c r="AP104" i="6"/>
  <c r="AP107" i="6" s="1"/>
  <c r="AJ104" i="6"/>
  <c r="AI104" i="6"/>
  <c r="AI107" i="6" s="1"/>
  <c r="M104" i="6"/>
  <c r="AV103" i="6"/>
  <c r="AS103" i="6"/>
  <c r="AL103" i="6"/>
  <c r="AM103" i="6" s="1"/>
  <c r="K103" i="6"/>
  <c r="I103" i="6"/>
  <c r="F103" i="6"/>
  <c r="D103" i="6"/>
  <c r="AQ102" i="6"/>
  <c r="AP102" i="6"/>
  <c r="AJ102" i="6"/>
  <c r="AI102" i="6"/>
  <c r="M102" i="6"/>
  <c r="AQ101" i="6"/>
  <c r="AP101" i="6"/>
  <c r="AJ101" i="6"/>
  <c r="AI101" i="6"/>
  <c r="M101" i="6"/>
  <c r="AQ100" i="6"/>
  <c r="AQ103" i="6" s="1"/>
  <c r="AP100" i="6"/>
  <c r="AP103" i="6" s="1"/>
  <c r="AJ100" i="6"/>
  <c r="AI100" i="6"/>
  <c r="AI103" i="6" s="1"/>
  <c r="M100" i="6"/>
  <c r="AV99" i="6"/>
  <c r="AS99" i="6"/>
  <c r="AL99" i="6"/>
  <c r="AM99" i="6" s="1"/>
  <c r="K99" i="6"/>
  <c r="I99" i="6"/>
  <c r="F99" i="6"/>
  <c r="D99" i="6"/>
  <c r="AQ98" i="6"/>
  <c r="AP98" i="6"/>
  <c r="AJ98" i="6"/>
  <c r="AI98" i="6"/>
  <c r="M98" i="6"/>
  <c r="AQ97" i="6"/>
  <c r="AP97" i="6"/>
  <c r="AJ97" i="6"/>
  <c r="AI97" i="6"/>
  <c r="M97" i="6"/>
  <c r="AQ96" i="6"/>
  <c r="AQ99" i="6" s="1"/>
  <c r="AP96" i="6"/>
  <c r="AP99" i="6" s="1"/>
  <c r="AJ96" i="6"/>
  <c r="AI96" i="6"/>
  <c r="AI99" i="6" s="1"/>
  <c r="M96" i="6"/>
  <c r="AV95" i="6"/>
  <c r="AS95" i="6"/>
  <c r="AL95" i="6"/>
  <c r="AM95" i="6" s="1"/>
  <c r="K95" i="6"/>
  <c r="I95" i="6"/>
  <c r="F95" i="6"/>
  <c r="D95" i="6"/>
  <c r="AQ94" i="6"/>
  <c r="AP94" i="6"/>
  <c r="AJ94" i="6"/>
  <c r="AI94" i="6"/>
  <c r="M94" i="6"/>
  <c r="AQ93" i="6"/>
  <c r="AP93" i="6"/>
  <c r="AJ93" i="6"/>
  <c r="AI93" i="6"/>
  <c r="M93" i="6"/>
  <c r="AQ92" i="6"/>
  <c r="AQ95" i="6" s="1"/>
  <c r="AP92" i="6"/>
  <c r="AP95" i="6" s="1"/>
  <c r="AJ92" i="6"/>
  <c r="AI92" i="6"/>
  <c r="AI95" i="6" s="1"/>
  <c r="M92" i="6"/>
  <c r="AV91" i="6"/>
  <c r="AS91" i="6"/>
  <c r="AL91" i="6"/>
  <c r="AM91" i="6" s="1"/>
  <c r="K91" i="6"/>
  <c r="I91" i="6"/>
  <c r="F91" i="6"/>
  <c r="D91" i="6"/>
  <c r="AQ90" i="6"/>
  <c r="AP90" i="6"/>
  <c r="AJ90" i="6"/>
  <c r="AI90" i="6"/>
  <c r="M90" i="6"/>
  <c r="AQ89" i="6"/>
  <c r="AP89" i="6"/>
  <c r="AJ89" i="6"/>
  <c r="AI89" i="6"/>
  <c r="M89" i="6"/>
  <c r="AQ88" i="6"/>
  <c r="AQ91" i="6" s="1"/>
  <c r="AP88" i="6"/>
  <c r="AP91" i="6" s="1"/>
  <c r="AJ88" i="6"/>
  <c r="AI88" i="6"/>
  <c r="AI91" i="6" s="1"/>
  <c r="M88" i="6"/>
  <c r="AV87" i="6"/>
  <c r="AS87" i="6"/>
  <c r="AL87" i="6"/>
  <c r="AM87" i="6" s="1"/>
  <c r="K87" i="6"/>
  <c r="I87" i="6"/>
  <c r="F87" i="6"/>
  <c r="D87" i="6"/>
  <c r="AQ86" i="6"/>
  <c r="AP86" i="6"/>
  <c r="AJ86" i="6"/>
  <c r="AI86" i="6"/>
  <c r="M86" i="6"/>
  <c r="AQ85" i="6"/>
  <c r="AP85" i="6"/>
  <c r="AJ85" i="6"/>
  <c r="AI85" i="6"/>
  <c r="M85" i="6"/>
  <c r="AQ84" i="6"/>
  <c r="AQ87" i="6" s="1"/>
  <c r="AP84" i="6"/>
  <c r="AP87" i="6" s="1"/>
  <c r="AJ84" i="6"/>
  <c r="AI84" i="6"/>
  <c r="AI87" i="6" s="1"/>
  <c r="M84" i="6"/>
  <c r="AV83" i="6"/>
  <c r="AS83" i="6"/>
  <c r="AL83" i="6"/>
  <c r="AM83" i="6" s="1"/>
  <c r="K83" i="6"/>
  <c r="I83" i="6"/>
  <c r="F83" i="6"/>
  <c r="D83" i="6"/>
  <c r="AQ82" i="6"/>
  <c r="AP82" i="6"/>
  <c r="AJ82" i="6"/>
  <c r="AI82" i="6"/>
  <c r="M82" i="6"/>
  <c r="AQ81" i="6"/>
  <c r="AP81" i="6"/>
  <c r="AJ81" i="6"/>
  <c r="AI81" i="6"/>
  <c r="M81" i="6"/>
  <c r="AQ80" i="6"/>
  <c r="AQ83" i="6" s="1"/>
  <c r="AP80" i="6"/>
  <c r="AP83" i="6" s="1"/>
  <c r="AJ80" i="6"/>
  <c r="AI80" i="6"/>
  <c r="AI83" i="6" s="1"/>
  <c r="M80" i="6"/>
  <c r="AV79" i="6"/>
  <c r="AS79" i="6"/>
  <c r="AL79" i="6"/>
  <c r="AM79" i="6" s="1"/>
  <c r="K79" i="6"/>
  <c r="I79" i="6"/>
  <c r="F79" i="6"/>
  <c r="D79" i="6"/>
  <c r="AQ78" i="6"/>
  <c r="AP78" i="6"/>
  <c r="AJ78" i="6"/>
  <c r="AI78" i="6"/>
  <c r="M78" i="6"/>
  <c r="AQ77" i="6"/>
  <c r="AP77" i="6"/>
  <c r="AJ77" i="6"/>
  <c r="AI77" i="6"/>
  <c r="M77" i="6"/>
  <c r="AQ76" i="6"/>
  <c r="AQ79" i="6" s="1"/>
  <c r="AP76" i="6"/>
  <c r="AP79" i="6" s="1"/>
  <c r="AJ76" i="6"/>
  <c r="AI76" i="6"/>
  <c r="AI79" i="6" s="1"/>
  <c r="M76" i="6"/>
  <c r="AV75" i="6"/>
  <c r="AS75" i="6"/>
  <c r="AL75" i="6"/>
  <c r="AM75" i="6" s="1"/>
  <c r="K75" i="6"/>
  <c r="I75" i="6"/>
  <c r="F75" i="6"/>
  <c r="D75" i="6"/>
  <c r="AQ74" i="6"/>
  <c r="AP74" i="6"/>
  <c r="AJ74" i="6"/>
  <c r="AI74" i="6"/>
  <c r="M74" i="6"/>
  <c r="AQ73" i="6"/>
  <c r="AP73" i="6"/>
  <c r="AJ73" i="6"/>
  <c r="AI73" i="6"/>
  <c r="M73" i="6"/>
  <c r="AQ72" i="6"/>
  <c r="AQ75" i="6" s="1"/>
  <c r="AP72" i="6"/>
  <c r="AP75" i="6" s="1"/>
  <c r="AJ72" i="6"/>
  <c r="AI72" i="6"/>
  <c r="AI75" i="6" s="1"/>
  <c r="M72" i="6"/>
  <c r="AV71" i="6"/>
  <c r="AS71" i="6"/>
  <c r="AL71" i="6"/>
  <c r="AM71" i="6" s="1"/>
  <c r="K71" i="6"/>
  <c r="I71" i="6"/>
  <c r="F71" i="6"/>
  <c r="D71" i="6"/>
  <c r="AQ70" i="6"/>
  <c r="AP70" i="6"/>
  <c r="AJ70" i="6"/>
  <c r="AI70" i="6"/>
  <c r="M70" i="6"/>
  <c r="AQ69" i="6"/>
  <c r="AP69" i="6"/>
  <c r="AJ69" i="6"/>
  <c r="AI69" i="6"/>
  <c r="M69" i="6"/>
  <c r="AQ68" i="6"/>
  <c r="AQ71" i="6" s="1"/>
  <c r="AP68" i="6"/>
  <c r="AP71" i="6" s="1"/>
  <c r="AJ68" i="6"/>
  <c r="AI68" i="6"/>
  <c r="AI71" i="6" s="1"/>
  <c r="M68" i="6"/>
  <c r="AV67" i="6"/>
  <c r="AS67" i="6"/>
  <c r="AL67" i="6"/>
  <c r="AM67" i="6" s="1"/>
  <c r="K67" i="6"/>
  <c r="I67" i="6"/>
  <c r="F67" i="6"/>
  <c r="D67" i="6"/>
  <c r="AQ66" i="6"/>
  <c r="AP66" i="6"/>
  <c r="AJ66" i="6"/>
  <c r="AI66" i="6"/>
  <c r="M66" i="6"/>
  <c r="AQ65" i="6"/>
  <c r="AP65" i="6"/>
  <c r="AJ65" i="6"/>
  <c r="AI65" i="6"/>
  <c r="M65" i="6"/>
  <c r="AQ64" i="6"/>
  <c r="AQ67" i="6" s="1"/>
  <c r="AP64" i="6"/>
  <c r="AP67" i="6" s="1"/>
  <c r="AJ64" i="6"/>
  <c r="AI64" i="6"/>
  <c r="AI67" i="6" s="1"/>
  <c r="M64" i="6"/>
  <c r="AV63" i="6"/>
  <c r="AS63" i="6"/>
  <c r="AL63" i="6"/>
  <c r="AM63" i="6" s="1"/>
  <c r="K63" i="6"/>
  <c r="I63" i="6"/>
  <c r="F63" i="6"/>
  <c r="D63" i="6"/>
  <c r="AQ62" i="6"/>
  <c r="AP62" i="6"/>
  <c r="AJ62" i="6"/>
  <c r="AI62" i="6"/>
  <c r="M62" i="6"/>
  <c r="AQ61" i="6"/>
  <c r="AP61" i="6"/>
  <c r="AJ61" i="6"/>
  <c r="AI61" i="6"/>
  <c r="M61" i="6"/>
  <c r="AQ60" i="6"/>
  <c r="AQ63" i="6" s="1"/>
  <c r="AP60" i="6"/>
  <c r="AP63" i="6" s="1"/>
  <c r="AJ60" i="6"/>
  <c r="AI60" i="6"/>
  <c r="AI63" i="6" s="1"/>
  <c r="M60" i="6"/>
  <c r="AV59" i="6"/>
  <c r="AS59" i="6"/>
  <c r="AL59" i="6"/>
  <c r="AM59" i="6" s="1"/>
  <c r="K59" i="6"/>
  <c r="I59" i="6"/>
  <c r="F59" i="6"/>
  <c r="D59" i="6"/>
  <c r="AQ58" i="6"/>
  <c r="AP58" i="6"/>
  <c r="AJ58" i="6"/>
  <c r="AI58" i="6"/>
  <c r="M58" i="6"/>
  <c r="AQ57" i="6"/>
  <c r="AP57" i="6"/>
  <c r="AJ57" i="6"/>
  <c r="AI57" i="6"/>
  <c r="M57" i="6"/>
  <c r="AQ56" i="6"/>
  <c r="AQ59" i="6" s="1"/>
  <c r="AP56" i="6"/>
  <c r="AP59" i="6" s="1"/>
  <c r="AJ56" i="6"/>
  <c r="AI56" i="6"/>
  <c r="AI59" i="6" s="1"/>
  <c r="M56" i="6"/>
  <c r="AV55" i="6"/>
  <c r="AS55" i="6"/>
  <c r="AL55" i="6"/>
  <c r="AM55" i="6" s="1"/>
  <c r="K55" i="6"/>
  <c r="I55" i="6"/>
  <c r="F55" i="6"/>
  <c r="D55" i="6"/>
  <c r="AQ54" i="6"/>
  <c r="AP54" i="6"/>
  <c r="AJ54" i="6"/>
  <c r="AI54" i="6"/>
  <c r="M54" i="6"/>
  <c r="AT53" i="6"/>
  <c r="AT54" i="6" s="1"/>
  <c r="AQ53" i="6"/>
  <c r="AP53" i="6"/>
  <c r="AJ53" i="6"/>
  <c r="AI53" i="6"/>
  <c r="M53" i="6"/>
  <c r="AQ52" i="6"/>
  <c r="AQ55" i="6" s="1"/>
  <c r="AP52" i="6"/>
  <c r="AP55" i="6" s="1"/>
  <c r="AJ52" i="6"/>
  <c r="AI52" i="6"/>
  <c r="AI55" i="6" s="1"/>
  <c r="M52" i="6"/>
  <c r="AV51" i="6"/>
  <c r="AS51" i="6"/>
  <c r="AL51" i="6"/>
  <c r="AM51" i="6" s="1"/>
  <c r="K51" i="6"/>
  <c r="I51" i="6"/>
  <c r="F51" i="6"/>
  <c r="D51" i="6"/>
  <c r="AQ50" i="6"/>
  <c r="AP50" i="6"/>
  <c r="AJ50" i="6"/>
  <c r="AI50" i="6"/>
  <c r="M50" i="6"/>
  <c r="AQ49" i="6"/>
  <c r="AP49" i="6"/>
  <c r="AJ49" i="6"/>
  <c r="AI49" i="6"/>
  <c r="M49" i="6"/>
  <c r="AQ48" i="6"/>
  <c r="AQ51" i="6" s="1"/>
  <c r="AP48" i="6"/>
  <c r="AP51" i="6" s="1"/>
  <c r="AJ48" i="6"/>
  <c r="AI48" i="6"/>
  <c r="AI51" i="6" s="1"/>
  <c r="M48" i="6"/>
  <c r="AV47" i="6"/>
  <c r="AS47" i="6"/>
  <c r="AL47" i="6"/>
  <c r="AM47" i="6" s="1"/>
  <c r="K47" i="6"/>
  <c r="I47" i="6"/>
  <c r="F47" i="6"/>
  <c r="D47" i="6"/>
  <c r="AQ46" i="6"/>
  <c r="AP46" i="6"/>
  <c r="AJ46" i="6"/>
  <c r="AI46" i="6"/>
  <c r="M46" i="6"/>
  <c r="AQ45" i="6"/>
  <c r="AP45" i="6"/>
  <c r="AJ45" i="6"/>
  <c r="AI45" i="6"/>
  <c r="M45" i="6"/>
  <c r="AQ44" i="6"/>
  <c r="AQ47" i="6" s="1"/>
  <c r="AP44" i="6"/>
  <c r="AP47" i="6" s="1"/>
  <c r="AJ44" i="6"/>
  <c r="AI44" i="6"/>
  <c r="AI47" i="6" s="1"/>
  <c r="M44" i="6"/>
  <c r="AV43" i="6"/>
  <c r="AS43" i="6"/>
  <c r="AL43" i="6"/>
  <c r="AM43" i="6" s="1"/>
  <c r="K43" i="6"/>
  <c r="I43" i="6"/>
  <c r="F43" i="6"/>
  <c r="D43" i="6"/>
  <c r="AQ42" i="6"/>
  <c r="AP42" i="6"/>
  <c r="AJ42" i="6"/>
  <c r="AI42" i="6"/>
  <c r="M42" i="6"/>
  <c r="AQ41" i="6"/>
  <c r="AP41" i="6"/>
  <c r="AJ41" i="6"/>
  <c r="AI41" i="6"/>
  <c r="M41" i="6"/>
  <c r="AQ40" i="6"/>
  <c r="AQ43" i="6" s="1"/>
  <c r="AP40" i="6"/>
  <c r="AP43" i="6" s="1"/>
  <c r="AJ40" i="6"/>
  <c r="AI40" i="6"/>
  <c r="AI43" i="6" s="1"/>
  <c r="M40" i="6"/>
  <c r="AV39" i="6"/>
  <c r="AS39" i="6"/>
  <c r="AL39" i="6"/>
  <c r="AM39" i="6" s="1"/>
  <c r="K39" i="6"/>
  <c r="I39" i="6"/>
  <c r="F39" i="6"/>
  <c r="D39" i="6"/>
  <c r="AQ38" i="6"/>
  <c r="AP38" i="6"/>
  <c r="AJ38" i="6"/>
  <c r="AI38" i="6"/>
  <c r="M38" i="6"/>
  <c r="AQ37" i="6"/>
  <c r="AP37" i="6"/>
  <c r="AJ37" i="6"/>
  <c r="AI37" i="6"/>
  <c r="M37" i="6"/>
  <c r="AQ36" i="6"/>
  <c r="AQ39" i="6" s="1"/>
  <c r="AP36" i="6"/>
  <c r="AP39" i="6" s="1"/>
  <c r="AJ36" i="6"/>
  <c r="AI36" i="6"/>
  <c r="AI39" i="6" s="1"/>
  <c r="M36" i="6"/>
  <c r="AV35" i="6"/>
  <c r="AS35" i="6"/>
  <c r="AL35" i="6"/>
  <c r="AM35" i="6" s="1"/>
  <c r="K35" i="6"/>
  <c r="I35" i="6"/>
  <c r="F35" i="6"/>
  <c r="D35" i="6"/>
  <c r="AQ34" i="6"/>
  <c r="AP34" i="6"/>
  <c r="AJ34" i="6"/>
  <c r="AI34" i="6"/>
  <c r="M34" i="6"/>
  <c r="AQ33" i="6"/>
  <c r="AP33" i="6"/>
  <c r="AJ33" i="6"/>
  <c r="AI33" i="6"/>
  <c r="M33" i="6"/>
  <c r="AQ32" i="6"/>
  <c r="AQ35" i="6" s="1"/>
  <c r="AP32" i="6"/>
  <c r="AP35" i="6" s="1"/>
  <c r="AJ32" i="6"/>
  <c r="AI32" i="6"/>
  <c r="AI35" i="6" s="1"/>
  <c r="M32" i="6"/>
  <c r="AV31" i="6"/>
  <c r="AS31" i="6"/>
  <c r="AL31" i="6"/>
  <c r="AM31" i="6" s="1"/>
  <c r="K31" i="6"/>
  <c r="I31" i="6"/>
  <c r="F31" i="6"/>
  <c r="D31" i="6"/>
  <c r="AQ30" i="6"/>
  <c r="AP30" i="6"/>
  <c r="AJ30" i="6"/>
  <c r="AI30" i="6"/>
  <c r="M30" i="6"/>
  <c r="AQ29" i="6"/>
  <c r="AP29" i="6"/>
  <c r="AJ29" i="6"/>
  <c r="AI29" i="6"/>
  <c r="M29" i="6"/>
  <c r="AQ28" i="6"/>
  <c r="AQ31" i="6" s="1"/>
  <c r="AP28" i="6"/>
  <c r="AP31" i="6" s="1"/>
  <c r="AJ28" i="6"/>
  <c r="AI28" i="6"/>
  <c r="AI31" i="6" s="1"/>
  <c r="M28" i="6"/>
  <c r="AV27" i="6"/>
  <c r="AS27" i="6"/>
  <c r="AL27" i="6"/>
  <c r="AM27" i="6" s="1"/>
  <c r="K27" i="6"/>
  <c r="I27" i="6"/>
  <c r="F27" i="6"/>
  <c r="D27" i="6"/>
  <c r="AQ26" i="6"/>
  <c r="AP26" i="6"/>
  <c r="AJ26" i="6"/>
  <c r="AI26" i="6"/>
  <c r="M26" i="6"/>
  <c r="AQ25" i="6"/>
  <c r="AP25" i="6"/>
  <c r="AJ25" i="6"/>
  <c r="AI25" i="6"/>
  <c r="M25" i="6"/>
  <c r="AQ24" i="6"/>
  <c r="AQ27" i="6" s="1"/>
  <c r="AP24" i="6"/>
  <c r="AP27" i="6" s="1"/>
  <c r="AJ24" i="6"/>
  <c r="AI24" i="6"/>
  <c r="AI27" i="6" s="1"/>
  <c r="M24" i="6"/>
  <c r="AV23" i="6"/>
  <c r="AS23" i="6"/>
  <c r="AL23" i="6"/>
  <c r="AM23" i="6" s="1"/>
  <c r="K23" i="6"/>
  <c r="I23" i="6"/>
  <c r="F23" i="6"/>
  <c r="D23" i="6"/>
  <c r="AQ22" i="6"/>
  <c r="AP22" i="6"/>
  <c r="AJ22" i="6"/>
  <c r="AI22" i="6"/>
  <c r="M22" i="6"/>
  <c r="AQ21" i="6"/>
  <c r="AP21" i="6"/>
  <c r="AJ21" i="6"/>
  <c r="AI21" i="6"/>
  <c r="M21" i="6"/>
  <c r="AQ20" i="6"/>
  <c r="AQ23" i="6" s="1"/>
  <c r="AP20" i="6"/>
  <c r="AP23" i="6" s="1"/>
  <c r="AJ20" i="6"/>
  <c r="AI20" i="6"/>
  <c r="AI23" i="6" s="1"/>
  <c r="M20" i="6"/>
  <c r="AV19" i="6"/>
  <c r="AS19" i="6"/>
  <c r="AL19" i="6"/>
  <c r="AM19" i="6" s="1"/>
  <c r="K19" i="6"/>
  <c r="I19" i="6"/>
  <c r="F19" i="6"/>
  <c r="D19" i="6"/>
  <c r="AQ18" i="6"/>
  <c r="AP18" i="6"/>
  <c r="AJ18" i="6"/>
  <c r="AI18" i="6"/>
  <c r="M18" i="6"/>
  <c r="AQ17" i="6"/>
  <c r="AP17" i="6"/>
  <c r="AJ17" i="6"/>
  <c r="AI17" i="6"/>
  <c r="M17" i="6"/>
  <c r="AQ16" i="6"/>
  <c r="AQ19" i="6" s="1"/>
  <c r="AP16" i="6"/>
  <c r="AP19" i="6" s="1"/>
  <c r="AJ16" i="6"/>
  <c r="AI16" i="6"/>
  <c r="AI19" i="6" s="1"/>
  <c r="M16" i="6"/>
  <c r="AV15" i="6"/>
  <c r="AS15" i="6"/>
  <c r="AL15" i="6"/>
  <c r="AM15" i="6" s="1"/>
  <c r="K15" i="6"/>
  <c r="I15" i="6"/>
  <c r="F15" i="6"/>
  <c r="D15" i="6"/>
  <c r="AQ14" i="6"/>
  <c r="AP14" i="6"/>
  <c r="AJ14" i="6"/>
  <c r="AI14" i="6"/>
  <c r="M14" i="6"/>
  <c r="AQ13" i="6"/>
  <c r="AP13" i="6"/>
  <c r="AJ13" i="6"/>
  <c r="AI13" i="6"/>
  <c r="M13" i="6"/>
  <c r="AQ12" i="6"/>
  <c r="AQ15" i="6" s="1"/>
  <c r="AP12" i="6"/>
  <c r="AP15" i="6" s="1"/>
  <c r="AJ12" i="6"/>
  <c r="AI12" i="6"/>
  <c r="AI15" i="6" s="1"/>
  <c r="M12" i="6"/>
  <c r="AV11" i="6"/>
  <c r="AS11" i="6"/>
  <c r="AL11" i="6"/>
  <c r="AM11" i="6" s="1"/>
  <c r="K11" i="6"/>
  <c r="I11" i="6"/>
  <c r="F11" i="6"/>
  <c r="D11" i="6"/>
  <c r="AQ10" i="6"/>
  <c r="AP10" i="6"/>
  <c r="AJ10" i="6"/>
  <c r="AI10" i="6"/>
  <c r="M10" i="6"/>
  <c r="AQ9" i="6"/>
  <c r="AP9" i="6"/>
  <c r="AJ9" i="6"/>
  <c r="AI9" i="6"/>
  <c r="M9" i="6"/>
  <c r="AQ8" i="6"/>
  <c r="AQ11" i="6" s="1"/>
  <c r="AP8" i="6"/>
  <c r="AP11" i="6" s="1"/>
  <c r="AJ8" i="6"/>
  <c r="AI8" i="6"/>
  <c r="AI11" i="6" s="1"/>
  <c r="M8" i="6"/>
  <c r="AV7" i="6"/>
  <c r="AS7" i="6"/>
  <c r="AL7" i="6"/>
  <c r="AM7" i="6" s="1"/>
  <c r="K7" i="6"/>
  <c r="I7" i="6"/>
  <c r="F7" i="6"/>
  <c r="D7" i="6"/>
  <c r="AQ6" i="6"/>
  <c r="AP6" i="6"/>
  <c r="AJ6" i="6"/>
  <c r="AI6" i="6"/>
  <c r="M6" i="6"/>
  <c r="AQ5" i="6"/>
  <c r="AP5" i="6"/>
  <c r="AJ5" i="6"/>
  <c r="AI5" i="6"/>
  <c r="M5" i="6"/>
  <c r="AT4" i="6"/>
  <c r="AT5" i="6" s="1"/>
  <c r="AT6" i="6" s="1"/>
  <c r="AQ4" i="6"/>
  <c r="AQ7" i="6" s="1"/>
  <c r="AP4" i="6"/>
  <c r="AP7" i="6" s="1"/>
  <c r="AJ4" i="6"/>
  <c r="AI4" i="6"/>
  <c r="AI7" i="6" s="1"/>
  <c r="M4" i="6"/>
  <c r="AV127" i="5"/>
  <c r="AS127" i="5"/>
  <c r="AL127" i="5"/>
  <c r="AM127" i="5" s="1"/>
  <c r="K127" i="5"/>
  <c r="I127" i="5"/>
  <c r="F127" i="5"/>
  <c r="D127" i="5"/>
  <c r="AQ126" i="5"/>
  <c r="AP126" i="5"/>
  <c r="AJ126" i="5"/>
  <c r="AI126" i="5"/>
  <c r="M126" i="5"/>
  <c r="AQ125" i="5"/>
  <c r="AP125" i="5"/>
  <c r="AJ125" i="5"/>
  <c r="AI125" i="5"/>
  <c r="M125" i="5"/>
  <c r="AQ124" i="5"/>
  <c r="AQ127" i="5" s="1"/>
  <c r="AP124" i="5"/>
  <c r="AP127" i="5" s="1"/>
  <c r="AJ124" i="5"/>
  <c r="AI124" i="5"/>
  <c r="AI127" i="5" s="1"/>
  <c r="M124" i="5"/>
  <c r="AV123" i="5"/>
  <c r="AS123" i="5"/>
  <c r="AL123" i="5"/>
  <c r="AM123" i="5" s="1"/>
  <c r="K123" i="5"/>
  <c r="I123" i="5"/>
  <c r="F123" i="5"/>
  <c r="D123" i="5"/>
  <c r="AQ122" i="5"/>
  <c r="AP122" i="5"/>
  <c r="AJ122" i="5"/>
  <c r="AI122" i="5"/>
  <c r="M122" i="5"/>
  <c r="AQ121" i="5"/>
  <c r="AP121" i="5"/>
  <c r="AJ121" i="5"/>
  <c r="AI121" i="5"/>
  <c r="M121" i="5"/>
  <c r="AQ120" i="5"/>
  <c r="AQ123" i="5" s="1"/>
  <c r="AP120" i="5"/>
  <c r="AP123" i="5" s="1"/>
  <c r="AJ120" i="5"/>
  <c r="AI120" i="5"/>
  <c r="AI123" i="5" s="1"/>
  <c r="M120" i="5"/>
  <c r="AV119" i="5"/>
  <c r="AS119" i="5"/>
  <c r="AL119" i="5"/>
  <c r="AM119" i="5" s="1"/>
  <c r="K119" i="5"/>
  <c r="I119" i="5"/>
  <c r="F119" i="5"/>
  <c r="D119" i="5"/>
  <c r="AQ118" i="5"/>
  <c r="AP118" i="5"/>
  <c r="AJ118" i="5"/>
  <c r="AI118" i="5"/>
  <c r="M118" i="5"/>
  <c r="AQ117" i="5"/>
  <c r="AP117" i="5"/>
  <c r="AJ117" i="5"/>
  <c r="AI117" i="5"/>
  <c r="M117" i="5"/>
  <c r="AQ116" i="5"/>
  <c r="AQ119" i="5" s="1"/>
  <c r="AP116" i="5"/>
  <c r="AP119" i="5" s="1"/>
  <c r="AJ116" i="5"/>
  <c r="AI116" i="5"/>
  <c r="AI119" i="5" s="1"/>
  <c r="M116" i="5"/>
  <c r="AV115" i="5"/>
  <c r="AS115" i="5"/>
  <c r="AL115" i="5"/>
  <c r="AM115" i="5" s="1"/>
  <c r="K115" i="5"/>
  <c r="I115" i="5"/>
  <c r="F115" i="5"/>
  <c r="D115" i="5"/>
  <c r="AQ114" i="5"/>
  <c r="AP114" i="5"/>
  <c r="AJ114" i="5"/>
  <c r="AI114" i="5"/>
  <c r="M114" i="5"/>
  <c r="AQ113" i="5"/>
  <c r="AP113" i="5"/>
  <c r="AJ113" i="5"/>
  <c r="AI113" i="5"/>
  <c r="M113" i="5"/>
  <c r="AQ112" i="5"/>
  <c r="AQ115" i="5" s="1"/>
  <c r="AP112" i="5"/>
  <c r="AP115" i="5" s="1"/>
  <c r="AJ112" i="5"/>
  <c r="AI112" i="5"/>
  <c r="AI115" i="5" s="1"/>
  <c r="M112" i="5"/>
  <c r="AV111" i="5"/>
  <c r="AS111" i="5"/>
  <c r="AL111" i="5"/>
  <c r="AM111" i="5" s="1"/>
  <c r="K111" i="5"/>
  <c r="I111" i="5"/>
  <c r="F111" i="5"/>
  <c r="D111" i="5"/>
  <c r="AQ110" i="5"/>
  <c r="AP110" i="5"/>
  <c r="AJ110" i="5"/>
  <c r="AI110" i="5"/>
  <c r="M110" i="5"/>
  <c r="AQ109" i="5"/>
  <c r="AP109" i="5"/>
  <c r="AJ109" i="5"/>
  <c r="AI109" i="5"/>
  <c r="M109" i="5"/>
  <c r="AQ108" i="5"/>
  <c r="AQ111" i="5" s="1"/>
  <c r="AP108" i="5"/>
  <c r="AP111" i="5" s="1"/>
  <c r="AJ108" i="5"/>
  <c r="AI108" i="5"/>
  <c r="AI111" i="5" s="1"/>
  <c r="M108" i="5"/>
  <c r="AV107" i="5"/>
  <c r="AS107" i="5"/>
  <c r="AL107" i="5"/>
  <c r="AM107" i="5" s="1"/>
  <c r="K107" i="5"/>
  <c r="I107" i="5"/>
  <c r="F107" i="5"/>
  <c r="D107" i="5"/>
  <c r="AQ106" i="5"/>
  <c r="AP106" i="5"/>
  <c r="AJ106" i="5"/>
  <c r="AI106" i="5"/>
  <c r="M106" i="5"/>
  <c r="AQ105" i="5"/>
  <c r="AP105" i="5"/>
  <c r="AJ105" i="5"/>
  <c r="AI105" i="5"/>
  <c r="M105" i="5"/>
  <c r="AQ104" i="5"/>
  <c r="AQ107" i="5" s="1"/>
  <c r="AP104" i="5"/>
  <c r="AP107" i="5" s="1"/>
  <c r="AJ104" i="5"/>
  <c r="AI104" i="5"/>
  <c r="AI107" i="5" s="1"/>
  <c r="M104" i="5"/>
  <c r="AV103" i="5"/>
  <c r="AS103" i="5"/>
  <c r="AL103" i="5"/>
  <c r="AM103" i="5" s="1"/>
  <c r="K103" i="5"/>
  <c r="I103" i="5"/>
  <c r="F103" i="5"/>
  <c r="D103" i="5"/>
  <c r="AQ102" i="5"/>
  <c r="AP102" i="5"/>
  <c r="AJ102" i="5"/>
  <c r="AI102" i="5"/>
  <c r="M102" i="5"/>
  <c r="AQ101" i="5"/>
  <c r="AP101" i="5"/>
  <c r="AJ101" i="5"/>
  <c r="AI101" i="5"/>
  <c r="M101" i="5"/>
  <c r="AQ100" i="5"/>
  <c r="AQ103" i="5" s="1"/>
  <c r="AP100" i="5"/>
  <c r="AP103" i="5" s="1"/>
  <c r="AJ100" i="5"/>
  <c r="AI100" i="5"/>
  <c r="AI103" i="5" s="1"/>
  <c r="M100" i="5"/>
  <c r="AV99" i="5"/>
  <c r="AS99" i="5"/>
  <c r="AL99" i="5"/>
  <c r="AM99" i="5" s="1"/>
  <c r="K99" i="5"/>
  <c r="I99" i="5"/>
  <c r="F99" i="5"/>
  <c r="D99" i="5"/>
  <c r="AQ98" i="5"/>
  <c r="AP98" i="5"/>
  <c r="AJ98" i="5"/>
  <c r="AI98" i="5"/>
  <c r="M98" i="5"/>
  <c r="AQ97" i="5"/>
  <c r="AP97" i="5"/>
  <c r="AJ97" i="5"/>
  <c r="AI97" i="5"/>
  <c r="M97" i="5"/>
  <c r="AQ96" i="5"/>
  <c r="AQ99" i="5" s="1"/>
  <c r="AP96" i="5"/>
  <c r="AP99" i="5" s="1"/>
  <c r="AJ96" i="5"/>
  <c r="AI96" i="5"/>
  <c r="AI99" i="5" s="1"/>
  <c r="M96" i="5"/>
  <c r="AV95" i="5"/>
  <c r="AS95" i="5"/>
  <c r="AL95" i="5"/>
  <c r="AM95" i="5" s="1"/>
  <c r="K95" i="5"/>
  <c r="I95" i="5"/>
  <c r="F95" i="5"/>
  <c r="D95" i="5"/>
  <c r="AQ94" i="5"/>
  <c r="AP94" i="5"/>
  <c r="AJ94" i="5"/>
  <c r="AI94" i="5"/>
  <c r="M94" i="5"/>
  <c r="AQ93" i="5"/>
  <c r="AP93" i="5"/>
  <c r="AJ93" i="5"/>
  <c r="AI93" i="5"/>
  <c r="M93" i="5"/>
  <c r="AQ92" i="5"/>
  <c r="AQ95" i="5" s="1"/>
  <c r="AP92" i="5"/>
  <c r="AP95" i="5" s="1"/>
  <c r="AJ92" i="5"/>
  <c r="AI92" i="5"/>
  <c r="AI95" i="5" s="1"/>
  <c r="M92" i="5"/>
  <c r="AV91" i="5"/>
  <c r="AS91" i="5"/>
  <c r="AL91" i="5"/>
  <c r="AM91" i="5" s="1"/>
  <c r="K91" i="5"/>
  <c r="I91" i="5"/>
  <c r="F91" i="5"/>
  <c r="D91" i="5"/>
  <c r="AQ90" i="5"/>
  <c r="AP90" i="5"/>
  <c r="AJ90" i="5"/>
  <c r="AI90" i="5"/>
  <c r="M90" i="5"/>
  <c r="AQ89" i="5"/>
  <c r="AP89" i="5"/>
  <c r="AJ89" i="5"/>
  <c r="AI89" i="5"/>
  <c r="M89" i="5"/>
  <c r="AQ88" i="5"/>
  <c r="AQ91" i="5" s="1"/>
  <c r="AP88" i="5"/>
  <c r="AP91" i="5" s="1"/>
  <c r="AJ88" i="5"/>
  <c r="AI88" i="5"/>
  <c r="AI91" i="5" s="1"/>
  <c r="M88" i="5"/>
  <c r="AV87" i="5"/>
  <c r="AS87" i="5"/>
  <c r="AL87" i="5"/>
  <c r="AM87" i="5" s="1"/>
  <c r="K87" i="5"/>
  <c r="I87" i="5"/>
  <c r="F87" i="5"/>
  <c r="D87" i="5"/>
  <c r="AQ86" i="5"/>
  <c r="AP86" i="5"/>
  <c r="AJ86" i="5"/>
  <c r="AI86" i="5"/>
  <c r="M86" i="5"/>
  <c r="AQ85" i="5"/>
  <c r="AP85" i="5"/>
  <c r="AJ85" i="5"/>
  <c r="AI85" i="5"/>
  <c r="M85" i="5"/>
  <c r="AQ84" i="5"/>
  <c r="AQ87" i="5" s="1"/>
  <c r="AP84" i="5"/>
  <c r="AP87" i="5" s="1"/>
  <c r="AJ84" i="5"/>
  <c r="AI84" i="5"/>
  <c r="AI87" i="5" s="1"/>
  <c r="M84" i="5"/>
  <c r="AV83" i="5"/>
  <c r="AS83" i="5"/>
  <c r="AL83" i="5"/>
  <c r="AM83" i="5" s="1"/>
  <c r="K83" i="5"/>
  <c r="I83" i="5"/>
  <c r="F83" i="5"/>
  <c r="D83" i="5"/>
  <c r="AQ82" i="5"/>
  <c r="AP82" i="5"/>
  <c r="AJ82" i="5"/>
  <c r="AI82" i="5"/>
  <c r="M82" i="5"/>
  <c r="AQ81" i="5"/>
  <c r="AP81" i="5"/>
  <c r="AJ81" i="5"/>
  <c r="AI81" i="5"/>
  <c r="M81" i="5"/>
  <c r="AQ80" i="5"/>
  <c r="AQ83" i="5" s="1"/>
  <c r="AP80" i="5"/>
  <c r="AP83" i="5" s="1"/>
  <c r="AJ80" i="5"/>
  <c r="AI80" i="5"/>
  <c r="AI83" i="5" s="1"/>
  <c r="M80" i="5"/>
  <c r="AV79" i="5"/>
  <c r="AS79" i="5"/>
  <c r="AL79" i="5"/>
  <c r="AM79" i="5" s="1"/>
  <c r="K79" i="5"/>
  <c r="I79" i="5"/>
  <c r="F79" i="5"/>
  <c r="D79" i="5"/>
  <c r="AQ78" i="5"/>
  <c r="AP78" i="5"/>
  <c r="AJ78" i="5"/>
  <c r="AI78" i="5"/>
  <c r="M78" i="5"/>
  <c r="AQ77" i="5"/>
  <c r="AP77" i="5"/>
  <c r="AJ77" i="5"/>
  <c r="AI77" i="5"/>
  <c r="M77" i="5"/>
  <c r="AQ76" i="5"/>
  <c r="AQ79" i="5" s="1"/>
  <c r="AP76" i="5"/>
  <c r="AP79" i="5" s="1"/>
  <c r="AJ76" i="5"/>
  <c r="AI76" i="5"/>
  <c r="AI79" i="5" s="1"/>
  <c r="M76" i="5"/>
  <c r="AV75" i="5"/>
  <c r="AS75" i="5"/>
  <c r="AL75" i="5"/>
  <c r="AM75" i="5" s="1"/>
  <c r="K75" i="5"/>
  <c r="I75" i="5"/>
  <c r="F75" i="5"/>
  <c r="D75" i="5"/>
  <c r="AQ74" i="5"/>
  <c r="AP74" i="5"/>
  <c r="AJ74" i="5"/>
  <c r="AI74" i="5"/>
  <c r="M74" i="5"/>
  <c r="AQ73" i="5"/>
  <c r="AP73" i="5"/>
  <c r="AJ73" i="5"/>
  <c r="AI73" i="5"/>
  <c r="M73" i="5"/>
  <c r="AQ72" i="5"/>
  <c r="AQ75" i="5" s="1"/>
  <c r="AP72" i="5"/>
  <c r="AP75" i="5" s="1"/>
  <c r="AJ72" i="5"/>
  <c r="AI72" i="5"/>
  <c r="AI75" i="5" s="1"/>
  <c r="M72" i="5"/>
  <c r="AV71" i="5"/>
  <c r="AS71" i="5"/>
  <c r="AL71" i="5"/>
  <c r="AM71" i="5" s="1"/>
  <c r="K71" i="5"/>
  <c r="I71" i="5"/>
  <c r="F71" i="5"/>
  <c r="D71" i="5"/>
  <c r="AQ70" i="5"/>
  <c r="AP70" i="5"/>
  <c r="AJ70" i="5"/>
  <c r="AI70" i="5"/>
  <c r="M70" i="5"/>
  <c r="AQ69" i="5"/>
  <c r="AP69" i="5"/>
  <c r="AJ69" i="5"/>
  <c r="AI69" i="5"/>
  <c r="M69" i="5"/>
  <c r="AQ68" i="5"/>
  <c r="AQ71" i="5" s="1"/>
  <c r="AP68" i="5"/>
  <c r="AP71" i="5" s="1"/>
  <c r="AJ68" i="5"/>
  <c r="AI68" i="5"/>
  <c r="AI71" i="5" s="1"/>
  <c r="M68" i="5"/>
  <c r="AV67" i="5"/>
  <c r="AS67" i="5"/>
  <c r="AL67" i="5"/>
  <c r="AM67" i="5" s="1"/>
  <c r="K67" i="5"/>
  <c r="I67" i="5"/>
  <c r="F67" i="5"/>
  <c r="D67" i="5"/>
  <c r="AQ66" i="5"/>
  <c r="AP66" i="5"/>
  <c r="AJ66" i="5"/>
  <c r="AI66" i="5"/>
  <c r="M66" i="5"/>
  <c r="AQ65" i="5"/>
  <c r="AP65" i="5"/>
  <c r="AJ65" i="5"/>
  <c r="AI65" i="5"/>
  <c r="M65" i="5"/>
  <c r="AQ64" i="5"/>
  <c r="AQ67" i="5" s="1"/>
  <c r="AP64" i="5"/>
  <c r="AP67" i="5" s="1"/>
  <c r="AJ64" i="5"/>
  <c r="AI64" i="5"/>
  <c r="AI67" i="5" s="1"/>
  <c r="M64" i="5"/>
  <c r="AV63" i="5"/>
  <c r="AS63" i="5"/>
  <c r="AL63" i="5"/>
  <c r="AM63" i="5" s="1"/>
  <c r="K63" i="5"/>
  <c r="I63" i="5"/>
  <c r="F63" i="5"/>
  <c r="D63" i="5"/>
  <c r="AQ62" i="5"/>
  <c r="AP62" i="5"/>
  <c r="AJ62" i="5"/>
  <c r="AI62" i="5"/>
  <c r="M62" i="5"/>
  <c r="AQ61" i="5"/>
  <c r="AP61" i="5"/>
  <c r="AJ61" i="5"/>
  <c r="AI61" i="5"/>
  <c r="M61" i="5"/>
  <c r="AQ60" i="5"/>
  <c r="AQ63" i="5" s="1"/>
  <c r="AP60" i="5"/>
  <c r="AP63" i="5" s="1"/>
  <c r="AJ60" i="5"/>
  <c r="AI60" i="5"/>
  <c r="AI63" i="5" s="1"/>
  <c r="M60" i="5"/>
  <c r="AV59" i="5"/>
  <c r="AS59" i="5"/>
  <c r="AL59" i="5"/>
  <c r="AM59" i="5" s="1"/>
  <c r="K59" i="5"/>
  <c r="I59" i="5"/>
  <c r="F59" i="5"/>
  <c r="D59" i="5"/>
  <c r="AQ58" i="5"/>
  <c r="AP58" i="5"/>
  <c r="AJ58" i="5"/>
  <c r="AI58" i="5"/>
  <c r="M58" i="5"/>
  <c r="AQ57" i="5"/>
  <c r="AP57" i="5"/>
  <c r="AJ57" i="5"/>
  <c r="AI57" i="5"/>
  <c r="M57" i="5"/>
  <c r="AQ56" i="5"/>
  <c r="AQ59" i="5" s="1"/>
  <c r="AP56" i="5"/>
  <c r="AP59" i="5" s="1"/>
  <c r="AJ56" i="5"/>
  <c r="AI56" i="5"/>
  <c r="AI59" i="5" s="1"/>
  <c r="M56" i="5"/>
  <c r="AV55" i="5"/>
  <c r="AS55" i="5"/>
  <c r="AL55" i="5"/>
  <c r="AM55" i="5" s="1"/>
  <c r="K55" i="5"/>
  <c r="I55" i="5"/>
  <c r="F55" i="5"/>
  <c r="D55" i="5"/>
  <c r="AQ54" i="5"/>
  <c r="AP54" i="5"/>
  <c r="AJ54" i="5"/>
  <c r="AI54" i="5"/>
  <c r="M54" i="5"/>
  <c r="AQ53" i="5"/>
  <c r="AP53" i="5"/>
  <c r="AJ53" i="5"/>
  <c r="AI53" i="5"/>
  <c r="M53" i="5"/>
  <c r="AQ52" i="5"/>
  <c r="AQ55" i="5" s="1"/>
  <c r="AP52" i="5"/>
  <c r="AP55" i="5" s="1"/>
  <c r="AJ52" i="5"/>
  <c r="AI52" i="5"/>
  <c r="AI55" i="5" s="1"/>
  <c r="M52" i="5"/>
  <c r="AV51" i="5"/>
  <c r="AS51" i="5"/>
  <c r="AL51" i="5"/>
  <c r="AM51" i="5" s="1"/>
  <c r="K51" i="5"/>
  <c r="I51" i="5"/>
  <c r="F51" i="5"/>
  <c r="D51" i="5"/>
  <c r="AQ50" i="5"/>
  <c r="AP50" i="5"/>
  <c r="AJ50" i="5"/>
  <c r="AI50" i="5"/>
  <c r="M50" i="5"/>
  <c r="AQ49" i="5"/>
  <c r="AP49" i="5"/>
  <c r="AJ49" i="5"/>
  <c r="AI49" i="5"/>
  <c r="M49" i="5"/>
  <c r="AQ48" i="5"/>
  <c r="AQ51" i="5" s="1"/>
  <c r="AP48" i="5"/>
  <c r="AP51" i="5" s="1"/>
  <c r="AJ48" i="5"/>
  <c r="AI48" i="5"/>
  <c r="AI51" i="5" s="1"/>
  <c r="M48" i="5"/>
  <c r="AV47" i="5"/>
  <c r="AS47" i="5"/>
  <c r="AL47" i="5"/>
  <c r="AM47" i="5" s="1"/>
  <c r="K47" i="5"/>
  <c r="I47" i="5"/>
  <c r="F47" i="5"/>
  <c r="D47" i="5"/>
  <c r="AQ46" i="5"/>
  <c r="AP46" i="5"/>
  <c r="AJ46" i="5"/>
  <c r="AI46" i="5"/>
  <c r="M46" i="5"/>
  <c r="AQ45" i="5"/>
  <c r="AP45" i="5"/>
  <c r="AJ45" i="5"/>
  <c r="AI45" i="5"/>
  <c r="M45" i="5"/>
  <c r="AQ44" i="5"/>
  <c r="AQ47" i="5" s="1"/>
  <c r="AP44" i="5"/>
  <c r="AP47" i="5" s="1"/>
  <c r="AJ44" i="5"/>
  <c r="AI44" i="5"/>
  <c r="AI47" i="5" s="1"/>
  <c r="M44" i="5"/>
  <c r="AV43" i="5"/>
  <c r="AS43" i="5"/>
  <c r="AL43" i="5"/>
  <c r="AM43" i="5" s="1"/>
  <c r="K43" i="5"/>
  <c r="I43" i="5"/>
  <c r="F43" i="5"/>
  <c r="D43" i="5"/>
  <c r="AQ42" i="5"/>
  <c r="AP42" i="5"/>
  <c r="AJ42" i="5"/>
  <c r="AI42" i="5"/>
  <c r="M42" i="5"/>
  <c r="AQ41" i="5"/>
  <c r="AP41" i="5"/>
  <c r="AJ41" i="5"/>
  <c r="AI41" i="5"/>
  <c r="M41" i="5"/>
  <c r="AQ40" i="5"/>
  <c r="AQ43" i="5" s="1"/>
  <c r="AP40" i="5"/>
  <c r="AP43" i="5" s="1"/>
  <c r="AJ40" i="5"/>
  <c r="AI40" i="5"/>
  <c r="AI43" i="5" s="1"/>
  <c r="M40" i="5"/>
  <c r="AV39" i="5"/>
  <c r="AS39" i="5"/>
  <c r="AL39" i="5"/>
  <c r="AM39" i="5" s="1"/>
  <c r="K39" i="5"/>
  <c r="I39" i="5"/>
  <c r="F39" i="5"/>
  <c r="D39" i="5"/>
  <c r="AQ38" i="5"/>
  <c r="AP38" i="5"/>
  <c r="AJ38" i="5"/>
  <c r="AI38" i="5"/>
  <c r="M38" i="5"/>
  <c r="AQ37" i="5"/>
  <c r="AP37" i="5"/>
  <c r="AJ37" i="5"/>
  <c r="AI37" i="5"/>
  <c r="M37" i="5"/>
  <c r="AQ36" i="5"/>
  <c r="AQ39" i="5" s="1"/>
  <c r="AP36" i="5"/>
  <c r="AP39" i="5" s="1"/>
  <c r="AJ36" i="5"/>
  <c r="AI36" i="5"/>
  <c r="AI39" i="5" s="1"/>
  <c r="M36" i="5"/>
  <c r="AV35" i="5"/>
  <c r="AS35" i="5"/>
  <c r="AL35" i="5"/>
  <c r="AM35" i="5" s="1"/>
  <c r="K35" i="5"/>
  <c r="I35" i="5"/>
  <c r="F35" i="5"/>
  <c r="D35" i="5"/>
  <c r="AQ34" i="5"/>
  <c r="AP34" i="5"/>
  <c r="AJ34" i="5"/>
  <c r="AI34" i="5"/>
  <c r="M34" i="5"/>
  <c r="AQ33" i="5"/>
  <c r="AP33" i="5"/>
  <c r="AJ33" i="5"/>
  <c r="AI33" i="5"/>
  <c r="M33" i="5"/>
  <c r="AQ32" i="5"/>
  <c r="AQ35" i="5" s="1"/>
  <c r="AP32" i="5"/>
  <c r="AP35" i="5" s="1"/>
  <c r="AJ32" i="5"/>
  <c r="AI32" i="5"/>
  <c r="AI35" i="5" s="1"/>
  <c r="M32" i="5"/>
  <c r="AV31" i="5"/>
  <c r="AS31" i="5"/>
  <c r="AL31" i="5"/>
  <c r="AM31" i="5" s="1"/>
  <c r="K31" i="5"/>
  <c r="I31" i="5"/>
  <c r="F31" i="5"/>
  <c r="D31" i="5"/>
  <c r="AQ30" i="5"/>
  <c r="AP30" i="5"/>
  <c r="AJ30" i="5"/>
  <c r="AI30" i="5"/>
  <c r="M30" i="5"/>
  <c r="AQ29" i="5"/>
  <c r="AP29" i="5"/>
  <c r="AJ29" i="5"/>
  <c r="AI29" i="5"/>
  <c r="M29" i="5"/>
  <c r="AQ28" i="5"/>
  <c r="AQ31" i="5" s="1"/>
  <c r="AP28" i="5"/>
  <c r="AP31" i="5" s="1"/>
  <c r="AJ28" i="5"/>
  <c r="AI28" i="5"/>
  <c r="AI31" i="5" s="1"/>
  <c r="M28" i="5"/>
  <c r="AV27" i="5"/>
  <c r="AS27" i="5"/>
  <c r="AL27" i="5"/>
  <c r="AM27" i="5" s="1"/>
  <c r="K27" i="5"/>
  <c r="I27" i="5"/>
  <c r="F27" i="5"/>
  <c r="D27" i="5"/>
  <c r="AQ26" i="5"/>
  <c r="AP26" i="5"/>
  <c r="AJ26" i="5"/>
  <c r="AI26" i="5"/>
  <c r="M26" i="5"/>
  <c r="AQ25" i="5"/>
  <c r="AP25" i="5"/>
  <c r="AJ25" i="5"/>
  <c r="AI25" i="5"/>
  <c r="M25" i="5"/>
  <c r="AQ24" i="5"/>
  <c r="AQ27" i="5" s="1"/>
  <c r="AP24" i="5"/>
  <c r="AP27" i="5" s="1"/>
  <c r="AJ24" i="5"/>
  <c r="AI24" i="5"/>
  <c r="AI27" i="5" s="1"/>
  <c r="M24" i="5"/>
  <c r="AV23" i="5"/>
  <c r="AS23" i="5"/>
  <c r="AL23" i="5"/>
  <c r="AM23" i="5" s="1"/>
  <c r="K23" i="5"/>
  <c r="I23" i="5"/>
  <c r="F23" i="5"/>
  <c r="D23" i="5"/>
  <c r="AQ22" i="5"/>
  <c r="AP22" i="5"/>
  <c r="AJ22" i="5"/>
  <c r="AI22" i="5"/>
  <c r="M22" i="5"/>
  <c r="AQ21" i="5"/>
  <c r="AP21" i="5"/>
  <c r="AJ21" i="5"/>
  <c r="AI21" i="5"/>
  <c r="M21" i="5"/>
  <c r="AQ20" i="5"/>
  <c r="AQ23" i="5" s="1"/>
  <c r="AP20" i="5"/>
  <c r="AP23" i="5" s="1"/>
  <c r="AJ20" i="5"/>
  <c r="AI20" i="5"/>
  <c r="AI23" i="5" s="1"/>
  <c r="M20" i="5"/>
  <c r="AV19" i="5"/>
  <c r="AS19" i="5"/>
  <c r="AL19" i="5"/>
  <c r="AM19" i="5" s="1"/>
  <c r="K19" i="5"/>
  <c r="I19" i="5"/>
  <c r="F19" i="5"/>
  <c r="D19" i="5"/>
  <c r="AQ18" i="5"/>
  <c r="AP18" i="5"/>
  <c r="AJ18" i="5"/>
  <c r="AI18" i="5"/>
  <c r="M18" i="5"/>
  <c r="AQ17" i="5"/>
  <c r="AP17" i="5"/>
  <c r="AJ17" i="5"/>
  <c r="AI17" i="5"/>
  <c r="M17" i="5"/>
  <c r="AQ16" i="5"/>
  <c r="AQ19" i="5" s="1"/>
  <c r="AP16" i="5"/>
  <c r="AP19" i="5" s="1"/>
  <c r="AJ16" i="5"/>
  <c r="AI16" i="5"/>
  <c r="AI19" i="5" s="1"/>
  <c r="M16" i="5"/>
  <c r="AV15" i="5"/>
  <c r="AS15" i="5"/>
  <c r="AL15" i="5"/>
  <c r="AM15" i="5" s="1"/>
  <c r="K15" i="5"/>
  <c r="I15" i="5"/>
  <c r="F15" i="5"/>
  <c r="D15" i="5"/>
  <c r="AQ14" i="5"/>
  <c r="AP14" i="5"/>
  <c r="AJ14" i="5"/>
  <c r="AI14" i="5"/>
  <c r="M14" i="5"/>
  <c r="AQ13" i="5"/>
  <c r="AP13" i="5"/>
  <c r="AJ13" i="5"/>
  <c r="AI13" i="5"/>
  <c r="M13" i="5"/>
  <c r="AQ12" i="5"/>
  <c r="AQ15" i="5" s="1"/>
  <c r="AP12" i="5"/>
  <c r="AP15" i="5" s="1"/>
  <c r="AJ12" i="5"/>
  <c r="AI12" i="5"/>
  <c r="AI15" i="5" s="1"/>
  <c r="M12" i="5"/>
  <c r="AV11" i="5"/>
  <c r="AS11" i="5"/>
  <c r="AL11" i="5"/>
  <c r="AM11" i="5" s="1"/>
  <c r="K11" i="5"/>
  <c r="I11" i="5"/>
  <c r="F11" i="5"/>
  <c r="D11" i="5"/>
  <c r="AQ10" i="5"/>
  <c r="AP10" i="5"/>
  <c r="AJ10" i="5"/>
  <c r="AI10" i="5"/>
  <c r="M10" i="5"/>
  <c r="AQ9" i="5"/>
  <c r="AP9" i="5"/>
  <c r="AJ9" i="5"/>
  <c r="AI9" i="5"/>
  <c r="M9" i="5"/>
  <c r="AQ8" i="5"/>
  <c r="AQ11" i="5" s="1"/>
  <c r="AP8" i="5"/>
  <c r="AP11" i="5" s="1"/>
  <c r="AJ8" i="5"/>
  <c r="AI8" i="5"/>
  <c r="AI11" i="5" s="1"/>
  <c r="M8" i="5"/>
  <c r="AV7" i="5"/>
  <c r="AS7" i="5"/>
  <c r="AL7" i="5"/>
  <c r="AM7" i="5" s="1"/>
  <c r="K7" i="5"/>
  <c r="I7" i="5"/>
  <c r="F7" i="5"/>
  <c r="D7" i="5"/>
  <c r="AQ6" i="5"/>
  <c r="AP6" i="5"/>
  <c r="AJ6" i="5"/>
  <c r="AI6" i="5"/>
  <c r="M6" i="5"/>
  <c r="AQ5" i="5"/>
  <c r="AP5" i="5"/>
  <c r="AJ5" i="5"/>
  <c r="AI5" i="5"/>
  <c r="M5" i="5"/>
  <c r="AT4" i="5"/>
  <c r="AT5" i="5" s="1"/>
  <c r="AT6" i="5" s="1"/>
  <c r="AQ4" i="5"/>
  <c r="AQ7" i="5" s="1"/>
  <c r="AP4" i="5"/>
  <c r="AP7" i="5" s="1"/>
  <c r="AJ4" i="5"/>
  <c r="AI4" i="5"/>
  <c r="AI7" i="5" s="1"/>
  <c r="M4" i="5"/>
  <c r="AV123" i="4"/>
  <c r="AS123" i="4"/>
  <c r="AL123" i="4"/>
  <c r="AM123" i="4" s="1"/>
  <c r="K123" i="4"/>
  <c r="I123" i="4"/>
  <c r="F123" i="4"/>
  <c r="D123" i="4"/>
  <c r="AQ122" i="4"/>
  <c r="AP122" i="4"/>
  <c r="AJ122" i="4"/>
  <c r="AI122" i="4"/>
  <c r="M122" i="4"/>
  <c r="AQ121" i="4"/>
  <c r="AP121" i="4"/>
  <c r="AJ121" i="4"/>
  <c r="AI121" i="4"/>
  <c r="M121" i="4"/>
  <c r="AQ120" i="4"/>
  <c r="AQ123" i="4" s="1"/>
  <c r="AP120" i="4"/>
  <c r="AP123" i="4" s="1"/>
  <c r="AJ120" i="4"/>
  <c r="AI120" i="4"/>
  <c r="AI123" i="4" s="1"/>
  <c r="M120" i="4"/>
  <c r="AV119" i="4"/>
  <c r="AS119" i="4"/>
  <c r="AL119" i="4"/>
  <c r="AM119" i="4" s="1"/>
  <c r="K119" i="4"/>
  <c r="I119" i="4"/>
  <c r="F119" i="4"/>
  <c r="D119" i="4"/>
  <c r="AQ118" i="4"/>
  <c r="AP118" i="4"/>
  <c r="AJ118" i="4"/>
  <c r="AI118" i="4"/>
  <c r="M118" i="4"/>
  <c r="AQ117" i="4"/>
  <c r="AP117" i="4"/>
  <c r="AJ117" i="4"/>
  <c r="AI117" i="4"/>
  <c r="M117" i="4"/>
  <c r="AQ116" i="4"/>
  <c r="AQ119" i="4" s="1"/>
  <c r="AP116" i="4"/>
  <c r="AP119" i="4" s="1"/>
  <c r="AJ116" i="4"/>
  <c r="AI116" i="4"/>
  <c r="AI119" i="4" s="1"/>
  <c r="M116" i="4"/>
  <c r="AV115" i="4"/>
  <c r="AS115" i="4"/>
  <c r="AL115" i="4"/>
  <c r="AM115" i="4" s="1"/>
  <c r="K115" i="4"/>
  <c r="I115" i="4"/>
  <c r="F115" i="4"/>
  <c r="D115" i="4"/>
  <c r="AQ114" i="4"/>
  <c r="AP114" i="4"/>
  <c r="AJ114" i="4"/>
  <c r="AI114" i="4"/>
  <c r="M114" i="4"/>
  <c r="AQ113" i="4"/>
  <c r="AP113" i="4"/>
  <c r="AJ113" i="4"/>
  <c r="AI113" i="4"/>
  <c r="M113" i="4"/>
  <c r="AQ112" i="4"/>
  <c r="AQ115" i="4" s="1"/>
  <c r="AP112" i="4"/>
  <c r="AP115" i="4" s="1"/>
  <c r="AJ112" i="4"/>
  <c r="AI112" i="4"/>
  <c r="AI115" i="4" s="1"/>
  <c r="M112" i="4"/>
  <c r="AV111" i="4"/>
  <c r="AS111" i="4"/>
  <c r="AL111" i="4"/>
  <c r="AM111" i="4" s="1"/>
  <c r="K111" i="4"/>
  <c r="I111" i="4"/>
  <c r="F111" i="4"/>
  <c r="D111" i="4"/>
  <c r="AQ110" i="4"/>
  <c r="AP110" i="4"/>
  <c r="AJ110" i="4"/>
  <c r="AI110" i="4"/>
  <c r="M110" i="4"/>
  <c r="AQ109" i="4"/>
  <c r="AP109" i="4"/>
  <c r="AJ109" i="4"/>
  <c r="AI109" i="4"/>
  <c r="M109" i="4"/>
  <c r="AQ108" i="4"/>
  <c r="AQ111" i="4" s="1"/>
  <c r="AP108" i="4"/>
  <c r="AP111" i="4" s="1"/>
  <c r="AJ108" i="4"/>
  <c r="AI108" i="4"/>
  <c r="AI111" i="4" s="1"/>
  <c r="M108" i="4"/>
  <c r="AV107" i="4"/>
  <c r="AS107" i="4"/>
  <c r="AL107" i="4"/>
  <c r="AM107" i="4" s="1"/>
  <c r="K107" i="4"/>
  <c r="I107" i="4"/>
  <c r="F107" i="4"/>
  <c r="D107" i="4"/>
  <c r="AQ106" i="4"/>
  <c r="AP106" i="4"/>
  <c r="AJ106" i="4"/>
  <c r="AI106" i="4"/>
  <c r="M106" i="4"/>
  <c r="AQ105" i="4"/>
  <c r="AP105" i="4"/>
  <c r="AJ105" i="4"/>
  <c r="AI105" i="4"/>
  <c r="M105" i="4"/>
  <c r="AQ104" i="4"/>
  <c r="AQ107" i="4" s="1"/>
  <c r="AP104" i="4"/>
  <c r="AP107" i="4" s="1"/>
  <c r="AJ104" i="4"/>
  <c r="AI104" i="4"/>
  <c r="AI107" i="4" s="1"/>
  <c r="M104" i="4"/>
  <c r="AV103" i="4"/>
  <c r="AS103" i="4"/>
  <c r="AL103" i="4"/>
  <c r="AM103" i="4" s="1"/>
  <c r="K103" i="4"/>
  <c r="I103" i="4"/>
  <c r="F103" i="4"/>
  <c r="D103" i="4"/>
  <c r="AQ102" i="4"/>
  <c r="AP102" i="4"/>
  <c r="AJ102" i="4"/>
  <c r="AI102" i="4"/>
  <c r="M102" i="4"/>
  <c r="AQ101" i="4"/>
  <c r="AP101" i="4"/>
  <c r="AJ101" i="4"/>
  <c r="AI101" i="4"/>
  <c r="M101" i="4"/>
  <c r="AQ100" i="4"/>
  <c r="AQ103" i="4" s="1"/>
  <c r="AP100" i="4"/>
  <c r="AP103" i="4" s="1"/>
  <c r="AJ100" i="4"/>
  <c r="AI100" i="4"/>
  <c r="AI103" i="4" s="1"/>
  <c r="M100" i="4"/>
  <c r="AV99" i="4"/>
  <c r="AS99" i="4"/>
  <c r="AL99" i="4"/>
  <c r="AM99" i="4" s="1"/>
  <c r="K99" i="4"/>
  <c r="I99" i="4"/>
  <c r="F99" i="4"/>
  <c r="D99" i="4"/>
  <c r="AQ98" i="4"/>
  <c r="AP98" i="4"/>
  <c r="AJ98" i="4"/>
  <c r="AI98" i="4"/>
  <c r="M98" i="4"/>
  <c r="AQ97" i="4"/>
  <c r="AP97" i="4"/>
  <c r="AJ97" i="4"/>
  <c r="AI97" i="4"/>
  <c r="M97" i="4"/>
  <c r="AQ96" i="4"/>
  <c r="AQ99" i="4" s="1"/>
  <c r="AP96" i="4"/>
  <c r="AP99" i="4" s="1"/>
  <c r="AJ96" i="4"/>
  <c r="AI96" i="4"/>
  <c r="AI99" i="4" s="1"/>
  <c r="M96" i="4"/>
  <c r="AV95" i="4"/>
  <c r="AS95" i="4"/>
  <c r="AL95" i="4"/>
  <c r="AM95" i="4" s="1"/>
  <c r="K95" i="4"/>
  <c r="I95" i="4"/>
  <c r="F95" i="4"/>
  <c r="D95" i="4"/>
  <c r="AQ94" i="4"/>
  <c r="AP94" i="4"/>
  <c r="AJ94" i="4"/>
  <c r="AI94" i="4"/>
  <c r="M94" i="4"/>
  <c r="AQ93" i="4"/>
  <c r="AP93" i="4"/>
  <c r="AJ93" i="4"/>
  <c r="AI93" i="4"/>
  <c r="M93" i="4"/>
  <c r="AQ92" i="4"/>
  <c r="AQ95" i="4" s="1"/>
  <c r="AP92" i="4"/>
  <c r="AP95" i="4" s="1"/>
  <c r="AJ92" i="4"/>
  <c r="AI92" i="4"/>
  <c r="AI95" i="4" s="1"/>
  <c r="M92" i="4"/>
  <c r="AV91" i="4"/>
  <c r="AS91" i="4"/>
  <c r="AL91" i="4"/>
  <c r="AM91" i="4" s="1"/>
  <c r="K91" i="4"/>
  <c r="I91" i="4"/>
  <c r="F91" i="4"/>
  <c r="D91" i="4"/>
  <c r="AQ90" i="4"/>
  <c r="AP90" i="4"/>
  <c r="AJ90" i="4"/>
  <c r="AI90" i="4"/>
  <c r="M90" i="4"/>
  <c r="AQ89" i="4"/>
  <c r="AP89" i="4"/>
  <c r="AJ89" i="4"/>
  <c r="AI89" i="4"/>
  <c r="M89" i="4"/>
  <c r="AQ88" i="4"/>
  <c r="AQ91" i="4" s="1"/>
  <c r="AP88" i="4"/>
  <c r="AP91" i="4" s="1"/>
  <c r="AJ88" i="4"/>
  <c r="AI88" i="4"/>
  <c r="AI91" i="4" s="1"/>
  <c r="M88" i="4"/>
  <c r="AV87" i="4"/>
  <c r="AS87" i="4"/>
  <c r="AL87" i="4"/>
  <c r="AM87" i="4" s="1"/>
  <c r="K87" i="4"/>
  <c r="I87" i="4"/>
  <c r="F87" i="4"/>
  <c r="D87" i="4"/>
  <c r="AQ86" i="4"/>
  <c r="AP86" i="4"/>
  <c r="AJ86" i="4"/>
  <c r="AI86" i="4"/>
  <c r="M86" i="4"/>
  <c r="AQ85" i="4"/>
  <c r="AP85" i="4"/>
  <c r="AJ85" i="4"/>
  <c r="AI85" i="4"/>
  <c r="M85" i="4"/>
  <c r="AQ84" i="4"/>
  <c r="AQ87" i="4" s="1"/>
  <c r="AP84" i="4"/>
  <c r="AP87" i="4" s="1"/>
  <c r="AJ84" i="4"/>
  <c r="AI84" i="4"/>
  <c r="AI87" i="4" s="1"/>
  <c r="M84" i="4"/>
  <c r="AV83" i="4"/>
  <c r="AS83" i="4"/>
  <c r="AL83" i="4"/>
  <c r="AM83" i="4" s="1"/>
  <c r="K83" i="4"/>
  <c r="I83" i="4"/>
  <c r="F83" i="4"/>
  <c r="D83" i="4"/>
  <c r="AQ82" i="4"/>
  <c r="AP82" i="4"/>
  <c r="AJ82" i="4"/>
  <c r="AI82" i="4"/>
  <c r="M82" i="4"/>
  <c r="AQ81" i="4"/>
  <c r="AP81" i="4"/>
  <c r="AJ81" i="4"/>
  <c r="AI81" i="4"/>
  <c r="M81" i="4"/>
  <c r="AQ80" i="4"/>
  <c r="AQ83" i="4" s="1"/>
  <c r="AP80" i="4"/>
  <c r="AP83" i="4" s="1"/>
  <c r="AJ80" i="4"/>
  <c r="AI80" i="4"/>
  <c r="AI83" i="4" s="1"/>
  <c r="M80" i="4"/>
  <c r="AV79" i="4"/>
  <c r="AS79" i="4"/>
  <c r="AL79" i="4"/>
  <c r="AM79" i="4" s="1"/>
  <c r="K79" i="4"/>
  <c r="I79" i="4"/>
  <c r="F79" i="4"/>
  <c r="D79" i="4"/>
  <c r="AQ78" i="4"/>
  <c r="AP78" i="4"/>
  <c r="AJ78" i="4"/>
  <c r="AI78" i="4"/>
  <c r="M78" i="4"/>
  <c r="AQ77" i="4"/>
  <c r="AP77" i="4"/>
  <c r="AJ77" i="4"/>
  <c r="AI77" i="4"/>
  <c r="M77" i="4"/>
  <c r="AQ76" i="4"/>
  <c r="AQ79" i="4" s="1"/>
  <c r="AP76" i="4"/>
  <c r="AP79" i="4" s="1"/>
  <c r="AJ76" i="4"/>
  <c r="AI76" i="4"/>
  <c r="AI79" i="4" s="1"/>
  <c r="M76" i="4"/>
  <c r="AV75" i="4"/>
  <c r="AS75" i="4"/>
  <c r="AL75" i="4"/>
  <c r="AM75" i="4" s="1"/>
  <c r="K75" i="4"/>
  <c r="I75" i="4"/>
  <c r="F75" i="4"/>
  <c r="D75" i="4"/>
  <c r="AQ74" i="4"/>
  <c r="AP74" i="4"/>
  <c r="AJ74" i="4"/>
  <c r="AI74" i="4"/>
  <c r="M74" i="4"/>
  <c r="AQ73" i="4"/>
  <c r="AP73" i="4"/>
  <c r="AJ73" i="4"/>
  <c r="AI73" i="4"/>
  <c r="M73" i="4"/>
  <c r="AQ72" i="4"/>
  <c r="AQ75" i="4" s="1"/>
  <c r="AP72" i="4"/>
  <c r="AP75" i="4" s="1"/>
  <c r="AJ72" i="4"/>
  <c r="AI72" i="4"/>
  <c r="AI75" i="4" s="1"/>
  <c r="M72" i="4"/>
  <c r="AV71" i="4"/>
  <c r="AS71" i="4"/>
  <c r="AL71" i="4"/>
  <c r="AM71" i="4" s="1"/>
  <c r="K71" i="4"/>
  <c r="I71" i="4"/>
  <c r="F71" i="4"/>
  <c r="D71" i="4"/>
  <c r="AQ70" i="4"/>
  <c r="AP70" i="4"/>
  <c r="AJ70" i="4"/>
  <c r="AI70" i="4"/>
  <c r="M70" i="4"/>
  <c r="AQ69" i="4"/>
  <c r="AP69" i="4"/>
  <c r="AJ69" i="4"/>
  <c r="AI69" i="4"/>
  <c r="M69" i="4"/>
  <c r="AQ68" i="4"/>
  <c r="AQ71" i="4" s="1"/>
  <c r="AP68" i="4"/>
  <c r="AP71" i="4" s="1"/>
  <c r="AJ68" i="4"/>
  <c r="AI68" i="4"/>
  <c r="AI71" i="4" s="1"/>
  <c r="M68" i="4"/>
  <c r="AV67" i="4"/>
  <c r="AS67" i="4"/>
  <c r="AL67" i="4"/>
  <c r="AM67" i="4" s="1"/>
  <c r="K67" i="4"/>
  <c r="I67" i="4"/>
  <c r="F67" i="4"/>
  <c r="D67" i="4"/>
  <c r="AQ66" i="4"/>
  <c r="AP66" i="4"/>
  <c r="AJ66" i="4"/>
  <c r="AI66" i="4"/>
  <c r="M66" i="4"/>
  <c r="AQ65" i="4"/>
  <c r="AP65" i="4"/>
  <c r="AJ65" i="4"/>
  <c r="AI65" i="4"/>
  <c r="M65" i="4"/>
  <c r="AQ64" i="4"/>
  <c r="AQ67" i="4" s="1"/>
  <c r="AP64" i="4"/>
  <c r="AP67" i="4" s="1"/>
  <c r="AJ64" i="4"/>
  <c r="AI64" i="4"/>
  <c r="AI67" i="4" s="1"/>
  <c r="M64" i="4"/>
  <c r="AV63" i="4"/>
  <c r="AS63" i="4"/>
  <c r="AL63" i="4"/>
  <c r="AM63" i="4" s="1"/>
  <c r="K63" i="4"/>
  <c r="I63" i="4"/>
  <c r="F63" i="4"/>
  <c r="D63" i="4"/>
  <c r="AQ62" i="4"/>
  <c r="AP62" i="4"/>
  <c r="AJ62" i="4"/>
  <c r="AI62" i="4"/>
  <c r="M62" i="4"/>
  <c r="AQ61" i="4"/>
  <c r="AP61" i="4"/>
  <c r="AJ61" i="4"/>
  <c r="AI61" i="4"/>
  <c r="M61" i="4"/>
  <c r="AQ60" i="4"/>
  <c r="AQ63" i="4" s="1"/>
  <c r="AP60" i="4"/>
  <c r="AP63" i="4" s="1"/>
  <c r="AJ60" i="4"/>
  <c r="AI60" i="4"/>
  <c r="AI63" i="4" s="1"/>
  <c r="M60" i="4"/>
  <c r="AV59" i="4"/>
  <c r="AS59" i="4"/>
  <c r="AL59" i="4"/>
  <c r="AM59" i="4" s="1"/>
  <c r="K59" i="4"/>
  <c r="I59" i="4"/>
  <c r="F59" i="4"/>
  <c r="D59" i="4"/>
  <c r="AQ58" i="4"/>
  <c r="AP58" i="4"/>
  <c r="AJ58" i="4"/>
  <c r="AI58" i="4"/>
  <c r="M58" i="4"/>
  <c r="AQ57" i="4"/>
  <c r="AP57" i="4"/>
  <c r="AJ57" i="4"/>
  <c r="AI57" i="4"/>
  <c r="M57" i="4"/>
  <c r="AQ56" i="4"/>
  <c r="AQ59" i="4" s="1"/>
  <c r="AP56" i="4"/>
  <c r="AP59" i="4" s="1"/>
  <c r="AJ56" i="4"/>
  <c r="AI56" i="4"/>
  <c r="AI59" i="4" s="1"/>
  <c r="M56" i="4"/>
  <c r="AV55" i="4"/>
  <c r="AS55" i="4"/>
  <c r="AL55" i="4"/>
  <c r="AM55" i="4" s="1"/>
  <c r="K55" i="4"/>
  <c r="I55" i="4"/>
  <c r="F55" i="4"/>
  <c r="D55" i="4"/>
  <c r="AQ54" i="4"/>
  <c r="AP54" i="4"/>
  <c r="AJ54" i="4"/>
  <c r="AI54" i="4"/>
  <c r="M54" i="4"/>
  <c r="AQ53" i="4"/>
  <c r="AP53" i="4"/>
  <c r="AJ53" i="4"/>
  <c r="AI53" i="4"/>
  <c r="M53" i="4"/>
  <c r="AQ52" i="4"/>
  <c r="AQ55" i="4" s="1"/>
  <c r="AP52" i="4"/>
  <c r="AP55" i="4" s="1"/>
  <c r="AJ52" i="4"/>
  <c r="AI52" i="4"/>
  <c r="AI55" i="4" s="1"/>
  <c r="M52" i="4"/>
  <c r="AV51" i="4"/>
  <c r="AS51" i="4"/>
  <c r="AL51" i="4"/>
  <c r="AM51" i="4" s="1"/>
  <c r="K51" i="4"/>
  <c r="I51" i="4"/>
  <c r="F51" i="4"/>
  <c r="D51" i="4"/>
  <c r="AQ50" i="4"/>
  <c r="AP50" i="4"/>
  <c r="AJ50" i="4"/>
  <c r="AI50" i="4"/>
  <c r="M50" i="4"/>
  <c r="AQ49" i="4"/>
  <c r="AP49" i="4"/>
  <c r="AJ49" i="4"/>
  <c r="AI49" i="4"/>
  <c r="M49" i="4"/>
  <c r="AQ48" i="4"/>
  <c r="AQ51" i="4" s="1"/>
  <c r="AP48" i="4"/>
  <c r="AP51" i="4" s="1"/>
  <c r="AJ48" i="4"/>
  <c r="AI48" i="4"/>
  <c r="AI51" i="4" s="1"/>
  <c r="M48" i="4"/>
  <c r="AV47" i="4"/>
  <c r="AS47" i="4"/>
  <c r="AL47" i="4"/>
  <c r="AM47" i="4" s="1"/>
  <c r="K47" i="4"/>
  <c r="I47" i="4"/>
  <c r="F47" i="4"/>
  <c r="D47" i="4"/>
  <c r="AQ46" i="4"/>
  <c r="AP46" i="4"/>
  <c r="AJ46" i="4"/>
  <c r="AI46" i="4"/>
  <c r="M46" i="4"/>
  <c r="AQ45" i="4"/>
  <c r="AP45" i="4"/>
  <c r="AJ45" i="4"/>
  <c r="AI45" i="4"/>
  <c r="M45" i="4"/>
  <c r="AQ44" i="4"/>
  <c r="AQ47" i="4" s="1"/>
  <c r="AP44" i="4"/>
  <c r="AP47" i="4" s="1"/>
  <c r="AJ44" i="4"/>
  <c r="AI44" i="4"/>
  <c r="AI47" i="4" s="1"/>
  <c r="M44" i="4"/>
  <c r="AV43" i="4"/>
  <c r="AS43" i="4"/>
  <c r="AL43" i="4"/>
  <c r="AM43" i="4" s="1"/>
  <c r="K43" i="4"/>
  <c r="I43" i="4"/>
  <c r="F43" i="4"/>
  <c r="D43" i="4"/>
  <c r="AQ42" i="4"/>
  <c r="AP42" i="4"/>
  <c r="AJ42" i="4"/>
  <c r="AI42" i="4"/>
  <c r="M42" i="4"/>
  <c r="AQ41" i="4"/>
  <c r="AP41" i="4"/>
  <c r="AJ41" i="4"/>
  <c r="AI41" i="4"/>
  <c r="M41" i="4"/>
  <c r="AQ40" i="4"/>
  <c r="AQ43" i="4" s="1"/>
  <c r="AP40" i="4"/>
  <c r="AP43" i="4" s="1"/>
  <c r="AJ40" i="4"/>
  <c r="AI40" i="4"/>
  <c r="AI43" i="4" s="1"/>
  <c r="M40" i="4"/>
  <c r="AV39" i="4"/>
  <c r="AS39" i="4"/>
  <c r="AL39" i="4"/>
  <c r="AM39" i="4" s="1"/>
  <c r="K39" i="4"/>
  <c r="I39" i="4"/>
  <c r="F39" i="4"/>
  <c r="D39" i="4"/>
  <c r="AQ38" i="4"/>
  <c r="AP38" i="4"/>
  <c r="AJ38" i="4"/>
  <c r="AI38" i="4"/>
  <c r="M38" i="4"/>
  <c r="AQ37" i="4"/>
  <c r="AP37" i="4"/>
  <c r="AJ37" i="4"/>
  <c r="AI37" i="4"/>
  <c r="M37" i="4"/>
  <c r="AQ36" i="4"/>
  <c r="AQ39" i="4" s="1"/>
  <c r="AP36" i="4"/>
  <c r="AP39" i="4" s="1"/>
  <c r="AJ36" i="4"/>
  <c r="AI36" i="4"/>
  <c r="AI39" i="4" s="1"/>
  <c r="M36" i="4"/>
  <c r="AV35" i="4"/>
  <c r="AS35" i="4"/>
  <c r="AL35" i="4"/>
  <c r="AM35" i="4" s="1"/>
  <c r="K35" i="4"/>
  <c r="I35" i="4"/>
  <c r="F35" i="4"/>
  <c r="D35" i="4"/>
  <c r="AQ34" i="4"/>
  <c r="AP34" i="4"/>
  <c r="AJ34" i="4"/>
  <c r="AI34" i="4"/>
  <c r="M34" i="4"/>
  <c r="AQ33" i="4"/>
  <c r="AP33" i="4"/>
  <c r="AJ33" i="4"/>
  <c r="AI33" i="4"/>
  <c r="M33" i="4"/>
  <c r="AQ32" i="4"/>
  <c r="AQ35" i="4" s="1"/>
  <c r="AP32" i="4"/>
  <c r="AP35" i="4" s="1"/>
  <c r="AJ32" i="4"/>
  <c r="AI32" i="4"/>
  <c r="AI35" i="4" s="1"/>
  <c r="M32" i="4"/>
  <c r="AV31" i="4"/>
  <c r="AS31" i="4"/>
  <c r="AL31" i="4"/>
  <c r="AM31" i="4" s="1"/>
  <c r="K31" i="4"/>
  <c r="I31" i="4"/>
  <c r="F31" i="4"/>
  <c r="D31" i="4"/>
  <c r="AQ30" i="4"/>
  <c r="AP30" i="4"/>
  <c r="AJ30" i="4"/>
  <c r="AI30" i="4"/>
  <c r="M30" i="4"/>
  <c r="AQ29" i="4"/>
  <c r="AP29" i="4"/>
  <c r="AJ29" i="4"/>
  <c r="AI29" i="4"/>
  <c r="M29" i="4"/>
  <c r="AQ28" i="4"/>
  <c r="AQ31" i="4" s="1"/>
  <c r="AP28" i="4"/>
  <c r="AP31" i="4" s="1"/>
  <c r="AJ28" i="4"/>
  <c r="AI28" i="4"/>
  <c r="AI31" i="4" s="1"/>
  <c r="M28" i="4"/>
  <c r="AV27" i="4"/>
  <c r="AS27" i="4"/>
  <c r="AL27" i="4"/>
  <c r="AM27" i="4" s="1"/>
  <c r="K27" i="4"/>
  <c r="I27" i="4"/>
  <c r="F27" i="4"/>
  <c r="D27" i="4"/>
  <c r="AQ26" i="4"/>
  <c r="AP26" i="4"/>
  <c r="AJ26" i="4"/>
  <c r="AI26" i="4"/>
  <c r="M26" i="4"/>
  <c r="AQ25" i="4"/>
  <c r="AP25" i="4"/>
  <c r="AJ25" i="4"/>
  <c r="AI25" i="4"/>
  <c r="M25" i="4"/>
  <c r="AQ24" i="4"/>
  <c r="AQ27" i="4" s="1"/>
  <c r="AP24" i="4"/>
  <c r="AP27" i="4" s="1"/>
  <c r="AJ24" i="4"/>
  <c r="AI24" i="4"/>
  <c r="AI27" i="4" s="1"/>
  <c r="M24" i="4"/>
  <c r="AV23" i="4"/>
  <c r="AS23" i="4"/>
  <c r="AL23" i="4"/>
  <c r="AM23" i="4" s="1"/>
  <c r="K23" i="4"/>
  <c r="I23" i="4"/>
  <c r="F23" i="4"/>
  <c r="D23" i="4"/>
  <c r="AQ22" i="4"/>
  <c r="AP22" i="4"/>
  <c r="AJ22" i="4"/>
  <c r="AI22" i="4"/>
  <c r="M22" i="4"/>
  <c r="AQ21" i="4"/>
  <c r="AP21" i="4"/>
  <c r="AJ21" i="4"/>
  <c r="AI21" i="4"/>
  <c r="M21" i="4"/>
  <c r="AQ20" i="4"/>
  <c r="AQ23" i="4" s="1"/>
  <c r="AP20" i="4"/>
  <c r="AP23" i="4" s="1"/>
  <c r="AJ20" i="4"/>
  <c r="AI20" i="4"/>
  <c r="AI23" i="4" s="1"/>
  <c r="M20" i="4"/>
  <c r="AV19" i="4"/>
  <c r="AS19" i="4"/>
  <c r="AL19" i="4"/>
  <c r="AM19" i="4" s="1"/>
  <c r="K19" i="4"/>
  <c r="I19" i="4"/>
  <c r="F19" i="4"/>
  <c r="D19" i="4"/>
  <c r="AQ18" i="4"/>
  <c r="AP18" i="4"/>
  <c r="AJ18" i="4"/>
  <c r="AI18" i="4"/>
  <c r="M18" i="4"/>
  <c r="AQ17" i="4"/>
  <c r="AP17" i="4"/>
  <c r="AJ17" i="4"/>
  <c r="AI17" i="4"/>
  <c r="M17" i="4"/>
  <c r="AQ16" i="4"/>
  <c r="AQ19" i="4" s="1"/>
  <c r="AP16" i="4"/>
  <c r="AP19" i="4" s="1"/>
  <c r="AJ16" i="4"/>
  <c r="AI16" i="4"/>
  <c r="AI19" i="4" s="1"/>
  <c r="M16" i="4"/>
  <c r="AV15" i="4"/>
  <c r="AS15" i="4"/>
  <c r="AL15" i="4"/>
  <c r="AM15" i="4" s="1"/>
  <c r="K15" i="4"/>
  <c r="I15" i="4"/>
  <c r="F15" i="4"/>
  <c r="D15" i="4"/>
  <c r="AQ14" i="4"/>
  <c r="AP14" i="4"/>
  <c r="AJ14" i="4"/>
  <c r="AI14" i="4"/>
  <c r="M14" i="4"/>
  <c r="AQ13" i="4"/>
  <c r="AP13" i="4"/>
  <c r="AJ13" i="4"/>
  <c r="AI13" i="4"/>
  <c r="M13" i="4"/>
  <c r="AQ12" i="4"/>
  <c r="AQ15" i="4" s="1"/>
  <c r="AP12" i="4"/>
  <c r="AP15" i="4" s="1"/>
  <c r="AJ12" i="4"/>
  <c r="AI12" i="4"/>
  <c r="AI15" i="4" s="1"/>
  <c r="M12" i="4"/>
  <c r="AV11" i="4"/>
  <c r="AS11" i="4"/>
  <c r="AL11" i="4"/>
  <c r="AM11" i="4" s="1"/>
  <c r="K11" i="4"/>
  <c r="I11" i="4"/>
  <c r="F11" i="4"/>
  <c r="D11" i="4"/>
  <c r="AQ10" i="4"/>
  <c r="AP10" i="4"/>
  <c r="AJ10" i="4"/>
  <c r="AI10" i="4"/>
  <c r="M10" i="4"/>
  <c r="AQ9" i="4"/>
  <c r="AP9" i="4"/>
  <c r="AJ9" i="4"/>
  <c r="AI9" i="4"/>
  <c r="M9" i="4"/>
  <c r="AQ8" i="4"/>
  <c r="AQ11" i="4" s="1"/>
  <c r="AP8" i="4"/>
  <c r="AP11" i="4" s="1"/>
  <c r="AJ8" i="4"/>
  <c r="AI8" i="4"/>
  <c r="AI11" i="4" s="1"/>
  <c r="M8" i="4"/>
  <c r="AV7" i="4"/>
  <c r="AS7" i="4"/>
  <c r="AL7" i="4"/>
  <c r="AM7" i="4" s="1"/>
  <c r="K7" i="4"/>
  <c r="I7" i="4"/>
  <c r="F7" i="4"/>
  <c r="D7" i="4"/>
  <c r="AQ6" i="4"/>
  <c r="AP6" i="4"/>
  <c r="AJ6" i="4"/>
  <c r="AI6" i="4"/>
  <c r="M6" i="4"/>
  <c r="AQ5" i="4"/>
  <c r="AP5" i="4"/>
  <c r="AJ5" i="4"/>
  <c r="AI5" i="4"/>
  <c r="M5" i="4"/>
  <c r="AT4" i="4"/>
  <c r="AT5" i="4" s="1"/>
  <c r="AT6" i="4" s="1"/>
  <c r="AQ4" i="4"/>
  <c r="AQ7" i="4" s="1"/>
  <c r="AP4" i="4"/>
  <c r="AP7" i="4" s="1"/>
  <c r="AJ4" i="4"/>
  <c r="AI4" i="4"/>
  <c r="AI7" i="4" s="1"/>
  <c r="M4" i="4"/>
  <c r="AV127" i="3"/>
  <c r="AS127" i="3"/>
  <c r="AL127" i="3"/>
  <c r="AM127" i="3" s="1"/>
  <c r="K127" i="3"/>
  <c r="I127" i="3"/>
  <c r="F127" i="3"/>
  <c r="D127" i="3"/>
  <c r="AQ126" i="3"/>
  <c r="AP126" i="3"/>
  <c r="AJ126" i="3"/>
  <c r="AI126" i="3"/>
  <c r="M126" i="3"/>
  <c r="AQ125" i="3"/>
  <c r="AP125" i="3"/>
  <c r="AJ125" i="3"/>
  <c r="AI125" i="3"/>
  <c r="M125" i="3"/>
  <c r="AQ124" i="3"/>
  <c r="AQ127" i="3" s="1"/>
  <c r="AP124" i="3"/>
  <c r="AP127" i="3" s="1"/>
  <c r="AJ124" i="3"/>
  <c r="AI124" i="3"/>
  <c r="AI127" i="3" s="1"/>
  <c r="M124" i="3"/>
  <c r="AV123" i="3"/>
  <c r="AS123" i="3"/>
  <c r="AL123" i="3"/>
  <c r="AM123" i="3" s="1"/>
  <c r="K123" i="3"/>
  <c r="I123" i="3"/>
  <c r="F123" i="3"/>
  <c r="D123" i="3"/>
  <c r="AQ122" i="3"/>
  <c r="AP122" i="3"/>
  <c r="AJ122" i="3"/>
  <c r="AI122" i="3"/>
  <c r="M122" i="3"/>
  <c r="AQ121" i="3"/>
  <c r="AP121" i="3"/>
  <c r="AJ121" i="3"/>
  <c r="AI121" i="3"/>
  <c r="M121" i="3"/>
  <c r="AT120" i="3"/>
  <c r="AT121" i="3" s="1"/>
  <c r="AT122" i="3" s="1"/>
  <c r="AQ120" i="3"/>
  <c r="AQ123" i="3" s="1"/>
  <c r="AP120" i="3"/>
  <c r="AP123" i="3" s="1"/>
  <c r="AJ120" i="3"/>
  <c r="AI120" i="3"/>
  <c r="AI123" i="3" s="1"/>
  <c r="M120" i="3"/>
  <c r="AV119" i="3"/>
  <c r="AS119" i="3"/>
  <c r="AL119" i="3"/>
  <c r="AM119" i="3" s="1"/>
  <c r="K119" i="3"/>
  <c r="I119" i="3"/>
  <c r="F119" i="3"/>
  <c r="D119" i="3"/>
  <c r="AQ118" i="3"/>
  <c r="AP118" i="3"/>
  <c r="AJ118" i="3"/>
  <c r="AI118" i="3"/>
  <c r="M118" i="3"/>
  <c r="AQ117" i="3"/>
  <c r="AP117" i="3"/>
  <c r="AJ117" i="3"/>
  <c r="AI117" i="3"/>
  <c r="M117" i="3"/>
  <c r="AQ116" i="3"/>
  <c r="AQ119" i="3" s="1"/>
  <c r="AP116" i="3"/>
  <c r="AP119" i="3" s="1"/>
  <c r="AJ116" i="3"/>
  <c r="AI116" i="3"/>
  <c r="AI119" i="3" s="1"/>
  <c r="M116" i="3"/>
  <c r="AV115" i="3"/>
  <c r="AS115" i="3"/>
  <c r="AL115" i="3"/>
  <c r="AM115" i="3" s="1"/>
  <c r="K115" i="3"/>
  <c r="I115" i="3"/>
  <c r="F115" i="3"/>
  <c r="D115" i="3"/>
  <c r="AQ114" i="3"/>
  <c r="AP114" i="3"/>
  <c r="AJ114" i="3"/>
  <c r="AI114" i="3"/>
  <c r="M114" i="3"/>
  <c r="AQ113" i="3"/>
  <c r="AP113" i="3"/>
  <c r="AJ113" i="3"/>
  <c r="AI113" i="3"/>
  <c r="M113" i="3"/>
  <c r="AQ112" i="3"/>
  <c r="AQ115" i="3" s="1"/>
  <c r="AP112" i="3"/>
  <c r="AP115" i="3" s="1"/>
  <c r="AJ112" i="3"/>
  <c r="AI112" i="3"/>
  <c r="AI115" i="3" s="1"/>
  <c r="M112" i="3"/>
  <c r="AV111" i="3"/>
  <c r="AS111" i="3"/>
  <c r="AL111" i="3"/>
  <c r="AM111" i="3" s="1"/>
  <c r="K111" i="3"/>
  <c r="I111" i="3"/>
  <c r="F111" i="3"/>
  <c r="D111" i="3"/>
  <c r="AQ110" i="3"/>
  <c r="AP110" i="3"/>
  <c r="AJ110" i="3"/>
  <c r="AI110" i="3"/>
  <c r="M110" i="3"/>
  <c r="AQ109" i="3"/>
  <c r="AP109" i="3"/>
  <c r="AJ109" i="3"/>
  <c r="AI109" i="3"/>
  <c r="M109" i="3"/>
  <c r="AQ108" i="3"/>
  <c r="AQ111" i="3" s="1"/>
  <c r="AP108" i="3"/>
  <c r="AP111" i="3" s="1"/>
  <c r="AJ108" i="3"/>
  <c r="AI108" i="3"/>
  <c r="AI111" i="3" s="1"/>
  <c r="M108" i="3"/>
  <c r="AV107" i="3"/>
  <c r="AS107" i="3"/>
  <c r="AL107" i="3"/>
  <c r="AM107" i="3" s="1"/>
  <c r="K107" i="3"/>
  <c r="I107" i="3"/>
  <c r="F107" i="3"/>
  <c r="D107" i="3"/>
  <c r="AQ106" i="3"/>
  <c r="AP106" i="3"/>
  <c r="AJ106" i="3"/>
  <c r="AI106" i="3"/>
  <c r="M106" i="3"/>
  <c r="AQ105" i="3"/>
  <c r="AP105" i="3"/>
  <c r="AJ105" i="3"/>
  <c r="AI105" i="3"/>
  <c r="M105" i="3"/>
  <c r="AQ104" i="3"/>
  <c r="AQ107" i="3" s="1"/>
  <c r="AP104" i="3"/>
  <c r="AP107" i="3" s="1"/>
  <c r="AJ104" i="3"/>
  <c r="AI104" i="3"/>
  <c r="AI107" i="3" s="1"/>
  <c r="M104" i="3"/>
  <c r="AV103" i="3"/>
  <c r="AS103" i="3"/>
  <c r="AL103" i="3"/>
  <c r="AM103" i="3" s="1"/>
  <c r="K103" i="3"/>
  <c r="I103" i="3"/>
  <c r="F103" i="3"/>
  <c r="D103" i="3"/>
  <c r="AQ102" i="3"/>
  <c r="AP102" i="3"/>
  <c r="AJ102" i="3"/>
  <c r="AI102" i="3"/>
  <c r="M102" i="3"/>
  <c r="AQ101" i="3"/>
  <c r="AP101" i="3"/>
  <c r="AJ101" i="3"/>
  <c r="AI101" i="3"/>
  <c r="M101" i="3"/>
  <c r="AQ100" i="3"/>
  <c r="AQ103" i="3" s="1"/>
  <c r="AP100" i="3"/>
  <c r="AP103" i="3" s="1"/>
  <c r="AJ100" i="3"/>
  <c r="AI100" i="3"/>
  <c r="AI103" i="3" s="1"/>
  <c r="M100" i="3"/>
  <c r="AV99" i="3"/>
  <c r="AS99" i="3"/>
  <c r="AL99" i="3"/>
  <c r="AM99" i="3" s="1"/>
  <c r="K99" i="3"/>
  <c r="I99" i="3"/>
  <c r="F99" i="3"/>
  <c r="D99" i="3"/>
  <c r="AQ98" i="3"/>
  <c r="AP98" i="3"/>
  <c r="AJ98" i="3"/>
  <c r="AI98" i="3"/>
  <c r="M98" i="3"/>
  <c r="AQ97" i="3"/>
  <c r="AP97" i="3"/>
  <c r="AJ97" i="3"/>
  <c r="AI97" i="3"/>
  <c r="M97" i="3"/>
  <c r="AQ96" i="3"/>
  <c r="AQ99" i="3" s="1"/>
  <c r="AP96" i="3"/>
  <c r="AP99" i="3" s="1"/>
  <c r="AJ96" i="3"/>
  <c r="AI96" i="3"/>
  <c r="AI99" i="3" s="1"/>
  <c r="M96" i="3"/>
  <c r="AV95" i="3"/>
  <c r="AS95" i="3"/>
  <c r="AL95" i="3"/>
  <c r="AM95" i="3" s="1"/>
  <c r="K95" i="3"/>
  <c r="I95" i="3"/>
  <c r="F95" i="3"/>
  <c r="D95" i="3"/>
  <c r="AQ94" i="3"/>
  <c r="AP94" i="3"/>
  <c r="AJ94" i="3"/>
  <c r="AI94" i="3"/>
  <c r="M94" i="3"/>
  <c r="AQ93" i="3"/>
  <c r="AP93" i="3"/>
  <c r="AJ93" i="3"/>
  <c r="AI93" i="3"/>
  <c r="M93" i="3"/>
  <c r="AQ92" i="3"/>
  <c r="AQ95" i="3" s="1"/>
  <c r="AP92" i="3"/>
  <c r="AP95" i="3" s="1"/>
  <c r="AJ92" i="3"/>
  <c r="AI92" i="3"/>
  <c r="AI95" i="3" s="1"/>
  <c r="M92" i="3"/>
  <c r="AV91" i="3"/>
  <c r="AS91" i="3"/>
  <c r="AL91" i="3"/>
  <c r="AM91" i="3" s="1"/>
  <c r="K91" i="3"/>
  <c r="I91" i="3"/>
  <c r="F91" i="3"/>
  <c r="D91" i="3"/>
  <c r="AQ90" i="3"/>
  <c r="AP90" i="3"/>
  <c r="AJ90" i="3"/>
  <c r="AI90" i="3"/>
  <c r="M90" i="3"/>
  <c r="AQ89" i="3"/>
  <c r="AP89" i="3"/>
  <c r="AJ89" i="3"/>
  <c r="AI89" i="3"/>
  <c r="M89" i="3"/>
  <c r="AQ88" i="3"/>
  <c r="AQ91" i="3" s="1"/>
  <c r="AP88" i="3"/>
  <c r="AP91" i="3" s="1"/>
  <c r="AJ88" i="3"/>
  <c r="AI88" i="3"/>
  <c r="AI91" i="3" s="1"/>
  <c r="M88" i="3"/>
  <c r="AV87" i="3"/>
  <c r="AS87" i="3"/>
  <c r="AL87" i="3"/>
  <c r="AM87" i="3" s="1"/>
  <c r="K87" i="3"/>
  <c r="I87" i="3"/>
  <c r="F87" i="3"/>
  <c r="D87" i="3"/>
  <c r="AQ86" i="3"/>
  <c r="AP86" i="3"/>
  <c r="AJ86" i="3"/>
  <c r="AI86" i="3"/>
  <c r="M86" i="3"/>
  <c r="AQ85" i="3"/>
  <c r="AP85" i="3"/>
  <c r="AJ85" i="3"/>
  <c r="AI85" i="3"/>
  <c r="M85" i="3"/>
  <c r="AQ84" i="3"/>
  <c r="AQ87" i="3" s="1"/>
  <c r="AP84" i="3"/>
  <c r="AP87" i="3" s="1"/>
  <c r="AJ84" i="3"/>
  <c r="AI84" i="3"/>
  <c r="AI87" i="3" s="1"/>
  <c r="M84" i="3"/>
  <c r="AV83" i="3"/>
  <c r="AS83" i="3"/>
  <c r="AL83" i="3"/>
  <c r="AM83" i="3" s="1"/>
  <c r="K83" i="3"/>
  <c r="I83" i="3"/>
  <c r="F83" i="3"/>
  <c r="D83" i="3"/>
  <c r="AQ82" i="3"/>
  <c r="AP82" i="3"/>
  <c r="AJ82" i="3"/>
  <c r="AI82" i="3"/>
  <c r="M82" i="3"/>
  <c r="AQ81" i="3"/>
  <c r="AP81" i="3"/>
  <c r="AJ81" i="3"/>
  <c r="AI81" i="3"/>
  <c r="M81" i="3"/>
  <c r="AQ80" i="3"/>
  <c r="AQ83" i="3" s="1"/>
  <c r="AP80" i="3"/>
  <c r="AP83" i="3" s="1"/>
  <c r="AJ80" i="3"/>
  <c r="AI80" i="3"/>
  <c r="AI83" i="3" s="1"/>
  <c r="M80" i="3"/>
  <c r="AV79" i="3"/>
  <c r="AS79" i="3"/>
  <c r="AL79" i="3"/>
  <c r="AM79" i="3" s="1"/>
  <c r="K79" i="3"/>
  <c r="I79" i="3"/>
  <c r="F79" i="3"/>
  <c r="D79" i="3"/>
  <c r="AQ78" i="3"/>
  <c r="AP78" i="3"/>
  <c r="AJ78" i="3"/>
  <c r="AI78" i="3"/>
  <c r="M78" i="3"/>
  <c r="AQ77" i="3"/>
  <c r="AP77" i="3"/>
  <c r="AJ77" i="3"/>
  <c r="AI77" i="3"/>
  <c r="M77" i="3"/>
  <c r="AQ76" i="3"/>
  <c r="AQ79" i="3" s="1"/>
  <c r="AP76" i="3"/>
  <c r="AP79" i="3" s="1"/>
  <c r="AJ76" i="3"/>
  <c r="AI76" i="3"/>
  <c r="AI79" i="3" s="1"/>
  <c r="M76" i="3"/>
  <c r="AV75" i="3"/>
  <c r="AS75" i="3"/>
  <c r="AL75" i="3"/>
  <c r="AM75" i="3" s="1"/>
  <c r="K75" i="3"/>
  <c r="I75" i="3"/>
  <c r="F75" i="3"/>
  <c r="D75" i="3"/>
  <c r="AQ74" i="3"/>
  <c r="AP74" i="3"/>
  <c r="AJ74" i="3"/>
  <c r="AI74" i="3"/>
  <c r="M74" i="3"/>
  <c r="AQ73" i="3"/>
  <c r="AP73" i="3"/>
  <c r="AJ73" i="3"/>
  <c r="AI73" i="3"/>
  <c r="M73" i="3"/>
  <c r="AQ72" i="3"/>
  <c r="AQ75" i="3" s="1"/>
  <c r="AP72" i="3"/>
  <c r="AP75" i="3" s="1"/>
  <c r="AJ72" i="3"/>
  <c r="AI72" i="3"/>
  <c r="AI75" i="3" s="1"/>
  <c r="M72" i="3"/>
  <c r="AV71" i="3"/>
  <c r="AS71" i="3"/>
  <c r="AL71" i="3"/>
  <c r="AM71" i="3" s="1"/>
  <c r="K71" i="3"/>
  <c r="I71" i="3"/>
  <c r="F71" i="3"/>
  <c r="D71" i="3"/>
  <c r="AQ70" i="3"/>
  <c r="AP70" i="3"/>
  <c r="AJ70" i="3"/>
  <c r="AI70" i="3"/>
  <c r="M70" i="3"/>
  <c r="AQ69" i="3"/>
  <c r="AP69" i="3"/>
  <c r="AJ69" i="3"/>
  <c r="AI69" i="3"/>
  <c r="M69" i="3"/>
  <c r="AQ68" i="3"/>
  <c r="AQ71" i="3" s="1"/>
  <c r="AP68" i="3"/>
  <c r="AP71" i="3" s="1"/>
  <c r="AJ68" i="3"/>
  <c r="AI68" i="3"/>
  <c r="AI71" i="3" s="1"/>
  <c r="M68" i="3"/>
  <c r="AV67" i="3"/>
  <c r="AS67" i="3"/>
  <c r="AL67" i="3"/>
  <c r="AM67" i="3" s="1"/>
  <c r="K67" i="3"/>
  <c r="I67" i="3"/>
  <c r="F67" i="3"/>
  <c r="D67" i="3"/>
  <c r="AQ66" i="3"/>
  <c r="AP66" i="3"/>
  <c r="AJ66" i="3"/>
  <c r="AI66" i="3"/>
  <c r="M66" i="3"/>
  <c r="AQ65" i="3"/>
  <c r="AP65" i="3"/>
  <c r="AJ65" i="3"/>
  <c r="AI65" i="3"/>
  <c r="M65" i="3"/>
  <c r="AQ64" i="3"/>
  <c r="AQ67" i="3" s="1"/>
  <c r="AP64" i="3"/>
  <c r="AP67" i="3" s="1"/>
  <c r="AJ64" i="3"/>
  <c r="AI64" i="3"/>
  <c r="AI67" i="3" s="1"/>
  <c r="M64" i="3"/>
  <c r="AV63" i="3"/>
  <c r="AS63" i="3"/>
  <c r="AL63" i="3"/>
  <c r="AM63" i="3" s="1"/>
  <c r="K63" i="3"/>
  <c r="I63" i="3"/>
  <c r="F63" i="3"/>
  <c r="D63" i="3"/>
  <c r="AQ62" i="3"/>
  <c r="AP62" i="3"/>
  <c r="AJ62" i="3"/>
  <c r="AI62" i="3"/>
  <c r="M62" i="3"/>
  <c r="AQ61" i="3"/>
  <c r="AP61" i="3"/>
  <c r="AJ61" i="3"/>
  <c r="AI61" i="3"/>
  <c r="M61" i="3"/>
  <c r="AQ60" i="3"/>
  <c r="AQ63" i="3" s="1"/>
  <c r="AP60" i="3"/>
  <c r="AP63" i="3" s="1"/>
  <c r="AJ60" i="3"/>
  <c r="AI60" i="3"/>
  <c r="AI63" i="3" s="1"/>
  <c r="M60" i="3"/>
  <c r="AV59" i="3"/>
  <c r="AS59" i="3"/>
  <c r="AL59" i="3"/>
  <c r="AM59" i="3" s="1"/>
  <c r="K59" i="3"/>
  <c r="I59" i="3"/>
  <c r="F59" i="3"/>
  <c r="D59" i="3"/>
  <c r="AQ58" i="3"/>
  <c r="AP58" i="3"/>
  <c r="AJ58" i="3"/>
  <c r="AI58" i="3"/>
  <c r="M58" i="3"/>
  <c r="AQ57" i="3"/>
  <c r="AP57" i="3"/>
  <c r="AJ57" i="3"/>
  <c r="AI57" i="3"/>
  <c r="M57" i="3"/>
  <c r="AQ56" i="3"/>
  <c r="AQ59" i="3" s="1"/>
  <c r="AP56" i="3"/>
  <c r="AP59" i="3" s="1"/>
  <c r="AJ56" i="3"/>
  <c r="AI56" i="3"/>
  <c r="AI59" i="3" s="1"/>
  <c r="M56" i="3"/>
  <c r="AV55" i="3"/>
  <c r="AS55" i="3"/>
  <c r="AL55" i="3"/>
  <c r="AM55" i="3" s="1"/>
  <c r="K55" i="3"/>
  <c r="I55" i="3"/>
  <c r="F55" i="3"/>
  <c r="D55" i="3"/>
  <c r="AQ54" i="3"/>
  <c r="AP54" i="3"/>
  <c r="AJ54" i="3"/>
  <c r="AI54" i="3"/>
  <c r="M54" i="3"/>
  <c r="AQ53" i="3"/>
  <c r="AP53" i="3"/>
  <c r="AJ53" i="3"/>
  <c r="AI53" i="3"/>
  <c r="M53" i="3"/>
  <c r="AQ52" i="3"/>
  <c r="AQ55" i="3" s="1"/>
  <c r="AP52" i="3"/>
  <c r="AP55" i="3" s="1"/>
  <c r="AJ52" i="3"/>
  <c r="AI52" i="3"/>
  <c r="AI55" i="3" s="1"/>
  <c r="M52" i="3"/>
  <c r="AV51" i="3"/>
  <c r="AS51" i="3"/>
  <c r="AL51" i="3"/>
  <c r="AM51" i="3" s="1"/>
  <c r="K51" i="3"/>
  <c r="I51" i="3"/>
  <c r="F51" i="3"/>
  <c r="D51" i="3"/>
  <c r="AQ50" i="3"/>
  <c r="AP50" i="3"/>
  <c r="AJ50" i="3"/>
  <c r="AI50" i="3"/>
  <c r="M50" i="3"/>
  <c r="AQ49" i="3"/>
  <c r="AP49" i="3"/>
  <c r="AJ49" i="3"/>
  <c r="AI49" i="3"/>
  <c r="M49" i="3"/>
  <c r="AQ48" i="3"/>
  <c r="AQ51" i="3" s="1"/>
  <c r="AP48" i="3"/>
  <c r="AP51" i="3" s="1"/>
  <c r="AJ48" i="3"/>
  <c r="AI48" i="3"/>
  <c r="AI51" i="3" s="1"/>
  <c r="M48" i="3"/>
  <c r="AV47" i="3"/>
  <c r="AS47" i="3"/>
  <c r="AL47" i="3"/>
  <c r="AM47" i="3" s="1"/>
  <c r="K47" i="3"/>
  <c r="I47" i="3"/>
  <c r="F47" i="3"/>
  <c r="D47" i="3"/>
  <c r="AQ46" i="3"/>
  <c r="AP46" i="3"/>
  <c r="AJ46" i="3"/>
  <c r="AI46" i="3"/>
  <c r="M46" i="3"/>
  <c r="AQ45" i="3"/>
  <c r="AP45" i="3"/>
  <c r="AJ45" i="3"/>
  <c r="AI45" i="3"/>
  <c r="M45" i="3"/>
  <c r="AQ44" i="3"/>
  <c r="AQ47" i="3" s="1"/>
  <c r="AP44" i="3"/>
  <c r="AP47" i="3" s="1"/>
  <c r="AJ44" i="3"/>
  <c r="AI44" i="3"/>
  <c r="AI47" i="3" s="1"/>
  <c r="M44" i="3"/>
  <c r="AV43" i="3"/>
  <c r="AS43" i="3"/>
  <c r="AL43" i="3"/>
  <c r="AM43" i="3" s="1"/>
  <c r="K43" i="3"/>
  <c r="I43" i="3"/>
  <c r="F43" i="3"/>
  <c r="D43" i="3"/>
  <c r="AQ42" i="3"/>
  <c r="AP42" i="3"/>
  <c r="AJ42" i="3"/>
  <c r="AI42" i="3"/>
  <c r="M42" i="3"/>
  <c r="AQ41" i="3"/>
  <c r="AP41" i="3"/>
  <c r="AJ41" i="3"/>
  <c r="AI41" i="3"/>
  <c r="M41" i="3"/>
  <c r="AQ40" i="3"/>
  <c r="AQ43" i="3" s="1"/>
  <c r="AP40" i="3"/>
  <c r="AP43" i="3" s="1"/>
  <c r="AJ40" i="3"/>
  <c r="AI40" i="3"/>
  <c r="AI43" i="3" s="1"/>
  <c r="M40" i="3"/>
  <c r="AV39" i="3"/>
  <c r="AS39" i="3"/>
  <c r="AL39" i="3"/>
  <c r="AM39" i="3" s="1"/>
  <c r="K39" i="3"/>
  <c r="I39" i="3"/>
  <c r="F39" i="3"/>
  <c r="D39" i="3"/>
  <c r="AQ38" i="3"/>
  <c r="AP38" i="3"/>
  <c r="AJ38" i="3"/>
  <c r="AI38" i="3"/>
  <c r="M38" i="3"/>
  <c r="AQ37" i="3"/>
  <c r="AP37" i="3"/>
  <c r="AJ37" i="3"/>
  <c r="AI37" i="3"/>
  <c r="M37" i="3"/>
  <c r="AQ36" i="3"/>
  <c r="AQ39" i="3" s="1"/>
  <c r="AP36" i="3"/>
  <c r="AP39" i="3" s="1"/>
  <c r="AJ36" i="3"/>
  <c r="AI36" i="3"/>
  <c r="AI39" i="3" s="1"/>
  <c r="M36" i="3"/>
  <c r="AV35" i="3"/>
  <c r="AS35" i="3"/>
  <c r="AL35" i="3"/>
  <c r="AM35" i="3" s="1"/>
  <c r="K35" i="3"/>
  <c r="I35" i="3"/>
  <c r="F35" i="3"/>
  <c r="D35" i="3"/>
  <c r="AQ34" i="3"/>
  <c r="AP34" i="3"/>
  <c r="AJ34" i="3"/>
  <c r="AI34" i="3"/>
  <c r="M34" i="3"/>
  <c r="AQ33" i="3"/>
  <c r="AP33" i="3"/>
  <c r="AJ33" i="3"/>
  <c r="AI33" i="3"/>
  <c r="M33" i="3"/>
  <c r="AQ32" i="3"/>
  <c r="AQ35" i="3" s="1"/>
  <c r="AP32" i="3"/>
  <c r="AP35" i="3" s="1"/>
  <c r="AJ32" i="3"/>
  <c r="AI32" i="3"/>
  <c r="AI35" i="3" s="1"/>
  <c r="M32" i="3"/>
  <c r="AV31" i="3"/>
  <c r="AS31" i="3"/>
  <c r="AL31" i="3"/>
  <c r="AM31" i="3" s="1"/>
  <c r="K31" i="3"/>
  <c r="I31" i="3"/>
  <c r="F31" i="3"/>
  <c r="D31" i="3"/>
  <c r="AQ30" i="3"/>
  <c r="AP30" i="3"/>
  <c r="AJ30" i="3"/>
  <c r="AI30" i="3"/>
  <c r="M30" i="3"/>
  <c r="AQ29" i="3"/>
  <c r="AP29" i="3"/>
  <c r="AJ29" i="3"/>
  <c r="AI29" i="3"/>
  <c r="M29" i="3"/>
  <c r="AQ28" i="3"/>
  <c r="AQ31" i="3" s="1"/>
  <c r="AP28" i="3"/>
  <c r="AP31" i="3" s="1"/>
  <c r="AJ28" i="3"/>
  <c r="AI28" i="3"/>
  <c r="AI31" i="3" s="1"/>
  <c r="M28" i="3"/>
  <c r="AV27" i="3"/>
  <c r="AS27" i="3"/>
  <c r="AL27" i="3"/>
  <c r="AM27" i="3" s="1"/>
  <c r="K27" i="3"/>
  <c r="I27" i="3"/>
  <c r="F27" i="3"/>
  <c r="D27" i="3"/>
  <c r="AQ26" i="3"/>
  <c r="AP26" i="3"/>
  <c r="AJ26" i="3"/>
  <c r="AI26" i="3"/>
  <c r="M26" i="3"/>
  <c r="AQ25" i="3"/>
  <c r="AP25" i="3"/>
  <c r="AJ25" i="3"/>
  <c r="AI25" i="3"/>
  <c r="M25" i="3"/>
  <c r="AQ24" i="3"/>
  <c r="AQ27" i="3" s="1"/>
  <c r="AP24" i="3"/>
  <c r="AP27" i="3" s="1"/>
  <c r="AJ24" i="3"/>
  <c r="AI24" i="3"/>
  <c r="AI27" i="3" s="1"/>
  <c r="M24" i="3"/>
  <c r="AV23" i="3"/>
  <c r="AS23" i="3"/>
  <c r="AL23" i="3"/>
  <c r="AM23" i="3" s="1"/>
  <c r="K23" i="3"/>
  <c r="I23" i="3"/>
  <c r="F23" i="3"/>
  <c r="D23" i="3"/>
  <c r="AQ22" i="3"/>
  <c r="AP22" i="3"/>
  <c r="AJ22" i="3"/>
  <c r="AI22" i="3"/>
  <c r="M22" i="3"/>
  <c r="AQ21" i="3"/>
  <c r="AP21" i="3"/>
  <c r="AJ21" i="3"/>
  <c r="AI21" i="3"/>
  <c r="M21" i="3"/>
  <c r="AQ20" i="3"/>
  <c r="AQ23" i="3" s="1"/>
  <c r="AP20" i="3"/>
  <c r="AP23" i="3" s="1"/>
  <c r="AJ20" i="3"/>
  <c r="AI20" i="3"/>
  <c r="AI23" i="3" s="1"/>
  <c r="M20" i="3"/>
  <c r="AV19" i="3"/>
  <c r="AS19" i="3"/>
  <c r="AL19" i="3"/>
  <c r="AM19" i="3" s="1"/>
  <c r="K19" i="3"/>
  <c r="I19" i="3"/>
  <c r="F19" i="3"/>
  <c r="D19" i="3"/>
  <c r="AQ18" i="3"/>
  <c r="AP18" i="3"/>
  <c r="AJ18" i="3"/>
  <c r="AI18" i="3"/>
  <c r="M18" i="3"/>
  <c r="AQ17" i="3"/>
  <c r="AP17" i="3"/>
  <c r="AJ17" i="3"/>
  <c r="AI17" i="3"/>
  <c r="M17" i="3"/>
  <c r="AQ16" i="3"/>
  <c r="AQ19" i="3" s="1"/>
  <c r="AP16" i="3"/>
  <c r="AP19" i="3" s="1"/>
  <c r="AJ16" i="3"/>
  <c r="AI16" i="3"/>
  <c r="AI19" i="3" s="1"/>
  <c r="M16" i="3"/>
  <c r="AV15" i="3"/>
  <c r="AS15" i="3"/>
  <c r="AL15" i="3"/>
  <c r="AM15" i="3" s="1"/>
  <c r="K15" i="3"/>
  <c r="I15" i="3"/>
  <c r="F15" i="3"/>
  <c r="D15" i="3"/>
  <c r="AQ14" i="3"/>
  <c r="AP14" i="3"/>
  <c r="AJ14" i="3"/>
  <c r="AI14" i="3"/>
  <c r="M14" i="3"/>
  <c r="AQ13" i="3"/>
  <c r="AP13" i="3"/>
  <c r="AJ13" i="3"/>
  <c r="AI13" i="3"/>
  <c r="M13" i="3"/>
  <c r="AQ12" i="3"/>
  <c r="AQ15" i="3" s="1"/>
  <c r="AP12" i="3"/>
  <c r="AP15" i="3" s="1"/>
  <c r="AJ12" i="3"/>
  <c r="AI12" i="3"/>
  <c r="AI15" i="3" s="1"/>
  <c r="M12" i="3"/>
  <c r="AV11" i="3"/>
  <c r="AS11" i="3"/>
  <c r="AL11" i="3"/>
  <c r="AM11" i="3" s="1"/>
  <c r="K11" i="3"/>
  <c r="I11" i="3"/>
  <c r="F11" i="3"/>
  <c r="D11" i="3"/>
  <c r="AQ10" i="3"/>
  <c r="AP10" i="3"/>
  <c r="AJ10" i="3"/>
  <c r="AI10" i="3"/>
  <c r="M10" i="3"/>
  <c r="AQ9" i="3"/>
  <c r="AP9" i="3"/>
  <c r="AJ9" i="3"/>
  <c r="AI9" i="3"/>
  <c r="M9" i="3"/>
  <c r="AQ8" i="3"/>
  <c r="AQ11" i="3" s="1"/>
  <c r="AP8" i="3"/>
  <c r="AP11" i="3" s="1"/>
  <c r="AJ8" i="3"/>
  <c r="AI8" i="3"/>
  <c r="AI11" i="3" s="1"/>
  <c r="M8" i="3"/>
  <c r="AV7" i="3"/>
  <c r="AS7" i="3"/>
  <c r="AL7" i="3"/>
  <c r="AM7" i="3" s="1"/>
  <c r="K7" i="3"/>
  <c r="I7" i="3"/>
  <c r="F7" i="3"/>
  <c r="D7" i="3"/>
  <c r="AQ6" i="3"/>
  <c r="AP6" i="3"/>
  <c r="AJ6" i="3"/>
  <c r="AI6" i="3"/>
  <c r="M6" i="3"/>
  <c r="AQ5" i="3"/>
  <c r="AP5" i="3"/>
  <c r="AJ5" i="3"/>
  <c r="AI5" i="3"/>
  <c r="M5" i="3"/>
  <c r="AT4" i="3"/>
  <c r="AT5" i="3" s="1"/>
  <c r="AT6" i="3" s="1"/>
  <c r="AQ4" i="3"/>
  <c r="AQ7" i="3" s="1"/>
  <c r="AP4" i="3"/>
  <c r="AP7" i="3" s="1"/>
  <c r="AJ4" i="3"/>
  <c r="AI4" i="3"/>
  <c r="AI7" i="3" s="1"/>
  <c r="M4" i="3"/>
  <c r="AV115" i="2"/>
  <c r="AS115" i="2"/>
  <c r="AL115" i="2"/>
  <c r="AM115" i="2" s="1"/>
  <c r="K115" i="2"/>
  <c r="I115" i="2"/>
  <c r="F115" i="2"/>
  <c r="D115" i="2"/>
  <c r="AQ114" i="2"/>
  <c r="AP114" i="2"/>
  <c r="AJ114" i="2"/>
  <c r="AI114" i="2"/>
  <c r="M114" i="2"/>
  <c r="AQ113" i="2"/>
  <c r="AP113" i="2"/>
  <c r="AJ113" i="2"/>
  <c r="AI113" i="2"/>
  <c r="M113" i="2"/>
  <c r="AQ112" i="2"/>
  <c r="AQ115" i="2" s="1"/>
  <c r="AP112" i="2"/>
  <c r="AP115" i="2" s="1"/>
  <c r="AJ112" i="2"/>
  <c r="AI112" i="2"/>
  <c r="AI115" i="2" s="1"/>
  <c r="M112" i="2"/>
  <c r="AV111" i="2"/>
  <c r="AS111" i="2"/>
  <c r="AL111" i="2"/>
  <c r="AM111" i="2" s="1"/>
  <c r="K111" i="2"/>
  <c r="I111" i="2"/>
  <c r="F111" i="2"/>
  <c r="D111" i="2"/>
  <c r="AQ110" i="2"/>
  <c r="AP110" i="2"/>
  <c r="AJ110" i="2"/>
  <c r="AI110" i="2"/>
  <c r="M110" i="2"/>
  <c r="AQ109" i="2"/>
  <c r="AP109" i="2"/>
  <c r="AJ109" i="2"/>
  <c r="AI109" i="2"/>
  <c r="M109" i="2"/>
  <c r="AQ108" i="2"/>
  <c r="AQ111" i="2" s="1"/>
  <c r="AP108" i="2"/>
  <c r="AP111" i="2" s="1"/>
  <c r="AJ108" i="2"/>
  <c r="AI108" i="2"/>
  <c r="AI111" i="2" s="1"/>
  <c r="M108" i="2"/>
  <c r="AV107" i="2"/>
  <c r="AS107" i="2"/>
  <c r="AL107" i="2"/>
  <c r="AM107" i="2" s="1"/>
  <c r="K107" i="2"/>
  <c r="I107" i="2"/>
  <c r="F107" i="2"/>
  <c r="D107" i="2"/>
  <c r="AQ106" i="2"/>
  <c r="AP106" i="2"/>
  <c r="AJ106" i="2"/>
  <c r="AI106" i="2"/>
  <c r="M106" i="2"/>
  <c r="AQ105" i="2"/>
  <c r="AP105" i="2"/>
  <c r="AJ105" i="2"/>
  <c r="AI105" i="2"/>
  <c r="M105" i="2"/>
  <c r="AQ104" i="2"/>
  <c r="AQ107" i="2" s="1"/>
  <c r="AP104" i="2"/>
  <c r="AP107" i="2" s="1"/>
  <c r="AJ104" i="2"/>
  <c r="AI104" i="2"/>
  <c r="AI107" i="2" s="1"/>
  <c r="M104" i="2"/>
  <c r="AV103" i="2"/>
  <c r="AS103" i="2"/>
  <c r="AL103" i="2"/>
  <c r="AM103" i="2" s="1"/>
  <c r="K103" i="2"/>
  <c r="I103" i="2"/>
  <c r="F103" i="2"/>
  <c r="D103" i="2"/>
  <c r="AQ102" i="2"/>
  <c r="AP102" i="2"/>
  <c r="AJ102" i="2"/>
  <c r="AI102" i="2"/>
  <c r="M102" i="2"/>
  <c r="AQ101" i="2"/>
  <c r="AP101" i="2"/>
  <c r="AJ101" i="2"/>
  <c r="AI101" i="2"/>
  <c r="M101" i="2"/>
  <c r="AQ100" i="2"/>
  <c r="AQ103" i="2" s="1"/>
  <c r="AP100" i="2"/>
  <c r="AP103" i="2" s="1"/>
  <c r="AJ100" i="2"/>
  <c r="AI100" i="2"/>
  <c r="AI103" i="2" s="1"/>
  <c r="M100" i="2"/>
  <c r="AV99" i="2"/>
  <c r="AS99" i="2"/>
  <c r="AL99" i="2"/>
  <c r="AM99" i="2" s="1"/>
  <c r="K99" i="2"/>
  <c r="I99" i="2"/>
  <c r="F99" i="2"/>
  <c r="D99" i="2"/>
  <c r="AQ98" i="2"/>
  <c r="AP98" i="2"/>
  <c r="AJ98" i="2"/>
  <c r="AI98" i="2"/>
  <c r="M98" i="2"/>
  <c r="AQ97" i="2"/>
  <c r="AP97" i="2"/>
  <c r="AJ97" i="2"/>
  <c r="AI97" i="2"/>
  <c r="M97" i="2"/>
  <c r="AQ96" i="2"/>
  <c r="AQ99" i="2" s="1"/>
  <c r="AP96" i="2"/>
  <c r="AP99" i="2" s="1"/>
  <c r="AJ96" i="2"/>
  <c r="AI96" i="2"/>
  <c r="AI99" i="2" s="1"/>
  <c r="M96" i="2"/>
  <c r="AV95" i="2"/>
  <c r="AS95" i="2"/>
  <c r="AL95" i="2"/>
  <c r="AM95" i="2" s="1"/>
  <c r="K95" i="2"/>
  <c r="I95" i="2"/>
  <c r="F95" i="2"/>
  <c r="D95" i="2"/>
  <c r="AQ94" i="2"/>
  <c r="AP94" i="2"/>
  <c r="AJ94" i="2"/>
  <c r="AI94" i="2"/>
  <c r="M94" i="2"/>
  <c r="AQ93" i="2"/>
  <c r="AP93" i="2"/>
  <c r="AJ93" i="2"/>
  <c r="AI93" i="2"/>
  <c r="M93" i="2"/>
  <c r="AQ92" i="2"/>
  <c r="AQ95" i="2" s="1"/>
  <c r="AP92" i="2"/>
  <c r="AP95" i="2" s="1"/>
  <c r="AJ92" i="2"/>
  <c r="AI92" i="2"/>
  <c r="AI95" i="2" s="1"/>
  <c r="M92" i="2"/>
  <c r="AV91" i="2"/>
  <c r="AS91" i="2"/>
  <c r="AL91" i="2"/>
  <c r="AM91" i="2" s="1"/>
  <c r="K91" i="2"/>
  <c r="I91" i="2"/>
  <c r="F91" i="2"/>
  <c r="D91" i="2"/>
  <c r="AQ90" i="2"/>
  <c r="AP90" i="2"/>
  <c r="AJ90" i="2"/>
  <c r="AI90" i="2"/>
  <c r="M90" i="2"/>
  <c r="AQ89" i="2"/>
  <c r="AP89" i="2"/>
  <c r="AJ89" i="2"/>
  <c r="AI89" i="2"/>
  <c r="M89" i="2"/>
  <c r="AQ88" i="2"/>
  <c r="AQ91" i="2" s="1"/>
  <c r="AP88" i="2"/>
  <c r="AP91" i="2" s="1"/>
  <c r="AJ88" i="2"/>
  <c r="AI88" i="2"/>
  <c r="AI91" i="2" s="1"/>
  <c r="M88" i="2"/>
  <c r="AV87" i="2"/>
  <c r="AS87" i="2"/>
  <c r="AL87" i="2"/>
  <c r="AM87" i="2" s="1"/>
  <c r="K87" i="2"/>
  <c r="I87" i="2"/>
  <c r="F87" i="2"/>
  <c r="D87" i="2"/>
  <c r="AQ86" i="2"/>
  <c r="AP86" i="2"/>
  <c r="AJ86" i="2"/>
  <c r="AI86" i="2"/>
  <c r="M86" i="2"/>
  <c r="AQ85" i="2"/>
  <c r="AP85" i="2"/>
  <c r="AJ85" i="2"/>
  <c r="AI85" i="2"/>
  <c r="M85" i="2"/>
  <c r="AQ84" i="2"/>
  <c r="AQ87" i="2" s="1"/>
  <c r="AP84" i="2"/>
  <c r="AP87" i="2" s="1"/>
  <c r="AJ84" i="2"/>
  <c r="AI84" i="2"/>
  <c r="AI87" i="2" s="1"/>
  <c r="M84" i="2"/>
  <c r="AV83" i="2"/>
  <c r="AS83" i="2"/>
  <c r="AL83" i="2"/>
  <c r="AM83" i="2" s="1"/>
  <c r="K83" i="2"/>
  <c r="I83" i="2"/>
  <c r="F83" i="2"/>
  <c r="D83" i="2"/>
  <c r="AQ82" i="2"/>
  <c r="AP82" i="2"/>
  <c r="AJ82" i="2"/>
  <c r="AI82" i="2"/>
  <c r="M82" i="2"/>
  <c r="AQ81" i="2"/>
  <c r="AP81" i="2"/>
  <c r="AJ81" i="2"/>
  <c r="AI81" i="2"/>
  <c r="M81" i="2"/>
  <c r="AQ80" i="2"/>
  <c r="AQ83" i="2" s="1"/>
  <c r="AP80" i="2"/>
  <c r="AP83" i="2" s="1"/>
  <c r="AJ80" i="2"/>
  <c r="AI80" i="2"/>
  <c r="AI83" i="2" s="1"/>
  <c r="M80" i="2"/>
  <c r="AV79" i="2"/>
  <c r="AS79" i="2"/>
  <c r="AL79" i="2"/>
  <c r="AM79" i="2" s="1"/>
  <c r="K79" i="2"/>
  <c r="I79" i="2"/>
  <c r="F79" i="2"/>
  <c r="D79" i="2"/>
  <c r="AQ78" i="2"/>
  <c r="AP78" i="2"/>
  <c r="AJ78" i="2"/>
  <c r="AI78" i="2"/>
  <c r="M78" i="2"/>
  <c r="AQ77" i="2"/>
  <c r="AP77" i="2"/>
  <c r="AJ77" i="2"/>
  <c r="AI77" i="2"/>
  <c r="M77" i="2"/>
  <c r="AQ76" i="2"/>
  <c r="AQ79" i="2" s="1"/>
  <c r="AP76" i="2"/>
  <c r="AP79" i="2" s="1"/>
  <c r="AJ76" i="2"/>
  <c r="AI76" i="2"/>
  <c r="AI79" i="2" s="1"/>
  <c r="M76" i="2"/>
  <c r="AV75" i="2"/>
  <c r="AS75" i="2"/>
  <c r="AL75" i="2"/>
  <c r="AM75" i="2" s="1"/>
  <c r="K75" i="2"/>
  <c r="I75" i="2"/>
  <c r="F75" i="2"/>
  <c r="D75" i="2"/>
  <c r="AQ74" i="2"/>
  <c r="AP74" i="2"/>
  <c r="AJ74" i="2"/>
  <c r="AI74" i="2"/>
  <c r="M74" i="2"/>
  <c r="AQ73" i="2"/>
  <c r="AP73" i="2"/>
  <c r="AJ73" i="2"/>
  <c r="AI73" i="2"/>
  <c r="M73" i="2"/>
  <c r="AQ72" i="2"/>
  <c r="AQ75" i="2" s="1"/>
  <c r="AP72" i="2"/>
  <c r="AP75" i="2" s="1"/>
  <c r="AJ72" i="2"/>
  <c r="AI72" i="2"/>
  <c r="AI75" i="2" s="1"/>
  <c r="M72" i="2"/>
  <c r="AV71" i="2"/>
  <c r="AS71" i="2"/>
  <c r="AL71" i="2"/>
  <c r="AM71" i="2" s="1"/>
  <c r="K71" i="2"/>
  <c r="I71" i="2"/>
  <c r="F71" i="2"/>
  <c r="D71" i="2"/>
  <c r="AQ70" i="2"/>
  <c r="AP70" i="2"/>
  <c r="AJ70" i="2"/>
  <c r="AI70" i="2"/>
  <c r="M70" i="2"/>
  <c r="AQ69" i="2"/>
  <c r="AP69" i="2"/>
  <c r="AJ69" i="2"/>
  <c r="AI69" i="2"/>
  <c r="M69" i="2"/>
  <c r="AQ68" i="2"/>
  <c r="AQ71" i="2" s="1"/>
  <c r="AP68" i="2"/>
  <c r="AP71" i="2" s="1"/>
  <c r="AJ68" i="2"/>
  <c r="AI68" i="2"/>
  <c r="AI71" i="2" s="1"/>
  <c r="M68" i="2"/>
  <c r="AV67" i="2"/>
  <c r="AS67" i="2"/>
  <c r="AL67" i="2"/>
  <c r="AM67" i="2" s="1"/>
  <c r="K67" i="2"/>
  <c r="I67" i="2"/>
  <c r="F67" i="2"/>
  <c r="D67" i="2"/>
  <c r="AQ66" i="2"/>
  <c r="AP66" i="2"/>
  <c r="AJ66" i="2"/>
  <c r="AI66" i="2"/>
  <c r="M66" i="2"/>
  <c r="AQ65" i="2"/>
  <c r="AP65" i="2"/>
  <c r="AJ65" i="2"/>
  <c r="AI65" i="2"/>
  <c r="M65" i="2"/>
  <c r="AQ64" i="2"/>
  <c r="AQ67" i="2" s="1"/>
  <c r="AP64" i="2"/>
  <c r="AP67" i="2" s="1"/>
  <c r="AJ64" i="2"/>
  <c r="AI64" i="2"/>
  <c r="AI67" i="2" s="1"/>
  <c r="M64" i="2"/>
  <c r="AV63" i="2"/>
  <c r="AS63" i="2"/>
  <c r="AL63" i="2"/>
  <c r="AM63" i="2" s="1"/>
  <c r="K63" i="2"/>
  <c r="I63" i="2"/>
  <c r="F63" i="2"/>
  <c r="D63" i="2"/>
  <c r="AQ62" i="2"/>
  <c r="AP62" i="2"/>
  <c r="AJ62" i="2"/>
  <c r="AI62" i="2"/>
  <c r="M62" i="2"/>
  <c r="AQ61" i="2"/>
  <c r="AP61" i="2"/>
  <c r="AJ61" i="2"/>
  <c r="AI61" i="2"/>
  <c r="M61" i="2"/>
  <c r="AQ60" i="2"/>
  <c r="AQ63" i="2" s="1"/>
  <c r="AP60" i="2"/>
  <c r="AP63" i="2" s="1"/>
  <c r="AJ60" i="2"/>
  <c r="AI60" i="2"/>
  <c r="AI63" i="2" s="1"/>
  <c r="M60" i="2"/>
  <c r="AV59" i="2"/>
  <c r="AS59" i="2"/>
  <c r="AL59" i="2"/>
  <c r="AM59" i="2" s="1"/>
  <c r="K59" i="2"/>
  <c r="I59" i="2"/>
  <c r="F59" i="2"/>
  <c r="D59" i="2"/>
  <c r="AQ58" i="2"/>
  <c r="AP58" i="2"/>
  <c r="AJ58" i="2"/>
  <c r="AI58" i="2"/>
  <c r="M58" i="2"/>
  <c r="AQ57" i="2"/>
  <c r="AP57" i="2"/>
  <c r="AJ57" i="2"/>
  <c r="AI57" i="2"/>
  <c r="M57" i="2"/>
  <c r="AQ56" i="2"/>
  <c r="AQ59" i="2" s="1"/>
  <c r="AP56" i="2"/>
  <c r="AP59" i="2" s="1"/>
  <c r="AJ56" i="2"/>
  <c r="AI56" i="2"/>
  <c r="AI59" i="2" s="1"/>
  <c r="M56" i="2"/>
  <c r="AV55" i="2"/>
  <c r="AS55" i="2"/>
  <c r="AL55" i="2"/>
  <c r="AM55" i="2" s="1"/>
  <c r="K55" i="2"/>
  <c r="I55" i="2"/>
  <c r="F55" i="2"/>
  <c r="D55" i="2"/>
  <c r="AQ54" i="2"/>
  <c r="AP54" i="2"/>
  <c r="AJ54" i="2"/>
  <c r="AI54" i="2"/>
  <c r="M54" i="2"/>
  <c r="AQ53" i="2"/>
  <c r="AP53" i="2"/>
  <c r="AJ53" i="2"/>
  <c r="AI53" i="2"/>
  <c r="M53" i="2"/>
  <c r="AQ52" i="2"/>
  <c r="AQ55" i="2" s="1"/>
  <c r="AP52" i="2"/>
  <c r="AP55" i="2" s="1"/>
  <c r="AJ52" i="2"/>
  <c r="AI52" i="2"/>
  <c r="AI55" i="2" s="1"/>
  <c r="M52" i="2"/>
  <c r="AV51" i="2"/>
  <c r="AS51" i="2"/>
  <c r="AL51" i="2"/>
  <c r="AM51" i="2" s="1"/>
  <c r="K51" i="2"/>
  <c r="I51" i="2"/>
  <c r="F51" i="2"/>
  <c r="D51" i="2"/>
  <c r="AQ50" i="2"/>
  <c r="AP50" i="2"/>
  <c r="AJ50" i="2"/>
  <c r="AI50" i="2"/>
  <c r="M50" i="2"/>
  <c r="AQ49" i="2"/>
  <c r="AP49" i="2"/>
  <c r="AJ49" i="2"/>
  <c r="AI49" i="2"/>
  <c r="M49" i="2"/>
  <c r="AQ48" i="2"/>
  <c r="AQ51" i="2" s="1"/>
  <c r="AP48" i="2"/>
  <c r="AP51" i="2" s="1"/>
  <c r="AJ48" i="2"/>
  <c r="AI48" i="2"/>
  <c r="AI51" i="2" s="1"/>
  <c r="M48" i="2"/>
  <c r="AV47" i="2"/>
  <c r="AS47" i="2"/>
  <c r="AL47" i="2"/>
  <c r="AM47" i="2" s="1"/>
  <c r="K47" i="2"/>
  <c r="I47" i="2"/>
  <c r="F47" i="2"/>
  <c r="D47" i="2"/>
  <c r="AQ46" i="2"/>
  <c r="AP46" i="2"/>
  <c r="AJ46" i="2"/>
  <c r="AI46" i="2"/>
  <c r="M46" i="2"/>
  <c r="AQ45" i="2"/>
  <c r="AP45" i="2"/>
  <c r="AJ45" i="2"/>
  <c r="AI45" i="2"/>
  <c r="M45" i="2"/>
  <c r="AQ44" i="2"/>
  <c r="AQ47" i="2" s="1"/>
  <c r="AP44" i="2"/>
  <c r="AP47" i="2" s="1"/>
  <c r="AJ44" i="2"/>
  <c r="AI44" i="2"/>
  <c r="AI47" i="2" s="1"/>
  <c r="M44" i="2"/>
  <c r="AV43" i="2"/>
  <c r="AS43" i="2"/>
  <c r="AL43" i="2"/>
  <c r="AM43" i="2" s="1"/>
  <c r="K43" i="2"/>
  <c r="I43" i="2"/>
  <c r="F43" i="2"/>
  <c r="D43" i="2"/>
  <c r="AQ42" i="2"/>
  <c r="AP42" i="2"/>
  <c r="AJ42" i="2"/>
  <c r="AI42" i="2"/>
  <c r="M42" i="2"/>
  <c r="AQ41" i="2"/>
  <c r="AP41" i="2"/>
  <c r="AJ41" i="2"/>
  <c r="AI41" i="2"/>
  <c r="M41" i="2"/>
  <c r="AQ40" i="2"/>
  <c r="AQ43" i="2" s="1"/>
  <c r="AP40" i="2"/>
  <c r="AP43" i="2" s="1"/>
  <c r="AJ40" i="2"/>
  <c r="AI40" i="2"/>
  <c r="AI43" i="2" s="1"/>
  <c r="M40" i="2"/>
  <c r="AV39" i="2"/>
  <c r="AS39" i="2"/>
  <c r="AL39" i="2"/>
  <c r="AM39" i="2" s="1"/>
  <c r="K39" i="2"/>
  <c r="I39" i="2"/>
  <c r="F39" i="2"/>
  <c r="D39" i="2"/>
  <c r="AQ38" i="2"/>
  <c r="AP38" i="2"/>
  <c r="AJ38" i="2"/>
  <c r="AI38" i="2"/>
  <c r="M38" i="2"/>
  <c r="AQ37" i="2"/>
  <c r="AP37" i="2"/>
  <c r="AJ37" i="2"/>
  <c r="AI37" i="2"/>
  <c r="M37" i="2"/>
  <c r="AQ36" i="2"/>
  <c r="AQ39" i="2" s="1"/>
  <c r="AP36" i="2"/>
  <c r="AP39" i="2" s="1"/>
  <c r="AJ36" i="2"/>
  <c r="AI36" i="2"/>
  <c r="AI39" i="2" s="1"/>
  <c r="M36" i="2"/>
  <c r="AV35" i="2"/>
  <c r="AS35" i="2"/>
  <c r="AL35" i="2"/>
  <c r="AM35" i="2" s="1"/>
  <c r="K35" i="2"/>
  <c r="I35" i="2"/>
  <c r="F35" i="2"/>
  <c r="D35" i="2"/>
  <c r="AQ34" i="2"/>
  <c r="AP34" i="2"/>
  <c r="AJ34" i="2"/>
  <c r="AI34" i="2"/>
  <c r="M34" i="2"/>
  <c r="AQ33" i="2"/>
  <c r="AP33" i="2"/>
  <c r="AJ33" i="2"/>
  <c r="AI33" i="2"/>
  <c r="M33" i="2"/>
  <c r="AQ32" i="2"/>
  <c r="AQ35" i="2" s="1"/>
  <c r="AP32" i="2"/>
  <c r="AP35" i="2" s="1"/>
  <c r="AJ32" i="2"/>
  <c r="AI32" i="2"/>
  <c r="AI35" i="2" s="1"/>
  <c r="M32" i="2"/>
  <c r="AV31" i="2"/>
  <c r="AS31" i="2"/>
  <c r="AL31" i="2"/>
  <c r="AM31" i="2" s="1"/>
  <c r="K31" i="2"/>
  <c r="I31" i="2"/>
  <c r="F31" i="2"/>
  <c r="D31" i="2"/>
  <c r="AQ30" i="2"/>
  <c r="AP30" i="2"/>
  <c r="AJ30" i="2"/>
  <c r="AI30" i="2"/>
  <c r="M30" i="2"/>
  <c r="AQ29" i="2"/>
  <c r="AP29" i="2"/>
  <c r="AJ29" i="2"/>
  <c r="AI29" i="2"/>
  <c r="M29" i="2"/>
  <c r="AQ28" i="2"/>
  <c r="AQ31" i="2" s="1"/>
  <c r="AP28" i="2"/>
  <c r="AP31" i="2" s="1"/>
  <c r="AJ28" i="2"/>
  <c r="AI28" i="2"/>
  <c r="AI31" i="2" s="1"/>
  <c r="M28" i="2"/>
  <c r="AV27" i="2"/>
  <c r="AS27" i="2"/>
  <c r="AL27" i="2"/>
  <c r="AM27" i="2" s="1"/>
  <c r="K27" i="2"/>
  <c r="I27" i="2"/>
  <c r="F27" i="2"/>
  <c r="D27" i="2"/>
  <c r="AQ26" i="2"/>
  <c r="AP26" i="2"/>
  <c r="AJ26" i="2"/>
  <c r="AI26" i="2"/>
  <c r="M26" i="2"/>
  <c r="AQ25" i="2"/>
  <c r="AP25" i="2"/>
  <c r="AJ25" i="2"/>
  <c r="AI25" i="2"/>
  <c r="M25" i="2"/>
  <c r="AQ24" i="2"/>
  <c r="AQ27" i="2" s="1"/>
  <c r="AP24" i="2"/>
  <c r="AP27" i="2" s="1"/>
  <c r="AJ24" i="2"/>
  <c r="AI24" i="2"/>
  <c r="AI27" i="2" s="1"/>
  <c r="M24" i="2"/>
  <c r="AV23" i="2"/>
  <c r="AS23" i="2"/>
  <c r="AL23" i="2"/>
  <c r="AM23" i="2" s="1"/>
  <c r="K23" i="2"/>
  <c r="I23" i="2"/>
  <c r="F23" i="2"/>
  <c r="D23" i="2"/>
  <c r="AQ22" i="2"/>
  <c r="AP22" i="2"/>
  <c r="AJ22" i="2"/>
  <c r="AI22" i="2"/>
  <c r="M22" i="2"/>
  <c r="AQ21" i="2"/>
  <c r="AP21" i="2"/>
  <c r="AJ21" i="2"/>
  <c r="AI21" i="2"/>
  <c r="M21" i="2"/>
  <c r="AQ20" i="2"/>
  <c r="AQ23" i="2" s="1"/>
  <c r="AP20" i="2"/>
  <c r="AP23" i="2" s="1"/>
  <c r="AJ20" i="2"/>
  <c r="AI20" i="2"/>
  <c r="AI23" i="2" s="1"/>
  <c r="M20" i="2"/>
  <c r="AV19" i="2"/>
  <c r="AS19" i="2"/>
  <c r="AL19" i="2"/>
  <c r="AM19" i="2" s="1"/>
  <c r="K19" i="2"/>
  <c r="I19" i="2"/>
  <c r="F19" i="2"/>
  <c r="D19" i="2"/>
  <c r="AQ18" i="2"/>
  <c r="AP18" i="2"/>
  <c r="AJ18" i="2"/>
  <c r="AI18" i="2"/>
  <c r="M18" i="2"/>
  <c r="AQ17" i="2"/>
  <c r="AP17" i="2"/>
  <c r="AJ17" i="2"/>
  <c r="AI17" i="2"/>
  <c r="M17" i="2"/>
  <c r="AQ16" i="2"/>
  <c r="AQ19" i="2" s="1"/>
  <c r="AP16" i="2"/>
  <c r="AP19" i="2" s="1"/>
  <c r="AJ16" i="2"/>
  <c r="AI16" i="2"/>
  <c r="AI19" i="2" s="1"/>
  <c r="M16" i="2"/>
  <c r="AV15" i="2"/>
  <c r="AS15" i="2"/>
  <c r="AL15" i="2"/>
  <c r="AM15" i="2" s="1"/>
  <c r="K15" i="2"/>
  <c r="I15" i="2"/>
  <c r="F15" i="2"/>
  <c r="D15" i="2"/>
  <c r="AQ14" i="2"/>
  <c r="AP14" i="2"/>
  <c r="AJ14" i="2"/>
  <c r="AI14" i="2"/>
  <c r="M14" i="2"/>
  <c r="AQ13" i="2"/>
  <c r="AP13" i="2"/>
  <c r="AJ13" i="2"/>
  <c r="AI13" i="2"/>
  <c r="M13" i="2"/>
  <c r="AQ12" i="2"/>
  <c r="AQ15" i="2" s="1"/>
  <c r="AP12" i="2"/>
  <c r="AP15" i="2" s="1"/>
  <c r="AJ12" i="2"/>
  <c r="AI12" i="2"/>
  <c r="AI15" i="2" s="1"/>
  <c r="M12" i="2"/>
  <c r="AV11" i="2"/>
  <c r="AS11" i="2"/>
  <c r="AL11" i="2"/>
  <c r="AM11" i="2" s="1"/>
  <c r="K11" i="2"/>
  <c r="I11" i="2"/>
  <c r="F11" i="2"/>
  <c r="D11" i="2"/>
  <c r="AQ10" i="2"/>
  <c r="AP10" i="2"/>
  <c r="AJ10" i="2"/>
  <c r="AI10" i="2"/>
  <c r="M10" i="2"/>
  <c r="AQ9" i="2"/>
  <c r="AP9" i="2"/>
  <c r="AJ9" i="2"/>
  <c r="AI9" i="2"/>
  <c r="M9" i="2"/>
  <c r="AQ8" i="2"/>
  <c r="AQ11" i="2" s="1"/>
  <c r="AP8" i="2"/>
  <c r="AP11" i="2" s="1"/>
  <c r="AJ8" i="2"/>
  <c r="AI8" i="2"/>
  <c r="AI11" i="2" s="1"/>
  <c r="M8" i="2"/>
  <c r="AV7" i="2"/>
  <c r="AS7" i="2"/>
  <c r="AL7" i="2"/>
  <c r="AM7" i="2" s="1"/>
  <c r="K7" i="2"/>
  <c r="I7" i="2"/>
  <c r="F7" i="2"/>
  <c r="D7" i="2"/>
  <c r="AQ6" i="2"/>
  <c r="AP6" i="2"/>
  <c r="AJ6" i="2"/>
  <c r="AI6" i="2"/>
  <c r="M6" i="2"/>
  <c r="AQ5" i="2"/>
  <c r="AP5" i="2"/>
  <c r="AJ5" i="2"/>
  <c r="AI5" i="2"/>
  <c r="M5" i="2"/>
  <c r="AT4" i="2"/>
  <c r="AT5" i="2" s="1"/>
  <c r="AT6" i="2" s="1"/>
  <c r="AQ4" i="2"/>
  <c r="AQ7" i="2" s="1"/>
  <c r="AP4" i="2"/>
  <c r="AP7" i="2" s="1"/>
  <c r="AJ4" i="2"/>
  <c r="AI4" i="2"/>
  <c r="AI7" i="2" s="1"/>
  <c r="M4" i="2"/>
  <c r="AV127" i="1"/>
  <c r="AS127" i="1"/>
  <c r="AL127" i="1"/>
  <c r="AM127" i="1" s="1"/>
  <c r="K127" i="1"/>
  <c r="I127" i="1"/>
  <c r="F127" i="1"/>
  <c r="D127" i="1"/>
  <c r="AQ126" i="1"/>
  <c r="AP126" i="1"/>
  <c r="AJ126" i="1"/>
  <c r="AI126" i="1"/>
  <c r="M126" i="1"/>
  <c r="AQ125" i="1"/>
  <c r="AP125" i="1"/>
  <c r="AJ125" i="1"/>
  <c r="AI125" i="1"/>
  <c r="M125" i="1"/>
  <c r="AQ124" i="1"/>
  <c r="AQ127" i="1" s="1"/>
  <c r="AP124" i="1"/>
  <c r="AP127" i="1" s="1"/>
  <c r="AJ124" i="1"/>
  <c r="AI124" i="1"/>
  <c r="AI127" i="1" s="1"/>
  <c r="M124" i="1"/>
  <c r="AV123" i="1"/>
  <c r="AS123" i="1"/>
  <c r="AL123" i="1"/>
  <c r="AM123" i="1" s="1"/>
  <c r="K123" i="1"/>
  <c r="I123" i="1"/>
  <c r="F123" i="1"/>
  <c r="D123" i="1"/>
  <c r="AQ122" i="1"/>
  <c r="AP122" i="1"/>
  <c r="AJ122" i="1"/>
  <c r="AI122" i="1"/>
  <c r="M122" i="1"/>
  <c r="AQ121" i="1"/>
  <c r="AP121" i="1"/>
  <c r="AJ121" i="1"/>
  <c r="AI121" i="1"/>
  <c r="M121" i="1"/>
  <c r="AQ120" i="1"/>
  <c r="AQ123" i="1" s="1"/>
  <c r="AP120" i="1"/>
  <c r="AP123" i="1" s="1"/>
  <c r="AJ120" i="1"/>
  <c r="AI120" i="1"/>
  <c r="AI123" i="1" s="1"/>
  <c r="M120" i="1"/>
  <c r="AV119" i="1"/>
  <c r="AS119" i="1"/>
  <c r="AL119" i="1"/>
  <c r="AM119" i="1" s="1"/>
  <c r="K119" i="1"/>
  <c r="I119" i="1"/>
  <c r="F119" i="1"/>
  <c r="D119" i="1"/>
  <c r="AQ118" i="1"/>
  <c r="AP118" i="1"/>
  <c r="AJ118" i="1"/>
  <c r="AI118" i="1"/>
  <c r="M118" i="1"/>
  <c r="AQ117" i="1"/>
  <c r="AP117" i="1"/>
  <c r="AJ117" i="1"/>
  <c r="AI117" i="1"/>
  <c r="M117" i="1"/>
  <c r="AQ116" i="1"/>
  <c r="AQ119" i="1" s="1"/>
  <c r="AP116" i="1"/>
  <c r="AP119" i="1" s="1"/>
  <c r="AJ116" i="1"/>
  <c r="AI116" i="1"/>
  <c r="AI119" i="1" s="1"/>
  <c r="M116" i="1"/>
  <c r="AV115" i="1"/>
  <c r="AS115" i="1"/>
  <c r="AL115" i="1"/>
  <c r="AM115" i="1" s="1"/>
  <c r="K115" i="1"/>
  <c r="I115" i="1"/>
  <c r="F115" i="1"/>
  <c r="D115" i="1"/>
  <c r="AQ114" i="1"/>
  <c r="AP114" i="1"/>
  <c r="AJ114" i="1"/>
  <c r="AI114" i="1"/>
  <c r="M114" i="1"/>
  <c r="AQ113" i="1"/>
  <c r="AP113" i="1"/>
  <c r="AJ113" i="1"/>
  <c r="AI113" i="1"/>
  <c r="M113" i="1"/>
  <c r="AQ112" i="1"/>
  <c r="AQ115" i="1" s="1"/>
  <c r="AP112" i="1"/>
  <c r="AP115" i="1" s="1"/>
  <c r="AJ112" i="1"/>
  <c r="AI112" i="1"/>
  <c r="AI115" i="1" s="1"/>
  <c r="M112" i="1"/>
  <c r="AV111" i="1"/>
  <c r="AS111" i="1"/>
  <c r="AL111" i="1"/>
  <c r="AM111" i="1" s="1"/>
  <c r="K111" i="1"/>
  <c r="I111" i="1"/>
  <c r="F111" i="1"/>
  <c r="D111" i="1"/>
  <c r="AQ110" i="1"/>
  <c r="AP110" i="1"/>
  <c r="AJ110" i="1"/>
  <c r="AI110" i="1"/>
  <c r="M110" i="1"/>
  <c r="AQ109" i="1"/>
  <c r="AP109" i="1"/>
  <c r="AJ109" i="1"/>
  <c r="AI109" i="1"/>
  <c r="M109" i="1"/>
  <c r="AQ108" i="1"/>
  <c r="AQ111" i="1" s="1"/>
  <c r="AP108" i="1"/>
  <c r="AP111" i="1" s="1"/>
  <c r="AJ108" i="1"/>
  <c r="AI108" i="1"/>
  <c r="AI111" i="1" s="1"/>
  <c r="M108" i="1"/>
  <c r="AV107" i="1"/>
  <c r="AS107" i="1"/>
  <c r="AL107" i="1"/>
  <c r="AM107" i="1" s="1"/>
  <c r="K107" i="1"/>
  <c r="I107" i="1"/>
  <c r="F107" i="1"/>
  <c r="D107" i="1"/>
  <c r="AQ106" i="1"/>
  <c r="AP106" i="1"/>
  <c r="AJ106" i="1"/>
  <c r="AI106" i="1"/>
  <c r="M106" i="1"/>
  <c r="AQ105" i="1"/>
  <c r="AP105" i="1"/>
  <c r="AJ105" i="1"/>
  <c r="AI105" i="1"/>
  <c r="M105" i="1"/>
  <c r="AQ104" i="1"/>
  <c r="AQ107" i="1" s="1"/>
  <c r="AP104" i="1"/>
  <c r="AP107" i="1" s="1"/>
  <c r="AJ104" i="1"/>
  <c r="AI104" i="1"/>
  <c r="AI107" i="1" s="1"/>
  <c r="M104" i="1"/>
  <c r="AV103" i="1"/>
  <c r="AS103" i="1"/>
  <c r="AL103" i="1"/>
  <c r="AM103" i="1" s="1"/>
  <c r="K103" i="1"/>
  <c r="I103" i="1"/>
  <c r="F103" i="1"/>
  <c r="D103" i="1"/>
  <c r="AQ102" i="1"/>
  <c r="AP102" i="1"/>
  <c r="AJ102" i="1"/>
  <c r="AI102" i="1"/>
  <c r="M102" i="1"/>
  <c r="AQ101" i="1"/>
  <c r="AP101" i="1"/>
  <c r="AJ101" i="1"/>
  <c r="AI101" i="1"/>
  <c r="M101" i="1"/>
  <c r="AQ100" i="1"/>
  <c r="AQ103" i="1" s="1"/>
  <c r="AP100" i="1"/>
  <c r="AP103" i="1" s="1"/>
  <c r="AJ100" i="1"/>
  <c r="AI100" i="1"/>
  <c r="AI103" i="1" s="1"/>
  <c r="M100" i="1"/>
  <c r="AV99" i="1"/>
  <c r="AS99" i="1"/>
  <c r="AL99" i="1"/>
  <c r="AM99" i="1" s="1"/>
  <c r="K99" i="1"/>
  <c r="I99" i="1"/>
  <c r="F99" i="1"/>
  <c r="D99" i="1"/>
  <c r="AQ98" i="1"/>
  <c r="AP98" i="1"/>
  <c r="AJ98" i="1"/>
  <c r="AI98" i="1"/>
  <c r="M98" i="1"/>
  <c r="AQ97" i="1"/>
  <c r="AP97" i="1"/>
  <c r="AJ97" i="1"/>
  <c r="AI97" i="1"/>
  <c r="M97" i="1"/>
  <c r="AQ96" i="1"/>
  <c r="AQ99" i="1" s="1"/>
  <c r="AP96" i="1"/>
  <c r="AP99" i="1" s="1"/>
  <c r="AJ96" i="1"/>
  <c r="AI96" i="1"/>
  <c r="AI99" i="1" s="1"/>
  <c r="M96" i="1"/>
  <c r="AV95" i="1"/>
  <c r="AS95" i="1"/>
  <c r="AL95" i="1"/>
  <c r="AM95" i="1" s="1"/>
  <c r="K95" i="1"/>
  <c r="I95" i="1"/>
  <c r="F95" i="1"/>
  <c r="D95" i="1"/>
  <c r="AQ94" i="1"/>
  <c r="AP94" i="1"/>
  <c r="AJ94" i="1"/>
  <c r="AI94" i="1"/>
  <c r="M94" i="1"/>
  <c r="AQ93" i="1"/>
  <c r="AP93" i="1"/>
  <c r="AJ93" i="1"/>
  <c r="AI93" i="1"/>
  <c r="M93" i="1"/>
  <c r="AQ92" i="1"/>
  <c r="AQ95" i="1" s="1"/>
  <c r="AP92" i="1"/>
  <c r="AP95" i="1" s="1"/>
  <c r="AJ92" i="1"/>
  <c r="AI92" i="1"/>
  <c r="AI95" i="1" s="1"/>
  <c r="M92" i="1"/>
  <c r="AV91" i="1"/>
  <c r="AS91" i="1"/>
  <c r="AL91" i="1"/>
  <c r="AM91" i="1" s="1"/>
  <c r="K91" i="1"/>
  <c r="I91" i="1"/>
  <c r="F91" i="1"/>
  <c r="D91" i="1"/>
  <c r="AQ90" i="1"/>
  <c r="AP90" i="1"/>
  <c r="AJ90" i="1"/>
  <c r="AI90" i="1"/>
  <c r="M90" i="1"/>
  <c r="AQ89" i="1"/>
  <c r="AP89" i="1"/>
  <c r="AJ89" i="1"/>
  <c r="AI89" i="1"/>
  <c r="M89" i="1"/>
  <c r="AQ88" i="1"/>
  <c r="AQ91" i="1" s="1"/>
  <c r="AP88" i="1"/>
  <c r="AP91" i="1" s="1"/>
  <c r="AJ88" i="1"/>
  <c r="AI88" i="1"/>
  <c r="AI91" i="1" s="1"/>
  <c r="M88" i="1"/>
  <c r="AV87" i="1"/>
  <c r="AS87" i="1"/>
  <c r="AL87" i="1"/>
  <c r="AM87" i="1" s="1"/>
  <c r="K87" i="1"/>
  <c r="I87" i="1"/>
  <c r="F87" i="1"/>
  <c r="D87" i="1"/>
  <c r="AQ86" i="1"/>
  <c r="AP86" i="1"/>
  <c r="AJ86" i="1"/>
  <c r="AI86" i="1"/>
  <c r="M86" i="1"/>
  <c r="AQ85" i="1"/>
  <c r="AP85" i="1"/>
  <c r="AJ85" i="1"/>
  <c r="AI85" i="1"/>
  <c r="M85" i="1"/>
  <c r="AQ84" i="1"/>
  <c r="AQ87" i="1" s="1"/>
  <c r="AP84" i="1"/>
  <c r="AP87" i="1" s="1"/>
  <c r="AJ84" i="1"/>
  <c r="AI84" i="1"/>
  <c r="AI87" i="1" s="1"/>
  <c r="M84" i="1"/>
  <c r="AV83" i="1"/>
  <c r="AS83" i="1"/>
  <c r="AL83" i="1"/>
  <c r="AM83" i="1" s="1"/>
  <c r="K83" i="1"/>
  <c r="I83" i="1"/>
  <c r="F83" i="1"/>
  <c r="D83" i="1"/>
  <c r="AQ82" i="1"/>
  <c r="AP82" i="1"/>
  <c r="AJ82" i="1"/>
  <c r="AI82" i="1"/>
  <c r="M82" i="1"/>
  <c r="AQ81" i="1"/>
  <c r="AP81" i="1"/>
  <c r="AJ81" i="1"/>
  <c r="AI81" i="1"/>
  <c r="M81" i="1"/>
  <c r="AQ80" i="1"/>
  <c r="AQ83" i="1" s="1"/>
  <c r="AP80" i="1"/>
  <c r="AP83" i="1" s="1"/>
  <c r="AJ80" i="1"/>
  <c r="AI80" i="1"/>
  <c r="AI83" i="1" s="1"/>
  <c r="M80" i="1"/>
  <c r="AV79" i="1"/>
  <c r="AS79" i="1"/>
  <c r="AL79" i="1"/>
  <c r="AM79" i="1" s="1"/>
  <c r="K79" i="1"/>
  <c r="I79" i="1"/>
  <c r="F79" i="1"/>
  <c r="D79" i="1"/>
  <c r="AQ78" i="1"/>
  <c r="AP78" i="1"/>
  <c r="AJ78" i="1"/>
  <c r="AI78" i="1"/>
  <c r="M78" i="1"/>
  <c r="AQ77" i="1"/>
  <c r="AP77" i="1"/>
  <c r="AJ77" i="1"/>
  <c r="AI77" i="1"/>
  <c r="M77" i="1"/>
  <c r="AQ76" i="1"/>
  <c r="AQ79" i="1" s="1"/>
  <c r="AP76" i="1"/>
  <c r="AP79" i="1" s="1"/>
  <c r="AJ76" i="1"/>
  <c r="AI76" i="1"/>
  <c r="AI79" i="1" s="1"/>
  <c r="M76" i="1"/>
  <c r="AV75" i="1"/>
  <c r="AS75" i="1"/>
  <c r="AL75" i="1"/>
  <c r="AM75" i="1" s="1"/>
  <c r="K75" i="1"/>
  <c r="I75" i="1"/>
  <c r="F75" i="1"/>
  <c r="D75" i="1"/>
  <c r="AQ74" i="1"/>
  <c r="AP74" i="1"/>
  <c r="AJ74" i="1"/>
  <c r="AI74" i="1"/>
  <c r="M74" i="1"/>
  <c r="AQ73" i="1"/>
  <c r="AP73" i="1"/>
  <c r="AJ73" i="1"/>
  <c r="AI73" i="1"/>
  <c r="M73" i="1"/>
  <c r="AQ72" i="1"/>
  <c r="AQ75" i="1" s="1"/>
  <c r="AP72" i="1"/>
  <c r="AP75" i="1" s="1"/>
  <c r="AJ72" i="1"/>
  <c r="AI72" i="1"/>
  <c r="AI75" i="1" s="1"/>
  <c r="M72" i="1"/>
  <c r="AV71" i="1"/>
  <c r="AS71" i="1"/>
  <c r="AL71" i="1"/>
  <c r="AM71" i="1" s="1"/>
  <c r="K71" i="1"/>
  <c r="I71" i="1"/>
  <c r="F71" i="1"/>
  <c r="D71" i="1"/>
  <c r="AQ70" i="1"/>
  <c r="AP70" i="1"/>
  <c r="AJ70" i="1"/>
  <c r="AI70" i="1"/>
  <c r="M70" i="1"/>
  <c r="AQ69" i="1"/>
  <c r="AP69" i="1"/>
  <c r="AJ69" i="1"/>
  <c r="AI69" i="1"/>
  <c r="M69" i="1"/>
  <c r="AQ68" i="1"/>
  <c r="AQ71" i="1" s="1"/>
  <c r="AP68" i="1"/>
  <c r="AP71" i="1" s="1"/>
  <c r="AJ68" i="1"/>
  <c r="AI68" i="1"/>
  <c r="AI71" i="1" s="1"/>
  <c r="M68" i="1"/>
  <c r="AV67" i="1"/>
  <c r="AS67" i="1"/>
  <c r="AL67" i="1"/>
  <c r="AM67" i="1" s="1"/>
  <c r="K67" i="1"/>
  <c r="I67" i="1"/>
  <c r="F67" i="1"/>
  <c r="D67" i="1"/>
  <c r="AQ66" i="1"/>
  <c r="AP66" i="1"/>
  <c r="AJ66" i="1"/>
  <c r="AI66" i="1"/>
  <c r="M66" i="1"/>
  <c r="AQ65" i="1"/>
  <c r="AP65" i="1"/>
  <c r="AJ65" i="1"/>
  <c r="AI65" i="1"/>
  <c r="M65" i="1"/>
  <c r="AQ64" i="1"/>
  <c r="AQ67" i="1" s="1"/>
  <c r="AP64" i="1"/>
  <c r="AP67" i="1" s="1"/>
  <c r="AJ64" i="1"/>
  <c r="AI64" i="1"/>
  <c r="AI67" i="1" s="1"/>
  <c r="M64" i="1"/>
  <c r="AV63" i="1"/>
  <c r="AS63" i="1"/>
  <c r="AL63" i="1"/>
  <c r="AM63" i="1" s="1"/>
  <c r="K63" i="1"/>
  <c r="I63" i="1"/>
  <c r="F63" i="1"/>
  <c r="D63" i="1"/>
  <c r="AQ62" i="1"/>
  <c r="AP62" i="1"/>
  <c r="AJ62" i="1"/>
  <c r="AI62" i="1"/>
  <c r="M62" i="1"/>
  <c r="AQ61" i="1"/>
  <c r="AP61" i="1"/>
  <c r="AJ61" i="1"/>
  <c r="AI61" i="1"/>
  <c r="M61" i="1"/>
  <c r="AQ60" i="1"/>
  <c r="AQ63" i="1" s="1"/>
  <c r="AP60" i="1"/>
  <c r="AP63" i="1" s="1"/>
  <c r="AJ60" i="1"/>
  <c r="AI60" i="1"/>
  <c r="AI63" i="1" s="1"/>
  <c r="M60" i="1"/>
  <c r="AV59" i="1"/>
  <c r="AS59" i="1"/>
  <c r="AL59" i="1"/>
  <c r="AM59" i="1" s="1"/>
  <c r="K59" i="1"/>
  <c r="I59" i="1"/>
  <c r="F59" i="1"/>
  <c r="D59" i="1"/>
  <c r="AQ58" i="1"/>
  <c r="AP58" i="1"/>
  <c r="AJ58" i="1"/>
  <c r="AI58" i="1"/>
  <c r="M58" i="1"/>
  <c r="AQ57" i="1"/>
  <c r="AP57" i="1"/>
  <c r="AJ57" i="1"/>
  <c r="AI57" i="1"/>
  <c r="M57" i="1"/>
  <c r="AQ56" i="1"/>
  <c r="AQ59" i="1" s="1"/>
  <c r="AP56" i="1"/>
  <c r="AP59" i="1" s="1"/>
  <c r="AJ56" i="1"/>
  <c r="AI56" i="1"/>
  <c r="AI59" i="1" s="1"/>
  <c r="M56" i="1"/>
  <c r="AV55" i="1"/>
  <c r="AS55" i="1"/>
  <c r="AL55" i="1"/>
  <c r="AM55" i="1" s="1"/>
  <c r="K55" i="1"/>
  <c r="I55" i="1"/>
  <c r="F55" i="1"/>
  <c r="D55" i="1"/>
  <c r="AQ54" i="1"/>
  <c r="AP54" i="1"/>
  <c r="AJ54" i="1"/>
  <c r="AI54" i="1"/>
  <c r="M54" i="1"/>
  <c r="AQ53" i="1"/>
  <c r="AP53" i="1"/>
  <c r="AJ53" i="1"/>
  <c r="AI53" i="1"/>
  <c r="M53" i="1"/>
  <c r="AQ52" i="1"/>
  <c r="AQ55" i="1" s="1"/>
  <c r="AP52" i="1"/>
  <c r="AP55" i="1" s="1"/>
  <c r="AJ52" i="1"/>
  <c r="AI52" i="1"/>
  <c r="AI55" i="1" s="1"/>
  <c r="M52" i="1"/>
  <c r="AV51" i="1"/>
  <c r="AS51" i="1"/>
  <c r="AL51" i="1"/>
  <c r="AM51" i="1" s="1"/>
  <c r="K51" i="1"/>
  <c r="I51" i="1"/>
  <c r="F51" i="1"/>
  <c r="D51" i="1"/>
  <c r="AQ50" i="1"/>
  <c r="AP50" i="1"/>
  <c r="AJ50" i="1"/>
  <c r="AI50" i="1"/>
  <c r="M50" i="1"/>
  <c r="AQ49" i="1"/>
  <c r="AP49" i="1"/>
  <c r="AJ49" i="1"/>
  <c r="AI49" i="1"/>
  <c r="M49" i="1"/>
  <c r="AQ48" i="1"/>
  <c r="AQ51" i="1" s="1"/>
  <c r="AP48" i="1"/>
  <c r="AP51" i="1" s="1"/>
  <c r="AJ48" i="1"/>
  <c r="AI48" i="1"/>
  <c r="AI51" i="1" s="1"/>
  <c r="M48" i="1"/>
  <c r="AV47" i="1"/>
  <c r="AS47" i="1"/>
  <c r="AL47" i="1"/>
  <c r="AM47" i="1" s="1"/>
  <c r="K47" i="1"/>
  <c r="I47" i="1"/>
  <c r="F47" i="1"/>
  <c r="D47" i="1"/>
  <c r="AQ46" i="1"/>
  <c r="AP46" i="1"/>
  <c r="AJ46" i="1"/>
  <c r="AI46" i="1"/>
  <c r="M46" i="1"/>
  <c r="AQ45" i="1"/>
  <c r="AP45" i="1"/>
  <c r="AJ45" i="1"/>
  <c r="AI45" i="1"/>
  <c r="M45" i="1"/>
  <c r="AQ44" i="1"/>
  <c r="AQ47" i="1" s="1"/>
  <c r="AP44" i="1"/>
  <c r="AP47" i="1" s="1"/>
  <c r="AJ44" i="1"/>
  <c r="AI44" i="1"/>
  <c r="AI47" i="1" s="1"/>
  <c r="M44" i="1"/>
  <c r="AV43" i="1"/>
  <c r="AS43" i="1"/>
  <c r="AL43" i="1"/>
  <c r="AM43" i="1" s="1"/>
  <c r="K43" i="1"/>
  <c r="I43" i="1"/>
  <c r="F43" i="1"/>
  <c r="D43" i="1"/>
  <c r="AQ42" i="1"/>
  <c r="AP42" i="1"/>
  <c r="AJ42" i="1"/>
  <c r="AI42" i="1"/>
  <c r="M42" i="1"/>
  <c r="AQ41" i="1"/>
  <c r="AP41" i="1"/>
  <c r="AJ41" i="1"/>
  <c r="AI41" i="1"/>
  <c r="M41" i="1"/>
  <c r="AQ40" i="1"/>
  <c r="AQ43" i="1" s="1"/>
  <c r="AP40" i="1"/>
  <c r="AP43" i="1" s="1"/>
  <c r="AJ40" i="1"/>
  <c r="AI40" i="1"/>
  <c r="AI43" i="1" s="1"/>
  <c r="M40" i="1"/>
  <c r="AV39" i="1"/>
  <c r="AS39" i="1"/>
  <c r="AL39" i="1"/>
  <c r="AM39" i="1" s="1"/>
  <c r="K39" i="1"/>
  <c r="I39" i="1"/>
  <c r="F39" i="1"/>
  <c r="D39" i="1"/>
  <c r="AQ38" i="1"/>
  <c r="AP38" i="1"/>
  <c r="AJ38" i="1"/>
  <c r="AI38" i="1"/>
  <c r="M38" i="1"/>
  <c r="AQ37" i="1"/>
  <c r="AP37" i="1"/>
  <c r="AJ37" i="1"/>
  <c r="AI37" i="1"/>
  <c r="M37" i="1"/>
  <c r="AQ36" i="1"/>
  <c r="AQ39" i="1" s="1"/>
  <c r="AP36" i="1"/>
  <c r="AP39" i="1" s="1"/>
  <c r="AJ36" i="1"/>
  <c r="AI36" i="1"/>
  <c r="AI39" i="1" s="1"/>
  <c r="M36" i="1"/>
  <c r="AV35" i="1"/>
  <c r="AS35" i="1"/>
  <c r="AL35" i="1"/>
  <c r="AM35" i="1" s="1"/>
  <c r="K35" i="1"/>
  <c r="I35" i="1"/>
  <c r="F35" i="1"/>
  <c r="D35" i="1"/>
  <c r="AQ34" i="1"/>
  <c r="AP34" i="1"/>
  <c r="AJ34" i="1"/>
  <c r="AI34" i="1"/>
  <c r="M34" i="1"/>
  <c r="AQ33" i="1"/>
  <c r="AP33" i="1"/>
  <c r="AJ33" i="1"/>
  <c r="AI33" i="1"/>
  <c r="M33" i="1"/>
  <c r="AQ32" i="1"/>
  <c r="AQ35" i="1" s="1"/>
  <c r="AP32" i="1"/>
  <c r="AP35" i="1" s="1"/>
  <c r="AJ32" i="1"/>
  <c r="AI32" i="1"/>
  <c r="AI35" i="1" s="1"/>
  <c r="M32" i="1"/>
  <c r="AV31" i="1"/>
  <c r="AS31" i="1"/>
  <c r="AL31" i="1"/>
  <c r="AM31" i="1" s="1"/>
  <c r="K31" i="1"/>
  <c r="I31" i="1"/>
  <c r="F31" i="1"/>
  <c r="D31" i="1"/>
  <c r="AQ30" i="1"/>
  <c r="AP30" i="1"/>
  <c r="AJ30" i="1"/>
  <c r="AI30" i="1"/>
  <c r="M30" i="1"/>
  <c r="AQ29" i="1"/>
  <c r="AP29" i="1"/>
  <c r="AJ29" i="1"/>
  <c r="AI29" i="1"/>
  <c r="M29" i="1"/>
  <c r="AQ28" i="1"/>
  <c r="AQ31" i="1" s="1"/>
  <c r="AP28" i="1"/>
  <c r="AP31" i="1" s="1"/>
  <c r="AJ28" i="1"/>
  <c r="AI28" i="1"/>
  <c r="AI31" i="1" s="1"/>
  <c r="M28" i="1"/>
  <c r="AV27" i="1"/>
  <c r="AS27" i="1"/>
  <c r="AL27" i="1"/>
  <c r="AM27" i="1" s="1"/>
  <c r="K27" i="1"/>
  <c r="I27" i="1"/>
  <c r="F27" i="1"/>
  <c r="D27" i="1"/>
  <c r="AQ26" i="1"/>
  <c r="AP26" i="1"/>
  <c r="AJ26" i="1"/>
  <c r="AI26" i="1"/>
  <c r="M26" i="1"/>
  <c r="AQ25" i="1"/>
  <c r="AP25" i="1"/>
  <c r="AJ25" i="1"/>
  <c r="AI25" i="1"/>
  <c r="M25" i="1"/>
  <c r="AQ24" i="1"/>
  <c r="AQ27" i="1" s="1"/>
  <c r="AP24" i="1"/>
  <c r="AP27" i="1" s="1"/>
  <c r="AJ24" i="1"/>
  <c r="AI24" i="1"/>
  <c r="AI27" i="1" s="1"/>
  <c r="M24" i="1"/>
  <c r="AV23" i="1"/>
  <c r="AS23" i="1"/>
  <c r="AL23" i="1"/>
  <c r="AM23" i="1" s="1"/>
  <c r="K23" i="1"/>
  <c r="I23" i="1"/>
  <c r="F23" i="1"/>
  <c r="D23" i="1"/>
  <c r="AQ22" i="1"/>
  <c r="AP22" i="1"/>
  <c r="AJ22" i="1"/>
  <c r="AI22" i="1"/>
  <c r="M22" i="1"/>
  <c r="AQ21" i="1"/>
  <c r="AP21" i="1"/>
  <c r="AJ21" i="1"/>
  <c r="AI21" i="1"/>
  <c r="M21" i="1"/>
  <c r="AT20" i="1"/>
  <c r="AT21" i="1" s="1"/>
  <c r="AT22" i="1" s="1"/>
  <c r="AQ20" i="1"/>
  <c r="AQ23" i="1" s="1"/>
  <c r="AP20" i="1"/>
  <c r="AP23" i="1" s="1"/>
  <c r="AJ20" i="1"/>
  <c r="AI20" i="1"/>
  <c r="AI23" i="1" s="1"/>
  <c r="M20" i="1"/>
  <c r="M18" i="1"/>
  <c r="AF91" i="10" l="1"/>
  <c r="AN91" i="10"/>
  <c r="AH91" i="10"/>
  <c r="L91" i="10"/>
  <c r="AO91" i="10" s="1"/>
  <c r="V90" i="10"/>
  <c r="T90" i="10"/>
  <c r="Z90" i="10"/>
  <c r="Q90" i="10"/>
  <c r="AG90" i="10"/>
  <c r="AE90" i="10"/>
  <c r="AK90" i="10" s="1"/>
  <c r="AD90" i="10"/>
  <c r="AB90" i="10"/>
  <c r="O90" i="10"/>
  <c r="X90" i="10"/>
  <c r="V89" i="10"/>
  <c r="O89" i="10"/>
  <c r="Q89" i="10"/>
  <c r="T89" i="10"/>
  <c r="AG89" i="10"/>
  <c r="AE89" i="10"/>
  <c r="AK89" i="10" s="1"/>
  <c r="AD89" i="10"/>
  <c r="AB89" i="10"/>
  <c r="Z89" i="10"/>
  <c r="X89" i="10"/>
  <c r="M91" i="10"/>
  <c r="AG88" i="10"/>
  <c r="AG91" i="10" s="1"/>
  <c r="AE88" i="10"/>
  <c r="AK88" i="10" s="1"/>
  <c r="AD88" i="10"/>
  <c r="AD91" i="10" s="1"/>
  <c r="AJ91" i="10" s="1"/>
  <c r="AB88" i="10"/>
  <c r="AB91" i="10" s="1"/>
  <c r="Z88" i="10"/>
  <c r="Z91" i="10" s="1"/>
  <c r="X88" i="10"/>
  <c r="X91" i="10" s="1"/>
  <c r="V88" i="10"/>
  <c r="V91" i="10" s="1"/>
  <c r="T88" i="10"/>
  <c r="T91" i="10" s="1"/>
  <c r="Q88" i="10"/>
  <c r="Q91" i="10" s="1"/>
  <c r="O88" i="10"/>
  <c r="O91" i="10" s="1"/>
  <c r="AN87" i="10"/>
  <c r="AH87" i="10"/>
  <c r="AF87" i="10"/>
  <c r="L87" i="10"/>
  <c r="AO87" i="10" s="1"/>
  <c r="Z86" i="10"/>
  <c r="T86" i="10"/>
  <c r="V86" i="10"/>
  <c r="X86" i="10"/>
  <c r="AG86" i="10"/>
  <c r="AE86" i="10"/>
  <c r="AK86" i="10" s="1"/>
  <c r="AD86" i="10"/>
  <c r="AB86" i="10"/>
  <c r="Q86" i="10"/>
  <c r="O86" i="10"/>
  <c r="T85" i="10"/>
  <c r="AG85" i="10"/>
  <c r="AE85" i="10"/>
  <c r="AK85" i="10" s="1"/>
  <c r="AD85" i="10"/>
  <c r="AB85" i="10"/>
  <c r="Z85" i="10"/>
  <c r="X85" i="10"/>
  <c r="V85" i="10"/>
  <c r="Q85" i="10"/>
  <c r="O85" i="10"/>
  <c r="M87" i="10"/>
  <c r="AG84" i="10"/>
  <c r="AG87" i="10" s="1"/>
  <c r="AE84" i="10"/>
  <c r="AK84" i="10" s="1"/>
  <c r="AD84" i="10"/>
  <c r="AD87" i="10" s="1"/>
  <c r="AJ87" i="10" s="1"/>
  <c r="AB84" i="10"/>
  <c r="AB87" i="10" s="1"/>
  <c r="Z84" i="10"/>
  <c r="Z87" i="10" s="1"/>
  <c r="X84" i="10"/>
  <c r="X87" i="10" s="1"/>
  <c r="V84" i="10"/>
  <c r="V87" i="10" s="1"/>
  <c r="T84" i="10"/>
  <c r="T87" i="10" s="1"/>
  <c r="Q84" i="10"/>
  <c r="Q87" i="10" s="1"/>
  <c r="O84" i="10"/>
  <c r="O87" i="10" s="1"/>
  <c r="AH83" i="10"/>
  <c r="AF83" i="10"/>
  <c r="AN83" i="10"/>
  <c r="L83" i="10"/>
  <c r="AO83" i="10" s="1"/>
  <c r="AG82" i="10"/>
  <c r="AE82" i="10"/>
  <c r="AK82" i="10" s="1"/>
  <c r="AD82" i="10"/>
  <c r="AB82" i="10"/>
  <c r="Z82" i="10"/>
  <c r="X82" i="10"/>
  <c r="V82" i="10"/>
  <c r="T82" i="10"/>
  <c r="Q82" i="10"/>
  <c r="O82" i="10"/>
  <c r="Q81" i="10"/>
  <c r="T81" i="10"/>
  <c r="O81" i="10"/>
  <c r="AG81" i="10"/>
  <c r="AE81" i="10"/>
  <c r="AK81" i="10" s="1"/>
  <c r="AD81" i="10"/>
  <c r="AB81" i="10"/>
  <c r="Z81" i="10"/>
  <c r="X81" i="10"/>
  <c r="V81" i="10"/>
  <c r="M83" i="10"/>
  <c r="AG80" i="10"/>
  <c r="AG83" i="10" s="1"/>
  <c r="AE80" i="10"/>
  <c r="AK80" i="10" s="1"/>
  <c r="AD80" i="10"/>
  <c r="AD83" i="10" s="1"/>
  <c r="AJ83" i="10" s="1"/>
  <c r="AB80" i="10"/>
  <c r="AB83" i="10" s="1"/>
  <c r="Z80" i="10"/>
  <c r="Z83" i="10" s="1"/>
  <c r="X80" i="10"/>
  <c r="X83" i="10" s="1"/>
  <c r="V80" i="10"/>
  <c r="V83" i="10" s="1"/>
  <c r="T80" i="10"/>
  <c r="T83" i="10" s="1"/>
  <c r="Q80" i="10"/>
  <c r="Q83" i="10" s="1"/>
  <c r="O80" i="10"/>
  <c r="O83" i="10" s="1"/>
  <c r="AH79" i="10"/>
  <c r="AF79" i="10"/>
  <c r="AN79" i="10"/>
  <c r="L79" i="10"/>
  <c r="AO79" i="10" s="1"/>
  <c r="V78" i="10"/>
  <c r="X78" i="10"/>
  <c r="T78" i="10"/>
  <c r="Q78" i="10"/>
  <c r="AG78" i="10"/>
  <c r="AE78" i="10"/>
  <c r="AK78" i="10" s="1"/>
  <c r="AD78" i="10"/>
  <c r="AB78" i="10"/>
  <c r="Z78" i="10"/>
  <c r="O78" i="10"/>
  <c r="AG77" i="10"/>
  <c r="AE77" i="10"/>
  <c r="AK77" i="10" s="1"/>
  <c r="AD77" i="10"/>
  <c r="AB77" i="10"/>
  <c r="Z77" i="10"/>
  <c r="X77" i="10"/>
  <c r="V77" i="10"/>
  <c r="T77" i="10"/>
  <c r="Q77" i="10"/>
  <c r="O77" i="10"/>
  <c r="M79" i="10"/>
  <c r="AG76" i="10"/>
  <c r="AG79" i="10" s="1"/>
  <c r="AE76" i="10"/>
  <c r="AK76" i="10" s="1"/>
  <c r="AD76" i="10"/>
  <c r="AD79" i="10" s="1"/>
  <c r="AJ79" i="10" s="1"/>
  <c r="AB76" i="10"/>
  <c r="AB79" i="10" s="1"/>
  <c r="Z76" i="10"/>
  <c r="Z79" i="10" s="1"/>
  <c r="X76" i="10"/>
  <c r="X79" i="10" s="1"/>
  <c r="V76" i="10"/>
  <c r="V79" i="10" s="1"/>
  <c r="T76" i="10"/>
  <c r="T79" i="10" s="1"/>
  <c r="Q76" i="10"/>
  <c r="Q79" i="10" s="1"/>
  <c r="O76" i="10"/>
  <c r="O79" i="10" s="1"/>
  <c r="AN75" i="10"/>
  <c r="AH75" i="10"/>
  <c r="AF75" i="10"/>
  <c r="L75" i="10"/>
  <c r="AO75" i="10" s="1"/>
  <c r="X74" i="10"/>
  <c r="AG74" i="10"/>
  <c r="AE74" i="10"/>
  <c r="AK74" i="10" s="1"/>
  <c r="AD74" i="10"/>
  <c r="AB74" i="10"/>
  <c r="Z74" i="10"/>
  <c r="V74" i="10"/>
  <c r="T74" i="10"/>
  <c r="Q74" i="10"/>
  <c r="O74" i="10"/>
  <c r="O73" i="10"/>
  <c r="Q73" i="10"/>
  <c r="AG73" i="10"/>
  <c r="AE73" i="10"/>
  <c r="AK73" i="10" s="1"/>
  <c r="AD73" i="10"/>
  <c r="AB73" i="10"/>
  <c r="Z73" i="10"/>
  <c r="X73" i="10"/>
  <c r="V73" i="10"/>
  <c r="T73" i="10"/>
  <c r="M75" i="10"/>
  <c r="AG72" i="10"/>
  <c r="AG75" i="10" s="1"/>
  <c r="AE72" i="10"/>
  <c r="AK72" i="10" s="1"/>
  <c r="AD72" i="10"/>
  <c r="AD75" i="10" s="1"/>
  <c r="AJ75" i="10" s="1"/>
  <c r="AB72" i="10"/>
  <c r="AB75" i="10" s="1"/>
  <c r="Z72" i="10"/>
  <c r="Z75" i="10" s="1"/>
  <c r="X72" i="10"/>
  <c r="X75" i="10" s="1"/>
  <c r="V72" i="10"/>
  <c r="V75" i="10" s="1"/>
  <c r="T72" i="10"/>
  <c r="T75" i="10" s="1"/>
  <c r="Q72" i="10"/>
  <c r="Q75" i="10" s="1"/>
  <c r="O72" i="10"/>
  <c r="O75" i="10" s="1"/>
  <c r="AN71" i="10"/>
  <c r="AH71" i="10"/>
  <c r="AF71" i="10"/>
  <c r="L71" i="10"/>
  <c r="AO71" i="10" s="1"/>
  <c r="V70" i="10"/>
  <c r="T70" i="10"/>
  <c r="Q70" i="10"/>
  <c r="O70" i="10"/>
  <c r="AG70" i="10"/>
  <c r="AE70" i="10"/>
  <c r="AK70" i="10" s="1"/>
  <c r="AD70" i="10"/>
  <c r="AB70" i="10"/>
  <c r="Z70" i="10"/>
  <c r="X70" i="10"/>
  <c r="V69" i="10"/>
  <c r="T69" i="10"/>
  <c r="Q69" i="10"/>
  <c r="O69" i="10"/>
  <c r="AG69" i="10"/>
  <c r="AE69" i="10"/>
  <c r="AK69" i="10" s="1"/>
  <c r="AD69" i="10"/>
  <c r="AB69" i="10"/>
  <c r="Z69" i="10"/>
  <c r="X69" i="10"/>
  <c r="M71" i="10"/>
  <c r="AG68" i="10"/>
  <c r="AG71" i="10" s="1"/>
  <c r="AE68" i="10"/>
  <c r="AK68" i="10" s="1"/>
  <c r="AD68" i="10"/>
  <c r="AD71" i="10" s="1"/>
  <c r="AJ71" i="10" s="1"/>
  <c r="AB68" i="10"/>
  <c r="AB71" i="10" s="1"/>
  <c r="Z68" i="10"/>
  <c r="Z71" i="10" s="1"/>
  <c r="X68" i="10"/>
  <c r="X71" i="10" s="1"/>
  <c r="V68" i="10"/>
  <c r="V71" i="10" s="1"/>
  <c r="T68" i="10"/>
  <c r="T71" i="10" s="1"/>
  <c r="Q68" i="10"/>
  <c r="Q71" i="10" s="1"/>
  <c r="O68" i="10"/>
  <c r="O71" i="10" s="1"/>
  <c r="AH67" i="10"/>
  <c r="AF67" i="10"/>
  <c r="AN67" i="10"/>
  <c r="L67" i="10"/>
  <c r="AO67" i="10" s="1"/>
  <c r="Q66" i="10"/>
  <c r="O66" i="10"/>
  <c r="AB66" i="10"/>
  <c r="AG66" i="10"/>
  <c r="AE66" i="10"/>
  <c r="AK66" i="10" s="1"/>
  <c r="AD66" i="10"/>
  <c r="Z66" i="10"/>
  <c r="X66" i="10"/>
  <c r="V66" i="10"/>
  <c r="T66" i="10"/>
  <c r="O65" i="10"/>
  <c r="AG65" i="10"/>
  <c r="AE65" i="10"/>
  <c r="AK65" i="10" s="1"/>
  <c r="AD65" i="10"/>
  <c r="AB65" i="10"/>
  <c r="Z65" i="10"/>
  <c r="X65" i="10"/>
  <c r="V65" i="10"/>
  <c r="T65" i="10"/>
  <c r="Q65" i="10"/>
  <c r="M67" i="10"/>
  <c r="AG64" i="10"/>
  <c r="AG67" i="10" s="1"/>
  <c r="AE64" i="10"/>
  <c r="AK64" i="10" s="1"/>
  <c r="AD64" i="10"/>
  <c r="AD67" i="10" s="1"/>
  <c r="AJ67" i="10" s="1"/>
  <c r="AB64" i="10"/>
  <c r="AB67" i="10" s="1"/>
  <c r="Z64" i="10"/>
  <c r="Z67" i="10" s="1"/>
  <c r="X64" i="10"/>
  <c r="X67" i="10" s="1"/>
  <c r="V64" i="10"/>
  <c r="V67" i="10" s="1"/>
  <c r="T64" i="10"/>
  <c r="T67" i="10" s="1"/>
  <c r="Q64" i="10"/>
  <c r="Q67" i="10" s="1"/>
  <c r="O64" i="10"/>
  <c r="O67" i="10" s="1"/>
  <c r="AH63" i="10"/>
  <c r="AN63" i="10"/>
  <c r="AF63" i="10"/>
  <c r="L63" i="10"/>
  <c r="AO63" i="10" s="1"/>
  <c r="V62" i="10"/>
  <c r="T62" i="10"/>
  <c r="Q62" i="10"/>
  <c r="AG62" i="10"/>
  <c r="AE62" i="10" s="1"/>
  <c r="AK62" i="10" s="1"/>
  <c r="O62" i="10"/>
  <c r="AD62" i="10"/>
  <c r="AB62" i="10"/>
  <c r="Z62" i="10"/>
  <c r="X62" i="10"/>
  <c r="V61" i="10"/>
  <c r="T61" i="10"/>
  <c r="Q61" i="10"/>
  <c r="O61" i="10"/>
  <c r="AG61" i="10"/>
  <c r="AE61" i="10"/>
  <c r="AK61" i="10" s="1"/>
  <c r="AD61" i="10"/>
  <c r="AB61" i="10"/>
  <c r="Z61" i="10"/>
  <c r="X61" i="10"/>
  <c r="M63" i="10"/>
  <c r="AG60" i="10"/>
  <c r="AG63" i="10" s="1"/>
  <c r="AE60" i="10"/>
  <c r="AK60" i="10" s="1"/>
  <c r="AD60" i="10"/>
  <c r="AD63" i="10" s="1"/>
  <c r="AJ63" i="10" s="1"/>
  <c r="AB60" i="10"/>
  <c r="AB63" i="10" s="1"/>
  <c r="Z60" i="10"/>
  <c r="Z63" i="10" s="1"/>
  <c r="X60" i="10"/>
  <c r="X63" i="10" s="1"/>
  <c r="V60" i="10"/>
  <c r="V63" i="10" s="1"/>
  <c r="T60" i="10"/>
  <c r="T63" i="10" s="1"/>
  <c r="Q60" i="10"/>
  <c r="Q63" i="10" s="1"/>
  <c r="O60" i="10"/>
  <c r="O63" i="10" s="1"/>
  <c r="AH59" i="10"/>
  <c r="AF59" i="10"/>
  <c r="AN59" i="10"/>
  <c r="L59" i="10"/>
  <c r="AO59" i="10" s="1"/>
  <c r="V58" i="10"/>
  <c r="T58" i="10"/>
  <c r="Q58" i="10"/>
  <c r="O58" i="10"/>
  <c r="AG58" i="10"/>
  <c r="AE58" i="10"/>
  <c r="AK58" i="10" s="1"/>
  <c r="AD58" i="10"/>
  <c r="AB58" i="10"/>
  <c r="Z58" i="10"/>
  <c r="X58" i="10"/>
  <c r="Q57" i="10"/>
  <c r="O57" i="10"/>
  <c r="AG57" i="10"/>
  <c r="AE57" i="10"/>
  <c r="AK57" i="10" s="1"/>
  <c r="AD57" i="10"/>
  <c r="AB57" i="10"/>
  <c r="Z57" i="10"/>
  <c r="X57" i="10"/>
  <c r="V57" i="10"/>
  <c r="T57" i="10"/>
  <c r="M59" i="10"/>
  <c r="AG56" i="10"/>
  <c r="AG59" i="10" s="1"/>
  <c r="AE56" i="10"/>
  <c r="AK56" i="10" s="1"/>
  <c r="AD56" i="10"/>
  <c r="AD59" i="10" s="1"/>
  <c r="AJ59" i="10" s="1"/>
  <c r="AB56" i="10"/>
  <c r="AB59" i="10" s="1"/>
  <c r="Z56" i="10"/>
  <c r="Z59" i="10" s="1"/>
  <c r="X56" i="10"/>
  <c r="X59" i="10" s="1"/>
  <c r="V56" i="10"/>
  <c r="V59" i="10" s="1"/>
  <c r="T56" i="10"/>
  <c r="T59" i="10" s="1"/>
  <c r="Q56" i="10"/>
  <c r="Q59" i="10" s="1"/>
  <c r="O56" i="10"/>
  <c r="O59" i="10" s="1"/>
  <c r="AN55" i="10"/>
  <c r="AH55" i="10"/>
  <c r="AF55" i="10"/>
  <c r="L55" i="10"/>
  <c r="AO55" i="10" s="1"/>
  <c r="V54" i="10"/>
  <c r="T54" i="10"/>
  <c r="Q54" i="10"/>
  <c r="O54" i="10"/>
  <c r="AG54" i="10"/>
  <c r="AE54" i="10"/>
  <c r="AK54" i="10" s="1"/>
  <c r="AD54" i="10"/>
  <c r="AB54" i="10"/>
  <c r="Z54" i="10"/>
  <c r="X54" i="10"/>
  <c r="V53" i="10"/>
  <c r="T53" i="10"/>
  <c r="Q53" i="10"/>
  <c r="O53" i="10"/>
  <c r="AG53" i="10"/>
  <c r="AE53" i="10"/>
  <c r="AK53" i="10" s="1"/>
  <c r="AD53" i="10"/>
  <c r="AB53" i="10"/>
  <c r="Z53" i="10"/>
  <c r="X53" i="10"/>
  <c r="M55" i="10"/>
  <c r="AG52" i="10"/>
  <c r="AG55" i="10" s="1"/>
  <c r="AE52" i="10"/>
  <c r="AK52" i="10" s="1"/>
  <c r="AD52" i="10"/>
  <c r="AD55" i="10" s="1"/>
  <c r="AJ55" i="10" s="1"/>
  <c r="AB52" i="10"/>
  <c r="AB55" i="10" s="1"/>
  <c r="Z52" i="10"/>
  <c r="Z55" i="10" s="1"/>
  <c r="X52" i="10"/>
  <c r="X55" i="10" s="1"/>
  <c r="V52" i="10"/>
  <c r="V55" i="10" s="1"/>
  <c r="T52" i="10"/>
  <c r="T55" i="10" s="1"/>
  <c r="Q52" i="10"/>
  <c r="Q55" i="10" s="1"/>
  <c r="O52" i="10"/>
  <c r="O55" i="10" s="1"/>
  <c r="AH51" i="10"/>
  <c r="AF51" i="10"/>
  <c r="AN51" i="10"/>
  <c r="L51" i="10"/>
  <c r="AO51" i="10" s="1"/>
  <c r="V50" i="10"/>
  <c r="T50" i="10"/>
  <c r="Q50" i="10"/>
  <c r="O50" i="10"/>
  <c r="AG50" i="10"/>
  <c r="AE50" i="10"/>
  <c r="AK50" i="10" s="1"/>
  <c r="AD50" i="10"/>
  <c r="AB50" i="10"/>
  <c r="Z50" i="10"/>
  <c r="X50" i="10"/>
  <c r="AG49" i="10"/>
  <c r="AE49" i="10"/>
  <c r="AK49" i="10" s="1"/>
  <c r="AD49" i="10"/>
  <c r="AB49" i="10"/>
  <c r="Z49" i="10"/>
  <c r="X49" i="10"/>
  <c r="V49" i="10"/>
  <c r="T49" i="10"/>
  <c r="Q49" i="10"/>
  <c r="O49" i="10"/>
  <c r="M51" i="10"/>
  <c r="AG48" i="10"/>
  <c r="AG51" i="10" s="1"/>
  <c r="AE48" i="10"/>
  <c r="AK48" i="10" s="1"/>
  <c r="AD48" i="10"/>
  <c r="AD51" i="10" s="1"/>
  <c r="AJ51" i="10" s="1"/>
  <c r="AB48" i="10"/>
  <c r="AB51" i="10" s="1"/>
  <c r="Z48" i="10"/>
  <c r="Z51" i="10" s="1"/>
  <c r="X48" i="10"/>
  <c r="X51" i="10" s="1"/>
  <c r="V48" i="10"/>
  <c r="V51" i="10" s="1"/>
  <c r="T48" i="10"/>
  <c r="T51" i="10" s="1"/>
  <c r="Q48" i="10"/>
  <c r="Q51" i="10" s="1"/>
  <c r="O48" i="10"/>
  <c r="O51" i="10" s="1"/>
  <c r="AN47" i="10"/>
  <c r="AH47" i="10"/>
  <c r="AF47" i="10"/>
  <c r="L47" i="10"/>
  <c r="AO47" i="10" s="1"/>
  <c r="AB46" i="10"/>
  <c r="V46" i="10"/>
  <c r="T46" i="10"/>
  <c r="Q46" i="10"/>
  <c r="AG46" i="10"/>
  <c r="AE46" i="10"/>
  <c r="AK46" i="10" s="1"/>
  <c r="AD46" i="10"/>
  <c r="O46" i="10"/>
  <c r="Z46" i="10"/>
  <c r="X46" i="10"/>
  <c r="V45" i="10"/>
  <c r="T45" i="10"/>
  <c r="O45" i="10"/>
  <c r="Q45" i="10"/>
  <c r="AG45" i="10"/>
  <c r="AE45" i="10"/>
  <c r="AK45" i="10" s="1"/>
  <c r="AD45" i="10"/>
  <c r="AB45" i="10"/>
  <c r="Z45" i="10"/>
  <c r="X45" i="10"/>
  <c r="M47" i="10"/>
  <c r="AG44" i="10"/>
  <c r="AG47" i="10" s="1"/>
  <c r="AE44" i="10"/>
  <c r="AK44" i="10" s="1"/>
  <c r="AD44" i="10"/>
  <c r="AD47" i="10" s="1"/>
  <c r="AJ47" i="10" s="1"/>
  <c r="AB44" i="10"/>
  <c r="AB47" i="10" s="1"/>
  <c r="Z44" i="10"/>
  <c r="Z47" i="10" s="1"/>
  <c r="X44" i="10"/>
  <c r="X47" i="10" s="1"/>
  <c r="V44" i="10"/>
  <c r="V47" i="10" s="1"/>
  <c r="T44" i="10"/>
  <c r="T47" i="10" s="1"/>
  <c r="Q44" i="10"/>
  <c r="Q47" i="10" s="1"/>
  <c r="O44" i="10"/>
  <c r="O47" i="10" s="1"/>
  <c r="AH43" i="10"/>
  <c r="AF43" i="10"/>
  <c r="AN43" i="10"/>
  <c r="L43" i="10"/>
  <c r="AO43" i="10" s="1"/>
  <c r="AD42" i="10"/>
  <c r="AG42" i="10"/>
  <c r="AE42" i="10"/>
  <c r="AK42" i="10" s="1"/>
  <c r="Q42" i="10"/>
  <c r="AB42" i="10"/>
  <c r="Z42" i="10"/>
  <c r="X42" i="10"/>
  <c r="V42" i="10"/>
  <c r="T42" i="10"/>
  <c r="O42" i="10"/>
  <c r="O41" i="10"/>
  <c r="AG41" i="10"/>
  <c r="AE41" i="10"/>
  <c r="AK41" i="10" s="1"/>
  <c r="AD41" i="10"/>
  <c r="AB41" i="10"/>
  <c r="Z41" i="10"/>
  <c r="X41" i="10"/>
  <c r="V41" i="10"/>
  <c r="T41" i="10"/>
  <c r="Q41" i="10"/>
  <c r="M43" i="10"/>
  <c r="AG40" i="10"/>
  <c r="AG43" i="10" s="1"/>
  <c r="AE40" i="10"/>
  <c r="AK40" i="10" s="1"/>
  <c r="AD40" i="10"/>
  <c r="AD43" i="10" s="1"/>
  <c r="AJ43" i="10" s="1"/>
  <c r="AB40" i="10"/>
  <c r="AB43" i="10" s="1"/>
  <c r="Z40" i="10"/>
  <c r="Z43" i="10" s="1"/>
  <c r="X40" i="10"/>
  <c r="X43" i="10" s="1"/>
  <c r="V40" i="10"/>
  <c r="V43" i="10" s="1"/>
  <c r="T40" i="10"/>
  <c r="T43" i="10" s="1"/>
  <c r="Q40" i="10"/>
  <c r="Q43" i="10" s="1"/>
  <c r="O40" i="10"/>
  <c r="O43" i="10" s="1"/>
  <c r="AN39" i="10"/>
  <c r="AH39" i="10"/>
  <c r="AF39" i="10"/>
  <c r="L39" i="10"/>
  <c r="AO39" i="10" s="1"/>
  <c r="V38" i="10"/>
  <c r="T38" i="10"/>
  <c r="Q38" i="10"/>
  <c r="O38" i="10"/>
  <c r="AG38" i="10"/>
  <c r="AE38" i="10"/>
  <c r="AK38" i="10" s="1"/>
  <c r="AD38" i="10"/>
  <c r="AB38" i="10"/>
  <c r="Z38" i="10"/>
  <c r="X38" i="10"/>
  <c r="V37" i="10"/>
  <c r="T37" i="10"/>
  <c r="Q37" i="10"/>
  <c r="O37" i="10"/>
  <c r="AG37" i="10"/>
  <c r="AE37" i="10"/>
  <c r="AK37" i="10" s="1"/>
  <c r="AD37" i="10"/>
  <c r="AB37" i="10"/>
  <c r="Z37" i="10"/>
  <c r="X37" i="10"/>
  <c r="M39" i="10"/>
  <c r="AG36" i="10"/>
  <c r="AG39" i="10" s="1"/>
  <c r="AE36" i="10"/>
  <c r="AK36" i="10" s="1"/>
  <c r="AD36" i="10"/>
  <c r="AD39" i="10" s="1"/>
  <c r="AJ39" i="10" s="1"/>
  <c r="AB36" i="10"/>
  <c r="AB39" i="10" s="1"/>
  <c r="Z36" i="10"/>
  <c r="Z39" i="10" s="1"/>
  <c r="X36" i="10"/>
  <c r="X39" i="10" s="1"/>
  <c r="V36" i="10"/>
  <c r="V39" i="10" s="1"/>
  <c r="T36" i="10"/>
  <c r="T39" i="10" s="1"/>
  <c r="Q36" i="10"/>
  <c r="Q39" i="10" s="1"/>
  <c r="O36" i="10"/>
  <c r="O39" i="10" s="1"/>
  <c r="AH35" i="10"/>
  <c r="AF35" i="10"/>
  <c r="AN35" i="10"/>
  <c r="L35" i="10"/>
  <c r="AO35" i="10" s="1"/>
  <c r="V34" i="10"/>
  <c r="T34" i="10"/>
  <c r="Q34" i="10"/>
  <c r="O34" i="10"/>
  <c r="AG34" i="10"/>
  <c r="AE34" i="10"/>
  <c r="AK34" i="10" s="1"/>
  <c r="AD34" i="10"/>
  <c r="AB34" i="10"/>
  <c r="Z34" i="10"/>
  <c r="X34" i="10"/>
  <c r="AG33" i="10"/>
  <c r="AE33" i="10"/>
  <c r="AK33" i="10" s="1"/>
  <c r="AD33" i="10"/>
  <c r="AB33" i="10"/>
  <c r="Z33" i="10"/>
  <c r="X33" i="10"/>
  <c r="V33" i="10"/>
  <c r="T33" i="10"/>
  <c r="Q33" i="10"/>
  <c r="O33" i="10"/>
  <c r="M35" i="10"/>
  <c r="AG32" i="10"/>
  <c r="AG35" i="10" s="1"/>
  <c r="AE32" i="10"/>
  <c r="AK32" i="10" s="1"/>
  <c r="AD32" i="10"/>
  <c r="AD35" i="10" s="1"/>
  <c r="AJ35" i="10" s="1"/>
  <c r="AB32" i="10"/>
  <c r="AB35" i="10" s="1"/>
  <c r="Z32" i="10"/>
  <c r="Z35" i="10" s="1"/>
  <c r="X32" i="10"/>
  <c r="X35" i="10" s="1"/>
  <c r="V32" i="10"/>
  <c r="V35" i="10" s="1"/>
  <c r="T32" i="10"/>
  <c r="T35" i="10" s="1"/>
  <c r="Q32" i="10"/>
  <c r="Q35" i="10" s="1"/>
  <c r="O32" i="10"/>
  <c r="O35" i="10" s="1"/>
  <c r="AN31" i="10"/>
  <c r="AH31" i="10"/>
  <c r="AF31" i="10"/>
  <c r="L31" i="10"/>
  <c r="AO31" i="10" s="1"/>
  <c r="X30" i="10"/>
  <c r="AG30" i="10"/>
  <c r="AE30" i="10"/>
  <c r="AK30" i="10" s="1"/>
  <c r="AD30" i="10"/>
  <c r="AB30" i="10"/>
  <c r="Z30" i="10"/>
  <c r="V30" i="10"/>
  <c r="T30" i="10"/>
  <c r="Q30" i="10"/>
  <c r="O30" i="10"/>
  <c r="O29" i="10"/>
  <c r="AG29" i="10"/>
  <c r="AE29" i="10"/>
  <c r="AK29" i="10" s="1"/>
  <c r="AD29" i="10"/>
  <c r="AB29" i="10"/>
  <c r="Z29" i="10"/>
  <c r="X29" i="10"/>
  <c r="V29" i="10"/>
  <c r="T29" i="10"/>
  <c r="Q29" i="10"/>
  <c r="M31" i="10"/>
  <c r="AG28" i="10"/>
  <c r="AG31" i="10" s="1"/>
  <c r="AE28" i="10"/>
  <c r="AK28" i="10" s="1"/>
  <c r="AD28" i="10"/>
  <c r="AD31" i="10" s="1"/>
  <c r="AJ31" i="10" s="1"/>
  <c r="AB28" i="10"/>
  <c r="AB31" i="10" s="1"/>
  <c r="Z28" i="10"/>
  <c r="Z31" i="10" s="1"/>
  <c r="X28" i="10"/>
  <c r="X31" i="10" s="1"/>
  <c r="V28" i="10"/>
  <c r="V31" i="10" s="1"/>
  <c r="T28" i="10"/>
  <c r="T31" i="10" s="1"/>
  <c r="Q28" i="10"/>
  <c r="Q31" i="10" s="1"/>
  <c r="O28" i="10"/>
  <c r="O31" i="10" s="1"/>
  <c r="AO27" i="10"/>
  <c r="AN27" i="10"/>
  <c r="AH27" i="10"/>
  <c r="AF27" i="10"/>
  <c r="L27" i="10"/>
  <c r="V26" i="10"/>
  <c r="T26" i="10"/>
  <c r="Q26" i="10"/>
  <c r="O26" i="10"/>
  <c r="AG26" i="10"/>
  <c r="AE26" i="10"/>
  <c r="AK26" i="10" s="1"/>
  <c r="AD26" i="10"/>
  <c r="AB26" i="10"/>
  <c r="Z26" i="10"/>
  <c r="X26" i="10"/>
  <c r="V25" i="10"/>
  <c r="T25" i="10"/>
  <c r="Q25" i="10"/>
  <c r="O25" i="10"/>
  <c r="AG25" i="10"/>
  <c r="AE25" i="10"/>
  <c r="AK25" i="10" s="1"/>
  <c r="AD25" i="10"/>
  <c r="AB25" i="10"/>
  <c r="Z25" i="10"/>
  <c r="X25" i="10"/>
  <c r="M27" i="10"/>
  <c r="AG24" i="10"/>
  <c r="AG27" i="10" s="1"/>
  <c r="AE24" i="10"/>
  <c r="AK24" i="10" s="1"/>
  <c r="AD24" i="10"/>
  <c r="AD27" i="10" s="1"/>
  <c r="AJ27" i="10" s="1"/>
  <c r="AB24" i="10"/>
  <c r="AB27" i="10" s="1"/>
  <c r="Z24" i="10"/>
  <c r="Z27" i="10" s="1"/>
  <c r="X24" i="10"/>
  <c r="X27" i="10" s="1"/>
  <c r="V24" i="10"/>
  <c r="V27" i="10" s="1"/>
  <c r="T24" i="10"/>
  <c r="T27" i="10" s="1"/>
  <c r="Q24" i="10"/>
  <c r="Q27" i="10" s="1"/>
  <c r="O24" i="10"/>
  <c r="O27" i="10" s="1"/>
  <c r="AH23" i="10"/>
  <c r="AF23" i="10"/>
  <c r="AO23" i="10"/>
  <c r="AN23" i="10"/>
  <c r="L23" i="10"/>
  <c r="AG22" i="10"/>
  <c r="AE22" i="10"/>
  <c r="AK22" i="10" s="1"/>
  <c r="AD22" i="10"/>
  <c r="AB22" i="10"/>
  <c r="Z22" i="10"/>
  <c r="X22" i="10"/>
  <c r="V22" i="10"/>
  <c r="T22" i="10"/>
  <c r="Q22" i="10"/>
  <c r="O22" i="10"/>
  <c r="O21" i="10"/>
  <c r="AG21" i="10"/>
  <c r="AE21" i="10"/>
  <c r="AK21" i="10" s="1"/>
  <c r="AD21" i="10"/>
  <c r="AB21" i="10"/>
  <c r="Z21" i="10"/>
  <c r="X21" i="10"/>
  <c r="V21" i="10"/>
  <c r="T21" i="10"/>
  <c r="Q21" i="10"/>
  <c r="M23" i="10"/>
  <c r="AG20" i="10"/>
  <c r="AG23" i="10" s="1"/>
  <c r="AE20" i="10"/>
  <c r="AK20" i="10" s="1"/>
  <c r="AD20" i="10"/>
  <c r="AD23" i="10" s="1"/>
  <c r="AJ23" i="10" s="1"/>
  <c r="AB20" i="10"/>
  <c r="AB23" i="10" s="1"/>
  <c r="Z20" i="10"/>
  <c r="Z23" i="10" s="1"/>
  <c r="X20" i="10"/>
  <c r="X23" i="10" s="1"/>
  <c r="V20" i="10"/>
  <c r="V23" i="10" s="1"/>
  <c r="T20" i="10"/>
  <c r="T23" i="10" s="1"/>
  <c r="Q20" i="10"/>
  <c r="Q23" i="10" s="1"/>
  <c r="O20" i="10"/>
  <c r="O23" i="10" s="1"/>
  <c r="AO19" i="10"/>
  <c r="AN19" i="10"/>
  <c r="AH19" i="10"/>
  <c r="AF19" i="10"/>
  <c r="L19" i="10"/>
  <c r="AG18" i="10"/>
  <c r="AE18" i="10"/>
  <c r="AK18" i="10" s="1"/>
  <c r="AD18" i="10"/>
  <c r="AB18" i="10"/>
  <c r="Z18" i="10"/>
  <c r="X18" i="10"/>
  <c r="V18" i="10"/>
  <c r="T18" i="10"/>
  <c r="Q18" i="10"/>
  <c r="O18" i="10"/>
  <c r="V17" i="10"/>
  <c r="AB17" i="10"/>
  <c r="X17" i="10"/>
  <c r="Z17" i="10"/>
  <c r="AG17" i="10"/>
  <c r="AE17" i="10"/>
  <c r="AK17" i="10" s="1"/>
  <c r="AD17" i="10"/>
  <c r="T17" i="10"/>
  <c r="Q17" i="10"/>
  <c r="O17" i="10"/>
  <c r="M19" i="10"/>
  <c r="AG16" i="10"/>
  <c r="AG19" i="10" s="1"/>
  <c r="AE16" i="10"/>
  <c r="AK16" i="10" s="1"/>
  <c r="AD16" i="10"/>
  <c r="AD19" i="10" s="1"/>
  <c r="AJ19" i="10" s="1"/>
  <c r="AB16" i="10"/>
  <c r="AB19" i="10" s="1"/>
  <c r="Z16" i="10"/>
  <c r="Z19" i="10" s="1"/>
  <c r="X16" i="10"/>
  <c r="X19" i="10" s="1"/>
  <c r="V16" i="10"/>
  <c r="V19" i="10" s="1"/>
  <c r="T16" i="10"/>
  <c r="T19" i="10" s="1"/>
  <c r="Q16" i="10"/>
  <c r="Q19" i="10" s="1"/>
  <c r="O16" i="10"/>
  <c r="O19" i="10" s="1"/>
  <c r="AH15" i="10"/>
  <c r="AF15" i="10"/>
  <c r="AO15" i="10"/>
  <c r="AN15" i="10"/>
  <c r="L15" i="10"/>
  <c r="V14" i="10"/>
  <c r="T14" i="10"/>
  <c r="Q14" i="10"/>
  <c r="O14" i="10"/>
  <c r="AG14" i="10"/>
  <c r="AE14" i="10"/>
  <c r="AK14" i="10" s="1"/>
  <c r="AD14" i="10"/>
  <c r="AB14" i="10"/>
  <c r="Z14" i="10"/>
  <c r="X14" i="10"/>
  <c r="O13" i="10"/>
  <c r="AG13" i="10"/>
  <c r="AE13" i="10"/>
  <c r="AK13" i="10" s="1"/>
  <c r="AD13" i="10"/>
  <c r="AB13" i="10"/>
  <c r="Z13" i="10"/>
  <c r="X13" i="10"/>
  <c r="V13" i="10"/>
  <c r="T13" i="10"/>
  <c r="Q13" i="10"/>
  <c r="M15" i="10"/>
  <c r="AG12" i="10"/>
  <c r="AG15" i="10" s="1"/>
  <c r="AE12" i="10"/>
  <c r="AK12" i="10" s="1"/>
  <c r="AD12" i="10"/>
  <c r="AD15" i="10" s="1"/>
  <c r="AJ15" i="10" s="1"/>
  <c r="AB12" i="10"/>
  <c r="AB15" i="10" s="1"/>
  <c r="Z12" i="10"/>
  <c r="Z15" i="10" s="1"/>
  <c r="X12" i="10"/>
  <c r="X15" i="10" s="1"/>
  <c r="V12" i="10"/>
  <c r="V15" i="10" s="1"/>
  <c r="T12" i="10"/>
  <c r="T15" i="10" s="1"/>
  <c r="Q12" i="10"/>
  <c r="Q15" i="10" s="1"/>
  <c r="O12" i="10"/>
  <c r="O15" i="10" s="1"/>
  <c r="AO11" i="10"/>
  <c r="AN11" i="10"/>
  <c r="AH11" i="10"/>
  <c r="AF11" i="10"/>
  <c r="L11" i="10"/>
  <c r="V10" i="10"/>
  <c r="T10" i="10"/>
  <c r="Q10" i="10"/>
  <c r="O10" i="10"/>
  <c r="AG10" i="10"/>
  <c r="AE10" i="10"/>
  <c r="AK10" i="10" s="1"/>
  <c r="AD10" i="10"/>
  <c r="AB10" i="10"/>
  <c r="Z10" i="10"/>
  <c r="X10" i="10"/>
  <c r="V9" i="10"/>
  <c r="T9" i="10"/>
  <c r="Q9" i="10"/>
  <c r="O9" i="10"/>
  <c r="AG9" i="10"/>
  <c r="AE9" i="10"/>
  <c r="AK9" i="10" s="1"/>
  <c r="AD9" i="10"/>
  <c r="AB9" i="10"/>
  <c r="Z9" i="10"/>
  <c r="X9" i="10"/>
  <c r="M11" i="10"/>
  <c r="AG8" i="10"/>
  <c r="AG11" i="10" s="1"/>
  <c r="AE8" i="10"/>
  <c r="AK8" i="10" s="1"/>
  <c r="AD8" i="10"/>
  <c r="AD11" i="10" s="1"/>
  <c r="AJ11" i="10" s="1"/>
  <c r="AB8" i="10"/>
  <c r="AB11" i="10" s="1"/>
  <c r="Z8" i="10"/>
  <c r="Z11" i="10" s="1"/>
  <c r="X8" i="10"/>
  <c r="X11" i="10" s="1"/>
  <c r="V8" i="10"/>
  <c r="V11" i="10" s="1"/>
  <c r="T8" i="10"/>
  <c r="T11" i="10" s="1"/>
  <c r="Q8" i="10"/>
  <c r="Q11" i="10" s="1"/>
  <c r="O8" i="10"/>
  <c r="O11" i="10" s="1"/>
  <c r="AH7" i="10"/>
  <c r="AF7" i="10"/>
  <c r="AO7" i="10"/>
  <c r="AN7" i="10"/>
  <c r="L7" i="10"/>
  <c r="V6" i="10"/>
  <c r="T6" i="10"/>
  <c r="Q6" i="10"/>
  <c r="O6" i="10"/>
  <c r="AG6" i="10"/>
  <c r="AE6" i="10"/>
  <c r="AK6" i="10" s="1"/>
  <c r="AD6" i="10"/>
  <c r="AB6" i="10"/>
  <c r="Z6" i="10"/>
  <c r="X6" i="10"/>
  <c r="AG5" i="10"/>
  <c r="AE5" i="10"/>
  <c r="AK5" i="10" s="1"/>
  <c r="AD5" i="10"/>
  <c r="AB5" i="10"/>
  <c r="Z5" i="10"/>
  <c r="X5" i="10"/>
  <c r="V5" i="10"/>
  <c r="T5" i="10"/>
  <c r="Q5" i="10"/>
  <c r="O5" i="10"/>
  <c r="AU7" i="10"/>
  <c r="AT8" i="10"/>
  <c r="AT9" i="10" s="1"/>
  <c r="AT10" i="10" s="1"/>
  <c r="M7" i="10"/>
  <c r="AG4" i="10"/>
  <c r="AG7" i="10" s="1"/>
  <c r="AE4" i="10"/>
  <c r="AK4" i="10" s="1"/>
  <c r="AD4" i="10"/>
  <c r="AD7" i="10" s="1"/>
  <c r="AJ7" i="10" s="1"/>
  <c r="AB4" i="10"/>
  <c r="AB7" i="10" s="1"/>
  <c r="Z4" i="10"/>
  <c r="Z7" i="10" s="1"/>
  <c r="X4" i="10"/>
  <c r="X7" i="10" s="1"/>
  <c r="V4" i="10"/>
  <c r="V7" i="10" s="1"/>
  <c r="T4" i="10"/>
  <c r="T7" i="10" s="1"/>
  <c r="Q4" i="10"/>
  <c r="Q7" i="10" s="1"/>
  <c r="O4" i="10"/>
  <c r="O7" i="10" s="1"/>
  <c r="L123" i="9"/>
  <c r="AO123" i="9" s="1"/>
  <c r="AN123" i="9"/>
  <c r="AH123" i="9"/>
  <c r="AF123" i="9"/>
  <c r="O122" i="9"/>
  <c r="AG122" i="9"/>
  <c r="AE122" i="9"/>
  <c r="AK122" i="9" s="1"/>
  <c r="AD122" i="9"/>
  <c r="AB122" i="9"/>
  <c r="Z122" i="9"/>
  <c r="X122" i="9"/>
  <c r="V122" i="9"/>
  <c r="T122" i="9"/>
  <c r="Q122" i="9"/>
  <c r="O121" i="9"/>
  <c r="AG121" i="9"/>
  <c r="AE121" i="9"/>
  <c r="AK121" i="9" s="1"/>
  <c r="AD121" i="9"/>
  <c r="AB121" i="9"/>
  <c r="Z121" i="9"/>
  <c r="X121" i="9"/>
  <c r="V121" i="9"/>
  <c r="T121" i="9"/>
  <c r="Q121" i="9"/>
  <c r="M123" i="9"/>
  <c r="AG120" i="9"/>
  <c r="AG123" i="9" s="1"/>
  <c r="AE120" i="9"/>
  <c r="AK120" i="9" s="1"/>
  <c r="AD120" i="9"/>
  <c r="AD123" i="9" s="1"/>
  <c r="AJ123" i="9" s="1"/>
  <c r="AB120" i="9"/>
  <c r="AB123" i="9" s="1"/>
  <c r="Z120" i="9"/>
  <c r="Z123" i="9" s="1"/>
  <c r="X120" i="9"/>
  <c r="X123" i="9" s="1"/>
  <c r="V120" i="9"/>
  <c r="V123" i="9" s="1"/>
  <c r="T120" i="9"/>
  <c r="T123" i="9" s="1"/>
  <c r="Q120" i="9"/>
  <c r="Q123" i="9" s="1"/>
  <c r="O120" i="9"/>
  <c r="O123" i="9" s="1"/>
  <c r="AN119" i="9"/>
  <c r="AH119" i="9"/>
  <c r="AF119" i="9"/>
  <c r="L119" i="9"/>
  <c r="AO119" i="9" s="1"/>
  <c r="AG118" i="9"/>
  <c r="AE118" i="9"/>
  <c r="AK118" i="9" s="1"/>
  <c r="AD118" i="9"/>
  <c r="AB118" i="9"/>
  <c r="Z118" i="9"/>
  <c r="X118" i="9"/>
  <c r="V118" i="9"/>
  <c r="T118" i="9"/>
  <c r="Q118" i="9"/>
  <c r="O118" i="9"/>
  <c r="O117" i="9"/>
  <c r="AG117" i="9"/>
  <c r="AE117" i="9"/>
  <c r="AK117" i="9" s="1"/>
  <c r="AD117" i="9"/>
  <c r="AB117" i="9"/>
  <c r="Z117" i="9"/>
  <c r="X117" i="9"/>
  <c r="V117" i="9"/>
  <c r="T117" i="9"/>
  <c r="Q117" i="9"/>
  <c r="M119" i="9"/>
  <c r="AG116" i="9"/>
  <c r="AG119" i="9" s="1"/>
  <c r="AE116" i="9"/>
  <c r="AK116" i="9" s="1"/>
  <c r="AD116" i="9"/>
  <c r="AD119" i="9" s="1"/>
  <c r="AJ119" i="9" s="1"/>
  <c r="AB116" i="9"/>
  <c r="AB119" i="9" s="1"/>
  <c r="Z116" i="9"/>
  <c r="Z119" i="9" s="1"/>
  <c r="X116" i="9"/>
  <c r="X119" i="9" s="1"/>
  <c r="V116" i="9"/>
  <c r="V119" i="9" s="1"/>
  <c r="T116" i="9"/>
  <c r="T119" i="9" s="1"/>
  <c r="Q116" i="9"/>
  <c r="Q119" i="9" s="1"/>
  <c r="O116" i="9"/>
  <c r="O119" i="9" s="1"/>
  <c r="L115" i="9"/>
  <c r="AO115" i="9" s="1"/>
  <c r="AN115" i="9"/>
  <c r="AH115" i="9"/>
  <c r="AF115" i="9"/>
  <c r="T114" i="9"/>
  <c r="AG114" i="9"/>
  <c r="AE114" i="9"/>
  <c r="AK114" i="9" s="1"/>
  <c r="AD114" i="9"/>
  <c r="AB114" i="9"/>
  <c r="Z114" i="9"/>
  <c r="X114" i="9"/>
  <c r="V114" i="9"/>
  <c r="Q114" i="9"/>
  <c r="O114" i="9"/>
  <c r="O113" i="9"/>
  <c r="AG113" i="9"/>
  <c r="AE113" i="9"/>
  <c r="AK113" i="9" s="1"/>
  <c r="AD113" i="9"/>
  <c r="AB113" i="9"/>
  <c r="Z113" i="9"/>
  <c r="X113" i="9"/>
  <c r="V113" i="9"/>
  <c r="T113" i="9"/>
  <c r="Q113" i="9"/>
  <c r="M115" i="9"/>
  <c r="AG112" i="9"/>
  <c r="AG115" i="9" s="1"/>
  <c r="AE112" i="9"/>
  <c r="AK112" i="9" s="1"/>
  <c r="AD112" i="9"/>
  <c r="AD115" i="9" s="1"/>
  <c r="AJ115" i="9" s="1"/>
  <c r="AB112" i="9"/>
  <c r="AB115" i="9" s="1"/>
  <c r="Z112" i="9"/>
  <c r="Z115" i="9" s="1"/>
  <c r="X112" i="9"/>
  <c r="X115" i="9" s="1"/>
  <c r="V112" i="9"/>
  <c r="V115" i="9" s="1"/>
  <c r="T112" i="9"/>
  <c r="T115" i="9" s="1"/>
  <c r="Q112" i="9"/>
  <c r="Q115" i="9" s="1"/>
  <c r="O112" i="9"/>
  <c r="O115" i="9" s="1"/>
  <c r="AN111" i="9"/>
  <c r="AH111" i="9"/>
  <c r="AF111" i="9"/>
  <c r="L111" i="9"/>
  <c r="AO111" i="9" s="1"/>
  <c r="AG110" i="9"/>
  <c r="AE110" i="9"/>
  <c r="AK110" i="9" s="1"/>
  <c r="AD110" i="9"/>
  <c r="AB110" i="9"/>
  <c r="Z110" i="9"/>
  <c r="X110" i="9"/>
  <c r="V110" i="9"/>
  <c r="T110" i="9"/>
  <c r="Q110" i="9"/>
  <c r="O110" i="9"/>
  <c r="O109" i="9"/>
  <c r="AG109" i="9"/>
  <c r="AE109" i="9"/>
  <c r="AK109" i="9" s="1"/>
  <c r="AD109" i="9"/>
  <c r="AB109" i="9"/>
  <c r="Z109" i="9"/>
  <c r="X109" i="9"/>
  <c r="V109" i="9"/>
  <c r="T109" i="9"/>
  <c r="Q109" i="9"/>
  <c r="M111" i="9"/>
  <c r="AG108" i="9"/>
  <c r="AG111" i="9" s="1"/>
  <c r="AE108" i="9"/>
  <c r="AK108" i="9" s="1"/>
  <c r="AD108" i="9"/>
  <c r="AD111" i="9" s="1"/>
  <c r="AJ111" i="9" s="1"/>
  <c r="AB108" i="9"/>
  <c r="AB111" i="9" s="1"/>
  <c r="Z108" i="9"/>
  <c r="Z111" i="9" s="1"/>
  <c r="X108" i="9"/>
  <c r="X111" i="9" s="1"/>
  <c r="V108" i="9"/>
  <c r="V111" i="9" s="1"/>
  <c r="T108" i="9"/>
  <c r="T111" i="9" s="1"/>
  <c r="Q108" i="9"/>
  <c r="Q111" i="9" s="1"/>
  <c r="O108" i="9"/>
  <c r="O111" i="9" s="1"/>
  <c r="L107" i="9"/>
  <c r="AO107" i="9" s="1"/>
  <c r="AN107" i="9"/>
  <c r="AH107" i="9"/>
  <c r="AF107" i="9"/>
  <c r="O106" i="9"/>
  <c r="AG106" i="9"/>
  <c r="AE106" i="9"/>
  <c r="AK106" i="9" s="1"/>
  <c r="AD106" i="9"/>
  <c r="AB106" i="9"/>
  <c r="Z106" i="9"/>
  <c r="X106" i="9"/>
  <c r="V106" i="9"/>
  <c r="T106" i="9"/>
  <c r="Q106" i="9"/>
  <c r="O105" i="9"/>
  <c r="AG105" i="9"/>
  <c r="AE105" i="9"/>
  <c r="AK105" i="9" s="1"/>
  <c r="AD105" i="9"/>
  <c r="AB105" i="9"/>
  <c r="Z105" i="9"/>
  <c r="X105" i="9"/>
  <c r="V105" i="9"/>
  <c r="T105" i="9"/>
  <c r="Q105" i="9"/>
  <c r="M107" i="9"/>
  <c r="AG104" i="9"/>
  <c r="AG107" i="9" s="1"/>
  <c r="AE104" i="9"/>
  <c r="AK104" i="9" s="1"/>
  <c r="AD104" i="9"/>
  <c r="AD107" i="9" s="1"/>
  <c r="AJ107" i="9" s="1"/>
  <c r="AB104" i="9"/>
  <c r="AB107" i="9" s="1"/>
  <c r="Z104" i="9"/>
  <c r="Z107" i="9" s="1"/>
  <c r="X104" i="9"/>
  <c r="X107" i="9" s="1"/>
  <c r="V104" i="9"/>
  <c r="V107" i="9" s="1"/>
  <c r="T104" i="9"/>
  <c r="T107" i="9" s="1"/>
  <c r="Q104" i="9"/>
  <c r="Q107" i="9" s="1"/>
  <c r="O104" i="9"/>
  <c r="O107" i="9" s="1"/>
  <c r="AN103" i="9"/>
  <c r="AH103" i="9"/>
  <c r="AF103" i="9"/>
  <c r="L103" i="9"/>
  <c r="AO103" i="9" s="1"/>
  <c r="AG102" i="9"/>
  <c r="AE102" i="9"/>
  <c r="AK102" i="9" s="1"/>
  <c r="AD102" i="9"/>
  <c r="AB102" i="9"/>
  <c r="Z102" i="9"/>
  <c r="X102" i="9"/>
  <c r="V102" i="9"/>
  <c r="T102" i="9"/>
  <c r="Q102" i="9"/>
  <c r="O102" i="9"/>
  <c r="O101" i="9"/>
  <c r="AG101" i="9"/>
  <c r="AE101" i="9"/>
  <c r="AK101" i="9" s="1"/>
  <c r="AD101" i="9"/>
  <c r="AB101" i="9"/>
  <c r="Z101" i="9"/>
  <c r="X101" i="9"/>
  <c r="V101" i="9"/>
  <c r="T101" i="9"/>
  <c r="Q101" i="9"/>
  <c r="M103" i="9"/>
  <c r="AG100" i="9"/>
  <c r="AG103" i="9" s="1"/>
  <c r="AE100" i="9"/>
  <c r="AK100" i="9" s="1"/>
  <c r="AD100" i="9"/>
  <c r="AD103" i="9" s="1"/>
  <c r="AJ103" i="9" s="1"/>
  <c r="AB100" i="9"/>
  <c r="AB103" i="9" s="1"/>
  <c r="Z100" i="9"/>
  <c r="Z103" i="9" s="1"/>
  <c r="X100" i="9"/>
  <c r="X103" i="9" s="1"/>
  <c r="V100" i="9"/>
  <c r="V103" i="9" s="1"/>
  <c r="T100" i="9"/>
  <c r="T103" i="9" s="1"/>
  <c r="Q100" i="9"/>
  <c r="Q103" i="9" s="1"/>
  <c r="O100" i="9"/>
  <c r="O103" i="9" s="1"/>
  <c r="L99" i="9"/>
  <c r="AO99" i="9" s="1"/>
  <c r="AN99" i="9"/>
  <c r="AH99" i="9"/>
  <c r="AF99" i="9"/>
  <c r="T98" i="9"/>
  <c r="AG98" i="9"/>
  <c r="AE98" i="9"/>
  <c r="AK98" i="9" s="1"/>
  <c r="AD98" i="9"/>
  <c r="AB98" i="9"/>
  <c r="Z98" i="9"/>
  <c r="X98" i="9"/>
  <c r="V98" i="9"/>
  <c r="Q98" i="9"/>
  <c r="O98" i="9"/>
  <c r="O97" i="9"/>
  <c r="AG97" i="9"/>
  <c r="AE97" i="9"/>
  <c r="AK97" i="9" s="1"/>
  <c r="AD97" i="9"/>
  <c r="AB97" i="9"/>
  <c r="Z97" i="9"/>
  <c r="X97" i="9"/>
  <c r="V97" i="9"/>
  <c r="T97" i="9"/>
  <c r="Q97" i="9"/>
  <c r="M99" i="9"/>
  <c r="AG96" i="9"/>
  <c r="AG99" i="9" s="1"/>
  <c r="AE96" i="9"/>
  <c r="AK96" i="9" s="1"/>
  <c r="AD96" i="9"/>
  <c r="AD99" i="9" s="1"/>
  <c r="AJ99" i="9" s="1"/>
  <c r="AB96" i="9"/>
  <c r="AB99" i="9" s="1"/>
  <c r="Z96" i="9"/>
  <c r="Z99" i="9" s="1"/>
  <c r="X96" i="9"/>
  <c r="X99" i="9" s="1"/>
  <c r="V96" i="9"/>
  <c r="V99" i="9" s="1"/>
  <c r="T96" i="9"/>
  <c r="T99" i="9" s="1"/>
  <c r="Q96" i="9"/>
  <c r="Q99" i="9" s="1"/>
  <c r="O96" i="9"/>
  <c r="O99" i="9" s="1"/>
  <c r="AN95" i="9"/>
  <c r="AH95" i="9"/>
  <c r="AF95" i="9"/>
  <c r="L95" i="9"/>
  <c r="AO95" i="9" s="1"/>
  <c r="AG94" i="9"/>
  <c r="AE94" i="9"/>
  <c r="AK94" i="9" s="1"/>
  <c r="AD94" i="9"/>
  <c r="AB94" i="9"/>
  <c r="Z94" i="9"/>
  <c r="X94" i="9"/>
  <c r="V94" i="9"/>
  <c r="T94" i="9"/>
  <c r="Q94" i="9"/>
  <c r="O94" i="9"/>
  <c r="O93" i="9"/>
  <c r="AG93" i="9"/>
  <c r="AE93" i="9"/>
  <c r="AK93" i="9" s="1"/>
  <c r="AD93" i="9"/>
  <c r="AB93" i="9"/>
  <c r="Z93" i="9"/>
  <c r="X93" i="9"/>
  <c r="V93" i="9"/>
  <c r="T93" i="9"/>
  <c r="Q93" i="9"/>
  <c r="M95" i="9"/>
  <c r="AG92" i="9"/>
  <c r="AG95" i="9" s="1"/>
  <c r="AE92" i="9"/>
  <c r="AK92" i="9" s="1"/>
  <c r="AD92" i="9"/>
  <c r="AD95" i="9" s="1"/>
  <c r="AJ95" i="9" s="1"/>
  <c r="AB92" i="9"/>
  <c r="AB95" i="9" s="1"/>
  <c r="Z92" i="9"/>
  <c r="Z95" i="9" s="1"/>
  <c r="X92" i="9"/>
  <c r="X95" i="9" s="1"/>
  <c r="V92" i="9"/>
  <c r="V95" i="9" s="1"/>
  <c r="T92" i="9"/>
  <c r="T95" i="9" s="1"/>
  <c r="Q92" i="9"/>
  <c r="Q95" i="9" s="1"/>
  <c r="O92" i="9"/>
  <c r="O95" i="9" s="1"/>
  <c r="L91" i="9"/>
  <c r="AO91" i="9" s="1"/>
  <c r="AN91" i="9"/>
  <c r="AH91" i="9"/>
  <c r="AF91" i="9"/>
  <c r="O90" i="9"/>
  <c r="AG90" i="9"/>
  <c r="AE90" i="9"/>
  <c r="AK90" i="9" s="1"/>
  <c r="AD90" i="9"/>
  <c r="AB90" i="9"/>
  <c r="Z90" i="9"/>
  <c r="X90" i="9"/>
  <c r="V90" i="9"/>
  <c r="T90" i="9"/>
  <c r="Q90" i="9"/>
  <c r="O89" i="9"/>
  <c r="AG89" i="9"/>
  <c r="AE89" i="9"/>
  <c r="AK89" i="9" s="1"/>
  <c r="AD89" i="9"/>
  <c r="AB89" i="9"/>
  <c r="Z89" i="9"/>
  <c r="X89" i="9"/>
  <c r="V89" i="9"/>
  <c r="T89" i="9"/>
  <c r="Q89" i="9"/>
  <c r="M91" i="9"/>
  <c r="AG88" i="9"/>
  <c r="AG91" i="9" s="1"/>
  <c r="AE88" i="9"/>
  <c r="AK88" i="9" s="1"/>
  <c r="AD88" i="9"/>
  <c r="AD91" i="9" s="1"/>
  <c r="AJ91" i="9" s="1"/>
  <c r="AB88" i="9"/>
  <c r="AB91" i="9" s="1"/>
  <c r="Z88" i="9"/>
  <c r="Z91" i="9" s="1"/>
  <c r="X88" i="9"/>
  <c r="X91" i="9" s="1"/>
  <c r="V88" i="9"/>
  <c r="V91" i="9" s="1"/>
  <c r="T88" i="9"/>
  <c r="T91" i="9" s="1"/>
  <c r="Q88" i="9"/>
  <c r="Q91" i="9" s="1"/>
  <c r="O88" i="9"/>
  <c r="O91" i="9" s="1"/>
  <c r="AN87" i="9"/>
  <c r="AH87" i="9"/>
  <c r="AF87" i="9"/>
  <c r="L87" i="9"/>
  <c r="AO87" i="9" s="1"/>
  <c r="AG86" i="9"/>
  <c r="AE86" i="9"/>
  <c r="AK86" i="9" s="1"/>
  <c r="AD86" i="9"/>
  <c r="AB86" i="9"/>
  <c r="Z86" i="9"/>
  <c r="X86" i="9"/>
  <c r="V86" i="9"/>
  <c r="T86" i="9"/>
  <c r="Q86" i="9"/>
  <c r="O86" i="9"/>
  <c r="O85" i="9"/>
  <c r="AG85" i="9"/>
  <c r="AE85" i="9"/>
  <c r="AK85" i="9" s="1"/>
  <c r="AD85" i="9"/>
  <c r="AB85" i="9"/>
  <c r="Z85" i="9"/>
  <c r="X85" i="9"/>
  <c r="V85" i="9"/>
  <c r="T85" i="9"/>
  <c r="Q85" i="9"/>
  <c r="M87" i="9"/>
  <c r="AG84" i="9"/>
  <c r="AG87" i="9" s="1"/>
  <c r="AE84" i="9"/>
  <c r="AK84" i="9" s="1"/>
  <c r="AD84" i="9"/>
  <c r="AD87" i="9" s="1"/>
  <c r="AJ87" i="9" s="1"/>
  <c r="AB84" i="9"/>
  <c r="AB87" i="9" s="1"/>
  <c r="Z84" i="9"/>
  <c r="Z87" i="9" s="1"/>
  <c r="X84" i="9"/>
  <c r="X87" i="9" s="1"/>
  <c r="V84" i="9"/>
  <c r="V87" i="9" s="1"/>
  <c r="T84" i="9"/>
  <c r="T87" i="9" s="1"/>
  <c r="Q84" i="9"/>
  <c r="Q87" i="9" s="1"/>
  <c r="O84" i="9"/>
  <c r="O87" i="9" s="1"/>
  <c r="L83" i="9"/>
  <c r="AO83" i="9" s="1"/>
  <c r="AN83" i="9"/>
  <c r="AH83" i="9"/>
  <c r="AF83" i="9"/>
  <c r="T82" i="9"/>
  <c r="AG82" i="9"/>
  <c r="AE82" i="9"/>
  <c r="AK82" i="9" s="1"/>
  <c r="AD82" i="9"/>
  <c r="AB82" i="9"/>
  <c r="Z82" i="9"/>
  <c r="X82" i="9"/>
  <c r="V82" i="9"/>
  <c r="Q82" i="9"/>
  <c r="O82" i="9"/>
  <c r="O81" i="9"/>
  <c r="AG81" i="9"/>
  <c r="AE81" i="9"/>
  <c r="AK81" i="9" s="1"/>
  <c r="AD81" i="9"/>
  <c r="AB81" i="9"/>
  <c r="Z81" i="9"/>
  <c r="X81" i="9"/>
  <c r="V81" i="9"/>
  <c r="T81" i="9"/>
  <c r="Q81" i="9"/>
  <c r="M83" i="9"/>
  <c r="AG80" i="9"/>
  <c r="AG83" i="9" s="1"/>
  <c r="AE80" i="9"/>
  <c r="AK80" i="9" s="1"/>
  <c r="AD80" i="9"/>
  <c r="AD83" i="9" s="1"/>
  <c r="AJ83" i="9" s="1"/>
  <c r="AB80" i="9"/>
  <c r="AB83" i="9" s="1"/>
  <c r="Z80" i="9"/>
  <c r="Z83" i="9" s="1"/>
  <c r="X80" i="9"/>
  <c r="X83" i="9" s="1"/>
  <c r="V80" i="9"/>
  <c r="V83" i="9" s="1"/>
  <c r="T80" i="9"/>
  <c r="T83" i="9" s="1"/>
  <c r="Q80" i="9"/>
  <c r="Q83" i="9" s="1"/>
  <c r="O80" i="9"/>
  <c r="O83" i="9" s="1"/>
  <c r="AN79" i="9"/>
  <c r="AH79" i="9"/>
  <c r="AF79" i="9"/>
  <c r="L79" i="9"/>
  <c r="AO79" i="9" s="1"/>
  <c r="AG78" i="9"/>
  <c r="AE78" i="9"/>
  <c r="AK78" i="9" s="1"/>
  <c r="AD78" i="9"/>
  <c r="AB78" i="9"/>
  <c r="Z78" i="9"/>
  <c r="X78" i="9"/>
  <c r="V78" i="9"/>
  <c r="T78" i="9"/>
  <c r="Q78" i="9"/>
  <c r="O78" i="9"/>
  <c r="O77" i="9"/>
  <c r="AG77" i="9"/>
  <c r="AE77" i="9"/>
  <c r="AK77" i="9" s="1"/>
  <c r="AD77" i="9"/>
  <c r="AB77" i="9"/>
  <c r="Z77" i="9"/>
  <c r="X77" i="9"/>
  <c r="V77" i="9"/>
  <c r="T77" i="9"/>
  <c r="Q77" i="9"/>
  <c r="M79" i="9"/>
  <c r="AG76" i="9"/>
  <c r="AG79" i="9" s="1"/>
  <c r="AE76" i="9"/>
  <c r="AK76" i="9" s="1"/>
  <c r="AD76" i="9"/>
  <c r="AD79" i="9" s="1"/>
  <c r="AJ79" i="9" s="1"/>
  <c r="AB76" i="9"/>
  <c r="AB79" i="9" s="1"/>
  <c r="Z76" i="9"/>
  <c r="Z79" i="9" s="1"/>
  <c r="X76" i="9"/>
  <c r="X79" i="9" s="1"/>
  <c r="V76" i="9"/>
  <c r="V79" i="9" s="1"/>
  <c r="T76" i="9"/>
  <c r="T79" i="9" s="1"/>
  <c r="Q76" i="9"/>
  <c r="Q79" i="9" s="1"/>
  <c r="O76" i="9"/>
  <c r="O79" i="9" s="1"/>
  <c r="L75" i="9"/>
  <c r="AO75" i="9" s="1"/>
  <c r="AN75" i="9"/>
  <c r="AH75" i="9"/>
  <c r="AF75" i="9"/>
  <c r="O74" i="9"/>
  <c r="AG74" i="9"/>
  <c r="AE74" i="9"/>
  <c r="AK74" i="9" s="1"/>
  <c r="AD74" i="9"/>
  <c r="AB74" i="9"/>
  <c r="Z74" i="9"/>
  <c r="X74" i="9"/>
  <c r="V74" i="9"/>
  <c r="T74" i="9"/>
  <c r="Q74" i="9"/>
  <c r="O73" i="9"/>
  <c r="AG73" i="9"/>
  <c r="AE73" i="9"/>
  <c r="AK73" i="9" s="1"/>
  <c r="AD73" i="9"/>
  <c r="AB73" i="9"/>
  <c r="Z73" i="9"/>
  <c r="X73" i="9"/>
  <c r="V73" i="9"/>
  <c r="T73" i="9"/>
  <c r="Q73" i="9"/>
  <c r="M75" i="9"/>
  <c r="AG72" i="9"/>
  <c r="AG75" i="9" s="1"/>
  <c r="AE72" i="9"/>
  <c r="AK72" i="9" s="1"/>
  <c r="AD72" i="9"/>
  <c r="AD75" i="9" s="1"/>
  <c r="AJ75" i="9" s="1"/>
  <c r="AB72" i="9"/>
  <c r="AB75" i="9" s="1"/>
  <c r="Z72" i="9"/>
  <c r="Z75" i="9" s="1"/>
  <c r="X72" i="9"/>
  <c r="X75" i="9" s="1"/>
  <c r="V72" i="9"/>
  <c r="V75" i="9" s="1"/>
  <c r="T72" i="9"/>
  <c r="T75" i="9" s="1"/>
  <c r="Q72" i="9"/>
  <c r="Q75" i="9" s="1"/>
  <c r="O72" i="9"/>
  <c r="O75" i="9" s="1"/>
  <c r="AN71" i="9"/>
  <c r="AH71" i="9"/>
  <c r="AF71" i="9"/>
  <c r="L71" i="9"/>
  <c r="AO71" i="9" s="1"/>
  <c r="AG70" i="9"/>
  <c r="AE70" i="9"/>
  <c r="AK70" i="9" s="1"/>
  <c r="AD70" i="9"/>
  <c r="AB70" i="9"/>
  <c r="Z70" i="9"/>
  <c r="X70" i="9"/>
  <c r="V70" i="9"/>
  <c r="T70" i="9"/>
  <c r="Q70" i="9"/>
  <c r="O70" i="9"/>
  <c r="O69" i="9"/>
  <c r="AG69" i="9"/>
  <c r="AE69" i="9"/>
  <c r="AK69" i="9" s="1"/>
  <c r="AD69" i="9"/>
  <c r="AB69" i="9"/>
  <c r="Z69" i="9"/>
  <c r="X69" i="9"/>
  <c r="V69" i="9"/>
  <c r="T69" i="9"/>
  <c r="Q69" i="9"/>
  <c r="M71" i="9"/>
  <c r="AG68" i="9"/>
  <c r="AG71" i="9" s="1"/>
  <c r="AE68" i="9"/>
  <c r="AK68" i="9" s="1"/>
  <c r="AD68" i="9"/>
  <c r="AD71" i="9" s="1"/>
  <c r="AJ71" i="9" s="1"/>
  <c r="AB68" i="9"/>
  <c r="AB71" i="9" s="1"/>
  <c r="Z68" i="9"/>
  <c r="Z71" i="9" s="1"/>
  <c r="X68" i="9"/>
  <c r="X71" i="9" s="1"/>
  <c r="V68" i="9"/>
  <c r="V71" i="9" s="1"/>
  <c r="T68" i="9"/>
  <c r="T71" i="9" s="1"/>
  <c r="Q68" i="9"/>
  <c r="Q71" i="9" s="1"/>
  <c r="O68" i="9"/>
  <c r="O71" i="9" s="1"/>
  <c r="L67" i="9"/>
  <c r="AO67" i="9" s="1"/>
  <c r="AN67" i="9"/>
  <c r="AH67" i="9"/>
  <c r="AF67" i="9"/>
  <c r="T66" i="9"/>
  <c r="AG66" i="9"/>
  <c r="AE66" i="9"/>
  <c r="AK66" i="9" s="1"/>
  <c r="AD66" i="9"/>
  <c r="AB66" i="9"/>
  <c r="Z66" i="9"/>
  <c r="X66" i="9"/>
  <c r="V66" i="9"/>
  <c r="Q66" i="9"/>
  <c r="O66" i="9"/>
  <c r="O65" i="9"/>
  <c r="AG65" i="9"/>
  <c r="AE65" i="9"/>
  <c r="AK65" i="9" s="1"/>
  <c r="AD65" i="9"/>
  <c r="AB65" i="9"/>
  <c r="Z65" i="9"/>
  <c r="X65" i="9"/>
  <c r="V65" i="9"/>
  <c r="T65" i="9"/>
  <c r="Q65" i="9"/>
  <c r="M67" i="9"/>
  <c r="AG64" i="9"/>
  <c r="AG67" i="9" s="1"/>
  <c r="AE64" i="9"/>
  <c r="AK64" i="9" s="1"/>
  <c r="AD64" i="9"/>
  <c r="AD67" i="9" s="1"/>
  <c r="AJ67" i="9" s="1"/>
  <c r="AB64" i="9"/>
  <c r="AB67" i="9" s="1"/>
  <c r="Z64" i="9"/>
  <c r="Z67" i="9" s="1"/>
  <c r="X64" i="9"/>
  <c r="X67" i="9" s="1"/>
  <c r="V64" i="9"/>
  <c r="V67" i="9" s="1"/>
  <c r="T64" i="9"/>
  <c r="T67" i="9" s="1"/>
  <c r="Q64" i="9"/>
  <c r="Q67" i="9" s="1"/>
  <c r="O64" i="9"/>
  <c r="O67" i="9" s="1"/>
  <c r="AN63" i="9"/>
  <c r="AH63" i="9"/>
  <c r="AF63" i="9"/>
  <c r="L63" i="9"/>
  <c r="AO63" i="9" s="1"/>
  <c r="AG62" i="9"/>
  <c r="AE62" i="9"/>
  <c r="AK62" i="9" s="1"/>
  <c r="AD62" i="9"/>
  <c r="AB62" i="9"/>
  <c r="Z62" i="9"/>
  <c r="X62" i="9"/>
  <c r="V62" i="9"/>
  <c r="T62" i="9"/>
  <c r="Q62" i="9"/>
  <c r="O62" i="9"/>
  <c r="AG61" i="9"/>
  <c r="AE61" i="9"/>
  <c r="AK61" i="9" s="1"/>
  <c r="AD61" i="9"/>
  <c r="AB61" i="9"/>
  <c r="Z61" i="9"/>
  <c r="X61" i="9"/>
  <c r="V61" i="9"/>
  <c r="T61" i="9"/>
  <c r="Q61" i="9"/>
  <c r="O61" i="9"/>
  <c r="M63" i="9"/>
  <c r="AG60" i="9"/>
  <c r="AG63" i="9" s="1"/>
  <c r="AE60" i="9"/>
  <c r="AK60" i="9" s="1"/>
  <c r="AD60" i="9"/>
  <c r="AD63" i="9" s="1"/>
  <c r="AJ63" i="9" s="1"/>
  <c r="AB60" i="9"/>
  <c r="AB63" i="9" s="1"/>
  <c r="Z60" i="9"/>
  <c r="Z63" i="9" s="1"/>
  <c r="X60" i="9"/>
  <c r="X63" i="9" s="1"/>
  <c r="V60" i="9"/>
  <c r="V63" i="9" s="1"/>
  <c r="T60" i="9"/>
  <c r="T63" i="9" s="1"/>
  <c r="Q60" i="9"/>
  <c r="Q63" i="9" s="1"/>
  <c r="O60" i="9"/>
  <c r="O63" i="9" s="1"/>
  <c r="AH59" i="9"/>
  <c r="AF59" i="9"/>
  <c r="AN59" i="9"/>
  <c r="L59" i="9"/>
  <c r="AO59" i="9" s="1"/>
  <c r="V58" i="9"/>
  <c r="T58" i="9"/>
  <c r="Q58" i="9"/>
  <c r="O58" i="9"/>
  <c r="AG58" i="9"/>
  <c r="AE58" i="9"/>
  <c r="AK58" i="9" s="1"/>
  <c r="AD58" i="9"/>
  <c r="AB58" i="9"/>
  <c r="Z58" i="9"/>
  <c r="X58" i="9"/>
  <c r="AG57" i="9"/>
  <c r="AE57" i="9"/>
  <c r="AK57" i="9" s="1"/>
  <c r="AD57" i="9"/>
  <c r="AB57" i="9"/>
  <c r="Z57" i="9"/>
  <c r="X57" i="9"/>
  <c r="V57" i="9"/>
  <c r="T57" i="9"/>
  <c r="Q57" i="9"/>
  <c r="O57" i="9"/>
  <c r="M59" i="9"/>
  <c r="AG56" i="9"/>
  <c r="AG59" i="9" s="1"/>
  <c r="AE56" i="9"/>
  <c r="AK56" i="9" s="1"/>
  <c r="AD56" i="9"/>
  <c r="AD59" i="9" s="1"/>
  <c r="AJ59" i="9" s="1"/>
  <c r="AB56" i="9"/>
  <c r="AB59" i="9" s="1"/>
  <c r="Z56" i="9"/>
  <c r="Z59" i="9" s="1"/>
  <c r="X56" i="9"/>
  <c r="X59" i="9" s="1"/>
  <c r="V56" i="9"/>
  <c r="V59" i="9" s="1"/>
  <c r="T56" i="9"/>
  <c r="T59" i="9" s="1"/>
  <c r="Q56" i="9"/>
  <c r="Q59" i="9" s="1"/>
  <c r="O56" i="9"/>
  <c r="O59" i="9" s="1"/>
  <c r="AH55" i="9"/>
  <c r="AF55" i="9"/>
  <c r="AN55" i="9"/>
  <c r="L55" i="9"/>
  <c r="AO55" i="9" s="1"/>
  <c r="V54" i="9"/>
  <c r="T54" i="9"/>
  <c r="Q54" i="9"/>
  <c r="O54" i="9"/>
  <c r="AG54" i="9"/>
  <c r="AE54" i="9"/>
  <c r="AK54" i="9" s="1"/>
  <c r="AD54" i="9"/>
  <c r="AB54" i="9"/>
  <c r="Z54" i="9"/>
  <c r="X54" i="9"/>
  <c r="Z53" i="9"/>
  <c r="AG53" i="9"/>
  <c r="AE53" i="9"/>
  <c r="AK53" i="9" s="1"/>
  <c r="AD53" i="9"/>
  <c r="AB53" i="9"/>
  <c r="X53" i="9"/>
  <c r="V53" i="9"/>
  <c r="T53" i="9"/>
  <c r="Q53" i="9"/>
  <c r="O53" i="9"/>
  <c r="M55" i="9"/>
  <c r="AG52" i="9"/>
  <c r="AG55" i="9" s="1"/>
  <c r="AE52" i="9"/>
  <c r="AK52" i="9" s="1"/>
  <c r="AD52" i="9"/>
  <c r="AD55" i="9" s="1"/>
  <c r="AJ55" i="9" s="1"/>
  <c r="AB52" i="9"/>
  <c r="AB55" i="9" s="1"/>
  <c r="Z52" i="9"/>
  <c r="Z55" i="9" s="1"/>
  <c r="X52" i="9"/>
  <c r="X55" i="9" s="1"/>
  <c r="V52" i="9"/>
  <c r="V55" i="9" s="1"/>
  <c r="T52" i="9"/>
  <c r="T55" i="9" s="1"/>
  <c r="Q52" i="9"/>
  <c r="Q55" i="9" s="1"/>
  <c r="O52" i="9"/>
  <c r="O55" i="9" s="1"/>
  <c r="L51" i="9"/>
  <c r="AO51" i="9" s="1"/>
  <c r="AH51" i="9"/>
  <c r="AN51" i="9"/>
  <c r="AF51" i="9"/>
  <c r="V50" i="9"/>
  <c r="Q50" i="9"/>
  <c r="O50" i="9"/>
  <c r="T50" i="9"/>
  <c r="AG50" i="9"/>
  <c r="AE50" i="9"/>
  <c r="AK50" i="9" s="1"/>
  <c r="AD50" i="9"/>
  <c r="AB50" i="9"/>
  <c r="Z50" i="9"/>
  <c r="X50" i="9"/>
  <c r="Z49" i="9"/>
  <c r="AG49" i="9"/>
  <c r="AE49" i="9"/>
  <c r="AK49" i="9" s="1"/>
  <c r="AD49" i="9"/>
  <c r="AB49" i="9"/>
  <c r="X49" i="9"/>
  <c r="V49" i="9"/>
  <c r="T49" i="9"/>
  <c r="Q49" i="9"/>
  <c r="O49" i="9"/>
  <c r="M51" i="9"/>
  <c r="AG48" i="9"/>
  <c r="AG51" i="9" s="1"/>
  <c r="AE48" i="9"/>
  <c r="AK48" i="9" s="1"/>
  <c r="AD48" i="9"/>
  <c r="AD51" i="9" s="1"/>
  <c r="AJ51" i="9" s="1"/>
  <c r="AB48" i="9"/>
  <c r="AB51" i="9" s="1"/>
  <c r="Z48" i="9"/>
  <c r="Z51" i="9" s="1"/>
  <c r="X48" i="9"/>
  <c r="X51" i="9" s="1"/>
  <c r="V48" i="9"/>
  <c r="V51" i="9" s="1"/>
  <c r="T48" i="9"/>
  <c r="T51" i="9" s="1"/>
  <c r="Q48" i="9"/>
  <c r="Q51" i="9" s="1"/>
  <c r="O48" i="9"/>
  <c r="O51" i="9" s="1"/>
  <c r="AH47" i="9"/>
  <c r="AF47" i="9"/>
  <c r="AN47" i="9"/>
  <c r="L47" i="9"/>
  <c r="AO47" i="9" s="1"/>
  <c r="AB46" i="9"/>
  <c r="AG46" i="9"/>
  <c r="AE46" i="9"/>
  <c r="AK46" i="9" s="1"/>
  <c r="AD46" i="9"/>
  <c r="Z46" i="9"/>
  <c r="X46" i="9"/>
  <c r="V46" i="9"/>
  <c r="T46" i="9"/>
  <c r="Q46" i="9"/>
  <c r="O46" i="9"/>
  <c r="O45" i="9"/>
  <c r="AB45" i="9"/>
  <c r="AG45" i="9"/>
  <c r="AE45" i="9"/>
  <c r="AK45" i="9" s="1"/>
  <c r="AD45" i="9"/>
  <c r="Z45" i="9"/>
  <c r="X45" i="9"/>
  <c r="V45" i="9"/>
  <c r="T45" i="9"/>
  <c r="Q45" i="9"/>
  <c r="M47" i="9"/>
  <c r="AG44" i="9"/>
  <c r="AG47" i="9" s="1"/>
  <c r="AE44" i="9"/>
  <c r="AK44" i="9" s="1"/>
  <c r="AD44" i="9"/>
  <c r="AD47" i="9" s="1"/>
  <c r="AJ47" i="9" s="1"/>
  <c r="AB44" i="9"/>
  <c r="AB47" i="9" s="1"/>
  <c r="Z44" i="9"/>
  <c r="Z47" i="9" s="1"/>
  <c r="X44" i="9"/>
  <c r="X47" i="9" s="1"/>
  <c r="V44" i="9"/>
  <c r="V47" i="9" s="1"/>
  <c r="T44" i="9"/>
  <c r="T47" i="9" s="1"/>
  <c r="Q44" i="9"/>
  <c r="Q47" i="9" s="1"/>
  <c r="O44" i="9"/>
  <c r="O47" i="9" s="1"/>
  <c r="AN43" i="9"/>
  <c r="AH43" i="9"/>
  <c r="AF43" i="9"/>
  <c r="L43" i="9"/>
  <c r="AO43" i="9" s="1"/>
  <c r="AG42" i="9"/>
  <c r="AE42" i="9"/>
  <c r="AK42" i="9" s="1"/>
  <c r="AD42" i="9"/>
  <c r="AB42" i="9"/>
  <c r="Z42" i="9"/>
  <c r="X42" i="9"/>
  <c r="V42" i="9"/>
  <c r="T42" i="9"/>
  <c r="Q42" i="9"/>
  <c r="O42" i="9"/>
  <c r="O41" i="9"/>
  <c r="AG41" i="9"/>
  <c r="AE41" i="9"/>
  <c r="AK41" i="9" s="1"/>
  <c r="AD41" i="9"/>
  <c r="AB41" i="9"/>
  <c r="Z41" i="9"/>
  <c r="X41" i="9"/>
  <c r="V41" i="9"/>
  <c r="T41" i="9"/>
  <c r="Q41" i="9"/>
  <c r="M43" i="9"/>
  <c r="AG40" i="9"/>
  <c r="AG43" i="9" s="1"/>
  <c r="AE40" i="9"/>
  <c r="AK40" i="9" s="1"/>
  <c r="AD40" i="9"/>
  <c r="AD43" i="9" s="1"/>
  <c r="AJ43" i="9" s="1"/>
  <c r="AB40" i="9"/>
  <c r="AB43" i="9" s="1"/>
  <c r="Z40" i="9"/>
  <c r="Z43" i="9" s="1"/>
  <c r="X40" i="9"/>
  <c r="X43" i="9" s="1"/>
  <c r="V40" i="9"/>
  <c r="V43" i="9" s="1"/>
  <c r="T40" i="9"/>
  <c r="T43" i="9" s="1"/>
  <c r="Q40" i="9"/>
  <c r="Q43" i="9" s="1"/>
  <c r="O40" i="9"/>
  <c r="O43" i="9" s="1"/>
  <c r="L39" i="9"/>
  <c r="AO39" i="9" s="1"/>
  <c r="AN39" i="9"/>
  <c r="AH39" i="9"/>
  <c r="AF39" i="9"/>
  <c r="T38" i="9"/>
  <c r="AG38" i="9"/>
  <c r="AE38" i="9"/>
  <c r="AK38" i="9" s="1"/>
  <c r="AD38" i="9"/>
  <c r="AB38" i="9"/>
  <c r="Z38" i="9"/>
  <c r="X38" i="9"/>
  <c r="V38" i="9"/>
  <c r="Q38" i="9"/>
  <c r="O38" i="9"/>
  <c r="O37" i="9"/>
  <c r="AG37" i="9"/>
  <c r="AE37" i="9"/>
  <c r="AK37" i="9" s="1"/>
  <c r="AD37" i="9"/>
  <c r="AB37" i="9"/>
  <c r="Z37" i="9"/>
  <c r="X37" i="9"/>
  <c r="V37" i="9"/>
  <c r="T37" i="9"/>
  <c r="Q37" i="9"/>
  <c r="M39" i="9"/>
  <c r="AG36" i="9"/>
  <c r="AG39" i="9" s="1"/>
  <c r="AE36" i="9"/>
  <c r="AK36" i="9" s="1"/>
  <c r="AD36" i="9"/>
  <c r="AD39" i="9" s="1"/>
  <c r="AJ39" i="9" s="1"/>
  <c r="AB36" i="9"/>
  <c r="AB39" i="9" s="1"/>
  <c r="Z36" i="9"/>
  <c r="Z39" i="9" s="1"/>
  <c r="X36" i="9"/>
  <c r="X39" i="9" s="1"/>
  <c r="V36" i="9"/>
  <c r="V39" i="9" s="1"/>
  <c r="T36" i="9"/>
  <c r="T39" i="9" s="1"/>
  <c r="Q36" i="9"/>
  <c r="Q39" i="9" s="1"/>
  <c r="O36" i="9"/>
  <c r="O39" i="9" s="1"/>
  <c r="AN35" i="9"/>
  <c r="AH35" i="9"/>
  <c r="AF35" i="9"/>
  <c r="L35" i="9"/>
  <c r="AO35" i="9" s="1"/>
  <c r="AG34" i="9"/>
  <c r="AE34" i="9"/>
  <c r="AK34" i="9" s="1"/>
  <c r="AD34" i="9"/>
  <c r="AB34" i="9"/>
  <c r="Z34" i="9"/>
  <c r="X34" i="9"/>
  <c r="V34" i="9"/>
  <c r="T34" i="9"/>
  <c r="Q34" i="9"/>
  <c r="O34" i="9"/>
  <c r="O33" i="9"/>
  <c r="AG33" i="9"/>
  <c r="AE33" i="9"/>
  <c r="AK33" i="9" s="1"/>
  <c r="AD33" i="9"/>
  <c r="AB33" i="9"/>
  <c r="Z33" i="9"/>
  <c r="X33" i="9"/>
  <c r="V33" i="9"/>
  <c r="T33" i="9"/>
  <c r="Q33" i="9"/>
  <c r="M35" i="9"/>
  <c r="AG32" i="9"/>
  <c r="AG35" i="9" s="1"/>
  <c r="AE32" i="9"/>
  <c r="AK32" i="9" s="1"/>
  <c r="AD32" i="9"/>
  <c r="AD35" i="9" s="1"/>
  <c r="AJ35" i="9" s="1"/>
  <c r="AB32" i="9"/>
  <c r="AB35" i="9" s="1"/>
  <c r="Z32" i="9"/>
  <c r="Z35" i="9" s="1"/>
  <c r="X32" i="9"/>
  <c r="X35" i="9" s="1"/>
  <c r="V32" i="9"/>
  <c r="V35" i="9" s="1"/>
  <c r="T32" i="9"/>
  <c r="T35" i="9" s="1"/>
  <c r="Q32" i="9"/>
  <c r="Q35" i="9" s="1"/>
  <c r="O32" i="9"/>
  <c r="O35" i="9" s="1"/>
  <c r="AF31" i="9"/>
  <c r="AN31" i="9"/>
  <c r="AH31" i="9"/>
  <c r="L31" i="9"/>
  <c r="AO31" i="9" s="1"/>
  <c r="V30" i="9"/>
  <c r="O30" i="9"/>
  <c r="T30" i="9"/>
  <c r="Q30" i="9"/>
  <c r="AG30" i="9"/>
  <c r="AE30" i="9"/>
  <c r="AK30" i="9" s="1"/>
  <c r="AD30" i="9"/>
  <c r="AB30" i="9"/>
  <c r="Z30" i="9"/>
  <c r="X30" i="9"/>
  <c r="V29" i="9"/>
  <c r="T29" i="9"/>
  <c r="Q29" i="9"/>
  <c r="O29" i="9"/>
  <c r="AG29" i="9"/>
  <c r="AE29" i="9"/>
  <c r="AK29" i="9" s="1"/>
  <c r="AD29" i="9"/>
  <c r="AB29" i="9"/>
  <c r="Z29" i="9"/>
  <c r="X29" i="9"/>
  <c r="M31" i="9"/>
  <c r="AG28" i="9"/>
  <c r="AG31" i="9" s="1"/>
  <c r="AE28" i="9"/>
  <c r="AK28" i="9" s="1"/>
  <c r="AD28" i="9"/>
  <c r="AD31" i="9" s="1"/>
  <c r="AJ31" i="9" s="1"/>
  <c r="AB28" i="9"/>
  <c r="AB31" i="9" s="1"/>
  <c r="Z28" i="9"/>
  <c r="Z31" i="9" s="1"/>
  <c r="X28" i="9"/>
  <c r="X31" i="9" s="1"/>
  <c r="V28" i="9"/>
  <c r="V31" i="9" s="1"/>
  <c r="T28" i="9"/>
  <c r="T31" i="9" s="1"/>
  <c r="Q28" i="9"/>
  <c r="Q31" i="9" s="1"/>
  <c r="O28" i="9"/>
  <c r="O31" i="9" s="1"/>
  <c r="AO27" i="9"/>
  <c r="AN27" i="9"/>
  <c r="AH27" i="9"/>
  <c r="AF27" i="9"/>
  <c r="L27" i="9"/>
  <c r="V26" i="9"/>
  <c r="T26" i="9"/>
  <c r="Q26" i="9"/>
  <c r="O26" i="9"/>
  <c r="AG26" i="9"/>
  <c r="AE26" i="9"/>
  <c r="AK26" i="9" s="1"/>
  <c r="AD26" i="9"/>
  <c r="AB26" i="9"/>
  <c r="Z26" i="9"/>
  <c r="X26" i="9"/>
  <c r="V25" i="9"/>
  <c r="T25" i="9"/>
  <c r="Q25" i="9"/>
  <c r="O25" i="9"/>
  <c r="AG25" i="9"/>
  <c r="AE25" i="9"/>
  <c r="AK25" i="9" s="1"/>
  <c r="AD25" i="9"/>
  <c r="AB25" i="9"/>
  <c r="Z25" i="9"/>
  <c r="X25" i="9"/>
  <c r="M27" i="9"/>
  <c r="AG24" i="9"/>
  <c r="AG27" i="9" s="1"/>
  <c r="AE24" i="9"/>
  <c r="AK24" i="9" s="1"/>
  <c r="AD24" i="9"/>
  <c r="AD27" i="9" s="1"/>
  <c r="AJ27" i="9" s="1"/>
  <c r="AB24" i="9"/>
  <c r="AB27" i="9" s="1"/>
  <c r="Z24" i="9"/>
  <c r="Z27" i="9" s="1"/>
  <c r="X24" i="9"/>
  <c r="X27" i="9" s="1"/>
  <c r="V24" i="9"/>
  <c r="V27" i="9" s="1"/>
  <c r="T24" i="9"/>
  <c r="T27" i="9" s="1"/>
  <c r="Q24" i="9"/>
  <c r="Q27" i="9" s="1"/>
  <c r="O24" i="9"/>
  <c r="O27" i="9" s="1"/>
  <c r="AO23" i="9"/>
  <c r="AN23" i="9"/>
  <c r="AH23" i="9"/>
  <c r="AF23" i="9"/>
  <c r="L23" i="9"/>
  <c r="V22" i="9"/>
  <c r="T22" i="9"/>
  <c r="Q22" i="9"/>
  <c r="O22" i="9"/>
  <c r="AG22" i="9"/>
  <c r="AE22" i="9"/>
  <c r="AK22" i="9" s="1"/>
  <c r="AD22" i="9"/>
  <c r="AB22" i="9"/>
  <c r="Z22" i="9"/>
  <c r="X22" i="9"/>
  <c r="V21" i="9"/>
  <c r="T21" i="9"/>
  <c r="Q21" i="9"/>
  <c r="O21" i="9"/>
  <c r="AG21" i="9"/>
  <c r="AE21" i="9"/>
  <c r="AK21" i="9" s="1"/>
  <c r="AD21" i="9"/>
  <c r="AB21" i="9"/>
  <c r="Z21" i="9"/>
  <c r="X21" i="9"/>
  <c r="M23" i="9"/>
  <c r="AG20" i="9"/>
  <c r="AG23" i="9" s="1"/>
  <c r="AE20" i="9"/>
  <c r="AK20" i="9" s="1"/>
  <c r="AD20" i="9"/>
  <c r="AD23" i="9" s="1"/>
  <c r="AJ23" i="9" s="1"/>
  <c r="AB20" i="9"/>
  <c r="AB23" i="9" s="1"/>
  <c r="Z20" i="9"/>
  <c r="Z23" i="9" s="1"/>
  <c r="X20" i="9"/>
  <c r="X23" i="9" s="1"/>
  <c r="V20" i="9"/>
  <c r="V23" i="9" s="1"/>
  <c r="T20" i="9"/>
  <c r="T23" i="9" s="1"/>
  <c r="Q20" i="9"/>
  <c r="Q23" i="9" s="1"/>
  <c r="O20" i="9"/>
  <c r="O23" i="9" s="1"/>
  <c r="AO19" i="9"/>
  <c r="AN19" i="9"/>
  <c r="AH19" i="9"/>
  <c r="AF19" i="9"/>
  <c r="L19" i="9"/>
  <c r="V18" i="9"/>
  <c r="T18" i="9"/>
  <c r="Q18" i="9"/>
  <c r="O18" i="9"/>
  <c r="AG18" i="9"/>
  <c r="AE18" i="9"/>
  <c r="AK18" i="9" s="1"/>
  <c r="AD18" i="9"/>
  <c r="AB18" i="9"/>
  <c r="Z18" i="9"/>
  <c r="X18" i="9"/>
  <c r="V17" i="9"/>
  <c r="T17" i="9"/>
  <c r="Q17" i="9"/>
  <c r="O17" i="9"/>
  <c r="AG17" i="9"/>
  <c r="AE17" i="9"/>
  <c r="AK17" i="9" s="1"/>
  <c r="AD17" i="9"/>
  <c r="AB17" i="9"/>
  <c r="Z17" i="9"/>
  <c r="X17" i="9"/>
  <c r="M19" i="9"/>
  <c r="AG16" i="9"/>
  <c r="AG19" i="9" s="1"/>
  <c r="AE16" i="9"/>
  <c r="AK16" i="9" s="1"/>
  <c r="AD16" i="9"/>
  <c r="AD19" i="9" s="1"/>
  <c r="AJ19" i="9" s="1"/>
  <c r="AB16" i="9"/>
  <c r="AB19" i="9" s="1"/>
  <c r="Z16" i="9"/>
  <c r="Z19" i="9" s="1"/>
  <c r="X16" i="9"/>
  <c r="X19" i="9" s="1"/>
  <c r="V16" i="9"/>
  <c r="V19" i="9" s="1"/>
  <c r="T16" i="9"/>
  <c r="T19" i="9" s="1"/>
  <c r="Q16" i="9"/>
  <c r="Q19" i="9" s="1"/>
  <c r="O16" i="9"/>
  <c r="O19" i="9" s="1"/>
  <c r="AH15" i="9"/>
  <c r="AF15" i="9"/>
  <c r="AO15" i="9"/>
  <c r="AN15" i="9"/>
  <c r="L15" i="9"/>
  <c r="V14" i="9"/>
  <c r="T14" i="9"/>
  <c r="Q14" i="9"/>
  <c r="O14" i="9"/>
  <c r="AG14" i="9"/>
  <c r="AE14" i="9"/>
  <c r="AK14" i="9" s="1"/>
  <c r="AD14" i="9"/>
  <c r="AB14" i="9"/>
  <c r="Z14" i="9"/>
  <c r="X14" i="9"/>
  <c r="AG13" i="9"/>
  <c r="AE13" i="9"/>
  <c r="AK13" i="9" s="1"/>
  <c r="AD13" i="9"/>
  <c r="AB13" i="9"/>
  <c r="Z13" i="9"/>
  <c r="X13" i="9"/>
  <c r="V13" i="9"/>
  <c r="T13" i="9"/>
  <c r="Q13" i="9"/>
  <c r="O13" i="9"/>
  <c r="M15" i="9"/>
  <c r="AG12" i="9"/>
  <c r="AG15" i="9" s="1"/>
  <c r="AE12" i="9"/>
  <c r="AK12" i="9" s="1"/>
  <c r="AD12" i="9"/>
  <c r="AD15" i="9" s="1"/>
  <c r="AJ15" i="9" s="1"/>
  <c r="AB12" i="9"/>
  <c r="AB15" i="9" s="1"/>
  <c r="Z12" i="9"/>
  <c r="Z15" i="9" s="1"/>
  <c r="X12" i="9"/>
  <c r="X15" i="9" s="1"/>
  <c r="V12" i="9"/>
  <c r="V15" i="9" s="1"/>
  <c r="T12" i="9"/>
  <c r="T15" i="9" s="1"/>
  <c r="Q12" i="9"/>
  <c r="Q15" i="9" s="1"/>
  <c r="O12" i="9"/>
  <c r="O15" i="9" s="1"/>
  <c r="AH11" i="9"/>
  <c r="AF11" i="9"/>
  <c r="AO11" i="9"/>
  <c r="AN11" i="9"/>
  <c r="L11" i="9"/>
  <c r="V10" i="9"/>
  <c r="T10" i="9"/>
  <c r="Q10" i="9"/>
  <c r="O10" i="9"/>
  <c r="AG10" i="9"/>
  <c r="AE10" i="9"/>
  <c r="AK10" i="9" s="1"/>
  <c r="AD10" i="9"/>
  <c r="AB10" i="9"/>
  <c r="Z10" i="9"/>
  <c r="X10" i="9"/>
  <c r="Z9" i="9"/>
  <c r="O9" i="9"/>
  <c r="AG9" i="9"/>
  <c r="AE9" i="9"/>
  <c r="AK9" i="9" s="1"/>
  <c r="AD9" i="9"/>
  <c r="AB9" i="9"/>
  <c r="X9" i="9"/>
  <c r="V9" i="9"/>
  <c r="T9" i="9"/>
  <c r="Q9" i="9"/>
  <c r="M11" i="9"/>
  <c r="AG8" i="9"/>
  <c r="AG11" i="9" s="1"/>
  <c r="AE8" i="9"/>
  <c r="AK8" i="9" s="1"/>
  <c r="AD8" i="9"/>
  <c r="AD11" i="9" s="1"/>
  <c r="AJ11" i="9" s="1"/>
  <c r="AB8" i="9"/>
  <c r="AB11" i="9" s="1"/>
  <c r="Z8" i="9"/>
  <c r="Z11" i="9" s="1"/>
  <c r="X8" i="9"/>
  <c r="X11" i="9" s="1"/>
  <c r="V8" i="9"/>
  <c r="V11" i="9" s="1"/>
  <c r="T8" i="9"/>
  <c r="T11" i="9" s="1"/>
  <c r="Q8" i="9"/>
  <c r="Q11" i="9" s="1"/>
  <c r="O8" i="9"/>
  <c r="O11" i="9" s="1"/>
  <c r="AO7" i="9"/>
  <c r="AN7" i="9"/>
  <c r="L7" i="9"/>
  <c r="AH7" i="9"/>
  <c r="AF7" i="9"/>
  <c r="V6" i="9"/>
  <c r="AG6" i="9"/>
  <c r="AE6" i="9"/>
  <c r="AK6" i="9" s="1"/>
  <c r="AD6" i="9"/>
  <c r="AB6" i="9"/>
  <c r="Z6" i="9"/>
  <c r="X6" i="9"/>
  <c r="T6" i="9"/>
  <c r="Q6" i="9"/>
  <c r="O6" i="9"/>
  <c r="AB5" i="9"/>
  <c r="AG5" i="9"/>
  <c r="AE5" i="9"/>
  <c r="AK5" i="9" s="1"/>
  <c r="AD5" i="9"/>
  <c r="Z5" i="9"/>
  <c r="X5" i="9"/>
  <c r="V5" i="9"/>
  <c r="T5" i="9"/>
  <c r="Q5" i="9"/>
  <c r="O5" i="9"/>
  <c r="AU7" i="9"/>
  <c r="AT8" i="9"/>
  <c r="AT9" i="9" s="1"/>
  <c r="AT10" i="9" s="1"/>
  <c r="M7" i="9"/>
  <c r="AG4" i="9"/>
  <c r="AG7" i="9" s="1"/>
  <c r="AE4" i="9"/>
  <c r="AK4" i="9" s="1"/>
  <c r="AD4" i="9"/>
  <c r="AD7" i="9" s="1"/>
  <c r="AJ7" i="9" s="1"/>
  <c r="AB4" i="9"/>
  <c r="AB7" i="9" s="1"/>
  <c r="Z4" i="9"/>
  <c r="Z7" i="9" s="1"/>
  <c r="X4" i="9"/>
  <c r="X7" i="9" s="1"/>
  <c r="V4" i="9"/>
  <c r="V7" i="9" s="1"/>
  <c r="T4" i="9"/>
  <c r="T7" i="9" s="1"/>
  <c r="Q4" i="9"/>
  <c r="Q7" i="9" s="1"/>
  <c r="O4" i="9"/>
  <c r="O7" i="9" s="1"/>
  <c r="AF127" i="8"/>
  <c r="AN127" i="8"/>
  <c r="AH127" i="8"/>
  <c r="L127" i="8"/>
  <c r="AO127" i="8" s="1"/>
  <c r="V126" i="8"/>
  <c r="O126" i="8"/>
  <c r="T126" i="8"/>
  <c r="Q126" i="8"/>
  <c r="AG126" i="8"/>
  <c r="AE126" i="8"/>
  <c r="AK126" i="8" s="1"/>
  <c r="AD126" i="8"/>
  <c r="AB126" i="8"/>
  <c r="Z126" i="8"/>
  <c r="X126" i="8"/>
  <c r="V125" i="8"/>
  <c r="T125" i="8"/>
  <c r="Q125" i="8"/>
  <c r="O125" i="8"/>
  <c r="AG125" i="8"/>
  <c r="AE125" i="8"/>
  <c r="AK125" i="8" s="1"/>
  <c r="AD125" i="8"/>
  <c r="AB125" i="8"/>
  <c r="Z125" i="8"/>
  <c r="X125" i="8"/>
  <c r="M127" i="8"/>
  <c r="AG124" i="8"/>
  <c r="AG127" i="8" s="1"/>
  <c r="AE124" i="8"/>
  <c r="AK124" i="8" s="1"/>
  <c r="AD124" i="8"/>
  <c r="AD127" i="8" s="1"/>
  <c r="AJ127" i="8" s="1"/>
  <c r="AB124" i="8"/>
  <c r="AB127" i="8" s="1"/>
  <c r="Z124" i="8"/>
  <c r="Z127" i="8" s="1"/>
  <c r="X124" i="8"/>
  <c r="X127" i="8" s="1"/>
  <c r="V124" i="8"/>
  <c r="V127" i="8" s="1"/>
  <c r="T124" i="8"/>
  <c r="T127" i="8" s="1"/>
  <c r="Q124" i="8"/>
  <c r="Q127" i="8" s="1"/>
  <c r="O124" i="8"/>
  <c r="O127" i="8" s="1"/>
  <c r="AN123" i="8"/>
  <c r="AH123" i="8"/>
  <c r="AF123" i="8"/>
  <c r="L123" i="8"/>
  <c r="AO123" i="8" s="1"/>
  <c r="V122" i="8"/>
  <c r="T122" i="8"/>
  <c r="Q122" i="8"/>
  <c r="O122" i="8"/>
  <c r="AG122" i="8"/>
  <c r="AE122" i="8"/>
  <c r="AK122" i="8" s="1"/>
  <c r="AD122" i="8"/>
  <c r="AB122" i="8"/>
  <c r="Z122" i="8"/>
  <c r="X122" i="8"/>
  <c r="V121" i="8"/>
  <c r="T121" i="8"/>
  <c r="Q121" i="8"/>
  <c r="O121" i="8"/>
  <c r="AG121" i="8"/>
  <c r="AE121" i="8"/>
  <c r="AK121" i="8" s="1"/>
  <c r="AD121" i="8"/>
  <c r="AB121" i="8"/>
  <c r="Z121" i="8"/>
  <c r="X121" i="8"/>
  <c r="M123" i="8"/>
  <c r="AG120" i="8"/>
  <c r="AG123" i="8" s="1"/>
  <c r="AE120" i="8"/>
  <c r="AK120" i="8" s="1"/>
  <c r="AD120" i="8"/>
  <c r="AD123" i="8" s="1"/>
  <c r="AJ123" i="8" s="1"/>
  <c r="AB120" i="8"/>
  <c r="AB123" i="8" s="1"/>
  <c r="Z120" i="8"/>
  <c r="Z123" i="8" s="1"/>
  <c r="X120" i="8"/>
  <c r="X123" i="8" s="1"/>
  <c r="V120" i="8"/>
  <c r="V123" i="8" s="1"/>
  <c r="T120" i="8"/>
  <c r="T123" i="8" s="1"/>
  <c r="Q120" i="8"/>
  <c r="Q123" i="8" s="1"/>
  <c r="O120" i="8"/>
  <c r="O123" i="8" s="1"/>
  <c r="AN119" i="8"/>
  <c r="AH119" i="8"/>
  <c r="AF119" i="8"/>
  <c r="L119" i="8"/>
  <c r="AO119" i="8" s="1"/>
  <c r="V118" i="8"/>
  <c r="T118" i="8"/>
  <c r="Q118" i="8"/>
  <c r="O118" i="8"/>
  <c r="AG118" i="8"/>
  <c r="AE118" i="8"/>
  <c r="AK118" i="8" s="1"/>
  <c r="AD118" i="8"/>
  <c r="AB118" i="8"/>
  <c r="Z118" i="8"/>
  <c r="X118" i="8"/>
  <c r="V117" i="8"/>
  <c r="T117" i="8"/>
  <c r="Q117" i="8"/>
  <c r="O117" i="8"/>
  <c r="AG117" i="8"/>
  <c r="AE117" i="8"/>
  <c r="AK117" i="8" s="1"/>
  <c r="AD117" i="8"/>
  <c r="AB117" i="8"/>
  <c r="Z117" i="8"/>
  <c r="X117" i="8"/>
  <c r="M119" i="8"/>
  <c r="AG116" i="8"/>
  <c r="AG119" i="8" s="1"/>
  <c r="AE116" i="8"/>
  <c r="AK116" i="8" s="1"/>
  <c r="AD116" i="8"/>
  <c r="AD119" i="8" s="1"/>
  <c r="AJ119" i="8" s="1"/>
  <c r="AB116" i="8"/>
  <c r="AB119" i="8" s="1"/>
  <c r="Z116" i="8"/>
  <c r="Z119" i="8" s="1"/>
  <c r="X116" i="8"/>
  <c r="X119" i="8" s="1"/>
  <c r="V116" i="8"/>
  <c r="V119" i="8" s="1"/>
  <c r="T116" i="8"/>
  <c r="T119" i="8" s="1"/>
  <c r="Q116" i="8"/>
  <c r="Q119" i="8" s="1"/>
  <c r="O116" i="8"/>
  <c r="O119" i="8" s="1"/>
  <c r="AN115" i="8"/>
  <c r="AH115" i="8"/>
  <c r="AF115" i="8"/>
  <c r="L115" i="8"/>
  <c r="AO115" i="8" s="1"/>
  <c r="V114" i="8"/>
  <c r="T114" i="8"/>
  <c r="Q114" i="8"/>
  <c r="O114" i="8"/>
  <c r="AG114" i="8"/>
  <c r="AE114" i="8"/>
  <c r="AK114" i="8" s="1"/>
  <c r="AD114" i="8"/>
  <c r="AB114" i="8"/>
  <c r="Z114" i="8"/>
  <c r="X114" i="8"/>
  <c r="V113" i="8"/>
  <c r="T113" i="8"/>
  <c r="Q113" i="8"/>
  <c r="O113" i="8"/>
  <c r="AG113" i="8"/>
  <c r="AE113" i="8"/>
  <c r="AK113" i="8" s="1"/>
  <c r="AD113" i="8"/>
  <c r="AB113" i="8"/>
  <c r="Z113" i="8"/>
  <c r="X113" i="8"/>
  <c r="M115" i="8"/>
  <c r="AG112" i="8"/>
  <c r="AG115" i="8" s="1"/>
  <c r="AE112" i="8"/>
  <c r="AK112" i="8" s="1"/>
  <c r="AD112" i="8"/>
  <c r="AD115" i="8" s="1"/>
  <c r="AJ115" i="8" s="1"/>
  <c r="AB112" i="8"/>
  <c r="AB115" i="8" s="1"/>
  <c r="Z112" i="8"/>
  <c r="Z115" i="8" s="1"/>
  <c r="X112" i="8"/>
  <c r="X115" i="8" s="1"/>
  <c r="V112" i="8"/>
  <c r="V115" i="8" s="1"/>
  <c r="T112" i="8"/>
  <c r="T115" i="8" s="1"/>
  <c r="Q112" i="8"/>
  <c r="Q115" i="8" s="1"/>
  <c r="O112" i="8"/>
  <c r="O115" i="8" s="1"/>
  <c r="AN111" i="8"/>
  <c r="AH111" i="8"/>
  <c r="AF111" i="8"/>
  <c r="L111" i="8"/>
  <c r="AO111" i="8" s="1"/>
  <c r="V110" i="8"/>
  <c r="T110" i="8"/>
  <c r="Q110" i="8"/>
  <c r="O110" i="8"/>
  <c r="AG110" i="8"/>
  <c r="AE110" i="8"/>
  <c r="AK110" i="8" s="1"/>
  <c r="AD110" i="8"/>
  <c r="AB110" i="8"/>
  <c r="Z110" i="8"/>
  <c r="X110" i="8"/>
  <c r="T109" i="8"/>
  <c r="Q109" i="8"/>
  <c r="AB109" i="8"/>
  <c r="O109" i="8"/>
  <c r="AG109" i="8"/>
  <c r="AE109" i="8"/>
  <c r="AK109" i="8" s="1"/>
  <c r="AD109" i="8"/>
  <c r="Z109" i="8"/>
  <c r="X109" i="8"/>
  <c r="V109" i="8"/>
  <c r="M111" i="8"/>
  <c r="AG108" i="8"/>
  <c r="AG111" i="8" s="1"/>
  <c r="AE108" i="8"/>
  <c r="AK108" i="8" s="1"/>
  <c r="AD108" i="8"/>
  <c r="AD111" i="8" s="1"/>
  <c r="AJ111" i="8" s="1"/>
  <c r="AB108" i="8"/>
  <c r="AB111" i="8" s="1"/>
  <c r="Z108" i="8"/>
  <c r="Z111" i="8" s="1"/>
  <c r="X108" i="8"/>
  <c r="X111" i="8" s="1"/>
  <c r="V108" i="8"/>
  <c r="V111" i="8" s="1"/>
  <c r="T108" i="8"/>
  <c r="T111" i="8" s="1"/>
  <c r="Q108" i="8"/>
  <c r="Q111" i="8" s="1"/>
  <c r="O108" i="8"/>
  <c r="O111" i="8" s="1"/>
  <c r="AN107" i="8"/>
  <c r="AH107" i="8"/>
  <c r="AF107" i="8"/>
  <c r="L107" i="8"/>
  <c r="AO107" i="8" s="1"/>
  <c r="V106" i="8"/>
  <c r="T106" i="8"/>
  <c r="Q106" i="8"/>
  <c r="O106" i="8"/>
  <c r="AG106" i="8"/>
  <c r="AE106" i="8"/>
  <c r="AK106" i="8" s="1"/>
  <c r="AD106" i="8"/>
  <c r="AB106" i="8"/>
  <c r="Z106" i="8"/>
  <c r="X106" i="8"/>
  <c r="V105" i="8"/>
  <c r="T105" i="8"/>
  <c r="Q105" i="8"/>
  <c r="O105" i="8"/>
  <c r="AG105" i="8"/>
  <c r="AE105" i="8"/>
  <c r="AK105" i="8" s="1"/>
  <c r="AD105" i="8"/>
  <c r="AB105" i="8"/>
  <c r="Z105" i="8"/>
  <c r="X105" i="8"/>
  <c r="M107" i="8"/>
  <c r="AG104" i="8"/>
  <c r="AG107" i="8" s="1"/>
  <c r="AE104" i="8"/>
  <c r="AK104" i="8" s="1"/>
  <c r="AD104" i="8"/>
  <c r="AD107" i="8" s="1"/>
  <c r="AJ107" i="8" s="1"/>
  <c r="AB104" i="8"/>
  <c r="AB107" i="8" s="1"/>
  <c r="Z104" i="8"/>
  <c r="Z107" i="8" s="1"/>
  <c r="X104" i="8"/>
  <c r="X107" i="8" s="1"/>
  <c r="V104" i="8"/>
  <c r="V107" i="8" s="1"/>
  <c r="T104" i="8"/>
  <c r="T107" i="8" s="1"/>
  <c r="Q104" i="8"/>
  <c r="Q107" i="8" s="1"/>
  <c r="O104" i="8"/>
  <c r="O107" i="8" s="1"/>
  <c r="AN103" i="8"/>
  <c r="AH103" i="8"/>
  <c r="AF103" i="8"/>
  <c r="L103" i="8"/>
  <c r="AO103" i="8" s="1"/>
  <c r="V102" i="8"/>
  <c r="T102" i="8"/>
  <c r="Q102" i="8"/>
  <c r="O102" i="8"/>
  <c r="AG102" i="8"/>
  <c r="AE102" i="8"/>
  <c r="AK102" i="8" s="1"/>
  <c r="AD102" i="8"/>
  <c r="AB102" i="8"/>
  <c r="Z102" i="8"/>
  <c r="X102" i="8"/>
  <c r="V101" i="8"/>
  <c r="T101" i="8"/>
  <c r="Q101" i="8"/>
  <c r="O101" i="8"/>
  <c r="AG101" i="8"/>
  <c r="AE101" i="8"/>
  <c r="AK101" i="8" s="1"/>
  <c r="AD101" i="8"/>
  <c r="AB101" i="8"/>
  <c r="Z101" i="8"/>
  <c r="X101" i="8"/>
  <c r="M103" i="8"/>
  <c r="AG100" i="8"/>
  <c r="AG103" i="8" s="1"/>
  <c r="AE100" i="8"/>
  <c r="AK100" i="8" s="1"/>
  <c r="AD100" i="8"/>
  <c r="AD103" i="8" s="1"/>
  <c r="AJ103" i="8" s="1"/>
  <c r="AB100" i="8"/>
  <c r="AB103" i="8" s="1"/>
  <c r="Z100" i="8"/>
  <c r="Z103" i="8" s="1"/>
  <c r="X100" i="8"/>
  <c r="X103" i="8" s="1"/>
  <c r="V100" i="8"/>
  <c r="V103" i="8" s="1"/>
  <c r="T100" i="8"/>
  <c r="T103" i="8" s="1"/>
  <c r="Q100" i="8"/>
  <c r="Q103" i="8" s="1"/>
  <c r="O100" i="8"/>
  <c r="O103" i="8" s="1"/>
  <c r="AN99" i="8"/>
  <c r="AH99" i="8"/>
  <c r="AF99" i="8"/>
  <c r="L99" i="8"/>
  <c r="AO99" i="8" s="1"/>
  <c r="V98" i="8"/>
  <c r="T98" i="8"/>
  <c r="Q98" i="8"/>
  <c r="O98" i="8"/>
  <c r="AG98" i="8"/>
  <c r="AE98" i="8"/>
  <c r="AK98" i="8" s="1"/>
  <c r="AD98" i="8"/>
  <c r="AB98" i="8"/>
  <c r="Z98" i="8"/>
  <c r="X98" i="8"/>
  <c r="V97" i="8"/>
  <c r="T97" i="8"/>
  <c r="Q97" i="8"/>
  <c r="O97" i="8"/>
  <c r="AG97" i="8"/>
  <c r="AE97" i="8"/>
  <c r="AK97" i="8" s="1"/>
  <c r="AD97" i="8"/>
  <c r="AB97" i="8"/>
  <c r="Z97" i="8"/>
  <c r="X97" i="8"/>
  <c r="M99" i="8"/>
  <c r="AG96" i="8"/>
  <c r="AG99" i="8" s="1"/>
  <c r="AE96" i="8"/>
  <c r="AK96" i="8" s="1"/>
  <c r="AD96" i="8"/>
  <c r="AD99" i="8" s="1"/>
  <c r="AJ99" i="8" s="1"/>
  <c r="AB96" i="8"/>
  <c r="AB99" i="8" s="1"/>
  <c r="Z96" i="8"/>
  <c r="Z99" i="8" s="1"/>
  <c r="X96" i="8"/>
  <c r="X99" i="8" s="1"/>
  <c r="V96" i="8"/>
  <c r="V99" i="8" s="1"/>
  <c r="T96" i="8"/>
  <c r="T99" i="8" s="1"/>
  <c r="Q96" i="8"/>
  <c r="Q99" i="8" s="1"/>
  <c r="O96" i="8"/>
  <c r="O99" i="8" s="1"/>
  <c r="AN95" i="8"/>
  <c r="AH95" i="8"/>
  <c r="AF95" i="8"/>
  <c r="L95" i="8"/>
  <c r="AO95" i="8" s="1"/>
  <c r="V94" i="8"/>
  <c r="T94" i="8"/>
  <c r="Q94" i="8"/>
  <c r="O94" i="8"/>
  <c r="AG94" i="8"/>
  <c r="AE94" i="8"/>
  <c r="AK94" i="8" s="1"/>
  <c r="AD94" i="8"/>
  <c r="AB94" i="8"/>
  <c r="Z94" i="8"/>
  <c r="X94" i="8"/>
  <c r="T93" i="8"/>
  <c r="Q93" i="8"/>
  <c r="AB93" i="8"/>
  <c r="O93" i="8"/>
  <c r="AG93" i="8"/>
  <c r="AE93" i="8"/>
  <c r="AK93" i="8" s="1"/>
  <c r="AD93" i="8"/>
  <c r="Z93" i="8"/>
  <c r="X93" i="8"/>
  <c r="V93" i="8"/>
  <c r="M95" i="8"/>
  <c r="AG92" i="8"/>
  <c r="AG95" i="8" s="1"/>
  <c r="AE92" i="8"/>
  <c r="AK92" i="8" s="1"/>
  <c r="AD92" i="8"/>
  <c r="AD95" i="8" s="1"/>
  <c r="AJ95" i="8" s="1"/>
  <c r="AB92" i="8"/>
  <c r="AB95" i="8" s="1"/>
  <c r="Z92" i="8"/>
  <c r="Z95" i="8" s="1"/>
  <c r="X92" i="8"/>
  <c r="X95" i="8" s="1"/>
  <c r="V92" i="8"/>
  <c r="V95" i="8" s="1"/>
  <c r="T92" i="8"/>
  <c r="T95" i="8" s="1"/>
  <c r="Q92" i="8"/>
  <c r="Q95" i="8" s="1"/>
  <c r="O92" i="8"/>
  <c r="O95" i="8" s="1"/>
  <c r="AN91" i="8"/>
  <c r="AH91" i="8"/>
  <c r="AF91" i="8"/>
  <c r="L91" i="8"/>
  <c r="AO91" i="8" s="1"/>
  <c r="V90" i="8"/>
  <c r="T90" i="8"/>
  <c r="Q90" i="8"/>
  <c r="O90" i="8"/>
  <c r="AG90" i="8"/>
  <c r="AE90" i="8"/>
  <c r="AK90" i="8" s="1"/>
  <c r="AD90" i="8"/>
  <c r="AB90" i="8"/>
  <c r="Z90" i="8"/>
  <c r="X90" i="8"/>
  <c r="V89" i="8"/>
  <c r="T89" i="8"/>
  <c r="Q89" i="8"/>
  <c r="O89" i="8"/>
  <c r="AG89" i="8"/>
  <c r="AE89" i="8"/>
  <c r="AK89" i="8" s="1"/>
  <c r="AD89" i="8"/>
  <c r="AB89" i="8"/>
  <c r="Z89" i="8"/>
  <c r="X89" i="8"/>
  <c r="M91" i="8"/>
  <c r="AG88" i="8"/>
  <c r="AG91" i="8" s="1"/>
  <c r="AE88" i="8"/>
  <c r="AK88" i="8" s="1"/>
  <c r="AD88" i="8"/>
  <c r="AD91" i="8" s="1"/>
  <c r="AJ91" i="8" s="1"/>
  <c r="AB88" i="8"/>
  <c r="AB91" i="8" s="1"/>
  <c r="Z88" i="8"/>
  <c r="Z91" i="8" s="1"/>
  <c r="X88" i="8"/>
  <c r="X91" i="8" s="1"/>
  <c r="V88" i="8"/>
  <c r="V91" i="8" s="1"/>
  <c r="T88" i="8"/>
  <c r="T91" i="8" s="1"/>
  <c r="Q88" i="8"/>
  <c r="Q91" i="8" s="1"/>
  <c r="O88" i="8"/>
  <c r="O91" i="8" s="1"/>
  <c r="AN87" i="8"/>
  <c r="AH87" i="8"/>
  <c r="AF87" i="8"/>
  <c r="L87" i="8"/>
  <c r="AO87" i="8" s="1"/>
  <c r="V86" i="8"/>
  <c r="T86" i="8"/>
  <c r="Q86" i="8"/>
  <c r="O86" i="8"/>
  <c r="AG86" i="8"/>
  <c r="AE86" i="8"/>
  <c r="AK86" i="8" s="1"/>
  <c r="AD86" i="8"/>
  <c r="AB86" i="8"/>
  <c r="Z86" i="8"/>
  <c r="X86" i="8"/>
  <c r="V85" i="8"/>
  <c r="T85" i="8"/>
  <c r="Q85" i="8"/>
  <c r="O85" i="8"/>
  <c r="AG85" i="8"/>
  <c r="AE85" i="8"/>
  <c r="AK85" i="8" s="1"/>
  <c r="AD85" i="8"/>
  <c r="AB85" i="8"/>
  <c r="Z85" i="8"/>
  <c r="X85" i="8"/>
  <c r="M87" i="8"/>
  <c r="AG84" i="8"/>
  <c r="AG87" i="8" s="1"/>
  <c r="AE84" i="8"/>
  <c r="AK84" i="8" s="1"/>
  <c r="AD84" i="8"/>
  <c r="AD87" i="8" s="1"/>
  <c r="AJ87" i="8" s="1"/>
  <c r="AB84" i="8"/>
  <c r="AB87" i="8" s="1"/>
  <c r="Z84" i="8"/>
  <c r="Z87" i="8" s="1"/>
  <c r="X84" i="8"/>
  <c r="X87" i="8" s="1"/>
  <c r="V84" i="8"/>
  <c r="V87" i="8" s="1"/>
  <c r="T84" i="8"/>
  <c r="T87" i="8" s="1"/>
  <c r="Q84" i="8"/>
  <c r="Q87" i="8" s="1"/>
  <c r="O84" i="8"/>
  <c r="O87" i="8" s="1"/>
  <c r="AN83" i="8"/>
  <c r="AH83" i="8"/>
  <c r="AF83" i="8"/>
  <c r="L83" i="8"/>
  <c r="AO83" i="8" s="1"/>
  <c r="V82" i="8"/>
  <c r="T82" i="8"/>
  <c r="Q82" i="8"/>
  <c r="O82" i="8"/>
  <c r="AG82" i="8"/>
  <c r="AE82" i="8"/>
  <c r="AK82" i="8" s="1"/>
  <c r="AD82" i="8"/>
  <c r="AB82" i="8"/>
  <c r="Z82" i="8"/>
  <c r="X82" i="8"/>
  <c r="V81" i="8"/>
  <c r="T81" i="8"/>
  <c r="Q81" i="8"/>
  <c r="O81" i="8"/>
  <c r="AG81" i="8"/>
  <c r="AE81" i="8"/>
  <c r="AK81" i="8" s="1"/>
  <c r="AD81" i="8"/>
  <c r="AB81" i="8"/>
  <c r="Z81" i="8"/>
  <c r="X81" i="8"/>
  <c r="M83" i="8"/>
  <c r="AG80" i="8"/>
  <c r="AG83" i="8" s="1"/>
  <c r="AE80" i="8"/>
  <c r="AK80" i="8" s="1"/>
  <c r="AD80" i="8"/>
  <c r="AD83" i="8" s="1"/>
  <c r="AJ83" i="8" s="1"/>
  <c r="AB80" i="8"/>
  <c r="AB83" i="8" s="1"/>
  <c r="Z80" i="8"/>
  <c r="Z83" i="8" s="1"/>
  <c r="X80" i="8"/>
  <c r="X83" i="8" s="1"/>
  <c r="V80" i="8"/>
  <c r="V83" i="8" s="1"/>
  <c r="T80" i="8"/>
  <c r="T83" i="8" s="1"/>
  <c r="Q80" i="8"/>
  <c r="Q83" i="8" s="1"/>
  <c r="O80" i="8"/>
  <c r="O83" i="8" s="1"/>
  <c r="AN79" i="8"/>
  <c r="AH79" i="8"/>
  <c r="AF79" i="8"/>
  <c r="L79" i="8"/>
  <c r="AO79" i="8" s="1"/>
  <c r="V78" i="8"/>
  <c r="T78" i="8"/>
  <c r="Q78" i="8"/>
  <c r="O78" i="8"/>
  <c r="AG78" i="8"/>
  <c r="AE78" i="8"/>
  <c r="AK78" i="8" s="1"/>
  <c r="AD78" i="8"/>
  <c r="AB78" i="8"/>
  <c r="Z78" i="8"/>
  <c r="X78" i="8"/>
  <c r="T77" i="8"/>
  <c r="Q77" i="8"/>
  <c r="AB77" i="8"/>
  <c r="O77" i="8"/>
  <c r="AG77" i="8"/>
  <c r="AE77" i="8"/>
  <c r="AK77" i="8" s="1"/>
  <c r="AD77" i="8"/>
  <c r="Z77" i="8"/>
  <c r="X77" i="8"/>
  <c r="V77" i="8"/>
  <c r="M79" i="8"/>
  <c r="AG76" i="8"/>
  <c r="AG79" i="8" s="1"/>
  <c r="AE76" i="8"/>
  <c r="AK76" i="8" s="1"/>
  <c r="AD76" i="8"/>
  <c r="AD79" i="8" s="1"/>
  <c r="AJ79" i="8" s="1"/>
  <c r="AB76" i="8"/>
  <c r="AB79" i="8" s="1"/>
  <c r="Z76" i="8"/>
  <c r="Z79" i="8" s="1"/>
  <c r="X76" i="8"/>
  <c r="X79" i="8" s="1"/>
  <c r="V76" i="8"/>
  <c r="V79" i="8" s="1"/>
  <c r="T76" i="8"/>
  <c r="T79" i="8" s="1"/>
  <c r="Q76" i="8"/>
  <c r="Q79" i="8" s="1"/>
  <c r="O76" i="8"/>
  <c r="O79" i="8" s="1"/>
  <c r="AN75" i="8"/>
  <c r="AH75" i="8"/>
  <c r="AF75" i="8"/>
  <c r="L75" i="8"/>
  <c r="AO75" i="8" s="1"/>
  <c r="V74" i="8"/>
  <c r="T74" i="8"/>
  <c r="Q74" i="8"/>
  <c r="O74" i="8"/>
  <c r="AG74" i="8"/>
  <c r="AE74" i="8"/>
  <c r="AK74" i="8" s="1"/>
  <c r="AD74" i="8"/>
  <c r="AB74" i="8"/>
  <c r="Z74" i="8"/>
  <c r="X74" i="8"/>
  <c r="V73" i="8"/>
  <c r="T73" i="8"/>
  <c r="Q73" i="8"/>
  <c r="O73" i="8"/>
  <c r="AG73" i="8"/>
  <c r="AE73" i="8"/>
  <c r="AK73" i="8" s="1"/>
  <c r="AD73" i="8"/>
  <c r="AB73" i="8"/>
  <c r="Z73" i="8"/>
  <c r="X73" i="8"/>
  <c r="M75" i="8"/>
  <c r="AG72" i="8"/>
  <c r="AG75" i="8" s="1"/>
  <c r="AE72" i="8"/>
  <c r="AK72" i="8" s="1"/>
  <c r="AD72" i="8"/>
  <c r="AD75" i="8" s="1"/>
  <c r="AJ75" i="8" s="1"/>
  <c r="AB72" i="8"/>
  <c r="AB75" i="8" s="1"/>
  <c r="Z72" i="8"/>
  <c r="Z75" i="8" s="1"/>
  <c r="X72" i="8"/>
  <c r="X75" i="8" s="1"/>
  <c r="V72" i="8"/>
  <c r="V75" i="8" s="1"/>
  <c r="T72" i="8"/>
  <c r="T75" i="8" s="1"/>
  <c r="Q72" i="8"/>
  <c r="Q75" i="8" s="1"/>
  <c r="O72" i="8"/>
  <c r="O75" i="8" s="1"/>
  <c r="AN71" i="8"/>
  <c r="AH71" i="8"/>
  <c r="AF71" i="8"/>
  <c r="L71" i="8"/>
  <c r="AO71" i="8" s="1"/>
  <c r="V70" i="8"/>
  <c r="T70" i="8"/>
  <c r="Q70" i="8"/>
  <c r="O70" i="8"/>
  <c r="AG70" i="8"/>
  <c r="AE70" i="8"/>
  <c r="AK70" i="8" s="1"/>
  <c r="AD70" i="8"/>
  <c r="AB70" i="8"/>
  <c r="Z70" i="8"/>
  <c r="X70" i="8"/>
  <c r="V69" i="8"/>
  <c r="T69" i="8"/>
  <c r="Q69" i="8"/>
  <c r="O69" i="8"/>
  <c r="AG69" i="8"/>
  <c r="AE69" i="8"/>
  <c r="AK69" i="8" s="1"/>
  <c r="AD69" i="8"/>
  <c r="AB69" i="8"/>
  <c r="Z69" i="8"/>
  <c r="X69" i="8"/>
  <c r="M71" i="8"/>
  <c r="AG68" i="8"/>
  <c r="AG71" i="8" s="1"/>
  <c r="AE68" i="8"/>
  <c r="AK68" i="8" s="1"/>
  <c r="AD68" i="8"/>
  <c r="AD71" i="8" s="1"/>
  <c r="AJ71" i="8" s="1"/>
  <c r="AB68" i="8"/>
  <c r="AB71" i="8" s="1"/>
  <c r="Z68" i="8"/>
  <c r="Z71" i="8" s="1"/>
  <c r="X68" i="8"/>
  <c r="X71" i="8" s="1"/>
  <c r="V68" i="8"/>
  <c r="V71" i="8" s="1"/>
  <c r="T68" i="8"/>
  <c r="T71" i="8" s="1"/>
  <c r="Q68" i="8"/>
  <c r="Q71" i="8" s="1"/>
  <c r="O68" i="8"/>
  <c r="O71" i="8" s="1"/>
  <c r="AN67" i="8"/>
  <c r="AH67" i="8"/>
  <c r="AF67" i="8"/>
  <c r="L67" i="8"/>
  <c r="AO67" i="8" s="1"/>
  <c r="V66" i="8"/>
  <c r="T66" i="8"/>
  <c r="Q66" i="8"/>
  <c r="O66" i="8"/>
  <c r="AG66" i="8"/>
  <c r="AE66" i="8"/>
  <c r="AK66" i="8" s="1"/>
  <c r="AD66" i="8"/>
  <c r="AB66" i="8"/>
  <c r="Z66" i="8"/>
  <c r="X66" i="8"/>
  <c r="V65" i="8"/>
  <c r="T65" i="8"/>
  <c r="Q65" i="8"/>
  <c r="O65" i="8"/>
  <c r="AG65" i="8"/>
  <c r="AE65" i="8"/>
  <c r="AK65" i="8" s="1"/>
  <c r="AD65" i="8"/>
  <c r="AB65" i="8"/>
  <c r="Z65" i="8"/>
  <c r="X65" i="8"/>
  <c r="M67" i="8"/>
  <c r="AG64" i="8"/>
  <c r="AG67" i="8" s="1"/>
  <c r="AE64" i="8"/>
  <c r="AK64" i="8" s="1"/>
  <c r="AD64" i="8"/>
  <c r="AD67" i="8" s="1"/>
  <c r="AJ67" i="8" s="1"/>
  <c r="AB64" i="8"/>
  <c r="AB67" i="8" s="1"/>
  <c r="Z64" i="8"/>
  <c r="Z67" i="8" s="1"/>
  <c r="X64" i="8"/>
  <c r="X67" i="8" s="1"/>
  <c r="V64" i="8"/>
  <c r="V67" i="8" s="1"/>
  <c r="T64" i="8"/>
  <c r="T67" i="8" s="1"/>
  <c r="Q64" i="8"/>
  <c r="Q67" i="8" s="1"/>
  <c r="O64" i="8"/>
  <c r="O67" i="8" s="1"/>
  <c r="AH63" i="8"/>
  <c r="AF63" i="8"/>
  <c r="AN63" i="8"/>
  <c r="L63" i="8"/>
  <c r="AO63" i="8" s="1"/>
  <c r="V62" i="8"/>
  <c r="T62" i="8"/>
  <c r="Q62" i="8"/>
  <c r="O62" i="8"/>
  <c r="AG62" i="8"/>
  <c r="AE62" i="8"/>
  <c r="AK62" i="8" s="1"/>
  <c r="AD62" i="8"/>
  <c r="AB62" i="8"/>
  <c r="Z62" i="8"/>
  <c r="X62" i="8"/>
  <c r="AG61" i="8"/>
  <c r="AE61" i="8"/>
  <c r="AK61" i="8" s="1"/>
  <c r="AD61" i="8"/>
  <c r="AB61" i="8"/>
  <c r="Z61" i="8"/>
  <c r="X61" i="8"/>
  <c r="V61" i="8"/>
  <c r="T61" i="8"/>
  <c r="Q61" i="8"/>
  <c r="O61" i="8"/>
  <c r="M63" i="8"/>
  <c r="AG60" i="8"/>
  <c r="AG63" i="8" s="1"/>
  <c r="AE60" i="8"/>
  <c r="AK60" i="8" s="1"/>
  <c r="AD60" i="8"/>
  <c r="AD63" i="8" s="1"/>
  <c r="AJ63" i="8" s="1"/>
  <c r="AB60" i="8"/>
  <c r="AB63" i="8" s="1"/>
  <c r="Z60" i="8"/>
  <c r="Z63" i="8" s="1"/>
  <c r="X60" i="8"/>
  <c r="X63" i="8" s="1"/>
  <c r="V60" i="8"/>
  <c r="V63" i="8" s="1"/>
  <c r="T60" i="8"/>
  <c r="T63" i="8" s="1"/>
  <c r="Q60" i="8"/>
  <c r="Q63" i="8" s="1"/>
  <c r="O60" i="8"/>
  <c r="O63" i="8" s="1"/>
  <c r="AH59" i="8"/>
  <c r="AF59" i="8"/>
  <c r="AN59" i="8"/>
  <c r="L59" i="8"/>
  <c r="AO59" i="8" s="1"/>
  <c r="V58" i="8"/>
  <c r="T58" i="8"/>
  <c r="Q58" i="8"/>
  <c r="O58" i="8"/>
  <c r="AG58" i="8"/>
  <c r="AE58" i="8"/>
  <c r="AK58" i="8" s="1"/>
  <c r="AD58" i="8"/>
  <c r="AB58" i="8"/>
  <c r="Z58" i="8"/>
  <c r="X58" i="8"/>
  <c r="Z57" i="8"/>
  <c r="AG57" i="8"/>
  <c r="AE57" i="8"/>
  <c r="AK57" i="8" s="1"/>
  <c r="AD57" i="8"/>
  <c r="AB57" i="8"/>
  <c r="X57" i="8"/>
  <c r="V57" i="8"/>
  <c r="T57" i="8"/>
  <c r="Q57" i="8"/>
  <c r="O57" i="8"/>
  <c r="M59" i="8"/>
  <c r="AG56" i="8"/>
  <c r="AG59" i="8" s="1"/>
  <c r="AE56" i="8"/>
  <c r="AK56" i="8" s="1"/>
  <c r="AD56" i="8"/>
  <c r="AD59" i="8" s="1"/>
  <c r="AJ59" i="8" s="1"/>
  <c r="AB56" i="8"/>
  <c r="AB59" i="8" s="1"/>
  <c r="Z56" i="8"/>
  <c r="Z59" i="8" s="1"/>
  <c r="X56" i="8"/>
  <c r="X59" i="8" s="1"/>
  <c r="V56" i="8"/>
  <c r="V59" i="8" s="1"/>
  <c r="T56" i="8"/>
  <c r="T59" i="8" s="1"/>
  <c r="Q56" i="8"/>
  <c r="Q59" i="8" s="1"/>
  <c r="O56" i="8"/>
  <c r="O59" i="8" s="1"/>
  <c r="AH55" i="8"/>
  <c r="AF55" i="8"/>
  <c r="AN55" i="8"/>
  <c r="L55" i="8"/>
  <c r="AO55" i="8" s="1"/>
  <c r="V54" i="8"/>
  <c r="T54" i="8"/>
  <c r="Q54" i="8"/>
  <c r="O54" i="8"/>
  <c r="AG54" i="8"/>
  <c r="AE54" i="8"/>
  <c r="AK54" i="8" s="1"/>
  <c r="AD54" i="8"/>
  <c r="AB54" i="8"/>
  <c r="Z54" i="8"/>
  <c r="X54" i="8"/>
  <c r="AG53" i="8"/>
  <c r="AE53" i="8"/>
  <c r="AK53" i="8" s="1"/>
  <c r="AD53" i="8"/>
  <c r="AB53" i="8"/>
  <c r="Z53" i="8"/>
  <c r="X53" i="8"/>
  <c r="V53" i="8"/>
  <c r="T53" i="8"/>
  <c r="Q53" i="8"/>
  <c r="O53" i="8"/>
  <c r="M55" i="8"/>
  <c r="AG52" i="8"/>
  <c r="AG55" i="8" s="1"/>
  <c r="AE52" i="8"/>
  <c r="AK52" i="8" s="1"/>
  <c r="AD52" i="8"/>
  <c r="AD55" i="8" s="1"/>
  <c r="AJ55" i="8" s="1"/>
  <c r="AB52" i="8"/>
  <c r="AB55" i="8" s="1"/>
  <c r="Z52" i="8"/>
  <c r="Z55" i="8" s="1"/>
  <c r="X52" i="8"/>
  <c r="X55" i="8" s="1"/>
  <c r="V52" i="8"/>
  <c r="V55" i="8" s="1"/>
  <c r="T52" i="8"/>
  <c r="T55" i="8" s="1"/>
  <c r="Q52" i="8"/>
  <c r="Q55" i="8" s="1"/>
  <c r="O52" i="8"/>
  <c r="O55" i="8" s="1"/>
  <c r="AH51" i="8"/>
  <c r="AF51" i="8"/>
  <c r="AN51" i="8"/>
  <c r="L51" i="8"/>
  <c r="AO51" i="8" s="1"/>
  <c r="V50" i="8"/>
  <c r="T50" i="8"/>
  <c r="Q50" i="8"/>
  <c r="O50" i="8"/>
  <c r="AG50" i="8"/>
  <c r="AE50" i="8"/>
  <c r="AK50" i="8" s="1"/>
  <c r="AD50" i="8"/>
  <c r="AB50" i="8"/>
  <c r="Z50" i="8"/>
  <c r="X50" i="8"/>
  <c r="Z49" i="8"/>
  <c r="AG49" i="8"/>
  <c r="AE49" i="8"/>
  <c r="AK49" i="8" s="1"/>
  <c r="AD49" i="8"/>
  <c r="AB49" i="8"/>
  <c r="X49" i="8"/>
  <c r="V49" i="8"/>
  <c r="T49" i="8"/>
  <c r="Q49" i="8"/>
  <c r="O49" i="8"/>
  <c r="M51" i="8"/>
  <c r="AG48" i="8"/>
  <c r="AG51" i="8" s="1"/>
  <c r="AE48" i="8"/>
  <c r="AK48" i="8" s="1"/>
  <c r="AD48" i="8"/>
  <c r="AD51" i="8" s="1"/>
  <c r="AJ51" i="8" s="1"/>
  <c r="AB48" i="8"/>
  <c r="AB51" i="8" s="1"/>
  <c r="Z48" i="8"/>
  <c r="Z51" i="8" s="1"/>
  <c r="X48" i="8"/>
  <c r="X51" i="8" s="1"/>
  <c r="V48" i="8"/>
  <c r="V51" i="8" s="1"/>
  <c r="T48" i="8"/>
  <c r="T51" i="8" s="1"/>
  <c r="Q48" i="8"/>
  <c r="Q51" i="8" s="1"/>
  <c r="O48" i="8"/>
  <c r="O51" i="8" s="1"/>
  <c r="AH47" i="8"/>
  <c r="AF47" i="8"/>
  <c r="AN47" i="8"/>
  <c r="L47" i="8"/>
  <c r="AO47" i="8" s="1"/>
  <c r="V46" i="8"/>
  <c r="T46" i="8"/>
  <c r="Q46" i="8"/>
  <c r="O46" i="8"/>
  <c r="AG46" i="8"/>
  <c r="AE46" i="8"/>
  <c r="AK46" i="8" s="1"/>
  <c r="AD46" i="8"/>
  <c r="AB46" i="8"/>
  <c r="Z46" i="8"/>
  <c r="X46" i="8"/>
  <c r="AG45" i="8"/>
  <c r="AE45" i="8"/>
  <c r="AK45" i="8" s="1"/>
  <c r="AD45" i="8"/>
  <c r="AB45" i="8"/>
  <c r="Z45" i="8"/>
  <c r="X45" i="8"/>
  <c r="V45" i="8"/>
  <c r="T45" i="8"/>
  <c r="Q45" i="8"/>
  <c r="O45" i="8"/>
  <c r="M47" i="8"/>
  <c r="AG44" i="8"/>
  <c r="AG47" i="8" s="1"/>
  <c r="AE44" i="8"/>
  <c r="AK44" i="8" s="1"/>
  <c r="AD44" i="8"/>
  <c r="AD47" i="8" s="1"/>
  <c r="AJ47" i="8" s="1"/>
  <c r="AB44" i="8"/>
  <c r="AB47" i="8" s="1"/>
  <c r="Z44" i="8"/>
  <c r="Z47" i="8" s="1"/>
  <c r="X44" i="8"/>
  <c r="X47" i="8" s="1"/>
  <c r="V44" i="8"/>
  <c r="V47" i="8" s="1"/>
  <c r="T44" i="8"/>
  <c r="T47" i="8" s="1"/>
  <c r="Q44" i="8"/>
  <c r="Q47" i="8" s="1"/>
  <c r="O44" i="8"/>
  <c r="O47" i="8" s="1"/>
  <c r="AH43" i="8"/>
  <c r="AF43" i="8"/>
  <c r="AN43" i="8"/>
  <c r="L43" i="8"/>
  <c r="AO43" i="8" s="1"/>
  <c r="V42" i="8"/>
  <c r="T42" i="8"/>
  <c r="Q42" i="8"/>
  <c r="O42" i="8"/>
  <c r="AG42" i="8"/>
  <c r="AE42" i="8"/>
  <c r="AK42" i="8" s="1"/>
  <c r="AD42" i="8"/>
  <c r="AB42" i="8"/>
  <c r="Z42" i="8"/>
  <c r="X42" i="8"/>
  <c r="Z41" i="8"/>
  <c r="AG41" i="8"/>
  <c r="AE41" i="8"/>
  <c r="AK41" i="8" s="1"/>
  <c r="AD41" i="8"/>
  <c r="AB41" i="8"/>
  <c r="X41" i="8"/>
  <c r="V41" i="8"/>
  <c r="T41" i="8"/>
  <c r="Q41" i="8"/>
  <c r="O41" i="8"/>
  <c r="M43" i="8"/>
  <c r="AG40" i="8"/>
  <c r="AG43" i="8" s="1"/>
  <c r="AE40" i="8"/>
  <c r="AK40" i="8" s="1"/>
  <c r="AD40" i="8"/>
  <c r="AD43" i="8" s="1"/>
  <c r="AJ43" i="8" s="1"/>
  <c r="AB40" i="8"/>
  <c r="AB43" i="8" s="1"/>
  <c r="Z40" i="8"/>
  <c r="Z43" i="8" s="1"/>
  <c r="X40" i="8"/>
  <c r="X43" i="8" s="1"/>
  <c r="V40" i="8"/>
  <c r="V43" i="8" s="1"/>
  <c r="T40" i="8"/>
  <c r="T43" i="8" s="1"/>
  <c r="Q40" i="8"/>
  <c r="Q43" i="8" s="1"/>
  <c r="O40" i="8"/>
  <c r="O43" i="8" s="1"/>
  <c r="AH39" i="8"/>
  <c r="AF39" i="8"/>
  <c r="AN39" i="8"/>
  <c r="L39" i="8"/>
  <c r="AO39" i="8" s="1"/>
  <c r="V38" i="8"/>
  <c r="T38" i="8"/>
  <c r="Q38" i="8"/>
  <c r="O38" i="8"/>
  <c r="AG38" i="8"/>
  <c r="AE38" i="8"/>
  <c r="AK38" i="8" s="1"/>
  <c r="AD38" i="8"/>
  <c r="AB38" i="8"/>
  <c r="Z38" i="8"/>
  <c r="X38" i="8"/>
  <c r="V37" i="8"/>
  <c r="AG37" i="8"/>
  <c r="AE37" i="8"/>
  <c r="AK37" i="8" s="1"/>
  <c r="AD37" i="8"/>
  <c r="AB37" i="8"/>
  <c r="Z37" i="8"/>
  <c r="X37" i="8"/>
  <c r="T37" i="8"/>
  <c r="Q37" i="8"/>
  <c r="O37" i="8"/>
  <c r="M39" i="8"/>
  <c r="AG36" i="8"/>
  <c r="AG39" i="8" s="1"/>
  <c r="AE36" i="8"/>
  <c r="AK36" i="8" s="1"/>
  <c r="AD36" i="8"/>
  <c r="AD39" i="8" s="1"/>
  <c r="AJ39" i="8" s="1"/>
  <c r="AB36" i="8"/>
  <c r="AB39" i="8" s="1"/>
  <c r="Z36" i="8"/>
  <c r="Z39" i="8" s="1"/>
  <c r="X36" i="8"/>
  <c r="X39" i="8" s="1"/>
  <c r="V36" i="8"/>
  <c r="V39" i="8" s="1"/>
  <c r="T36" i="8"/>
  <c r="T39" i="8" s="1"/>
  <c r="Q36" i="8"/>
  <c r="Q39" i="8" s="1"/>
  <c r="O36" i="8"/>
  <c r="O39" i="8" s="1"/>
  <c r="AH35" i="8"/>
  <c r="AF35" i="8"/>
  <c r="AN35" i="8"/>
  <c r="L35" i="8"/>
  <c r="AO35" i="8" s="1"/>
  <c r="V34" i="8"/>
  <c r="T34" i="8"/>
  <c r="Q34" i="8"/>
  <c r="O34" i="8"/>
  <c r="AG34" i="8"/>
  <c r="AE34" i="8"/>
  <c r="AK34" i="8" s="1"/>
  <c r="AD34" i="8"/>
  <c r="AB34" i="8"/>
  <c r="Z34" i="8"/>
  <c r="X34" i="8"/>
  <c r="Z33" i="8"/>
  <c r="AG33" i="8"/>
  <c r="AE33" i="8"/>
  <c r="AK33" i="8" s="1"/>
  <c r="AD33" i="8"/>
  <c r="AB33" i="8"/>
  <c r="X33" i="8"/>
  <c r="V33" i="8"/>
  <c r="T33" i="8"/>
  <c r="Q33" i="8"/>
  <c r="O33" i="8"/>
  <c r="M35" i="8"/>
  <c r="AG32" i="8"/>
  <c r="AG35" i="8" s="1"/>
  <c r="AE32" i="8"/>
  <c r="AK32" i="8" s="1"/>
  <c r="AD32" i="8"/>
  <c r="AD35" i="8" s="1"/>
  <c r="AJ35" i="8" s="1"/>
  <c r="AB32" i="8"/>
  <c r="AB35" i="8" s="1"/>
  <c r="Z32" i="8"/>
  <c r="Z35" i="8" s="1"/>
  <c r="X32" i="8"/>
  <c r="X35" i="8" s="1"/>
  <c r="V32" i="8"/>
  <c r="V35" i="8" s="1"/>
  <c r="T32" i="8"/>
  <c r="T35" i="8" s="1"/>
  <c r="Q32" i="8"/>
  <c r="Q35" i="8" s="1"/>
  <c r="O32" i="8"/>
  <c r="O35" i="8" s="1"/>
  <c r="L31" i="8"/>
  <c r="AO31" i="8" s="1"/>
  <c r="AH31" i="8"/>
  <c r="AN31" i="8"/>
  <c r="AF31" i="8"/>
  <c r="V30" i="8"/>
  <c r="Q30" i="8"/>
  <c r="O30" i="8"/>
  <c r="T30" i="8"/>
  <c r="AG30" i="8"/>
  <c r="AE30" i="8"/>
  <c r="AK30" i="8" s="1"/>
  <c r="AD30" i="8"/>
  <c r="AB30" i="8"/>
  <c r="Z30" i="8"/>
  <c r="X30" i="8"/>
  <c r="AG29" i="8"/>
  <c r="AE29" i="8"/>
  <c r="AK29" i="8" s="1"/>
  <c r="AD29" i="8"/>
  <c r="AB29" i="8"/>
  <c r="Z29" i="8"/>
  <c r="X29" i="8"/>
  <c r="V29" i="8"/>
  <c r="T29" i="8"/>
  <c r="Q29" i="8"/>
  <c r="O29" i="8"/>
  <c r="M31" i="8"/>
  <c r="AG28" i="8"/>
  <c r="AG31" i="8" s="1"/>
  <c r="AE28" i="8"/>
  <c r="AK28" i="8" s="1"/>
  <c r="AD28" i="8"/>
  <c r="AD31" i="8" s="1"/>
  <c r="AJ31" i="8" s="1"/>
  <c r="AB28" i="8"/>
  <c r="AB31" i="8" s="1"/>
  <c r="Z28" i="8"/>
  <c r="Z31" i="8" s="1"/>
  <c r="X28" i="8"/>
  <c r="X31" i="8" s="1"/>
  <c r="V28" i="8"/>
  <c r="V31" i="8" s="1"/>
  <c r="T28" i="8"/>
  <c r="T31" i="8" s="1"/>
  <c r="Q28" i="8"/>
  <c r="Q31" i="8" s="1"/>
  <c r="O28" i="8"/>
  <c r="O31" i="8" s="1"/>
  <c r="AH27" i="8"/>
  <c r="AF27" i="8"/>
  <c r="AO27" i="8"/>
  <c r="AN27" i="8"/>
  <c r="L27" i="8"/>
  <c r="X26" i="8"/>
  <c r="V26" i="8"/>
  <c r="T26" i="8"/>
  <c r="Q26" i="8"/>
  <c r="AG26" i="8"/>
  <c r="AE26" i="8"/>
  <c r="AK26" i="8" s="1"/>
  <c r="AD26" i="8"/>
  <c r="AB26" i="8"/>
  <c r="Z26" i="8"/>
  <c r="O26" i="8"/>
  <c r="T25" i="8"/>
  <c r="Q25" i="8"/>
  <c r="O25" i="8"/>
  <c r="Z25" i="8"/>
  <c r="AG25" i="8"/>
  <c r="AE25" i="8"/>
  <c r="AK25" i="8" s="1"/>
  <c r="AD25" i="8"/>
  <c r="AB25" i="8"/>
  <c r="X25" i="8"/>
  <c r="V25" i="8"/>
  <c r="M27" i="8"/>
  <c r="AG24" i="8"/>
  <c r="AG27" i="8" s="1"/>
  <c r="AE24" i="8"/>
  <c r="AK24" i="8" s="1"/>
  <c r="AD24" i="8"/>
  <c r="AD27" i="8" s="1"/>
  <c r="AJ27" i="8" s="1"/>
  <c r="AB24" i="8"/>
  <c r="AB27" i="8" s="1"/>
  <c r="Z24" i="8"/>
  <c r="Z27" i="8" s="1"/>
  <c r="X24" i="8"/>
  <c r="X27" i="8" s="1"/>
  <c r="V24" i="8"/>
  <c r="V27" i="8" s="1"/>
  <c r="T24" i="8"/>
  <c r="T27" i="8" s="1"/>
  <c r="Q24" i="8"/>
  <c r="Q27" i="8" s="1"/>
  <c r="O24" i="8"/>
  <c r="O27" i="8" s="1"/>
  <c r="L23" i="8"/>
  <c r="AO23" i="8"/>
  <c r="AN23" i="8"/>
  <c r="AH23" i="8"/>
  <c r="AF23" i="8"/>
  <c r="AG22" i="8"/>
  <c r="AE22" i="8"/>
  <c r="AK22" i="8" s="1"/>
  <c r="AD22" i="8"/>
  <c r="AB22" i="8"/>
  <c r="Z22" i="8"/>
  <c r="X22" i="8"/>
  <c r="V22" i="8"/>
  <c r="T22" i="8"/>
  <c r="Q22" i="8"/>
  <c r="O22" i="8"/>
  <c r="AB21" i="8"/>
  <c r="V21" i="8"/>
  <c r="X21" i="8"/>
  <c r="Z21" i="8"/>
  <c r="AG21" i="8"/>
  <c r="AE21" i="8"/>
  <c r="AK21" i="8" s="1"/>
  <c r="AD21" i="8"/>
  <c r="T21" i="8"/>
  <c r="Q21" i="8"/>
  <c r="O21" i="8"/>
  <c r="M23" i="8"/>
  <c r="AG20" i="8"/>
  <c r="AG23" i="8" s="1"/>
  <c r="AE20" i="8"/>
  <c r="AK20" i="8" s="1"/>
  <c r="AD20" i="8"/>
  <c r="AD23" i="8" s="1"/>
  <c r="AJ23" i="8" s="1"/>
  <c r="AB20" i="8"/>
  <c r="AB23" i="8" s="1"/>
  <c r="Z20" i="8"/>
  <c r="Z23" i="8" s="1"/>
  <c r="X20" i="8"/>
  <c r="X23" i="8" s="1"/>
  <c r="V20" i="8"/>
  <c r="V23" i="8" s="1"/>
  <c r="T20" i="8"/>
  <c r="T23" i="8" s="1"/>
  <c r="Q20" i="8"/>
  <c r="Q23" i="8" s="1"/>
  <c r="O20" i="8"/>
  <c r="O23" i="8" s="1"/>
  <c r="AH19" i="8"/>
  <c r="AF19" i="8"/>
  <c r="AO19" i="8"/>
  <c r="AN19" i="8"/>
  <c r="L19" i="8"/>
  <c r="X18" i="8"/>
  <c r="V18" i="8"/>
  <c r="T18" i="8"/>
  <c r="Q18" i="8"/>
  <c r="AG18" i="8"/>
  <c r="AE18" i="8"/>
  <c r="AK18" i="8" s="1"/>
  <c r="AD18" i="8"/>
  <c r="AB18" i="8"/>
  <c r="Z18" i="8"/>
  <c r="O18" i="8"/>
  <c r="T17" i="8"/>
  <c r="Q17" i="8"/>
  <c r="O17" i="8"/>
  <c r="X17" i="8"/>
  <c r="AG17" i="8"/>
  <c r="AE17" i="8"/>
  <c r="AK17" i="8" s="1"/>
  <c r="AD17" i="8"/>
  <c r="AB17" i="8"/>
  <c r="Z17" i="8"/>
  <c r="V17" i="8"/>
  <c r="M19" i="8"/>
  <c r="AG16" i="8"/>
  <c r="AG19" i="8" s="1"/>
  <c r="AE16" i="8"/>
  <c r="AK16" i="8" s="1"/>
  <c r="AD16" i="8"/>
  <c r="AD19" i="8" s="1"/>
  <c r="AJ19" i="8" s="1"/>
  <c r="AB16" i="8"/>
  <c r="AB19" i="8" s="1"/>
  <c r="Z16" i="8"/>
  <c r="Z19" i="8" s="1"/>
  <c r="X16" i="8"/>
  <c r="X19" i="8" s="1"/>
  <c r="V16" i="8"/>
  <c r="V19" i="8" s="1"/>
  <c r="T16" i="8"/>
  <c r="T19" i="8" s="1"/>
  <c r="Q16" i="8"/>
  <c r="Q19" i="8" s="1"/>
  <c r="O16" i="8"/>
  <c r="O19" i="8" s="1"/>
  <c r="L15" i="8"/>
  <c r="AO15" i="8"/>
  <c r="AN15" i="8"/>
  <c r="AH15" i="8"/>
  <c r="AF15" i="8"/>
  <c r="AG14" i="8"/>
  <c r="AE14" i="8"/>
  <c r="AK14" i="8" s="1"/>
  <c r="AD14" i="8"/>
  <c r="AB14" i="8"/>
  <c r="Z14" i="8"/>
  <c r="X14" i="8"/>
  <c r="V14" i="8"/>
  <c r="T14" i="8"/>
  <c r="Q14" i="8"/>
  <c r="O14" i="8"/>
  <c r="AB13" i="8"/>
  <c r="V13" i="8"/>
  <c r="X13" i="8"/>
  <c r="Z13" i="8"/>
  <c r="AG13" i="8"/>
  <c r="AE13" i="8"/>
  <c r="AK13" i="8" s="1"/>
  <c r="AD13" i="8"/>
  <c r="T13" i="8"/>
  <c r="Q13" i="8"/>
  <c r="O13" i="8"/>
  <c r="M15" i="8"/>
  <c r="AG12" i="8"/>
  <c r="AG15" i="8" s="1"/>
  <c r="AE12" i="8"/>
  <c r="AK12" i="8" s="1"/>
  <c r="AD12" i="8"/>
  <c r="AD15" i="8" s="1"/>
  <c r="AJ15" i="8" s="1"/>
  <c r="AB12" i="8"/>
  <c r="AB15" i="8" s="1"/>
  <c r="Z12" i="8"/>
  <c r="Z15" i="8" s="1"/>
  <c r="X12" i="8"/>
  <c r="X15" i="8" s="1"/>
  <c r="V12" i="8"/>
  <c r="V15" i="8" s="1"/>
  <c r="T12" i="8"/>
  <c r="T15" i="8" s="1"/>
  <c r="Q12" i="8"/>
  <c r="Q15" i="8" s="1"/>
  <c r="O12" i="8"/>
  <c r="O15" i="8" s="1"/>
  <c r="L11" i="8"/>
  <c r="AO11" i="8"/>
  <c r="AN11" i="8"/>
  <c r="AH11" i="8"/>
  <c r="AF11" i="8"/>
  <c r="X10" i="8"/>
  <c r="V10" i="8"/>
  <c r="T10" i="8"/>
  <c r="Q10" i="8"/>
  <c r="AG10" i="8"/>
  <c r="AE10" i="8"/>
  <c r="AK10" i="8" s="1"/>
  <c r="AD10" i="8"/>
  <c r="AB10" i="8"/>
  <c r="Z10" i="8"/>
  <c r="O10" i="8"/>
  <c r="T9" i="8"/>
  <c r="Q9" i="8"/>
  <c r="O9" i="8"/>
  <c r="Z9" i="8"/>
  <c r="AG9" i="8"/>
  <c r="AE9" i="8"/>
  <c r="AK9" i="8" s="1"/>
  <c r="AD9" i="8"/>
  <c r="AB9" i="8"/>
  <c r="X9" i="8"/>
  <c r="V9" i="8"/>
  <c r="M11" i="8"/>
  <c r="AG8" i="8"/>
  <c r="AG11" i="8" s="1"/>
  <c r="AE8" i="8"/>
  <c r="AK8" i="8" s="1"/>
  <c r="AD8" i="8"/>
  <c r="AD11" i="8" s="1"/>
  <c r="AJ11" i="8" s="1"/>
  <c r="AB8" i="8"/>
  <c r="AB11" i="8" s="1"/>
  <c r="Z8" i="8"/>
  <c r="Z11" i="8" s="1"/>
  <c r="X8" i="8"/>
  <c r="X11" i="8" s="1"/>
  <c r="V8" i="8"/>
  <c r="V11" i="8" s="1"/>
  <c r="T8" i="8"/>
  <c r="T11" i="8" s="1"/>
  <c r="Q8" i="8"/>
  <c r="Q11" i="8" s="1"/>
  <c r="O8" i="8"/>
  <c r="O11" i="8" s="1"/>
  <c r="L7" i="8"/>
  <c r="AO7" i="8"/>
  <c r="AN7" i="8"/>
  <c r="AH7" i="8"/>
  <c r="AF7" i="8"/>
  <c r="AG6" i="8"/>
  <c r="AE6" i="8"/>
  <c r="AK6" i="8" s="1"/>
  <c r="AD6" i="8"/>
  <c r="AB6" i="8"/>
  <c r="Z6" i="8"/>
  <c r="X6" i="8"/>
  <c r="V6" i="8"/>
  <c r="T6" i="8"/>
  <c r="Q6" i="8"/>
  <c r="O6" i="8"/>
  <c r="AD5" i="8"/>
  <c r="X5" i="8"/>
  <c r="Z5" i="8"/>
  <c r="AB5" i="8"/>
  <c r="AG5" i="8"/>
  <c r="AE5" i="8"/>
  <c r="AK5" i="8" s="1"/>
  <c r="V5" i="8"/>
  <c r="T5" i="8"/>
  <c r="Q5" i="8"/>
  <c r="O5" i="8"/>
  <c r="AU7" i="8"/>
  <c r="AT8" i="8"/>
  <c r="AT9" i="8" s="1"/>
  <c r="AT10" i="8" s="1"/>
  <c r="M7" i="8"/>
  <c r="AG4" i="8"/>
  <c r="AG7" i="8" s="1"/>
  <c r="AE4" i="8"/>
  <c r="AK4" i="8" s="1"/>
  <c r="AD4" i="8"/>
  <c r="AD7" i="8" s="1"/>
  <c r="AJ7" i="8" s="1"/>
  <c r="AB4" i="8"/>
  <c r="AB7" i="8" s="1"/>
  <c r="Z4" i="8"/>
  <c r="Z7" i="8" s="1"/>
  <c r="X4" i="8"/>
  <c r="X7" i="8" s="1"/>
  <c r="V4" i="8"/>
  <c r="V7" i="8" s="1"/>
  <c r="T4" i="8"/>
  <c r="T7" i="8" s="1"/>
  <c r="Q4" i="8"/>
  <c r="Q7" i="8" s="1"/>
  <c r="O4" i="8"/>
  <c r="O7" i="8" s="1"/>
  <c r="AF126" i="7"/>
  <c r="AN126" i="7"/>
  <c r="AH126" i="7"/>
  <c r="L126" i="7"/>
  <c r="AO126" i="7" s="1"/>
  <c r="V125" i="7"/>
  <c r="O125" i="7"/>
  <c r="T125" i="7"/>
  <c r="Q125" i="7"/>
  <c r="AG125" i="7"/>
  <c r="AE125" i="7"/>
  <c r="AK125" i="7" s="1"/>
  <c r="AD125" i="7"/>
  <c r="AB125" i="7"/>
  <c r="Z125" i="7"/>
  <c r="X125" i="7"/>
  <c r="V124" i="7"/>
  <c r="T124" i="7"/>
  <c r="Q124" i="7"/>
  <c r="O124" i="7"/>
  <c r="AG124" i="7"/>
  <c r="AE124" i="7"/>
  <c r="AK124" i="7" s="1"/>
  <c r="AD124" i="7"/>
  <c r="AB124" i="7"/>
  <c r="Z124" i="7"/>
  <c r="X124" i="7"/>
  <c r="M126" i="7"/>
  <c r="AG123" i="7"/>
  <c r="AG126" i="7" s="1"/>
  <c r="AE123" i="7"/>
  <c r="AK123" i="7" s="1"/>
  <c r="AD123" i="7"/>
  <c r="AD126" i="7" s="1"/>
  <c r="AJ126" i="7" s="1"/>
  <c r="AB123" i="7"/>
  <c r="AB126" i="7" s="1"/>
  <c r="Z123" i="7"/>
  <c r="Z126" i="7" s="1"/>
  <c r="X123" i="7"/>
  <c r="X126" i="7" s="1"/>
  <c r="V123" i="7"/>
  <c r="V126" i="7" s="1"/>
  <c r="T123" i="7"/>
  <c r="T126" i="7" s="1"/>
  <c r="Q123" i="7"/>
  <c r="Q126" i="7" s="1"/>
  <c r="O123" i="7"/>
  <c r="O126" i="7" s="1"/>
  <c r="AN122" i="7"/>
  <c r="AH122" i="7"/>
  <c r="AF122" i="7"/>
  <c r="L122" i="7"/>
  <c r="AO122" i="7" s="1"/>
  <c r="V121" i="7"/>
  <c r="T121" i="7"/>
  <c r="Q121" i="7"/>
  <c r="O121" i="7"/>
  <c r="AG121" i="7"/>
  <c r="AE121" i="7"/>
  <c r="AK121" i="7" s="1"/>
  <c r="AD121" i="7"/>
  <c r="AB121" i="7"/>
  <c r="Z121" i="7"/>
  <c r="X121" i="7"/>
  <c r="V120" i="7"/>
  <c r="T120" i="7"/>
  <c r="Q120" i="7"/>
  <c r="O120" i="7"/>
  <c r="AG120" i="7"/>
  <c r="AE120" i="7"/>
  <c r="AK120" i="7" s="1"/>
  <c r="AD120" i="7"/>
  <c r="AB120" i="7"/>
  <c r="Z120" i="7"/>
  <c r="X120" i="7"/>
  <c r="M122" i="7"/>
  <c r="AG119" i="7"/>
  <c r="AG122" i="7" s="1"/>
  <c r="AE119" i="7"/>
  <c r="AK119" i="7" s="1"/>
  <c r="AD119" i="7"/>
  <c r="AD122" i="7" s="1"/>
  <c r="AJ122" i="7" s="1"/>
  <c r="AB119" i="7"/>
  <c r="AB122" i="7" s="1"/>
  <c r="Z119" i="7"/>
  <c r="Z122" i="7" s="1"/>
  <c r="X119" i="7"/>
  <c r="X122" i="7" s="1"/>
  <c r="V119" i="7"/>
  <c r="V122" i="7" s="1"/>
  <c r="T119" i="7"/>
  <c r="T122" i="7" s="1"/>
  <c r="Q119" i="7"/>
  <c r="Q122" i="7" s="1"/>
  <c r="O119" i="7"/>
  <c r="O122" i="7" s="1"/>
  <c r="AN118" i="7"/>
  <c r="AH118" i="7"/>
  <c r="AF118" i="7"/>
  <c r="L118" i="7"/>
  <c r="AO118" i="7" s="1"/>
  <c r="V117" i="7"/>
  <c r="T117" i="7"/>
  <c r="Q117" i="7"/>
  <c r="O117" i="7"/>
  <c r="AG117" i="7"/>
  <c r="AE117" i="7"/>
  <c r="AK117" i="7" s="1"/>
  <c r="AD117" i="7"/>
  <c r="AB117" i="7"/>
  <c r="Z117" i="7"/>
  <c r="X117" i="7"/>
  <c r="V116" i="7"/>
  <c r="T116" i="7"/>
  <c r="Q116" i="7"/>
  <c r="O116" i="7"/>
  <c r="AG116" i="7"/>
  <c r="AE116" i="7"/>
  <c r="AK116" i="7" s="1"/>
  <c r="AD116" i="7"/>
  <c r="AB116" i="7"/>
  <c r="Z116" i="7"/>
  <c r="X116" i="7"/>
  <c r="M118" i="7"/>
  <c r="AG115" i="7"/>
  <c r="AG118" i="7" s="1"/>
  <c r="AE115" i="7"/>
  <c r="AK115" i="7" s="1"/>
  <c r="AD115" i="7"/>
  <c r="AD118" i="7" s="1"/>
  <c r="AJ118" i="7" s="1"/>
  <c r="AB115" i="7"/>
  <c r="AB118" i="7" s="1"/>
  <c r="Z115" i="7"/>
  <c r="Z118" i="7" s="1"/>
  <c r="X115" i="7"/>
  <c r="X118" i="7" s="1"/>
  <c r="V115" i="7"/>
  <c r="V118" i="7" s="1"/>
  <c r="T115" i="7"/>
  <c r="T118" i="7" s="1"/>
  <c r="Q115" i="7"/>
  <c r="Q118" i="7" s="1"/>
  <c r="O115" i="7"/>
  <c r="O118" i="7" s="1"/>
  <c r="AN114" i="7"/>
  <c r="AH114" i="7"/>
  <c r="AF114" i="7"/>
  <c r="L114" i="7"/>
  <c r="AO114" i="7" s="1"/>
  <c r="V113" i="7"/>
  <c r="T113" i="7"/>
  <c r="Q113" i="7"/>
  <c r="O113" i="7"/>
  <c r="AG113" i="7"/>
  <c r="AE113" i="7"/>
  <c r="AK113" i="7" s="1"/>
  <c r="AD113" i="7"/>
  <c r="AB113" i="7"/>
  <c r="Z113" i="7"/>
  <c r="X113" i="7"/>
  <c r="V112" i="7"/>
  <c r="T112" i="7"/>
  <c r="Q112" i="7"/>
  <c r="O112" i="7"/>
  <c r="AG112" i="7"/>
  <c r="AE112" i="7"/>
  <c r="AK112" i="7" s="1"/>
  <c r="AD112" i="7"/>
  <c r="AB112" i="7"/>
  <c r="Z112" i="7"/>
  <c r="X112" i="7"/>
  <c r="M114" i="7"/>
  <c r="AG111" i="7"/>
  <c r="AG114" i="7" s="1"/>
  <c r="AE111" i="7"/>
  <c r="AK111" i="7" s="1"/>
  <c r="AD111" i="7"/>
  <c r="AD114" i="7" s="1"/>
  <c r="AJ114" i="7" s="1"/>
  <c r="AB111" i="7"/>
  <c r="AB114" i="7" s="1"/>
  <c r="Z111" i="7"/>
  <c r="Z114" i="7" s="1"/>
  <c r="X111" i="7"/>
  <c r="X114" i="7" s="1"/>
  <c r="V111" i="7"/>
  <c r="V114" i="7" s="1"/>
  <c r="T111" i="7"/>
  <c r="T114" i="7" s="1"/>
  <c r="Q111" i="7"/>
  <c r="Q114" i="7" s="1"/>
  <c r="O111" i="7"/>
  <c r="O114" i="7" s="1"/>
  <c r="AN110" i="7"/>
  <c r="AH110" i="7"/>
  <c r="AF110" i="7"/>
  <c r="L110" i="7"/>
  <c r="AO110" i="7" s="1"/>
  <c r="V109" i="7"/>
  <c r="T109" i="7"/>
  <c r="Q109" i="7"/>
  <c r="O109" i="7"/>
  <c r="AG109" i="7"/>
  <c r="AE109" i="7"/>
  <c r="AK109" i="7" s="1"/>
  <c r="AD109" i="7"/>
  <c r="AB109" i="7"/>
  <c r="Z109" i="7"/>
  <c r="X109" i="7"/>
  <c r="T108" i="7"/>
  <c r="Q108" i="7"/>
  <c r="AB108" i="7"/>
  <c r="O108" i="7"/>
  <c r="AG108" i="7"/>
  <c r="AE108" i="7"/>
  <c r="AK108" i="7" s="1"/>
  <c r="AD108" i="7"/>
  <c r="Z108" i="7"/>
  <c r="X108" i="7"/>
  <c r="V108" i="7"/>
  <c r="M110" i="7"/>
  <c r="AG107" i="7"/>
  <c r="AG110" i="7" s="1"/>
  <c r="AE107" i="7"/>
  <c r="AK107" i="7" s="1"/>
  <c r="AD107" i="7"/>
  <c r="AD110" i="7" s="1"/>
  <c r="AJ110" i="7" s="1"/>
  <c r="AB107" i="7"/>
  <c r="AB110" i="7" s="1"/>
  <c r="Z107" i="7"/>
  <c r="Z110" i="7" s="1"/>
  <c r="X107" i="7"/>
  <c r="X110" i="7" s="1"/>
  <c r="V107" i="7"/>
  <c r="V110" i="7" s="1"/>
  <c r="T107" i="7"/>
  <c r="T110" i="7" s="1"/>
  <c r="Q107" i="7"/>
  <c r="Q110" i="7" s="1"/>
  <c r="O107" i="7"/>
  <c r="O110" i="7" s="1"/>
  <c r="AN106" i="7"/>
  <c r="AH106" i="7"/>
  <c r="AF106" i="7"/>
  <c r="L106" i="7"/>
  <c r="AO106" i="7" s="1"/>
  <c r="V105" i="7"/>
  <c r="T105" i="7"/>
  <c r="Q105" i="7"/>
  <c r="O105" i="7"/>
  <c r="AG105" i="7"/>
  <c r="AE105" i="7"/>
  <c r="AK105" i="7" s="1"/>
  <c r="AD105" i="7"/>
  <c r="AB105" i="7"/>
  <c r="Z105" i="7"/>
  <c r="X105" i="7"/>
  <c r="V104" i="7"/>
  <c r="T104" i="7"/>
  <c r="Q104" i="7"/>
  <c r="O104" i="7"/>
  <c r="AG104" i="7"/>
  <c r="AE104" i="7"/>
  <c r="AK104" i="7" s="1"/>
  <c r="AD104" i="7"/>
  <c r="AB104" i="7"/>
  <c r="Z104" i="7"/>
  <c r="X104" i="7"/>
  <c r="M106" i="7"/>
  <c r="AG103" i="7"/>
  <c r="AG106" i="7" s="1"/>
  <c r="AE103" i="7"/>
  <c r="AK103" i="7" s="1"/>
  <c r="AD103" i="7"/>
  <c r="AD106" i="7" s="1"/>
  <c r="AJ106" i="7" s="1"/>
  <c r="AB103" i="7"/>
  <c r="AB106" i="7" s="1"/>
  <c r="Z103" i="7"/>
  <c r="Z106" i="7" s="1"/>
  <c r="X103" i="7"/>
  <c r="X106" i="7" s="1"/>
  <c r="V103" i="7"/>
  <c r="V106" i="7" s="1"/>
  <c r="T103" i="7"/>
  <c r="T106" i="7" s="1"/>
  <c r="Q103" i="7"/>
  <c r="Q106" i="7" s="1"/>
  <c r="O103" i="7"/>
  <c r="O106" i="7" s="1"/>
  <c r="AN102" i="7"/>
  <c r="AH102" i="7"/>
  <c r="AF102" i="7"/>
  <c r="L102" i="7"/>
  <c r="AO102" i="7" s="1"/>
  <c r="V101" i="7"/>
  <c r="T101" i="7"/>
  <c r="Q101" i="7"/>
  <c r="O101" i="7"/>
  <c r="AG101" i="7"/>
  <c r="AE101" i="7"/>
  <c r="AK101" i="7" s="1"/>
  <c r="AD101" i="7"/>
  <c r="AB101" i="7"/>
  <c r="Z101" i="7"/>
  <c r="X101" i="7"/>
  <c r="V100" i="7"/>
  <c r="T100" i="7"/>
  <c r="Q100" i="7"/>
  <c r="O100" i="7"/>
  <c r="AG100" i="7"/>
  <c r="AE100" i="7"/>
  <c r="AK100" i="7" s="1"/>
  <c r="AD100" i="7"/>
  <c r="AB100" i="7"/>
  <c r="Z100" i="7"/>
  <c r="X100" i="7"/>
  <c r="M102" i="7"/>
  <c r="AG99" i="7"/>
  <c r="AG102" i="7" s="1"/>
  <c r="AE99" i="7"/>
  <c r="AK99" i="7" s="1"/>
  <c r="AD99" i="7"/>
  <c r="AD102" i="7" s="1"/>
  <c r="AJ102" i="7" s="1"/>
  <c r="AB99" i="7"/>
  <c r="AB102" i="7" s="1"/>
  <c r="Z99" i="7"/>
  <c r="Z102" i="7" s="1"/>
  <c r="X99" i="7"/>
  <c r="X102" i="7" s="1"/>
  <c r="V99" i="7"/>
  <c r="V102" i="7" s="1"/>
  <c r="T99" i="7"/>
  <c r="T102" i="7" s="1"/>
  <c r="Q99" i="7"/>
  <c r="Q102" i="7" s="1"/>
  <c r="O99" i="7"/>
  <c r="O102" i="7" s="1"/>
  <c r="AN98" i="7"/>
  <c r="AH98" i="7"/>
  <c r="AF98" i="7"/>
  <c r="L98" i="7"/>
  <c r="AO98" i="7" s="1"/>
  <c r="V97" i="7"/>
  <c r="T97" i="7"/>
  <c r="Q97" i="7"/>
  <c r="O97" i="7"/>
  <c r="AG97" i="7"/>
  <c r="AE97" i="7"/>
  <c r="AK97" i="7" s="1"/>
  <c r="AD97" i="7"/>
  <c r="AB97" i="7"/>
  <c r="Z97" i="7"/>
  <c r="X97" i="7"/>
  <c r="V96" i="7"/>
  <c r="T96" i="7"/>
  <c r="Q96" i="7"/>
  <c r="O96" i="7"/>
  <c r="AG96" i="7"/>
  <c r="AE96" i="7"/>
  <c r="AK96" i="7" s="1"/>
  <c r="AD96" i="7"/>
  <c r="AB96" i="7"/>
  <c r="Z96" i="7"/>
  <c r="X96" i="7"/>
  <c r="M98" i="7"/>
  <c r="AG95" i="7"/>
  <c r="AG98" i="7" s="1"/>
  <c r="AE95" i="7"/>
  <c r="AK95" i="7" s="1"/>
  <c r="AD95" i="7"/>
  <c r="AD98" i="7" s="1"/>
  <c r="AJ98" i="7" s="1"/>
  <c r="AB95" i="7"/>
  <c r="AB98" i="7" s="1"/>
  <c r="Z95" i="7"/>
  <c r="Z98" i="7" s="1"/>
  <c r="X95" i="7"/>
  <c r="X98" i="7" s="1"/>
  <c r="V95" i="7"/>
  <c r="V98" i="7" s="1"/>
  <c r="T95" i="7"/>
  <c r="T98" i="7" s="1"/>
  <c r="Q95" i="7"/>
  <c r="Q98" i="7" s="1"/>
  <c r="O95" i="7"/>
  <c r="O98" i="7" s="1"/>
  <c r="AH94" i="7"/>
  <c r="AF94" i="7"/>
  <c r="AN94" i="7"/>
  <c r="L94" i="7"/>
  <c r="AO94" i="7" s="1"/>
  <c r="V93" i="7"/>
  <c r="T93" i="7"/>
  <c r="Q93" i="7"/>
  <c r="O93" i="7"/>
  <c r="AG93" i="7"/>
  <c r="AE93" i="7"/>
  <c r="AK93" i="7" s="1"/>
  <c r="AD93" i="7"/>
  <c r="AB93" i="7"/>
  <c r="Z93" i="7"/>
  <c r="X93" i="7"/>
  <c r="AG92" i="7"/>
  <c r="AE92" i="7"/>
  <c r="AK92" i="7" s="1"/>
  <c r="AD92" i="7"/>
  <c r="AB92" i="7"/>
  <c r="Z92" i="7"/>
  <c r="X92" i="7"/>
  <c r="V92" i="7"/>
  <c r="T92" i="7"/>
  <c r="Q92" i="7"/>
  <c r="O92" i="7"/>
  <c r="M94" i="7"/>
  <c r="AG91" i="7"/>
  <c r="AG94" i="7" s="1"/>
  <c r="AE91" i="7"/>
  <c r="AK91" i="7" s="1"/>
  <c r="AD91" i="7"/>
  <c r="AD94" i="7" s="1"/>
  <c r="AJ94" i="7" s="1"/>
  <c r="AB91" i="7"/>
  <c r="AB94" i="7" s="1"/>
  <c r="Z91" i="7"/>
  <c r="Z94" i="7" s="1"/>
  <c r="X91" i="7"/>
  <c r="X94" i="7" s="1"/>
  <c r="V91" i="7"/>
  <c r="V94" i="7" s="1"/>
  <c r="T91" i="7"/>
  <c r="T94" i="7" s="1"/>
  <c r="Q91" i="7"/>
  <c r="Q94" i="7" s="1"/>
  <c r="O91" i="7"/>
  <c r="O94" i="7" s="1"/>
  <c r="AH90" i="7"/>
  <c r="AF90" i="7"/>
  <c r="AN90" i="7"/>
  <c r="L90" i="7"/>
  <c r="AO90" i="7" s="1"/>
  <c r="V89" i="7"/>
  <c r="T89" i="7"/>
  <c r="Q89" i="7"/>
  <c r="O89" i="7"/>
  <c r="AG89" i="7"/>
  <c r="AE89" i="7"/>
  <c r="AK89" i="7" s="1"/>
  <c r="AD89" i="7"/>
  <c r="AB89" i="7"/>
  <c r="Z89" i="7"/>
  <c r="X89" i="7"/>
  <c r="Z88" i="7"/>
  <c r="AG88" i="7"/>
  <c r="AE88" i="7"/>
  <c r="AK88" i="7" s="1"/>
  <c r="AD88" i="7"/>
  <c r="AB88" i="7"/>
  <c r="X88" i="7"/>
  <c r="V88" i="7"/>
  <c r="T88" i="7"/>
  <c r="Q88" i="7"/>
  <c r="O88" i="7"/>
  <c r="M90" i="7"/>
  <c r="AG87" i="7"/>
  <c r="AG90" i="7" s="1"/>
  <c r="AE87" i="7"/>
  <c r="AK87" i="7" s="1"/>
  <c r="AD87" i="7"/>
  <c r="AD90" i="7" s="1"/>
  <c r="AJ90" i="7" s="1"/>
  <c r="AB87" i="7"/>
  <c r="AB90" i="7" s="1"/>
  <c r="Z87" i="7"/>
  <c r="Z90" i="7" s="1"/>
  <c r="X87" i="7"/>
  <c r="X90" i="7" s="1"/>
  <c r="V87" i="7"/>
  <c r="V90" i="7" s="1"/>
  <c r="T87" i="7"/>
  <c r="T90" i="7" s="1"/>
  <c r="Q87" i="7"/>
  <c r="Q90" i="7" s="1"/>
  <c r="O87" i="7"/>
  <c r="O90" i="7" s="1"/>
  <c r="AH86" i="7"/>
  <c r="AF86" i="7"/>
  <c r="AN86" i="7"/>
  <c r="L86" i="7"/>
  <c r="AO86" i="7" s="1"/>
  <c r="V85" i="7"/>
  <c r="T85" i="7"/>
  <c r="Q85" i="7"/>
  <c r="O85" i="7"/>
  <c r="AG85" i="7"/>
  <c r="AE85" i="7"/>
  <c r="AK85" i="7" s="1"/>
  <c r="AD85" i="7"/>
  <c r="AB85" i="7"/>
  <c r="Z85" i="7"/>
  <c r="X85" i="7"/>
  <c r="AG84" i="7"/>
  <c r="AE84" i="7"/>
  <c r="AK84" i="7" s="1"/>
  <c r="AD84" i="7"/>
  <c r="AB84" i="7"/>
  <c r="Z84" i="7"/>
  <c r="X84" i="7"/>
  <c r="V84" i="7"/>
  <c r="T84" i="7"/>
  <c r="Q84" i="7"/>
  <c r="O84" i="7"/>
  <c r="M86" i="7"/>
  <c r="AG83" i="7"/>
  <c r="AG86" i="7" s="1"/>
  <c r="AE83" i="7"/>
  <c r="AK83" i="7" s="1"/>
  <c r="AD83" i="7"/>
  <c r="AD86" i="7" s="1"/>
  <c r="AJ86" i="7" s="1"/>
  <c r="AB83" i="7"/>
  <c r="AB86" i="7" s="1"/>
  <c r="Z83" i="7"/>
  <c r="Z86" i="7" s="1"/>
  <c r="X83" i="7"/>
  <c r="X86" i="7" s="1"/>
  <c r="V83" i="7"/>
  <c r="V86" i="7" s="1"/>
  <c r="T83" i="7"/>
  <c r="T86" i="7" s="1"/>
  <c r="Q83" i="7"/>
  <c r="Q86" i="7" s="1"/>
  <c r="O83" i="7"/>
  <c r="O86" i="7" s="1"/>
  <c r="AH82" i="7"/>
  <c r="AF82" i="7"/>
  <c r="AN82" i="7"/>
  <c r="L82" i="7"/>
  <c r="AO82" i="7" s="1"/>
  <c r="V81" i="7"/>
  <c r="T81" i="7"/>
  <c r="Q81" i="7"/>
  <c r="O81" i="7"/>
  <c r="AG81" i="7"/>
  <c r="AE81" i="7"/>
  <c r="AK81" i="7" s="1"/>
  <c r="AD81" i="7"/>
  <c r="AB81" i="7"/>
  <c r="Z81" i="7"/>
  <c r="X81" i="7"/>
  <c r="Z80" i="7"/>
  <c r="AG80" i="7"/>
  <c r="AE80" i="7"/>
  <c r="AK80" i="7" s="1"/>
  <c r="AD80" i="7"/>
  <c r="AB80" i="7"/>
  <c r="X80" i="7"/>
  <c r="V80" i="7"/>
  <c r="T80" i="7"/>
  <c r="Q80" i="7"/>
  <c r="O80" i="7"/>
  <c r="M82" i="7"/>
  <c r="AG79" i="7"/>
  <c r="AG82" i="7" s="1"/>
  <c r="AE79" i="7"/>
  <c r="AK79" i="7" s="1"/>
  <c r="AD79" i="7"/>
  <c r="AD82" i="7" s="1"/>
  <c r="AJ82" i="7" s="1"/>
  <c r="AB79" i="7"/>
  <c r="AB82" i="7" s="1"/>
  <c r="Z79" i="7"/>
  <c r="Z82" i="7" s="1"/>
  <c r="X79" i="7"/>
  <c r="X82" i="7" s="1"/>
  <c r="V79" i="7"/>
  <c r="V82" i="7" s="1"/>
  <c r="T79" i="7"/>
  <c r="T82" i="7" s="1"/>
  <c r="Q79" i="7"/>
  <c r="Q82" i="7" s="1"/>
  <c r="O79" i="7"/>
  <c r="O82" i="7" s="1"/>
  <c r="L78" i="7"/>
  <c r="AO78" i="7" s="1"/>
  <c r="AH78" i="7"/>
  <c r="AN78" i="7"/>
  <c r="AF78" i="7"/>
  <c r="V77" i="7"/>
  <c r="Q77" i="7"/>
  <c r="O77" i="7"/>
  <c r="T77" i="7"/>
  <c r="AG77" i="7"/>
  <c r="AE77" i="7"/>
  <c r="AK77" i="7" s="1"/>
  <c r="AD77" i="7"/>
  <c r="AB77" i="7"/>
  <c r="Z77" i="7"/>
  <c r="X77" i="7"/>
  <c r="AG76" i="7"/>
  <c r="AE76" i="7"/>
  <c r="AK76" i="7" s="1"/>
  <c r="AD76" i="7"/>
  <c r="AB76" i="7"/>
  <c r="Z76" i="7"/>
  <c r="X76" i="7"/>
  <c r="V76" i="7"/>
  <c r="T76" i="7"/>
  <c r="Q76" i="7"/>
  <c r="O76" i="7"/>
  <c r="M78" i="7"/>
  <c r="AG75" i="7"/>
  <c r="AG78" i="7" s="1"/>
  <c r="AE75" i="7"/>
  <c r="AK75" i="7" s="1"/>
  <c r="AD75" i="7"/>
  <c r="AD78" i="7" s="1"/>
  <c r="AJ78" i="7" s="1"/>
  <c r="AB75" i="7"/>
  <c r="AB78" i="7" s="1"/>
  <c r="Z75" i="7"/>
  <c r="Z78" i="7" s="1"/>
  <c r="X75" i="7"/>
  <c r="X78" i="7" s="1"/>
  <c r="V75" i="7"/>
  <c r="V78" i="7" s="1"/>
  <c r="T75" i="7"/>
  <c r="T78" i="7" s="1"/>
  <c r="Q75" i="7"/>
  <c r="Q78" i="7" s="1"/>
  <c r="O75" i="7"/>
  <c r="O78" i="7" s="1"/>
  <c r="AH74" i="7"/>
  <c r="AF74" i="7"/>
  <c r="AN74" i="7"/>
  <c r="L74" i="7"/>
  <c r="AO74" i="7" s="1"/>
  <c r="X73" i="7"/>
  <c r="V73" i="7"/>
  <c r="T73" i="7"/>
  <c r="Q73" i="7"/>
  <c r="AG73" i="7"/>
  <c r="AE73" i="7"/>
  <c r="AK73" i="7" s="1"/>
  <c r="AD73" i="7"/>
  <c r="AB73" i="7"/>
  <c r="Z73" i="7"/>
  <c r="O73" i="7"/>
  <c r="T72" i="7"/>
  <c r="Q72" i="7"/>
  <c r="O72" i="7"/>
  <c r="Z72" i="7"/>
  <c r="AG72" i="7"/>
  <c r="AE72" i="7"/>
  <c r="AK72" i="7" s="1"/>
  <c r="AD72" i="7"/>
  <c r="AB72" i="7"/>
  <c r="X72" i="7"/>
  <c r="V72" i="7"/>
  <c r="M74" i="7"/>
  <c r="AG71" i="7"/>
  <c r="AG74" i="7" s="1"/>
  <c r="AE71" i="7"/>
  <c r="AK71" i="7" s="1"/>
  <c r="AD71" i="7"/>
  <c r="AD74" i="7" s="1"/>
  <c r="AJ74" i="7" s="1"/>
  <c r="AB71" i="7"/>
  <c r="AB74" i="7" s="1"/>
  <c r="Z71" i="7"/>
  <c r="Z74" i="7" s="1"/>
  <c r="X71" i="7"/>
  <c r="X74" i="7" s="1"/>
  <c r="V71" i="7"/>
  <c r="V74" i="7" s="1"/>
  <c r="T71" i="7"/>
  <c r="T74" i="7" s="1"/>
  <c r="Q71" i="7"/>
  <c r="Q74" i="7" s="1"/>
  <c r="O71" i="7"/>
  <c r="O74" i="7" s="1"/>
  <c r="AN70" i="7"/>
  <c r="AH70" i="7"/>
  <c r="AF70" i="7"/>
  <c r="L70" i="7"/>
  <c r="AO70" i="7" s="1"/>
  <c r="AG69" i="7"/>
  <c r="AE69" i="7"/>
  <c r="AK69" i="7" s="1"/>
  <c r="AD69" i="7"/>
  <c r="AB69" i="7"/>
  <c r="Z69" i="7"/>
  <c r="X69" i="7"/>
  <c r="V69" i="7"/>
  <c r="T69" i="7"/>
  <c r="Q69" i="7"/>
  <c r="O69" i="7"/>
  <c r="AG68" i="7"/>
  <c r="AB68" i="7"/>
  <c r="AD68" i="7"/>
  <c r="AE68" i="7"/>
  <c r="AK68" i="7" s="1"/>
  <c r="Z68" i="7"/>
  <c r="X68" i="7"/>
  <c r="V68" i="7"/>
  <c r="T68" i="7"/>
  <c r="Q68" i="7"/>
  <c r="O68" i="7"/>
  <c r="AU70" i="7"/>
  <c r="AT71" i="7"/>
  <c r="AT72" i="7" s="1"/>
  <c r="AT73" i="7" s="1"/>
  <c r="M70" i="7"/>
  <c r="AG67" i="7"/>
  <c r="AG70" i="7" s="1"/>
  <c r="AE67" i="7"/>
  <c r="AK67" i="7" s="1"/>
  <c r="AD67" i="7"/>
  <c r="AD70" i="7" s="1"/>
  <c r="AJ70" i="7" s="1"/>
  <c r="AB67" i="7"/>
  <c r="AB70" i="7" s="1"/>
  <c r="Z67" i="7"/>
  <c r="Z70" i="7" s="1"/>
  <c r="X67" i="7"/>
  <c r="X70" i="7" s="1"/>
  <c r="V67" i="7"/>
  <c r="V70" i="7" s="1"/>
  <c r="T67" i="7"/>
  <c r="T70" i="7" s="1"/>
  <c r="Q67" i="7"/>
  <c r="Q70" i="7" s="1"/>
  <c r="O67" i="7"/>
  <c r="O70" i="7" s="1"/>
  <c r="M31" i="7"/>
  <c r="AG28" i="7"/>
  <c r="AE28" i="7"/>
  <c r="AK28" i="7" s="1"/>
  <c r="AD28" i="7"/>
  <c r="AB28" i="7"/>
  <c r="Z28" i="7"/>
  <c r="X28" i="7"/>
  <c r="V28" i="7"/>
  <c r="T28" i="7"/>
  <c r="Q28" i="7"/>
  <c r="O28" i="7"/>
  <c r="AT32" i="7"/>
  <c r="AT33" i="7" s="1"/>
  <c r="AT34" i="7" s="1"/>
  <c r="AU31" i="7"/>
  <c r="AG29" i="7"/>
  <c r="AE29" i="7"/>
  <c r="AK29" i="7" s="1"/>
  <c r="AD29" i="7"/>
  <c r="AB29" i="7"/>
  <c r="Z29" i="7"/>
  <c r="X29" i="7"/>
  <c r="V29" i="7"/>
  <c r="T29" i="7"/>
  <c r="Q29" i="7"/>
  <c r="O29" i="7"/>
  <c r="AG30" i="7"/>
  <c r="AE30" i="7"/>
  <c r="AK30" i="7" s="1"/>
  <c r="AD30" i="7"/>
  <c r="AB30" i="7"/>
  <c r="Z30" i="7"/>
  <c r="X30" i="7"/>
  <c r="V30" i="7"/>
  <c r="T30" i="7"/>
  <c r="Q30" i="7"/>
  <c r="O30" i="7"/>
  <c r="AN31" i="7"/>
  <c r="AH31" i="7"/>
  <c r="AF31" i="7"/>
  <c r="L31" i="7"/>
  <c r="AO31" i="7" s="1"/>
  <c r="M35" i="7"/>
  <c r="AG32" i="7"/>
  <c r="AE32" i="7"/>
  <c r="AK32" i="7" s="1"/>
  <c r="AD32" i="7"/>
  <c r="AB32" i="7"/>
  <c r="Z32" i="7"/>
  <c r="X32" i="7"/>
  <c r="V32" i="7"/>
  <c r="T32" i="7"/>
  <c r="Q32" i="7"/>
  <c r="O32" i="7"/>
  <c r="AG33" i="7"/>
  <c r="AE33" i="7"/>
  <c r="AK33" i="7" s="1"/>
  <c r="AD33" i="7"/>
  <c r="AB33" i="7"/>
  <c r="Z33" i="7"/>
  <c r="X33" i="7"/>
  <c r="V33" i="7"/>
  <c r="T33" i="7"/>
  <c r="Q33" i="7"/>
  <c r="O33" i="7"/>
  <c r="AG34" i="7"/>
  <c r="AE34" i="7"/>
  <c r="AK34" i="7" s="1"/>
  <c r="AD34" i="7"/>
  <c r="AB34" i="7"/>
  <c r="Z34" i="7"/>
  <c r="X34" i="7"/>
  <c r="V34" i="7"/>
  <c r="T34" i="7"/>
  <c r="Q34" i="7"/>
  <c r="O34" i="7"/>
  <c r="AN35" i="7"/>
  <c r="AH35" i="7"/>
  <c r="AF35" i="7"/>
  <c r="L35" i="7"/>
  <c r="AO35" i="7" s="1"/>
  <c r="M39" i="7"/>
  <c r="AG36" i="7"/>
  <c r="AE36" i="7"/>
  <c r="AK36" i="7" s="1"/>
  <c r="AD36" i="7"/>
  <c r="AB36" i="7"/>
  <c r="Z36" i="7"/>
  <c r="X36" i="7"/>
  <c r="V36" i="7"/>
  <c r="T36" i="7"/>
  <c r="Q36" i="7"/>
  <c r="O36" i="7"/>
  <c r="AG37" i="7"/>
  <c r="AE37" i="7"/>
  <c r="AK37" i="7" s="1"/>
  <c r="AD37" i="7"/>
  <c r="AB37" i="7"/>
  <c r="Z37" i="7"/>
  <c r="X37" i="7"/>
  <c r="V37" i="7"/>
  <c r="T37" i="7"/>
  <c r="Q37" i="7"/>
  <c r="O37" i="7"/>
  <c r="AG38" i="7"/>
  <c r="AE38" i="7"/>
  <c r="AK38" i="7" s="1"/>
  <c r="AD38" i="7"/>
  <c r="AB38" i="7"/>
  <c r="Z38" i="7"/>
  <c r="X38" i="7"/>
  <c r="V38" i="7"/>
  <c r="T38" i="7"/>
  <c r="Q38" i="7"/>
  <c r="O38" i="7"/>
  <c r="AN39" i="7"/>
  <c r="AH39" i="7"/>
  <c r="AF39" i="7"/>
  <c r="L39" i="7"/>
  <c r="AO39" i="7" s="1"/>
  <c r="M43" i="7"/>
  <c r="AG40" i="7"/>
  <c r="AE40" i="7"/>
  <c r="AK40" i="7" s="1"/>
  <c r="AD40" i="7"/>
  <c r="AB40" i="7"/>
  <c r="Z40" i="7"/>
  <c r="X40" i="7"/>
  <c r="V40" i="7"/>
  <c r="T40" i="7"/>
  <c r="Q40" i="7"/>
  <c r="O40" i="7"/>
  <c r="AG41" i="7"/>
  <c r="AE41" i="7"/>
  <c r="AK41" i="7" s="1"/>
  <c r="AD41" i="7"/>
  <c r="AB41" i="7"/>
  <c r="Z41" i="7"/>
  <c r="X41" i="7"/>
  <c r="V41" i="7"/>
  <c r="T41" i="7"/>
  <c r="Q41" i="7"/>
  <c r="O41" i="7"/>
  <c r="AG42" i="7"/>
  <c r="AE42" i="7"/>
  <c r="AK42" i="7" s="1"/>
  <c r="AD42" i="7"/>
  <c r="AB42" i="7"/>
  <c r="Z42" i="7"/>
  <c r="X42" i="7"/>
  <c r="V42" i="7"/>
  <c r="T42" i="7"/>
  <c r="Q42" i="7"/>
  <c r="O42" i="7"/>
  <c r="AN43" i="7"/>
  <c r="AH43" i="7"/>
  <c r="AF43" i="7"/>
  <c r="L43" i="7"/>
  <c r="AO43" i="7" s="1"/>
  <c r="M47" i="7"/>
  <c r="AG44" i="7"/>
  <c r="AE44" i="7"/>
  <c r="AK44" i="7" s="1"/>
  <c r="AD44" i="7"/>
  <c r="AB44" i="7"/>
  <c r="Z44" i="7"/>
  <c r="X44" i="7"/>
  <c r="V44" i="7"/>
  <c r="T44" i="7"/>
  <c r="Q44" i="7"/>
  <c r="O44" i="7"/>
  <c r="AG45" i="7"/>
  <c r="AE45" i="7"/>
  <c r="AK45" i="7" s="1"/>
  <c r="AD45" i="7"/>
  <c r="AB45" i="7"/>
  <c r="Z45" i="7"/>
  <c r="X45" i="7"/>
  <c r="V45" i="7"/>
  <c r="T45" i="7"/>
  <c r="Q45" i="7"/>
  <c r="O45" i="7"/>
  <c r="AG46" i="7"/>
  <c r="AE46" i="7"/>
  <c r="AK46" i="7" s="1"/>
  <c r="AD46" i="7"/>
  <c r="AB46" i="7"/>
  <c r="Z46" i="7"/>
  <c r="X46" i="7"/>
  <c r="V46" i="7"/>
  <c r="T46" i="7"/>
  <c r="Q46" i="7"/>
  <c r="O46" i="7"/>
  <c r="AN47" i="7"/>
  <c r="AH47" i="7"/>
  <c r="AF47" i="7"/>
  <c r="L47" i="7"/>
  <c r="AO47" i="7" s="1"/>
  <c r="M51" i="7"/>
  <c r="AG48" i="7"/>
  <c r="AE48" i="7"/>
  <c r="AK48" i="7" s="1"/>
  <c r="AD48" i="7"/>
  <c r="AB48" i="7"/>
  <c r="Z48" i="7"/>
  <c r="X48" i="7"/>
  <c r="V48" i="7"/>
  <c r="T48" i="7"/>
  <c r="Q48" i="7"/>
  <c r="O48" i="7"/>
  <c r="AG49" i="7"/>
  <c r="AE49" i="7"/>
  <c r="AK49" i="7" s="1"/>
  <c r="AD49" i="7"/>
  <c r="AB49" i="7"/>
  <c r="Z49" i="7"/>
  <c r="X49" i="7"/>
  <c r="V49" i="7"/>
  <c r="T49" i="7"/>
  <c r="Q49" i="7"/>
  <c r="O49" i="7"/>
  <c r="AG50" i="7"/>
  <c r="AE50" i="7"/>
  <c r="AK50" i="7" s="1"/>
  <c r="AD50" i="7"/>
  <c r="AB50" i="7"/>
  <c r="Z50" i="7"/>
  <c r="X50" i="7"/>
  <c r="V50" i="7"/>
  <c r="T50" i="7"/>
  <c r="Q50" i="7"/>
  <c r="O50" i="7"/>
  <c r="AN51" i="7"/>
  <c r="AH51" i="7"/>
  <c r="AF51" i="7"/>
  <c r="L51" i="7"/>
  <c r="AO51" i="7" s="1"/>
  <c r="M55" i="7"/>
  <c r="AG52" i="7"/>
  <c r="AE52" i="7"/>
  <c r="AK52" i="7" s="1"/>
  <c r="AD52" i="7"/>
  <c r="AB52" i="7"/>
  <c r="Z52" i="7"/>
  <c r="X52" i="7"/>
  <c r="V52" i="7"/>
  <c r="T52" i="7"/>
  <c r="Q52" i="7"/>
  <c r="O52" i="7"/>
  <c r="AG53" i="7"/>
  <c r="AE53" i="7"/>
  <c r="AK53" i="7" s="1"/>
  <c r="AD53" i="7"/>
  <c r="AB53" i="7"/>
  <c r="Z53" i="7"/>
  <c r="X53" i="7"/>
  <c r="V53" i="7"/>
  <c r="T53" i="7"/>
  <c r="Q53" i="7"/>
  <c r="O53" i="7"/>
  <c r="AG54" i="7"/>
  <c r="AE54" i="7"/>
  <c r="AK54" i="7" s="1"/>
  <c r="AD54" i="7"/>
  <c r="AB54" i="7"/>
  <c r="Z54" i="7"/>
  <c r="X54" i="7"/>
  <c r="V54" i="7"/>
  <c r="T54" i="7"/>
  <c r="Q54" i="7"/>
  <c r="O54" i="7"/>
  <c r="AN55" i="7"/>
  <c r="AH55" i="7"/>
  <c r="AF55" i="7"/>
  <c r="L55" i="7"/>
  <c r="AO55" i="7" s="1"/>
  <c r="M59" i="7"/>
  <c r="AG56" i="7"/>
  <c r="AE56" i="7"/>
  <c r="AK56" i="7" s="1"/>
  <c r="AD56" i="7"/>
  <c r="AB56" i="7"/>
  <c r="Z56" i="7"/>
  <c r="X56" i="7"/>
  <c r="V56" i="7"/>
  <c r="T56" i="7"/>
  <c r="Q56" i="7"/>
  <c r="O56" i="7"/>
  <c r="AG57" i="7"/>
  <c r="AE57" i="7"/>
  <c r="AK57" i="7" s="1"/>
  <c r="AD57" i="7"/>
  <c r="AB57" i="7"/>
  <c r="Z57" i="7"/>
  <c r="X57" i="7"/>
  <c r="V57" i="7"/>
  <c r="T57" i="7"/>
  <c r="Q57" i="7"/>
  <c r="O57" i="7"/>
  <c r="AG58" i="7"/>
  <c r="AE58" i="7"/>
  <c r="AK58" i="7" s="1"/>
  <c r="AD58" i="7"/>
  <c r="AB58" i="7"/>
  <c r="Z58" i="7"/>
  <c r="X58" i="7"/>
  <c r="V58" i="7"/>
  <c r="T58" i="7"/>
  <c r="Q58" i="7"/>
  <c r="O58" i="7"/>
  <c r="AN59" i="7"/>
  <c r="AH59" i="7"/>
  <c r="AF59" i="7"/>
  <c r="L59" i="7"/>
  <c r="AO59" i="7" s="1"/>
  <c r="M63" i="7"/>
  <c r="AG60" i="7"/>
  <c r="AE60" i="7"/>
  <c r="AK60" i="7" s="1"/>
  <c r="AD60" i="7"/>
  <c r="AB60" i="7"/>
  <c r="Z60" i="7"/>
  <c r="X60" i="7"/>
  <c r="V60" i="7"/>
  <c r="T60" i="7"/>
  <c r="Q60" i="7"/>
  <c r="O60" i="7"/>
  <c r="AG61" i="7"/>
  <c r="AE61" i="7"/>
  <c r="AK61" i="7" s="1"/>
  <c r="AD61" i="7"/>
  <c r="AB61" i="7"/>
  <c r="Z61" i="7"/>
  <c r="X61" i="7"/>
  <c r="V61" i="7"/>
  <c r="T61" i="7"/>
  <c r="Q61" i="7"/>
  <c r="O61" i="7"/>
  <c r="AG62" i="7"/>
  <c r="AE62" i="7"/>
  <c r="AK62" i="7" s="1"/>
  <c r="AD62" i="7"/>
  <c r="AB62" i="7"/>
  <c r="Z62" i="7"/>
  <c r="X62" i="7"/>
  <c r="V62" i="7"/>
  <c r="T62" i="7"/>
  <c r="Q62" i="7"/>
  <c r="O62" i="7"/>
  <c r="AN63" i="7"/>
  <c r="AH63" i="7"/>
  <c r="AF63" i="7"/>
  <c r="L63" i="7"/>
  <c r="AO63" i="7" s="1"/>
  <c r="AG64" i="7"/>
  <c r="AE64" i="7"/>
  <c r="AK64" i="7" s="1"/>
  <c r="AD64" i="7"/>
  <c r="AB64" i="7"/>
  <c r="Z64" i="7"/>
  <c r="X64" i="7"/>
  <c r="V64" i="7"/>
  <c r="T64" i="7"/>
  <c r="Q64" i="7"/>
  <c r="O64" i="7"/>
  <c r="AG65" i="7"/>
  <c r="AE65" i="7"/>
  <c r="AK65" i="7" s="1"/>
  <c r="AD65" i="7"/>
  <c r="AB65" i="7"/>
  <c r="Z65" i="7"/>
  <c r="X65" i="7"/>
  <c r="V65" i="7"/>
  <c r="T65" i="7"/>
  <c r="Q65" i="7"/>
  <c r="O65" i="7"/>
  <c r="AG66" i="7"/>
  <c r="AE66" i="7"/>
  <c r="AK66" i="7" s="1"/>
  <c r="AD66" i="7"/>
  <c r="AB66" i="7"/>
  <c r="Z66" i="7"/>
  <c r="X66" i="7"/>
  <c r="V66" i="7"/>
  <c r="T66" i="7"/>
  <c r="Q66" i="7"/>
  <c r="O66" i="7"/>
  <c r="M7" i="7"/>
  <c r="AG4" i="7"/>
  <c r="AE4" i="7"/>
  <c r="AK4" i="7" s="1"/>
  <c r="AD4" i="7"/>
  <c r="AB4" i="7"/>
  <c r="Z4" i="7"/>
  <c r="X4" i="7"/>
  <c r="V4" i="7"/>
  <c r="T4" i="7"/>
  <c r="Q4" i="7"/>
  <c r="O4" i="7"/>
  <c r="AT8" i="7"/>
  <c r="AT9" i="7" s="1"/>
  <c r="AT10" i="7" s="1"/>
  <c r="AU7" i="7"/>
  <c r="AG5" i="7"/>
  <c r="AE5" i="7"/>
  <c r="AK5" i="7" s="1"/>
  <c r="AD5" i="7"/>
  <c r="AB5" i="7"/>
  <c r="Z5" i="7"/>
  <c r="X5" i="7"/>
  <c r="V5" i="7"/>
  <c r="T5" i="7"/>
  <c r="Q5" i="7"/>
  <c r="O5" i="7"/>
  <c r="AG6" i="7"/>
  <c r="AE6" i="7"/>
  <c r="AK6" i="7" s="1"/>
  <c r="AD6" i="7"/>
  <c r="AB6" i="7"/>
  <c r="Z6" i="7"/>
  <c r="X6" i="7"/>
  <c r="V6" i="7"/>
  <c r="T6" i="7"/>
  <c r="Q6" i="7"/>
  <c r="O6" i="7"/>
  <c r="AO7" i="7"/>
  <c r="AN7" i="7"/>
  <c r="AH7" i="7"/>
  <c r="AF7" i="7"/>
  <c r="L7" i="7"/>
  <c r="M11" i="7"/>
  <c r="AG8" i="7"/>
  <c r="AE8" i="7"/>
  <c r="AK8" i="7" s="1"/>
  <c r="AD8" i="7"/>
  <c r="AB8" i="7"/>
  <c r="Z8" i="7"/>
  <c r="X8" i="7"/>
  <c r="V8" i="7"/>
  <c r="T8" i="7"/>
  <c r="Q8" i="7"/>
  <c r="O8" i="7"/>
  <c r="AG9" i="7"/>
  <c r="AE9" i="7"/>
  <c r="AK9" i="7" s="1"/>
  <c r="AD9" i="7"/>
  <c r="AB9" i="7"/>
  <c r="Z9" i="7"/>
  <c r="X9" i="7"/>
  <c r="V9" i="7"/>
  <c r="T9" i="7"/>
  <c r="Q9" i="7"/>
  <c r="O9" i="7"/>
  <c r="AG10" i="7"/>
  <c r="AE10" i="7"/>
  <c r="AK10" i="7" s="1"/>
  <c r="AD10" i="7"/>
  <c r="AB10" i="7"/>
  <c r="Z10" i="7"/>
  <c r="X10" i="7"/>
  <c r="V10" i="7"/>
  <c r="T10" i="7"/>
  <c r="Q10" i="7"/>
  <c r="O10" i="7"/>
  <c r="AO11" i="7"/>
  <c r="AN11" i="7"/>
  <c r="AH11" i="7"/>
  <c r="AF11" i="7"/>
  <c r="L11" i="7"/>
  <c r="M15" i="7"/>
  <c r="AG12" i="7"/>
  <c r="AE12" i="7"/>
  <c r="AK12" i="7" s="1"/>
  <c r="AD12" i="7"/>
  <c r="AB12" i="7"/>
  <c r="Z12" i="7"/>
  <c r="X12" i="7"/>
  <c r="V12" i="7"/>
  <c r="T12" i="7"/>
  <c r="Q12" i="7"/>
  <c r="O12" i="7"/>
  <c r="AG13" i="7"/>
  <c r="AE13" i="7"/>
  <c r="AK13" i="7" s="1"/>
  <c r="AD13" i="7"/>
  <c r="AB13" i="7"/>
  <c r="Z13" i="7"/>
  <c r="X13" i="7"/>
  <c r="V13" i="7"/>
  <c r="T13" i="7"/>
  <c r="Q13" i="7"/>
  <c r="O13" i="7"/>
  <c r="AG14" i="7"/>
  <c r="AE14" i="7"/>
  <c r="AK14" i="7" s="1"/>
  <c r="AD14" i="7"/>
  <c r="AB14" i="7"/>
  <c r="Z14" i="7"/>
  <c r="X14" i="7"/>
  <c r="V14" i="7"/>
  <c r="T14" i="7"/>
  <c r="Q14" i="7"/>
  <c r="O14" i="7"/>
  <c r="AO15" i="7"/>
  <c r="AN15" i="7"/>
  <c r="AH15" i="7"/>
  <c r="AF15" i="7"/>
  <c r="L15" i="7"/>
  <c r="M19" i="7"/>
  <c r="AG16" i="7"/>
  <c r="AE16" i="7"/>
  <c r="AK16" i="7" s="1"/>
  <c r="AD16" i="7"/>
  <c r="AB16" i="7"/>
  <c r="Z16" i="7"/>
  <c r="X16" i="7"/>
  <c r="V16" i="7"/>
  <c r="T16" i="7"/>
  <c r="Q16" i="7"/>
  <c r="O16" i="7"/>
  <c r="AG17" i="7"/>
  <c r="AE17" i="7"/>
  <c r="AK17" i="7" s="1"/>
  <c r="AD17" i="7"/>
  <c r="AB17" i="7"/>
  <c r="Z17" i="7"/>
  <c r="X17" i="7"/>
  <c r="V17" i="7"/>
  <c r="T17" i="7"/>
  <c r="Q17" i="7"/>
  <c r="O17" i="7"/>
  <c r="AG18" i="7"/>
  <c r="AE18" i="7"/>
  <c r="AK18" i="7" s="1"/>
  <c r="AD18" i="7"/>
  <c r="AB18" i="7"/>
  <c r="Z18" i="7"/>
  <c r="X18" i="7"/>
  <c r="V18" i="7"/>
  <c r="T18" i="7"/>
  <c r="Q18" i="7"/>
  <c r="O18" i="7"/>
  <c r="AO19" i="7"/>
  <c r="AN19" i="7"/>
  <c r="AH19" i="7"/>
  <c r="AF19" i="7"/>
  <c r="L19" i="7"/>
  <c r="M23" i="7"/>
  <c r="AG20" i="7"/>
  <c r="AE20" i="7"/>
  <c r="AK20" i="7" s="1"/>
  <c r="AD20" i="7"/>
  <c r="AB20" i="7"/>
  <c r="Z20" i="7"/>
  <c r="X20" i="7"/>
  <c r="V20" i="7"/>
  <c r="T20" i="7"/>
  <c r="Q20" i="7"/>
  <c r="O20" i="7"/>
  <c r="AG21" i="7"/>
  <c r="AE21" i="7"/>
  <c r="AK21" i="7" s="1"/>
  <c r="AD21" i="7"/>
  <c r="AB21" i="7"/>
  <c r="Z21" i="7"/>
  <c r="X21" i="7"/>
  <c r="V21" i="7"/>
  <c r="T21" i="7"/>
  <c r="Q21" i="7"/>
  <c r="O21" i="7"/>
  <c r="AG22" i="7"/>
  <c r="AE22" i="7"/>
  <c r="AK22" i="7" s="1"/>
  <c r="AD22" i="7"/>
  <c r="AB22" i="7"/>
  <c r="Z22" i="7"/>
  <c r="X22" i="7"/>
  <c r="V22" i="7"/>
  <c r="T22" i="7"/>
  <c r="Q22" i="7"/>
  <c r="O22" i="7"/>
  <c r="AO23" i="7"/>
  <c r="AN23" i="7"/>
  <c r="AH23" i="7"/>
  <c r="AF23" i="7"/>
  <c r="L23" i="7"/>
  <c r="M27" i="7"/>
  <c r="AG24" i="7"/>
  <c r="AE24" i="7"/>
  <c r="AK24" i="7" s="1"/>
  <c r="AD24" i="7"/>
  <c r="AB24" i="7"/>
  <c r="Z24" i="7"/>
  <c r="X24" i="7"/>
  <c r="V24" i="7"/>
  <c r="T24" i="7"/>
  <c r="Q24" i="7"/>
  <c r="O24" i="7"/>
  <c r="AG25" i="7"/>
  <c r="AE25" i="7"/>
  <c r="AK25" i="7" s="1"/>
  <c r="AD25" i="7"/>
  <c r="AB25" i="7"/>
  <c r="Z25" i="7"/>
  <c r="X25" i="7"/>
  <c r="V25" i="7"/>
  <c r="T25" i="7"/>
  <c r="Q25" i="7"/>
  <c r="O25" i="7"/>
  <c r="AG26" i="7"/>
  <c r="AE26" i="7"/>
  <c r="AK26" i="7" s="1"/>
  <c r="AD26" i="7"/>
  <c r="AB26" i="7"/>
  <c r="Z26" i="7"/>
  <c r="X26" i="7"/>
  <c r="V26" i="7"/>
  <c r="T26" i="7"/>
  <c r="Q26" i="7"/>
  <c r="O26" i="7"/>
  <c r="AO27" i="7"/>
  <c r="AN27" i="7"/>
  <c r="AH27" i="7"/>
  <c r="AF27" i="7"/>
  <c r="L27" i="7"/>
  <c r="M7" i="6"/>
  <c r="AG4" i="6"/>
  <c r="AE4" i="6"/>
  <c r="AK4" i="6" s="1"/>
  <c r="AD4" i="6"/>
  <c r="AB4" i="6"/>
  <c r="Z4" i="6"/>
  <c r="X4" i="6"/>
  <c r="V4" i="6"/>
  <c r="T4" i="6"/>
  <c r="Q4" i="6"/>
  <c r="O4" i="6"/>
  <c r="AT8" i="6"/>
  <c r="AT9" i="6" s="1"/>
  <c r="AT10" i="6" s="1"/>
  <c r="AU7" i="6"/>
  <c r="AG5" i="6"/>
  <c r="AE5" i="6"/>
  <c r="AK5" i="6" s="1"/>
  <c r="AD5" i="6"/>
  <c r="AB5" i="6"/>
  <c r="Z5" i="6"/>
  <c r="X5" i="6"/>
  <c r="V5" i="6"/>
  <c r="T5" i="6"/>
  <c r="Q5" i="6"/>
  <c r="O5" i="6"/>
  <c r="AG6" i="6"/>
  <c r="AE6" i="6"/>
  <c r="AK6" i="6" s="1"/>
  <c r="AD6" i="6"/>
  <c r="AB6" i="6"/>
  <c r="Z6" i="6"/>
  <c r="X6" i="6"/>
  <c r="V6" i="6"/>
  <c r="T6" i="6"/>
  <c r="Q6" i="6"/>
  <c r="O6" i="6"/>
  <c r="AO7" i="6"/>
  <c r="AN7" i="6"/>
  <c r="AH7" i="6"/>
  <c r="AF7" i="6"/>
  <c r="L7" i="6"/>
  <c r="M11" i="6"/>
  <c r="AG8" i="6"/>
  <c r="AE8" i="6"/>
  <c r="AK8" i="6" s="1"/>
  <c r="AD8" i="6"/>
  <c r="AB8" i="6"/>
  <c r="Z8" i="6"/>
  <c r="X8" i="6"/>
  <c r="V8" i="6"/>
  <c r="T8" i="6"/>
  <c r="Q8" i="6"/>
  <c r="O8" i="6"/>
  <c r="AG9" i="6"/>
  <c r="AE9" i="6"/>
  <c r="AK9" i="6" s="1"/>
  <c r="AD9" i="6"/>
  <c r="AB9" i="6"/>
  <c r="Z9" i="6"/>
  <c r="X9" i="6"/>
  <c r="V9" i="6"/>
  <c r="T9" i="6"/>
  <c r="Q9" i="6"/>
  <c r="O9" i="6"/>
  <c r="AG10" i="6"/>
  <c r="AE10" i="6"/>
  <c r="AK10" i="6" s="1"/>
  <c r="AD10" i="6"/>
  <c r="AB10" i="6"/>
  <c r="Z10" i="6"/>
  <c r="X10" i="6"/>
  <c r="V10" i="6"/>
  <c r="T10" i="6"/>
  <c r="Q10" i="6"/>
  <c r="O10" i="6"/>
  <c r="AO11" i="6"/>
  <c r="AN11" i="6"/>
  <c r="AH11" i="6"/>
  <c r="AF11" i="6"/>
  <c r="L11" i="6"/>
  <c r="M15" i="6"/>
  <c r="AG12" i="6"/>
  <c r="AE12" i="6"/>
  <c r="AK12" i="6" s="1"/>
  <c r="AD12" i="6"/>
  <c r="AB12" i="6"/>
  <c r="Z12" i="6"/>
  <c r="X12" i="6"/>
  <c r="V12" i="6"/>
  <c r="T12" i="6"/>
  <c r="Q12" i="6"/>
  <c r="O12" i="6"/>
  <c r="AG13" i="6"/>
  <c r="AE13" i="6"/>
  <c r="AK13" i="6" s="1"/>
  <c r="AD13" i="6"/>
  <c r="AB13" i="6"/>
  <c r="Z13" i="6"/>
  <c r="X13" i="6"/>
  <c r="V13" i="6"/>
  <c r="T13" i="6"/>
  <c r="Q13" i="6"/>
  <c r="O13" i="6"/>
  <c r="AG14" i="6"/>
  <c r="AE14" i="6"/>
  <c r="AK14" i="6" s="1"/>
  <c r="AD14" i="6"/>
  <c r="AB14" i="6"/>
  <c r="Z14" i="6"/>
  <c r="X14" i="6"/>
  <c r="V14" i="6"/>
  <c r="T14" i="6"/>
  <c r="Q14" i="6"/>
  <c r="O14" i="6"/>
  <c r="AO15" i="6"/>
  <c r="AN15" i="6"/>
  <c r="AH15" i="6"/>
  <c r="AF15" i="6"/>
  <c r="L15" i="6"/>
  <c r="M19" i="6"/>
  <c r="AG16" i="6"/>
  <c r="AE16" i="6"/>
  <c r="AK16" i="6" s="1"/>
  <c r="AD16" i="6"/>
  <c r="AB16" i="6"/>
  <c r="Z16" i="6"/>
  <c r="X16" i="6"/>
  <c r="V16" i="6"/>
  <c r="T16" i="6"/>
  <c r="Q16" i="6"/>
  <c r="O16" i="6"/>
  <c r="AG17" i="6"/>
  <c r="AE17" i="6"/>
  <c r="AK17" i="6" s="1"/>
  <c r="AD17" i="6"/>
  <c r="AB17" i="6"/>
  <c r="Z17" i="6"/>
  <c r="X17" i="6"/>
  <c r="V17" i="6"/>
  <c r="T17" i="6"/>
  <c r="Q17" i="6"/>
  <c r="O17" i="6"/>
  <c r="AG18" i="6"/>
  <c r="AE18" i="6"/>
  <c r="AK18" i="6" s="1"/>
  <c r="AD18" i="6"/>
  <c r="AB18" i="6"/>
  <c r="Z18" i="6"/>
  <c r="X18" i="6"/>
  <c r="V18" i="6"/>
  <c r="T18" i="6"/>
  <c r="Q18" i="6"/>
  <c r="O18" i="6"/>
  <c r="AO19" i="6"/>
  <c r="AN19" i="6"/>
  <c r="AH19" i="6"/>
  <c r="AF19" i="6"/>
  <c r="L19" i="6"/>
  <c r="M23" i="6"/>
  <c r="AG20" i="6"/>
  <c r="AE20" i="6"/>
  <c r="AK20" i="6" s="1"/>
  <c r="AD20" i="6"/>
  <c r="AB20" i="6"/>
  <c r="Z20" i="6"/>
  <c r="X20" i="6"/>
  <c r="V20" i="6"/>
  <c r="T20" i="6"/>
  <c r="Q20" i="6"/>
  <c r="O20" i="6"/>
  <c r="AG21" i="6"/>
  <c r="AE21" i="6"/>
  <c r="AK21" i="6" s="1"/>
  <c r="AD21" i="6"/>
  <c r="AB21" i="6"/>
  <c r="Z21" i="6"/>
  <c r="X21" i="6"/>
  <c r="V21" i="6"/>
  <c r="T21" i="6"/>
  <c r="Q21" i="6"/>
  <c r="O21" i="6"/>
  <c r="AG22" i="6"/>
  <c r="AE22" i="6"/>
  <c r="AK22" i="6" s="1"/>
  <c r="AD22" i="6"/>
  <c r="AB22" i="6"/>
  <c r="Z22" i="6"/>
  <c r="X22" i="6"/>
  <c r="V22" i="6"/>
  <c r="T22" i="6"/>
  <c r="Q22" i="6"/>
  <c r="O22" i="6"/>
  <c r="AO23" i="6"/>
  <c r="AN23" i="6"/>
  <c r="AH23" i="6"/>
  <c r="AF23" i="6"/>
  <c r="L23" i="6"/>
  <c r="M27" i="6"/>
  <c r="AG24" i="6"/>
  <c r="AE24" i="6"/>
  <c r="AK24" i="6" s="1"/>
  <c r="AD24" i="6"/>
  <c r="AB24" i="6"/>
  <c r="Z24" i="6"/>
  <c r="X24" i="6"/>
  <c r="V24" i="6"/>
  <c r="T24" i="6"/>
  <c r="Q24" i="6"/>
  <c r="O24" i="6"/>
  <c r="AG25" i="6"/>
  <c r="AE25" i="6"/>
  <c r="AK25" i="6" s="1"/>
  <c r="AD25" i="6"/>
  <c r="AB25" i="6"/>
  <c r="Z25" i="6"/>
  <c r="X25" i="6"/>
  <c r="V25" i="6"/>
  <c r="T25" i="6"/>
  <c r="Q25" i="6"/>
  <c r="O25" i="6"/>
  <c r="AG26" i="6"/>
  <c r="AE26" i="6"/>
  <c r="AK26" i="6" s="1"/>
  <c r="AD26" i="6"/>
  <c r="AB26" i="6"/>
  <c r="Z26" i="6"/>
  <c r="X26" i="6"/>
  <c r="V26" i="6"/>
  <c r="T26" i="6"/>
  <c r="Q26" i="6"/>
  <c r="O26" i="6"/>
  <c r="AO27" i="6"/>
  <c r="AN27" i="6"/>
  <c r="AH27" i="6"/>
  <c r="AF27" i="6"/>
  <c r="L27" i="6"/>
  <c r="M31" i="6"/>
  <c r="AG28" i="6"/>
  <c r="AE28" i="6"/>
  <c r="AK28" i="6" s="1"/>
  <c r="AD28" i="6"/>
  <c r="AB28" i="6"/>
  <c r="Z28" i="6"/>
  <c r="X28" i="6"/>
  <c r="V28" i="6"/>
  <c r="T28" i="6"/>
  <c r="Q28" i="6"/>
  <c r="O28" i="6"/>
  <c r="AG29" i="6"/>
  <c r="AE29" i="6"/>
  <c r="AK29" i="6" s="1"/>
  <c r="AD29" i="6"/>
  <c r="AB29" i="6"/>
  <c r="Z29" i="6"/>
  <c r="X29" i="6"/>
  <c r="V29" i="6"/>
  <c r="T29" i="6"/>
  <c r="Q29" i="6"/>
  <c r="O29" i="6"/>
  <c r="AG30" i="6"/>
  <c r="AE30" i="6"/>
  <c r="AK30" i="6" s="1"/>
  <c r="AD30" i="6"/>
  <c r="AB30" i="6"/>
  <c r="Z30" i="6"/>
  <c r="X30" i="6"/>
  <c r="V30" i="6"/>
  <c r="T30" i="6"/>
  <c r="Q30" i="6"/>
  <c r="O30" i="6"/>
  <c r="AN31" i="6"/>
  <c r="AH31" i="6"/>
  <c r="AF31" i="6"/>
  <c r="L31" i="6"/>
  <c r="AO31" i="6" s="1"/>
  <c r="M35" i="6"/>
  <c r="AG32" i="6"/>
  <c r="AE32" i="6"/>
  <c r="AK32" i="6" s="1"/>
  <c r="AD32" i="6"/>
  <c r="AB32" i="6"/>
  <c r="Z32" i="6"/>
  <c r="X32" i="6"/>
  <c r="V32" i="6"/>
  <c r="T32" i="6"/>
  <c r="Q32" i="6"/>
  <c r="O32" i="6"/>
  <c r="AG33" i="6"/>
  <c r="AE33" i="6"/>
  <c r="AK33" i="6" s="1"/>
  <c r="AD33" i="6"/>
  <c r="AB33" i="6"/>
  <c r="Z33" i="6"/>
  <c r="X33" i="6"/>
  <c r="V33" i="6"/>
  <c r="T33" i="6"/>
  <c r="Q33" i="6"/>
  <c r="O33" i="6"/>
  <c r="AG34" i="6"/>
  <c r="AE34" i="6"/>
  <c r="AK34" i="6" s="1"/>
  <c r="AD34" i="6"/>
  <c r="AB34" i="6"/>
  <c r="Z34" i="6"/>
  <c r="X34" i="6"/>
  <c r="V34" i="6"/>
  <c r="T34" i="6"/>
  <c r="Q34" i="6"/>
  <c r="O34" i="6"/>
  <c r="AN35" i="6"/>
  <c r="AH35" i="6"/>
  <c r="AF35" i="6"/>
  <c r="L35" i="6"/>
  <c r="AO35" i="6" s="1"/>
  <c r="M39" i="6"/>
  <c r="AG36" i="6"/>
  <c r="AE36" i="6"/>
  <c r="AK36" i="6" s="1"/>
  <c r="AD36" i="6"/>
  <c r="AB36" i="6"/>
  <c r="Z36" i="6"/>
  <c r="X36" i="6"/>
  <c r="V36" i="6"/>
  <c r="T36" i="6"/>
  <c r="Q36" i="6"/>
  <c r="O36" i="6"/>
  <c r="AG37" i="6"/>
  <c r="AE37" i="6"/>
  <c r="AK37" i="6" s="1"/>
  <c r="AD37" i="6"/>
  <c r="AB37" i="6"/>
  <c r="Z37" i="6"/>
  <c r="X37" i="6"/>
  <c r="V37" i="6"/>
  <c r="T37" i="6"/>
  <c r="Q37" i="6"/>
  <c r="O37" i="6"/>
  <c r="AG38" i="6"/>
  <c r="AE38" i="6"/>
  <c r="AK38" i="6" s="1"/>
  <c r="AD38" i="6"/>
  <c r="AB38" i="6"/>
  <c r="Z38" i="6"/>
  <c r="X38" i="6"/>
  <c r="V38" i="6"/>
  <c r="T38" i="6"/>
  <c r="Q38" i="6"/>
  <c r="O38" i="6"/>
  <c r="AN39" i="6"/>
  <c r="AH39" i="6"/>
  <c r="AF39" i="6"/>
  <c r="L39" i="6"/>
  <c r="AO39" i="6" s="1"/>
  <c r="M43" i="6"/>
  <c r="AG40" i="6"/>
  <c r="AE40" i="6"/>
  <c r="AK40" i="6" s="1"/>
  <c r="AD40" i="6"/>
  <c r="AB40" i="6"/>
  <c r="Z40" i="6"/>
  <c r="X40" i="6"/>
  <c r="V40" i="6"/>
  <c r="T40" i="6"/>
  <c r="Q40" i="6"/>
  <c r="O40" i="6"/>
  <c r="AG41" i="6"/>
  <c r="AE41" i="6"/>
  <c r="AK41" i="6" s="1"/>
  <c r="AD41" i="6"/>
  <c r="AB41" i="6"/>
  <c r="Z41" i="6"/>
  <c r="X41" i="6"/>
  <c r="V41" i="6"/>
  <c r="T41" i="6"/>
  <c r="Q41" i="6"/>
  <c r="O41" i="6"/>
  <c r="AG42" i="6"/>
  <c r="AE42" i="6"/>
  <c r="AK42" i="6" s="1"/>
  <c r="AD42" i="6"/>
  <c r="AB42" i="6"/>
  <c r="Z42" i="6"/>
  <c r="X42" i="6"/>
  <c r="V42" i="6"/>
  <c r="T42" i="6"/>
  <c r="Q42" i="6"/>
  <c r="O42" i="6"/>
  <c r="AN43" i="6"/>
  <c r="AH43" i="6"/>
  <c r="AF43" i="6"/>
  <c r="L43" i="6"/>
  <c r="AO43" i="6" s="1"/>
  <c r="M47" i="6"/>
  <c r="AG44" i="6"/>
  <c r="AE44" i="6"/>
  <c r="AK44" i="6" s="1"/>
  <c r="AD44" i="6"/>
  <c r="AB44" i="6"/>
  <c r="Z44" i="6"/>
  <c r="X44" i="6"/>
  <c r="V44" i="6"/>
  <c r="T44" i="6"/>
  <c r="Q44" i="6"/>
  <c r="O44" i="6"/>
  <c r="AG45" i="6"/>
  <c r="AE45" i="6"/>
  <c r="AK45" i="6" s="1"/>
  <c r="AD45" i="6"/>
  <c r="AB45" i="6"/>
  <c r="Z45" i="6"/>
  <c r="X45" i="6"/>
  <c r="V45" i="6"/>
  <c r="T45" i="6"/>
  <c r="Q45" i="6"/>
  <c r="O45" i="6"/>
  <c r="AG46" i="6"/>
  <c r="AE46" i="6"/>
  <c r="AK46" i="6" s="1"/>
  <c r="AD46" i="6"/>
  <c r="AB46" i="6"/>
  <c r="Z46" i="6"/>
  <c r="X46" i="6"/>
  <c r="V46" i="6"/>
  <c r="T46" i="6"/>
  <c r="Q46" i="6"/>
  <c r="O46" i="6"/>
  <c r="AN47" i="6"/>
  <c r="AH47" i="6"/>
  <c r="AF47" i="6"/>
  <c r="L47" i="6"/>
  <c r="AO47" i="6" s="1"/>
  <c r="M51" i="6"/>
  <c r="AG48" i="6"/>
  <c r="AE48" i="6"/>
  <c r="AK48" i="6" s="1"/>
  <c r="AD48" i="6"/>
  <c r="AB48" i="6"/>
  <c r="Z48" i="6"/>
  <c r="X48" i="6"/>
  <c r="V48" i="6"/>
  <c r="T48" i="6"/>
  <c r="Q48" i="6"/>
  <c r="O48" i="6"/>
  <c r="AG49" i="6"/>
  <c r="AE49" i="6"/>
  <c r="AK49" i="6" s="1"/>
  <c r="AD49" i="6"/>
  <c r="AB49" i="6"/>
  <c r="Z49" i="6"/>
  <c r="X49" i="6"/>
  <c r="V49" i="6"/>
  <c r="T49" i="6"/>
  <c r="Q49" i="6"/>
  <c r="O49" i="6"/>
  <c r="AG50" i="6"/>
  <c r="AE50" i="6"/>
  <c r="AK50" i="6" s="1"/>
  <c r="AD50" i="6"/>
  <c r="AB50" i="6"/>
  <c r="Z50" i="6"/>
  <c r="X50" i="6"/>
  <c r="V50" i="6"/>
  <c r="T50" i="6"/>
  <c r="Q50" i="6"/>
  <c r="O50" i="6"/>
  <c r="AN51" i="6"/>
  <c r="AH51" i="6"/>
  <c r="AF51" i="6"/>
  <c r="L51" i="6"/>
  <c r="AO51" i="6" s="1"/>
  <c r="M55" i="6"/>
  <c r="AG52" i="6"/>
  <c r="AE52" i="6"/>
  <c r="AK52" i="6" s="1"/>
  <c r="AD52" i="6"/>
  <c r="AB52" i="6"/>
  <c r="Z52" i="6"/>
  <c r="X52" i="6"/>
  <c r="V52" i="6"/>
  <c r="T52" i="6"/>
  <c r="Q52" i="6"/>
  <c r="O52" i="6"/>
  <c r="AG53" i="6"/>
  <c r="AE53" i="6"/>
  <c r="AK53" i="6" s="1"/>
  <c r="AD53" i="6"/>
  <c r="AB53" i="6"/>
  <c r="Z53" i="6"/>
  <c r="X53" i="6"/>
  <c r="V53" i="6"/>
  <c r="T53" i="6"/>
  <c r="Q53" i="6"/>
  <c r="O53" i="6"/>
  <c r="AT56" i="6"/>
  <c r="AT57" i="6" s="1"/>
  <c r="AT58" i="6" s="1"/>
  <c r="AU55" i="6"/>
  <c r="AG54" i="6"/>
  <c r="AE54" i="6"/>
  <c r="AK54" i="6" s="1"/>
  <c r="AD54" i="6"/>
  <c r="AB54" i="6"/>
  <c r="Z54" i="6"/>
  <c r="X54" i="6"/>
  <c r="V54" i="6"/>
  <c r="T54" i="6"/>
  <c r="Q54" i="6"/>
  <c r="O54" i="6"/>
  <c r="AN55" i="6"/>
  <c r="AH55" i="6"/>
  <c r="AF55" i="6"/>
  <c r="L55" i="6"/>
  <c r="AO55" i="6" s="1"/>
  <c r="M59" i="6"/>
  <c r="AG56" i="6"/>
  <c r="AE56" i="6"/>
  <c r="AK56" i="6" s="1"/>
  <c r="AD56" i="6"/>
  <c r="AB56" i="6"/>
  <c r="Z56" i="6"/>
  <c r="X56" i="6"/>
  <c r="V56" i="6"/>
  <c r="T56" i="6"/>
  <c r="Q56" i="6"/>
  <c r="O56" i="6"/>
  <c r="AG57" i="6"/>
  <c r="AE57" i="6"/>
  <c r="AK57" i="6" s="1"/>
  <c r="AD57" i="6"/>
  <c r="AB57" i="6"/>
  <c r="Z57" i="6"/>
  <c r="X57" i="6"/>
  <c r="V57" i="6"/>
  <c r="T57" i="6"/>
  <c r="Q57" i="6"/>
  <c r="O57" i="6"/>
  <c r="AG58" i="6"/>
  <c r="AE58" i="6"/>
  <c r="AK58" i="6" s="1"/>
  <c r="AD58" i="6"/>
  <c r="AB58" i="6"/>
  <c r="Z58" i="6"/>
  <c r="X58" i="6"/>
  <c r="V58" i="6"/>
  <c r="T58" i="6"/>
  <c r="Q58" i="6"/>
  <c r="O58" i="6"/>
  <c r="AN59" i="6"/>
  <c r="AH59" i="6"/>
  <c r="AF59" i="6"/>
  <c r="L59" i="6"/>
  <c r="AO59" i="6" s="1"/>
  <c r="M63" i="6"/>
  <c r="AG60" i="6"/>
  <c r="AE60" i="6"/>
  <c r="AK60" i="6" s="1"/>
  <c r="AD60" i="6"/>
  <c r="AB60" i="6"/>
  <c r="Z60" i="6"/>
  <c r="X60" i="6"/>
  <c r="V60" i="6"/>
  <c r="T60" i="6"/>
  <c r="Q60" i="6"/>
  <c r="O60" i="6"/>
  <c r="AG61" i="6"/>
  <c r="AE61" i="6"/>
  <c r="AK61" i="6" s="1"/>
  <c r="AD61" i="6"/>
  <c r="AB61" i="6"/>
  <c r="Z61" i="6"/>
  <c r="X61" i="6"/>
  <c r="V61" i="6"/>
  <c r="T61" i="6"/>
  <c r="Q61" i="6"/>
  <c r="O61" i="6"/>
  <c r="AG62" i="6"/>
  <c r="AE62" i="6"/>
  <c r="AK62" i="6" s="1"/>
  <c r="AD62" i="6"/>
  <c r="AB62" i="6"/>
  <c r="Z62" i="6"/>
  <c r="X62" i="6"/>
  <c r="V62" i="6"/>
  <c r="T62" i="6"/>
  <c r="Q62" i="6"/>
  <c r="O62" i="6"/>
  <c r="AN63" i="6"/>
  <c r="AH63" i="6"/>
  <c r="AF63" i="6"/>
  <c r="L63" i="6"/>
  <c r="AO63" i="6" s="1"/>
  <c r="M67" i="6"/>
  <c r="AG64" i="6"/>
  <c r="AE64" i="6"/>
  <c r="AK64" i="6" s="1"/>
  <c r="AD64" i="6"/>
  <c r="AB64" i="6"/>
  <c r="Z64" i="6"/>
  <c r="X64" i="6"/>
  <c r="V64" i="6"/>
  <c r="T64" i="6"/>
  <c r="Q64" i="6"/>
  <c r="O64" i="6"/>
  <c r="AG65" i="6"/>
  <c r="AE65" i="6"/>
  <c r="AK65" i="6" s="1"/>
  <c r="AD65" i="6"/>
  <c r="AB65" i="6"/>
  <c r="Z65" i="6"/>
  <c r="X65" i="6"/>
  <c r="V65" i="6"/>
  <c r="T65" i="6"/>
  <c r="Q65" i="6"/>
  <c r="O65" i="6"/>
  <c r="AG66" i="6"/>
  <c r="AE66" i="6"/>
  <c r="AK66" i="6" s="1"/>
  <c r="AD66" i="6"/>
  <c r="AB66" i="6"/>
  <c r="Z66" i="6"/>
  <c r="X66" i="6"/>
  <c r="V66" i="6"/>
  <c r="T66" i="6"/>
  <c r="Q66" i="6"/>
  <c r="O66" i="6"/>
  <c r="AN67" i="6"/>
  <c r="AH67" i="6"/>
  <c r="AF67" i="6"/>
  <c r="L67" i="6"/>
  <c r="AO67" i="6" s="1"/>
  <c r="M71" i="6"/>
  <c r="AG68" i="6"/>
  <c r="AE68" i="6"/>
  <c r="AK68" i="6" s="1"/>
  <c r="AD68" i="6"/>
  <c r="AB68" i="6"/>
  <c r="Z68" i="6"/>
  <c r="X68" i="6"/>
  <c r="V68" i="6"/>
  <c r="T68" i="6"/>
  <c r="Q68" i="6"/>
  <c r="O68" i="6"/>
  <c r="AG69" i="6"/>
  <c r="AE69" i="6"/>
  <c r="AK69" i="6" s="1"/>
  <c r="AD69" i="6"/>
  <c r="AB69" i="6"/>
  <c r="Z69" i="6"/>
  <c r="X69" i="6"/>
  <c r="V69" i="6"/>
  <c r="T69" i="6"/>
  <c r="Q69" i="6"/>
  <c r="O69" i="6"/>
  <c r="AG70" i="6"/>
  <c r="AE70" i="6"/>
  <c r="AK70" i="6" s="1"/>
  <c r="AD70" i="6"/>
  <c r="AB70" i="6"/>
  <c r="Z70" i="6"/>
  <c r="X70" i="6"/>
  <c r="V70" i="6"/>
  <c r="T70" i="6"/>
  <c r="Q70" i="6"/>
  <c r="O70" i="6"/>
  <c r="AN71" i="6"/>
  <c r="AH71" i="6"/>
  <c r="AF71" i="6"/>
  <c r="L71" i="6"/>
  <c r="AO71" i="6" s="1"/>
  <c r="M75" i="6"/>
  <c r="AG72" i="6"/>
  <c r="AE72" i="6"/>
  <c r="AK72" i="6" s="1"/>
  <c r="AD72" i="6"/>
  <c r="AB72" i="6"/>
  <c r="Z72" i="6"/>
  <c r="X72" i="6"/>
  <c r="V72" i="6"/>
  <c r="T72" i="6"/>
  <c r="Q72" i="6"/>
  <c r="O72" i="6"/>
  <c r="AG73" i="6"/>
  <c r="AE73" i="6"/>
  <c r="AK73" i="6" s="1"/>
  <c r="AD73" i="6"/>
  <c r="AB73" i="6"/>
  <c r="Z73" i="6"/>
  <c r="X73" i="6"/>
  <c r="V73" i="6"/>
  <c r="T73" i="6"/>
  <c r="Q73" i="6"/>
  <c r="O73" i="6"/>
  <c r="AG74" i="6"/>
  <c r="AE74" i="6"/>
  <c r="AK74" i="6" s="1"/>
  <c r="AD74" i="6"/>
  <c r="AB74" i="6"/>
  <c r="Z74" i="6"/>
  <c r="X74" i="6"/>
  <c r="V74" i="6"/>
  <c r="T74" i="6"/>
  <c r="Q74" i="6"/>
  <c r="O74" i="6"/>
  <c r="AN75" i="6"/>
  <c r="AH75" i="6"/>
  <c r="AF75" i="6"/>
  <c r="L75" i="6"/>
  <c r="AO75" i="6" s="1"/>
  <c r="M79" i="6"/>
  <c r="AG76" i="6"/>
  <c r="AE76" i="6"/>
  <c r="AK76" i="6" s="1"/>
  <c r="AD76" i="6"/>
  <c r="AB76" i="6"/>
  <c r="Z76" i="6"/>
  <c r="X76" i="6"/>
  <c r="V76" i="6"/>
  <c r="T76" i="6"/>
  <c r="Q76" i="6"/>
  <c r="O76" i="6"/>
  <c r="AG77" i="6"/>
  <c r="AE77" i="6"/>
  <c r="AK77" i="6" s="1"/>
  <c r="AD77" i="6"/>
  <c r="AB77" i="6"/>
  <c r="Z77" i="6"/>
  <c r="X77" i="6"/>
  <c r="V77" i="6"/>
  <c r="T77" i="6"/>
  <c r="Q77" i="6"/>
  <c r="O77" i="6"/>
  <c r="AG78" i="6"/>
  <c r="AE78" i="6"/>
  <c r="AK78" i="6" s="1"/>
  <c r="AD78" i="6"/>
  <c r="AB78" i="6"/>
  <c r="Z78" i="6"/>
  <c r="X78" i="6"/>
  <c r="V78" i="6"/>
  <c r="T78" i="6"/>
  <c r="Q78" i="6"/>
  <c r="O78" i="6"/>
  <c r="AN79" i="6"/>
  <c r="AH79" i="6"/>
  <c r="AF79" i="6"/>
  <c r="L79" i="6"/>
  <c r="AO79" i="6" s="1"/>
  <c r="M83" i="6"/>
  <c r="AG80" i="6"/>
  <c r="AE80" i="6"/>
  <c r="AK80" i="6" s="1"/>
  <c r="AD80" i="6"/>
  <c r="AB80" i="6"/>
  <c r="Z80" i="6"/>
  <c r="X80" i="6"/>
  <c r="V80" i="6"/>
  <c r="T80" i="6"/>
  <c r="Q80" i="6"/>
  <c r="O80" i="6"/>
  <c r="AG81" i="6"/>
  <c r="AE81" i="6"/>
  <c r="AK81" i="6" s="1"/>
  <c r="AD81" i="6"/>
  <c r="AB81" i="6"/>
  <c r="Z81" i="6"/>
  <c r="X81" i="6"/>
  <c r="V81" i="6"/>
  <c r="T81" i="6"/>
  <c r="Q81" i="6"/>
  <c r="O81" i="6"/>
  <c r="AG82" i="6"/>
  <c r="AE82" i="6"/>
  <c r="AK82" i="6" s="1"/>
  <c r="AD82" i="6"/>
  <c r="AB82" i="6"/>
  <c r="Z82" i="6"/>
  <c r="X82" i="6"/>
  <c r="V82" i="6"/>
  <c r="T82" i="6"/>
  <c r="Q82" i="6"/>
  <c r="O82" i="6"/>
  <c r="AN83" i="6"/>
  <c r="AH83" i="6"/>
  <c r="AF83" i="6"/>
  <c r="L83" i="6"/>
  <c r="AO83" i="6" s="1"/>
  <c r="M87" i="6"/>
  <c r="AG84" i="6"/>
  <c r="AE84" i="6"/>
  <c r="AK84" i="6" s="1"/>
  <c r="AD84" i="6"/>
  <c r="AB84" i="6"/>
  <c r="Z84" i="6"/>
  <c r="X84" i="6"/>
  <c r="V84" i="6"/>
  <c r="T84" i="6"/>
  <c r="Q84" i="6"/>
  <c r="O84" i="6"/>
  <c r="AG85" i="6"/>
  <c r="AE85" i="6"/>
  <c r="AK85" i="6" s="1"/>
  <c r="AD85" i="6"/>
  <c r="AB85" i="6"/>
  <c r="Z85" i="6"/>
  <c r="X85" i="6"/>
  <c r="V85" i="6"/>
  <c r="T85" i="6"/>
  <c r="Q85" i="6"/>
  <c r="O85" i="6"/>
  <c r="AG86" i="6"/>
  <c r="AE86" i="6"/>
  <c r="AK86" i="6" s="1"/>
  <c r="AD86" i="6"/>
  <c r="AB86" i="6"/>
  <c r="Z86" i="6"/>
  <c r="X86" i="6"/>
  <c r="V86" i="6"/>
  <c r="T86" i="6"/>
  <c r="Q86" i="6"/>
  <c r="O86" i="6"/>
  <c r="AN87" i="6"/>
  <c r="AH87" i="6"/>
  <c r="AF87" i="6"/>
  <c r="L87" i="6"/>
  <c r="AO87" i="6" s="1"/>
  <c r="M91" i="6"/>
  <c r="AG88" i="6"/>
  <c r="AE88" i="6"/>
  <c r="AK88" i="6" s="1"/>
  <c r="AD88" i="6"/>
  <c r="AB88" i="6"/>
  <c r="Z88" i="6"/>
  <c r="X88" i="6"/>
  <c r="V88" i="6"/>
  <c r="T88" i="6"/>
  <c r="Q88" i="6"/>
  <c r="O88" i="6"/>
  <c r="AG89" i="6"/>
  <c r="AE89" i="6"/>
  <c r="AK89" i="6" s="1"/>
  <c r="AD89" i="6"/>
  <c r="AB89" i="6"/>
  <c r="Z89" i="6"/>
  <c r="X89" i="6"/>
  <c r="V89" i="6"/>
  <c r="T89" i="6"/>
  <c r="Q89" i="6"/>
  <c r="O89" i="6"/>
  <c r="AG90" i="6"/>
  <c r="AE90" i="6"/>
  <c r="AK90" i="6" s="1"/>
  <c r="AD90" i="6"/>
  <c r="AB90" i="6"/>
  <c r="Z90" i="6"/>
  <c r="X90" i="6"/>
  <c r="V90" i="6"/>
  <c r="T90" i="6"/>
  <c r="Q90" i="6"/>
  <c r="O90" i="6"/>
  <c r="AN91" i="6"/>
  <c r="AH91" i="6"/>
  <c r="AF91" i="6"/>
  <c r="L91" i="6"/>
  <c r="AO91" i="6" s="1"/>
  <c r="M95" i="6"/>
  <c r="AG92" i="6"/>
  <c r="AE92" i="6"/>
  <c r="AK92" i="6" s="1"/>
  <c r="AD92" i="6"/>
  <c r="AB92" i="6"/>
  <c r="Z92" i="6"/>
  <c r="X92" i="6"/>
  <c r="V92" i="6"/>
  <c r="T92" i="6"/>
  <c r="Q92" i="6"/>
  <c r="O92" i="6"/>
  <c r="AG93" i="6"/>
  <c r="AE93" i="6"/>
  <c r="AK93" i="6" s="1"/>
  <c r="AD93" i="6"/>
  <c r="AB93" i="6"/>
  <c r="Z93" i="6"/>
  <c r="X93" i="6"/>
  <c r="V93" i="6"/>
  <c r="T93" i="6"/>
  <c r="Q93" i="6"/>
  <c r="O93" i="6"/>
  <c r="AG94" i="6"/>
  <c r="AE94" i="6"/>
  <c r="AK94" i="6" s="1"/>
  <c r="AD94" i="6"/>
  <c r="AB94" i="6"/>
  <c r="Z94" i="6"/>
  <c r="X94" i="6"/>
  <c r="V94" i="6"/>
  <c r="T94" i="6"/>
  <c r="Q94" i="6"/>
  <c r="O94" i="6"/>
  <c r="AN95" i="6"/>
  <c r="AH95" i="6"/>
  <c r="AF95" i="6"/>
  <c r="L95" i="6"/>
  <c r="AO95" i="6" s="1"/>
  <c r="M99" i="6"/>
  <c r="AG96" i="6"/>
  <c r="AE96" i="6"/>
  <c r="AK96" i="6" s="1"/>
  <c r="AD96" i="6"/>
  <c r="AB96" i="6"/>
  <c r="Z96" i="6"/>
  <c r="X96" i="6"/>
  <c r="V96" i="6"/>
  <c r="T96" i="6"/>
  <c r="Q96" i="6"/>
  <c r="O96" i="6"/>
  <c r="AG97" i="6"/>
  <c r="AE97" i="6"/>
  <c r="AK97" i="6" s="1"/>
  <c r="AD97" i="6"/>
  <c r="AB97" i="6"/>
  <c r="Z97" i="6"/>
  <c r="X97" i="6"/>
  <c r="V97" i="6"/>
  <c r="T97" i="6"/>
  <c r="Q97" i="6"/>
  <c r="O97" i="6"/>
  <c r="AG98" i="6"/>
  <c r="AE98" i="6"/>
  <c r="AK98" i="6" s="1"/>
  <c r="AD98" i="6"/>
  <c r="AB98" i="6"/>
  <c r="Z98" i="6"/>
  <c r="X98" i="6"/>
  <c r="V98" i="6"/>
  <c r="T98" i="6"/>
  <c r="Q98" i="6"/>
  <c r="O98" i="6"/>
  <c r="AN99" i="6"/>
  <c r="AH99" i="6"/>
  <c r="AF99" i="6"/>
  <c r="L99" i="6"/>
  <c r="AO99" i="6" s="1"/>
  <c r="M103" i="6"/>
  <c r="AG100" i="6"/>
  <c r="AE100" i="6"/>
  <c r="AK100" i="6" s="1"/>
  <c r="AD100" i="6"/>
  <c r="AB100" i="6"/>
  <c r="Z100" i="6"/>
  <c r="X100" i="6"/>
  <c r="V100" i="6"/>
  <c r="T100" i="6"/>
  <c r="Q100" i="6"/>
  <c r="O100" i="6"/>
  <c r="AG101" i="6"/>
  <c r="AE101" i="6"/>
  <c r="AK101" i="6" s="1"/>
  <c r="AD101" i="6"/>
  <c r="AB101" i="6"/>
  <c r="Z101" i="6"/>
  <c r="X101" i="6"/>
  <c r="V101" i="6"/>
  <c r="T101" i="6"/>
  <c r="Q101" i="6"/>
  <c r="O101" i="6"/>
  <c r="AG102" i="6"/>
  <c r="AE102" i="6"/>
  <c r="AK102" i="6" s="1"/>
  <c r="AD102" i="6"/>
  <c r="AB102" i="6"/>
  <c r="Z102" i="6"/>
  <c r="X102" i="6"/>
  <c r="V102" i="6"/>
  <c r="T102" i="6"/>
  <c r="Q102" i="6"/>
  <c r="O102" i="6"/>
  <c r="AN103" i="6"/>
  <c r="AH103" i="6"/>
  <c r="AF103" i="6"/>
  <c r="L103" i="6"/>
  <c r="AO103" i="6" s="1"/>
  <c r="M107" i="6"/>
  <c r="AG104" i="6"/>
  <c r="AE104" i="6"/>
  <c r="AK104" i="6" s="1"/>
  <c r="AD104" i="6"/>
  <c r="AB104" i="6"/>
  <c r="Z104" i="6"/>
  <c r="X104" i="6"/>
  <c r="V104" i="6"/>
  <c r="T104" i="6"/>
  <c r="Q104" i="6"/>
  <c r="O104" i="6"/>
  <c r="AG105" i="6"/>
  <c r="AE105" i="6"/>
  <c r="AK105" i="6" s="1"/>
  <c r="AD105" i="6"/>
  <c r="AB105" i="6"/>
  <c r="Z105" i="6"/>
  <c r="X105" i="6"/>
  <c r="V105" i="6"/>
  <c r="T105" i="6"/>
  <c r="Q105" i="6"/>
  <c r="O105" i="6"/>
  <c r="AG106" i="6"/>
  <c r="AE106" i="6"/>
  <c r="AK106" i="6" s="1"/>
  <c r="AD106" i="6"/>
  <c r="AB106" i="6"/>
  <c r="Z106" i="6"/>
  <c r="X106" i="6"/>
  <c r="V106" i="6"/>
  <c r="T106" i="6"/>
  <c r="Q106" i="6"/>
  <c r="O106" i="6"/>
  <c r="AN107" i="6"/>
  <c r="AH107" i="6"/>
  <c r="AF107" i="6"/>
  <c r="L107" i="6"/>
  <c r="AO107" i="6" s="1"/>
  <c r="M111" i="6"/>
  <c r="AG108" i="6"/>
  <c r="AE108" i="6"/>
  <c r="AK108" i="6" s="1"/>
  <c r="AD108" i="6"/>
  <c r="AB108" i="6"/>
  <c r="Z108" i="6"/>
  <c r="X108" i="6"/>
  <c r="V108" i="6"/>
  <c r="T108" i="6"/>
  <c r="Q108" i="6"/>
  <c r="O108" i="6"/>
  <c r="AG109" i="6"/>
  <c r="AE109" i="6"/>
  <c r="AK109" i="6" s="1"/>
  <c r="AD109" i="6"/>
  <c r="AB109" i="6"/>
  <c r="Z109" i="6"/>
  <c r="X109" i="6"/>
  <c r="V109" i="6"/>
  <c r="T109" i="6"/>
  <c r="Q109" i="6"/>
  <c r="O109" i="6"/>
  <c r="AG110" i="6"/>
  <c r="AE110" i="6"/>
  <c r="AK110" i="6" s="1"/>
  <c r="AD110" i="6"/>
  <c r="AB110" i="6"/>
  <c r="Z110" i="6"/>
  <c r="X110" i="6"/>
  <c r="V110" i="6"/>
  <c r="T110" i="6"/>
  <c r="Q110" i="6"/>
  <c r="O110" i="6"/>
  <c r="AN111" i="6"/>
  <c r="AH111" i="6"/>
  <c r="AF111" i="6"/>
  <c r="L111" i="6"/>
  <c r="AO111" i="6" s="1"/>
  <c r="M115" i="6"/>
  <c r="AG112" i="6"/>
  <c r="AE112" i="6"/>
  <c r="AK112" i="6" s="1"/>
  <c r="AD112" i="6"/>
  <c r="AB112" i="6"/>
  <c r="Z112" i="6"/>
  <c r="X112" i="6"/>
  <c r="V112" i="6"/>
  <c r="T112" i="6"/>
  <c r="Q112" i="6"/>
  <c r="O112" i="6"/>
  <c r="AG113" i="6"/>
  <c r="AE113" i="6"/>
  <c r="AK113" i="6" s="1"/>
  <c r="AD113" i="6"/>
  <c r="AB113" i="6"/>
  <c r="Z113" i="6"/>
  <c r="X113" i="6"/>
  <c r="V113" i="6"/>
  <c r="T113" i="6"/>
  <c r="Q113" i="6"/>
  <c r="O113" i="6"/>
  <c r="AG114" i="6"/>
  <c r="AE114" i="6"/>
  <c r="AK114" i="6" s="1"/>
  <c r="AD114" i="6"/>
  <c r="AB114" i="6"/>
  <c r="Z114" i="6"/>
  <c r="X114" i="6"/>
  <c r="V114" i="6"/>
  <c r="T114" i="6"/>
  <c r="Q114" i="6"/>
  <c r="O114" i="6"/>
  <c r="AN115" i="6"/>
  <c r="AH115" i="6"/>
  <c r="AF115" i="6"/>
  <c r="L115" i="6"/>
  <c r="AO115" i="6" s="1"/>
  <c r="M119" i="6"/>
  <c r="AG116" i="6"/>
  <c r="AE116" i="6"/>
  <c r="AK116" i="6" s="1"/>
  <c r="AD116" i="6"/>
  <c r="AB116" i="6"/>
  <c r="Z116" i="6"/>
  <c r="X116" i="6"/>
  <c r="V116" i="6"/>
  <c r="T116" i="6"/>
  <c r="Q116" i="6"/>
  <c r="O116" i="6"/>
  <c r="AG117" i="6"/>
  <c r="AE117" i="6"/>
  <c r="AK117" i="6" s="1"/>
  <c r="AD117" i="6"/>
  <c r="AB117" i="6"/>
  <c r="Z117" i="6"/>
  <c r="X117" i="6"/>
  <c r="V117" i="6"/>
  <c r="T117" i="6"/>
  <c r="Q117" i="6"/>
  <c r="O117" i="6"/>
  <c r="AG118" i="6"/>
  <c r="AE118" i="6"/>
  <c r="AK118" i="6" s="1"/>
  <c r="AD118" i="6"/>
  <c r="AB118" i="6"/>
  <c r="Z118" i="6"/>
  <c r="X118" i="6"/>
  <c r="V118" i="6"/>
  <c r="T118" i="6"/>
  <c r="Q118" i="6"/>
  <c r="O118" i="6"/>
  <c r="AN119" i="6"/>
  <c r="AH119" i="6"/>
  <c r="AF119" i="6"/>
  <c r="L119" i="6"/>
  <c r="AO119" i="6" s="1"/>
  <c r="M123" i="6"/>
  <c r="AG120" i="6"/>
  <c r="AE120" i="6"/>
  <c r="AK120" i="6" s="1"/>
  <c r="AD120" i="6"/>
  <c r="AB120" i="6"/>
  <c r="Z120" i="6"/>
  <c r="X120" i="6"/>
  <c r="V120" i="6"/>
  <c r="T120" i="6"/>
  <c r="Q120" i="6"/>
  <c r="O120" i="6"/>
  <c r="AG121" i="6"/>
  <c r="AE121" i="6"/>
  <c r="AK121" i="6" s="1"/>
  <c r="AD121" i="6"/>
  <c r="AB121" i="6"/>
  <c r="Z121" i="6"/>
  <c r="X121" i="6"/>
  <c r="V121" i="6"/>
  <c r="T121" i="6"/>
  <c r="Q121" i="6"/>
  <c r="O121" i="6"/>
  <c r="AG122" i="6"/>
  <c r="AE122" i="6"/>
  <c r="AK122" i="6" s="1"/>
  <c r="AD122" i="6"/>
  <c r="AB122" i="6"/>
  <c r="Z122" i="6"/>
  <c r="X122" i="6"/>
  <c r="V122" i="6"/>
  <c r="T122" i="6"/>
  <c r="Q122" i="6"/>
  <c r="O122" i="6"/>
  <c r="AN123" i="6"/>
  <c r="AH123" i="6"/>
  <c r="AF123" i="6"/>
  <c r="L123" i="6"/>
  <c r="AO123" i="6" s="1"/>
  <c r="M7" i="5"/>
  <c r="AG4" i="5"/>
  <c r="AE4" i="5"/>
  <c r="AK4" i="5" s="1"/>
  <c r="AD4" i="5"/>
  <c r="AB4" i="5"/>
  <c r="Z4" i="5"/>
  <c r="X4" i="5"/>
  <c r="V4" i="5"/>
  <c r="T4" i="5"/>
  <c r="Q4" i="5"/>
  <c r="O4" i="5"/>
  <c r="AT8" i="5"/>
  <c r="AT9" i="5" s="1"/>
  <c r="AT10" i="5" s="1"/>
  <c r="AU7" i="5"/>
  <c r="AG5" i="5"/>
  <c r="AE5" i="5"/>
  <c r="AK5" i="5" s="1"/>
  <c r="AD5" i="5"/>
  <c r="AB5" i="5"/>
  <c r="Z5" i="5"/>
  <c r="X5" i="5"/>
  <c r="V5" i="5"/>
  <c r="T5" i="5"/>
  <c r="Q5" i="5"/>
  <c r="O5" i="5"/>
  <c r="AG6" i="5"/>
  <c r="AE6" i="5"/>
  <c r="AK6" i="5" s="1"/>
  <c r="AD6" i="5"/>
  <c r="AB6" i="5"/>
  <c r="Z6" i="5"/>
  <c r="X6" i="5"/>
  <c r="V6" i="5"/>
  <c r="T6" i="5"/>
  <c r="Q6" i="5"/>
  <c r="O6" i="5"/>
  <c r="AO7" i="5"/>
  <c r="AN7" i="5"/>
  <c r="AH7" i="5"/>
  <c r="AF7" i="5"/>
  <c r="L7" i="5"/>
  <c r="M11" i="5"/>
  <c r="AG8" i="5"/>
  <c r="AE8" i="5"/>
  <c r="AK8" i="5" s="1"/>
  <c r="AD8" i="5"/>
  <c r="AB8" i="5"/>
  <c r="Z8" i="5"/>
  <c r="X8" i="5"/>
  <c r="V8" i="5"/>
  <c r="T8" i="5"/>
  <c r="Q8" i="5"/>
  <c r="O8" i="5"/>
  <c r="AG9" i="5"/>
  <c r="AE9" i="5"/>
  <c r="AK9" i="5" s="1"/>
  <c r="AD9" i="5"/>
  <c r="AB9" i="5"/>
  <c r="Z9" i="5"/>
  <c r="X9" i="5"/>
  <c r="V9" i="5"/>
  <c r="T9" i="5"/>
  <c r="Q9" i="5"/>
  <c r="O9" i="5"/>
  <c r="AG10" i="5"/>
  <c r="AE10" i="5"/>
  <c r="AK10" i="5" s="1"/>
  <c r="AD10" i="5"/>
  <c r="AB10" i="5"/>
  <c r="Z10" i="5"/>
  <c r="X10" i="5"/>
  <c r="V10" i="5"/>
  <c r="T10" i="5"/>
  <c r="Q10" i="5"/>
  <c r="O10" i="5"/>
  <c r="AO11" i="5"/>
  <c r="AN11" i="5"/>
  <c r="AH11" i="5"/>
  <c r="AF11" i="5"/>
  <c r="L11" i="5"/>
  <c r="M15" i="5"/>
  <c r="AG12" i="5"/>
  <c r="AE12" i="5"/>
  <c r="AK12" i="5" s="1"/>
  <c r="AD12" i="5"/>
  <c r="AB12" i="5"/>
  <c r="Z12" i="5"/>
  <c r="X12" i="5"/>
  <c r="V12" i="5"/>
  <c r="T12" i="5"/>
  <c r="Q12" i="5"/>
  <c r="O12" i="5"/>
  <c r="AG13" i="5"/>
  <c r="AE13" i="5"/>
  <c r="AK13" i="5" s="1"/>
  <c r="AD13" i="5"/>
  <c r="AB13" i="5"/>
  <c r="Z13" i="5"/>
  <c r="X13" i="5"/>
  <c r="V13" i="5"/>
  <c r="T13" i="5"/>
  <c r="Q13" i="5"/>
  <c r="O13" i="5"/>
  <c r="AG14" i="5"/>
  <c r="AE14" i="5"/>
  <c r="AK14" i="5" s="1"/>
  <c r="AD14" i="5"/>
  <c r="AB14" i="5"/>
  <c r="Z14" i="5"/>
  <c r="X14" i="5"/>
  <c r="V14" i="5"/>
  <c r="T14" i="5"/>
  <c r="Q14" i="5"/>
  <c r="O14" i="5"/>
  <c r="AO15" i="5"/>
  <c r="AN15" i="5"/>
  <c r="AH15" i="5"/>
  <c r="AF15" i="5"/>
  <c r="L15" i="5"/>
  <c r="M19" i="5"/>
  <c r="AG16" i="5"/>
  <c r="AE16" i="5"/>
  <c r="AK16" i="5" s="1"/>
  <c r="AD16" i="5"/>
  <c r="AB16" i="5"/>
  <c r="Z16" i="5"/>
  <c r="X16" i="5"/>
  <c r="V16" i="5"/>
  <c r="T16" i="5"/>
  <c r="Q16" i="5"/>
  <c r="O16" i="5"/>
  <c r="AG17" i="5"/>
  <c r="AE17" i="5"/>
  <c r="AK17" i="5" s="1"/>
  <c r="AD17" i="5"/>
  <c r="AB17" i="5"/>
  <c r="Z17" i="5"/>
  <c r="X17" i="5"/>
  <c r="V17" i="5"/>
  <c r="T17" i="5"/>
  <c r="Q17" i="5"/>
  <c r="O17" i="5"/>
  <c r="AG18" i="5"/>
  <c r="AE18" i="5"/>
  <c r="AK18" i="5" s="1"/>
  <c r="AD18" i="5"/>
  <c r="AB18" i="5"/>
  <c r="Z18" i="5"/>
  <c r="X18" i="5"/>
  <c r="V18" i="5"/>
  <c r="T18" i="5"/>
  <c r="Q18" i="5"/>
  <c r="O18" i="5"/>
  <c r="AO19" i="5"/>
  <c r="AN19" i="5"/>
  <c r="AH19" i="5"/>
  <c r="AF19" i="5"/>
  <c r="L19" i="5"/>
  <c r="M23" i="5"/>
  <c r="AG20" i="5"/>
  <c r="AE20" i="5"/>
  <c r="AK20" i="5" s="1"/>
  <c r="AD20" i="5"/>
  <c r="AB20" i="5"/>
  <c r="Z20" i="5"/>
  <c r="X20" i="5"/>
  <c r="V20" i="5"/>
  <c r="T20" i="5"/>
  <c r="Q20" i="5"/>
  <c r="O20" i="5"/>
  <c r="AG21" i="5"/>
  <c r="AE21" i="5"/>
  <c r="AK21" i="5" s="1"/>
  <c r="AD21" i="5"/>
  <c r="AB21" i="5"/>
  <c r="Z21" i="5"/>
  <c r="X21" i="5"/>
  <c r="V21" i="5"/>
  <c r="T21" i="5"/>
  <c r="Q21" i="5"/>
  <c r="O21" i="5"/>
  <c r="AG22" i="5"/>
  <c r="AE22" i="5"/>
  <c r="AK22" i="5" s="1"/>
  <c r="AD22" i="5"/>
  <c r="AB22" i="5"/>
  <c r="Z22" i="5"/>
  <c r="X22" i="5"/>
  <c r="V22" i="5"/>
  <c r="T22" i="5"/>
  <c r="Q22" i="5"/>
  <c r="O22" i="5"/>
  <c r="AO23" i="5"/>
  <c r="AN23" i="5"/>
  <c r="AH23" i="5"/>
  <c r="AF23" i="5"/>
  <c r="L23" i="5"/>
  <c r="M27" i="5"/>
  <c r="AG24" i="5"/>
  <c r="AE24" i="5"/>
  <c r="AK24" i="5" s="1"/>
  <c r="AD24" i="5"/>
  <c r="AB24" i="5"/>
  <c r="Z24" i="5"/>
  <c r="X24" i="5"/>
  <c r="V24" i="5"/>
  <c r="T24" i="5"/>
  <c r="Q24" i="5"/>
  <c r="O24" i="5"/>
  <c r="AG25" i="5"/>
  <c r="AE25" i="5"/>
  <c r="AK25" i="5" s="1"/>
  <c r="AD25" i="5"/>
  <c r="AB25" i="5"/>
  <c r="Z25" i="5"/>
  <c r="X25" i="5"/>
  <c r="V25" i="5"/>
  <c r="T25" i="5"/>
  <c r="Q25" i="5"/>
  <c r="O25" i="5"/>
  <c r="AG26" i="5"/>
  <c r="AE26" i="5"/>
  <c r="AK26" i="5" s="1"/>
  <c r="AD26" i="5"/>
  <c r="AB26" i="5"/>
  <c r="Z26" i="5"/>
  <c r="X26" i="5"/>
  <c r="V26" i="5"/>
  <c r="T26" i="5"/>
  <c r="Q26" i="5"/>
  <c r="O26" i="5"/>
  <c r="AO27" i="5"/>
  <c r="AN27" i="5"/>
  <c r="AH27" i="5"/>
  <c r="AF27" i="5"/>
  <c r="L27" i="5"/>
  <c r="M31" i="5"/>
  <c r="AG28" i="5"/>
  <c r="AE28" i="5"/>
  <c r="AK28" i="5" s="1"/>
  <c r="AD28" i="5"/>
  <c r="AB28" i="5"/>
  <c r="Z28" i="5"/>
  <c r="X28" i="5"/>
  <c r="V28" i="5"/>
  <c r="T28" i="5"/>
  <c r="Q28" i="5"/>
  <c r="O28" i="5"/>
  <c r="AG29" i="5"/>
  <c r="AE29" i="5"/>
  <c r="AK29" i="5" s="1"/>
  <c r="AD29" i="5"/>
  <c r="AB29" i="5"/>
  <c r="Z29" i="5"/>
  <c r="X29" i="5"/>
  <c r="V29" i="5"/>
  <c r="T29" i="5"/>
  <c r="Q29" i="5"/>
  <c r="O29" i="5"/>
  <c r="AG30" i="5"/>
  <c r="AE30" i="5"/>
  <c r="AK30" i="5" s="1"/>
  <c r="AD30" i="5"/>
  <c r="AB30" i="5"/>
  <c r="Z30" i="5"/>
  <c r="X30" i="5"/>
  <c r="V30" i="5"/>
  <c r="T30" i="5"/>
  <c r="Q30" i="5"/>
  <c r="O30" i="5"/>
  <c r="AN31" i="5"/>
  <c r="AH31" i="5"/>
  <c r="AF31" i="5"/>
  <c r="L31" i="5"/>
  <c r="AO31" i="5" s="1"/>
  <c r="M35" i="5"/>
  <c r="AG32" i="5"/>
  <c r="AE32" i="5"/>
  <c r="AK32" i="5" s="1"/>
  <c r="AD32" i="5"/>
  <c r="AB32" i="5"/>
  <c r="Z32" i="5"/>
  <c r="X32" i="5"/>
  <c r="V32" i="5"/>
  <c r="T32" i="5"/>
  <c r="Q32" i="5"/>
  <c r="O32" i="5"/>
  <c r="AG33" i="5"/>
  <c r="AE33" i="5"/>
  <c r="AK33" i="5" s="1"/>
  <c r="AD33" i="5"/>
  <c r="AB33" i="5"/>
  <c r="Z33" i="5"/>
  <c r="X33" i="5"/>
  <c r="V33" i="5"/>
  <c r="T33" i="5"/>
  <c r="Q33" i="5"/>
  <c r="O33" i="5"/>
  <c r="AG34" i="5"/>
  <c r="AE34" i="5"/>
  <c r="AK34" i="5" s="1"/>
  <c r="AD34" i="5"/>
  <c r="AB34" i="5"/>
  <c r="Z34" i="5"/>
  <c r="X34" i="5"/>
  <c r="V34" i="5"/>
  <c r="T34" i="5"/>
  <c r="Q34" i="5"/>
  <c r="O34" i="5"/>
  <c r="AN35" i="5"/>
  <c r="AH35" i="5"/>
  <c r="AF35" i="5"/>
  <c r="L35" i="5"/>
  <c r="AO35" i="5" s="1"/>
  <c r="M39" i="5"/>
  <c r="AG36" i="5"/>
  <c r="AE36" i="5"/>
  <c r="AK36" i="5" s="1"/>
  <c r="AD36" i="5"/>
  <c r="AB36" i="5"/>
  <c r="Z36" i="5"/>
  <c r="X36" i="5"/>
  <c r="V36" i="5"/>
  <c r="T36" i="5"/>
  <c r="Q36" i="5"/>
  <c r="O36" i="5"/>
  <c r="AG37" i="5"/>
  <c r="AE37" i="5"/>
  <c r="AK37" i="5" s="1"/>
  <c r="AD37" i="5"/>
  <c r="AB37" i="5"/>
  <c r="Z37" i="5"/>
  <c r="X37" i="5"/>
  <c r="V37" i="5"/>
  <c r="T37" i="5"/>
  <c r="Q37" i="5"/>
  <c r="O37" i="5"/>
  <c r="AG38" i="5"/>
  <c r="AE38" i="5"/>
  <c r="AK38" i="5" s="1"/>
  <c r="AD38" i="5"/>
  <c r="AB38" i="5"/>
  <c r="Z38" i="5"/>
  <c r="X38" i="5"/>
  <c r="V38" i="5"/>
  <c r="T38" i="5"/>
  <c r="Q38" i="5"/>
  <c r="O38" i="5"/>
  <c r="AN39" i="5"/>
  <c r="AH39" i="5"/>
  <c r="AF39" i="5"/>
  <c r="L39" i="5"/>
  <c r="AO39" i="5" s="1"/>
  <c r="M43" i="5"/>
  <c r="AG40" i="5"/>
  <c r="AE40" i="5"/>
  <c r="AK40" i="5" s="1"/>
  <c r="AD40" i="5"/>
  <c r="AB40" i="5"/>
  <c r="Z40" i="5"/>
  <c r="X40" i="5"/>
  <c r="V40" i="5"/>
  <c r="T40" i="5"/>
  <c r="Q40" i="5"/>
  <c r="O40" i="5"/>
  <c r="AG41" i="5"/>
  <c r="AE41" i="5"/>
  <c r="AK41" i="5" s="1"/>
  <c r="AD41" i="5"/>
  <c r="AB41" i="5"/>
  <c r="Z41" i="5"/>
  <c r="X41" i="5"/>
  <c r="V41" i="5"/>
  <c r="T41" i="5"/>
  <c r="Q41" i="5"/>
  <c r="O41" i="5"/>
  <c r="AG42" i="5"/>
  <c r="AE42" i="5"/>
  <c r="AK42" i="5" s="1"/>
  <c r="AD42" i="5"/>
  <c r="AB42" i="5"/>
  <c r="Z42" i="5"/>
  <c r="X42" i="5"/>
  <c r="V42" i="5"/>
  <c r="T42" i="5"/>
  <c r="Q42" i="5"/>
  <c r="O42" i="5"/>
  <c r="AN43" i="5"/>
  <c r="AH43" i="5"/>
  <c r="AF43" i="5"/>
  <c r="L43" i="5"/>
  <c r="AO43" i="5" s="1"/>
  <c r="M47" i="5"/>
  <c r="AG44" i="5"/>
  <c r="AE44" i="5"/>
  <c r="AK44" i="5" s="1"/>
  <c r="AD44" i="5"/>
  <c r="AB44" i="5"/>
  <c r="Z44" i="5"/>
  <c r="X44" i="5"/>
  <c r="V44" i="5"/>
  <c r="T44" i="5"/>
  <c r="Q44" i="5"/>
  <c r="O44" i="5"/>
  <c r="AG45" i="5"/>
  <c r="AE45" i="5"/>
  <c r="AK45" i="5" s="1"/>
  <c r="AD45" i="5"/>
  <c r="AB45" i="5"/>
  <c r="Z45" i="5"/>
  <c r="X45" i="5"/>
  <c r="V45" i="5"/>
  <c r="T45" i="5"/>
  <c r="Q45" i="5"/>
  <c r="O45" i="5"/>
  <c r="AG46" i="5"/>
  <c r="AE46" i="5"/>
  <c r="AK46" i="5" s="1"/>
  <c r="AD46" i="5"/>
  <c r="AB46" i="5"/>
  <c r="Z46" i="5"/>
  <c r="X46" i="5"/>
  <c r="V46" i="5"/>
  <c r="T46" i="5"/>
  <c r="Q46" i="5"/>
  <c r="O46" i="5"/>
  <c r="AN47" i="5"/>
  <c r="AH47" i="5"/>
  <c r="AF47" i="5"/>
  <c r="L47" i="5"/>
  <c r="AO47" i="5" s="1"/>
  <c r="M51" i="5"/>
  <c r="AG48" i="5"/>
  <c r="AE48" i="5"/>
  <c r="AK48" i="5" s="1"/>
  <c r="AD48" i="5"/>
  <c r="AB48" i="5"/>
  <c r="Z48" i="5"/>
  <c r="X48" i="5"/>
  <c r="V48" i="5"/>
  <c r="T48" i="5"/>
  <c r="Q48" i="5"/>
  <c r="O48" i="5"/>
  <c r="AG49" i="5"/>
  <c r="AE49" i="5"/>
  <c r="AK49" i="5" s="1"/>
  <c r="AD49" i="5"/>
  <c r="AB49" i="5"/>
  <c r="Z49" i="5"/>
  <c r="X49" i="5"/>
  <c r="V49" i="5"/>
  <c r="T49" i="5"/>
  <c r="Q49" i="5"/>
  <c r="O49" i="5"/>
  <c r="AG50" i="5"/>
  <c r="AE50" i="5"/>
  <c r="AK50" i="5" s="1"/>
  <c r="AD50" i="5"/>
  <c r="AB50" i="5"/>
  <c r="Z50" i="5"/>
  <c r="X50" i="5"/>
  <c r="V50" i="5"/>
  <c r="T50" i="5"/>
  <c r="Q50" i="5"/>
  <c r="O50" i="5"/>
  <c r="AN51" i="5"/>
  <c r="AH51" i="5"/>
  <c r="AF51" i="5"/>
  <c r="L51" i="5"/>
  <c r="AO51" i="5" s="1"/>
  <c r="M55" i="5"/>
  <c r="AG52" i="5"/>
  <c r="AE52" i="5"/>
  <c r="AK52" i="5" s="1"/>
  <c r="AD52" i="5"/>
  <c r="AB52" i="5"/>
  <c r="Z52" i="5"/>
  <c r="X52" i="5"/>
  <c r="V52" i="5"/>
  <c r="T52" i="5"/>
  <c r="Q52" i="5"/>
  <c r="O52" i="5"/>
  <c r="AG53" i="5"/>
  <c r="AE53" i="5"/>
  <c r="AK53" i="5" s="1"/>
  <c r="AD53" i="5"/>
  <c r="AB53" i="5"/>
  <c r="Z53" i="5"/>
  <c r="X53" i="5"/>
  <c r="V53" i="5"/>
  <c r="T53" i="5"/>
  <c r="Q53" i="5"/>
  <c r="O53" i="5"/>
  <c r="AG54" i="5"/>
  <c r="AE54" i="5"/>
  <c r="AK54" i="5" s="1"/>
  <c r="AD54" i="5"/>
  <c r="AB54" i="5"/>
  <c r="Z54" i="5"/>
  <c r="X54" i="5"/>
  <c r="V54" i="5"/>
  <c r="T54" i="5"/>
  <c r="Q54" i="5"/>
  <c r="O54" i="5"/>
  <c r="AN55" i="5"/>
  <c r="AH55" i="5"/>
  <c r="AF55" i="5"/>
  <c r="L55" i="5"/>
  <c r="AO55" i="5" s="1"/>
  <c r="M59" i="5"/>
  <c r="AG56" i="5"/>
  <c r="AE56" i="5"/>
  <c r="AK56" i="5" s="1"/>
  <c r="AD56" i="5"/>
  <c r="AB56" i="5"/>
  <c r="Z56" i="5"/>
  <c r="X56" i="5"/>
  <c r="V56" i="5"/>
  <c r="T56" i="5"/>
  <c r="Q56" i="5"/>
  <c r="O56" i="5"/>
  <c r="AG57" i="5"/>
  <c r="AE57" i="5"/>
  <c r="AK57" i="5" s="1"/>
  <c r="AD57" i="5"/>
  <c r="AB57" i="5"/>
  <c r="Z57" i="5"/>
  <c r="X57" i="5"/>
  <c r="V57" i="5"/>
  <c r="T57" i="5"/>
  <c r="Q57" i="5"/>
  <c r="O57" i="5"/>
  <c r="AG58" i="5"/>
  <c r="AE58" i="5"/>
  <c r="AK58" i="5" s="1"/>
  <c r="AD58" i="5"/>
  <c r="AB58" i="5"/>
  <c r="Z58" i="5"/>
  <c r="X58" i="5"/>
  <c r="V58" i="5"/>
  <c r="T58" i="5"/>
  <c r="Q58" i="5"/>
  <c r="O58" i="5"/>
  <c r="AN59" i="5"/>
  <c r="AH59" i="5"/>
  <c r="AF59" i="5"/>
  <c r="L59" i="5"/>
  <c r="AO59" i="5" s="1"/>
  <c r="M63" i="5"/>
  <c r="AG60" i="5"/>
  <c r="AE60" i="5"/>
  <c r="AK60" i="5" s="1"/>
  <c r="AD60" i="5"/>
  <c r="AB60" i="5"/>
  <c r="Z60" i="5"/>
  <c r="X60" i="5"/>
  <c r="V60" i="5"/>
  <c r="T60" i="5"/>
  <c r="Q60" i="5"/>
  <c r="O60" i="5"/>
  <c r="AG61" i="5"/>
  <c r="AE61" i="5"/>
  <c r="AK61" i="5" s="1"/>
  <c r="AD61" i="5"/>
  <c r="AB61" i="5"/>
  <c r="Z61" i="5"/>
  <c r="X61" i="5"/>
  <c r="V61" i="5"/>
  <c r="T61" i="5"/>
  <c r="Q61" i="5"/>
  <c r="O61" i="5"/>
  <c r="AG62" i="5"/>
  <c r="AE62" i="5"/>
  <c r="AK62" i="5" s="1"/>
  <c r="AD62" i="5"/>
  <c r="AB62" i="5"/>
  <c r="Z62" i="5"/>
  <c r="X62" i="5"/>
  <c r="V62" i="5"/>
  <c r="T62" i="5"/>
  <c r="Q62" i="5"/>
  <c r="O62" i="5"/>
  <c r="AN63" i="5"/>
  <c r="AH63" i="5"/>
  <c r="AF63" i="5"/>
  <c r="L63" i="5"/>
  <c r="AO63" i="5" s="1"/>
  <c r="M67" i="5"/>
  <c r="AG64" i="5"/>
  <c r="AE64" i="5"/>
  <c r="AK64" i="5" s="1"/>
  <c r="AD64" i="5"/>
  <c r="AB64" i="5"/>
  <c r="Z64" i="5"/>
  <c r="X64" i="5"/>
  <c r="V64" i="5"/>
  <c r="T64" i="5"/>
  <c r="Q64" i="5"/>
  <c r="O64" i="5"/>
  <c r="AG65" i="5"/>
  <c r="AE65" i="5"/>
  <c r="AK65" i="5" s="1"/>
  <c r="AD65" i="5"/>
  <c r="AB65" i="5"/>
  <c r="Z65" i="5"/>
  <c r="X65" i="5"/>
  <c r="V65" i="5"/>
  <c r="T65" i="5"/>
  <c r="Q65" i="5"/>
  <c r="O65" i="5"/>
  <c r="AG66" i="5"/>
  <c r="AE66" i="5"/>
  <c r="AK66" i="5" s="1"/>
  <c r="AD66" i="5"/>
  <c r="AB66" i="5"/>
  <c r="Z66" i="5"/>
  <c r="X66" i="5"/>
  <c r="V66" i="5"/>
  <c r="T66" i="5"/>
  <c r="Q66" i="5"/>
  <c r="O66" i="5"/>
  <c r="AN67" i="5"/>
  <c r="AH67" i="5"/>
  <c r="AF67" i="5"/>
  <c r="L67" i="5"/>
  <c r="AO67" i="5" s="1"/>
  <c r="M71" i="5"/>
  <c r="AG68" i="5"/>
  <c r="AE68" i="5"/>
  <c r="AK68" i="5" s="1"/>
  <c r="AD68" i="5"/>
  <c r="AB68" i="5"/>
  <c r="Z68" i="5"/>
  <c r="X68" i="5"/>
  <c r="V68" i="5"/>
  <c r="T68" i="5"/>
  <c r="Q68" i="5"/>
  <c r="O68" i="5"/>
  <c r="AG69" i="5"/>
  <c r="AE69" i="5"/>
  <c r="AK69" i="5" s="1"/>
  <c r="AD69" i="5"/>
  <c r="AB69" i="5"/>
  <c r="Z69" i="5"/>
  <c r="X69" i="5"/>
  <c r="V69" i="5"/>
  <c r="T69" i="5"/>
  <c r="Q69" i="5"/>
  <c r="O69" i="5"/>
  <c r="AG70" i="5"/>
  <c r="AE70" i="5"/>
  <c r="AK70" i="5" s="1"/>
  <c r="AD70" i="5"/>
  <c r="AB70" i="5"/>
  <c r="Z70" i="5"/>
  <c r="X70" i="5"/>
  <c r="V70" i="5"/>
  <c r="T70" i="5"/>
  <c r="Q70" i="5"/>
  <c r="O70" i="5"/>
  <c r="AN71" i="5"/>
  <c r="AH71" i="5"/>
  <c r="AF71" i="5"/>
  <c r="L71" i="5"/>
  <c r="AO71" i="5" s="1"/>
  <c r="M75" i="5"/>
  <c r="AG72" i="5"/>
  <c r="AE72" i="5"/>
  <c r="AK72" i="5" s="1"/>
  <c r="AD72" i="5"/>
  <c r="AB72" i="5"/>
  <c r="Z72" i="5"/>
  <c r="X72" i="5"/>
  <c r="V72" i="5"/>
  <c r="T72" i="5"/>
  <c r="Q72" i="5"/>
  <c r="O72" i="5"/>
  <c r="AG73" i="5"/>
  <c r="AE73" i="5"/>
  <c r="AK73" i="5" s="1"/>
  <c r="AD73" i="5"/>
  <c r="AB73" i="5"/>
  <c r="Z73" i="5"/>
  <c r="X73" i="5"/>
  <c r="V73" i="5"/>
  <c r="T73" i="5"/>
  <c r="Q73" i="5"/>
  <c r="O73" i="5"/>
  <c r="AG74" i="5"/>
  <c r="AE74" i="5"/>
  <c r="AK74" i="5" s="1"/>
  <c r="AD74" i="5"/>
  <c r="AB74" i="5"/>
  <c r="Z74" i="5"/>
  <c r="X74" i="5"/>
  <c r="V74" i="5"/>
  <c r="T74" i="5"/>
  <c r="Q74" i="5"/>
  <c r="O74" i="5"/>
  <c r="AN75" i="5"/>
  <c r="AH75" i="5"/>
  <c r="AF75" i="5"/>
  <c r="L75" i="5"/>
  <c r="AO75" i="5" s="1"/>
  <c r="M79" i="5"/>
  <c r="AG76" i="5"/>
  <c r="AE76" i="5"/>
  <c r="AK76" i="5" s="1"/>
  <c r="AD76" i="5"/>
  <c r="AB76" i="5"/>
  <c r="Z76" i="5"/>
  <c r="X76" i="5"/>
  <c r="V76" i="5"/>
  <c r="T76" i="5"/>
  <c r="Q76" i="5"/>
  <c r="O76" i="5"/>
  <c r="AG77" i="5"/>
  <c r="AE77" i="5"/>
  <c r="AK77" i="5" s="1"/>
  <c r="AD77" i="5"/>
  <c r="AB77" i="5"/>
  <c r="Z77" i="5"/>
  <c r="X77" i="5"/>
  <c r="V77" i="5"/>
  <c r="T77" i="5"/>
  <c r="Q77" i="5"/>
  <c r="O77" i="5"/>
  <c r="AG78" i="5"/>
  <c r="AE78" i="5"/>
  <c r="AK78" i="5" s="1"/>
  <c r="AD78" i="5"/>
  <c r="AB78" i="5"/>
  <c r="Z78" i="5"/>
  <c r="X78" i="5"/>
  <c r="V78" i="5"/>
  <c r="T78" i="5"/>
  <c r="Q78" i="5"/>
  <c r="O78" i="5"/>
  <c r="AN79" i="5"/>
  <c r="AH79" i="5"/>
  <c r="AF79" i="5"/>
  <c r="L79" i="5"/>
  <c r="AO79" i="5" s="1"/>
  <c r="M83" i="5"/>
  <c r="AG80" i="5"/>
  <c r="AE80" i="5"/>
  <c r="AK80" i="5" s="1"/>
  <c r="AD80" i="5"/>
  <c r="AB80" i="5"/>
  <c r="Z80" i="5"/>
  <c r="X80" i="5"/>
  <c r="V80" i="5"/>
  <c r="T80" i="5"/>
  <c r="Q80" i="5"/>
  <c r="O80" i="5"/>
  <c r="AG81" i="5"/>
  <c r="AE81" i="5"/>
  <c r="AK81" i="5" s="1"/>
  <c r="AD81" i="5"/>
  <c r="AB81" i="5"/>
  <c r="Z81" i="5"/>
  <c r="X81" i="5"/>
  <c r="V81" i="5"/>
  <c r="T81" i="5"/>
  <c r="Q81" i="5"/>
  <c r="O81" i="5"/>
  <c r="AG82" i="5"/>
  <c r="AE82" i="5"/>
  <c r="AK82" i="5" s="1"/>
  <c r="AD82" i="5"/>
  <c r="AB82" i="5"/>
  <c r="Z82" i="5"/>
  <c r="X82" i="5"/>
  <c r="V82" i="5"/>
  <c r="T82" i="5"/>
  <c r="Q82" i="5"/>
  <c r="O82" i="5"/>
  <c r="AN83" i="5"/>
  <c r="AH83" i="5"/>
  <c r="AF83" i="5"/>
  <c r="L83" i="5"/>
  <c r="AO83" i="5" s="1"/>
  <c r="M87" i="5"/>
  <c r="AG84" i="5"/>
  <c r="AE84" i="5"/>
  <c r="AK84" i="5" s="1"/>
  <c r="AD84" i="5"/>
  <c r="AB84" i="5"/>
  <c r="Z84" i="5"/>
  <c r="X84" i="5"/>
  <c r="V84" i="5"/>
  <c r="T84" i="5"/>
  <c r="Q84" i="5"/>
  <c r="O84" i="5"/>
  <c r="AG85" i="5"/>
  <c r="AE85" i="5"/>
  <c r="AK85" i="5" s="1"/>
  <c r="AD85" i="5"/>
  <c r="AB85" i="5"/>
  <c r="Z85" i="5"/>
  <c r="X85" i="5"/>
  <c r="V85" i="5"/>
  <c r="T85" i="5"/>
  <c r="Q85" i="5"/>
  <c r="O85" i="5"/>
  <c r="AG86" i="5"/>
  <c r="AE86" i="5"/>
  <c r="AK86" i="5" s="1"/>
  <c r="AD86" i="5"/>
  <c r="AB86" i="5"/>
  <c r="Z86" i="5"/>
  <c r="X86" i="5"/>
  <c r="V86" i="5"/>
  <c r="T86" i="5"/>
  <c r="Q86" i="5"/>
  <c r="O86" i="5"/>
  <c r="AN87" i="5"/>
  <c r="AH87" i="5"/>
  <c r="AF87" i="5"/>
  <c r="L87" i="5"/>
  <c r="AO87" i="5" s="1"/>
  <c r="M91" i="5"/>
  <c r="AG88" i="5"/>
  <c r="AE88" i="5"/>
  <c r="AK88" i="5" s="1"/>
  <c r="AD88" i="5"/>
  <c r="AB88" i="5"/>
  <c r="Z88" i="5"/>
  <c r="X88" i="5"/>
  <c r="V88" i="5"/>
  <c r="T88" i="5"/>
  <c r="Q88" i="5"/>
  <c r="O88" i="5"/>
  <c r="AG89" i="5"/>
  <c r="AE89" i="5"/>
  <c r="AK89" i="5" s="1"/>
  <c r="AD89" i="5"/>
  <c r="AB89" i="5"/>
  <c r="Z89" i="5"/>
  <c r="X89" i="5"/>
  <c r="V89" i="5"/>
  <c r="T89" i="5"/>
  <c r="Q89" i="5"/>
  <c r="O89" i="5"/>
  <c r="AG90" i="5"/>
  <c r="AE90" i="5"/>
  <c r="AK90" i="5" s="1"/>
  <c r="AD90" i="5"/>
  <c r="AB90" i="5"/>
  <c r="Z90" i="5"/>
  <c r="X90" i="5"/>
  <c r="V90" i="5"/>
  <c r="T90" i="5"/>
  <c r="Q90" i="5"/>
  <c r="O90" i="5"/>
  <c r="AN91" i="5"/>
  <c r="AH91" i="5"/>
  <c r="AF91" i="5"/>
  <c r="L91" i="5"/>
  <c r="AO91" i="5" s="1"/>
  <c r="M95" i="5"/>
  <c r="AG92" i="5"/>
  <c r="AE92" i="5"/>
  <c r="AK92" i="5" s="1"/>
  <c r="AD92" i="5"/>
  <c r="AB92" i="5"/>
  <c r="Z92" i="5"/>
  <c r="X92" i="5"/>
  <c r="V92" i="5"/>
  <c r="T92" i="5"/>
  <c r="Q92" i="5"/>
  <c r="O92" i="5"/>
  <c r="AG93" i="5"/>
  <c r="AE93" i="5"/>
  <c r="AK93" i="5" s="1"/>
  <c r="AD93" i="5"/>
  <c r="AB93" i="5"/>
  <c r="Z93" i="5"/>
  <c r="X93" i="5"/>
  <c r="V93" i="5"/>
  <c r="T93" i="5"/>
  <c r="Q93" i="5"/>
  <c r="O93" i="5"/>
  <c r="AG94" i="5"/>
  <c r="AE94" i="5"/>
  <c r="AK94" i="5" s="1"/>
  <c r="AD94" i="5"/>
  <c r="AB94" i="5"/>
  <c r="Z94" i="5"/>
  <c r="X94" i="5"/>
  <c r="V94" i="5"/>
  <c r="T94" i="5"/>
  <c r="Q94" i="5"/>
  <c r="O94" i="5"/>
  <c r="AN95" i="5"/>
  <c r="AH95" i="5"/>
  <c r="AF95" i="5"/>
  <c r="L95" i="5"/>
  <c r="AO95" i="5" s="1"/>
  <c r="M99" i="5"/>
  <c r="AG96" i="5"/>
  <c r="AE96" i="5"/>
  <c r="AK96" i="5" s="1"/>
  <c r="AD96" i="5"/>
  <c r="AB96" i="5"/>
  <c r="Z96" i="5"/>
  <c r="X96" i="5"/>
  <c r="V96" i="5"/>
  <c r="T96" i="5"/>
  <c r="Q96" i="5"/>
  <c r="O96" i="5"/>
  <c r="AG97" i="5"/>
  <c r="AE97" i="5"/>
  <c r="AK97" i="5" s="1"/>
  <c r="AD97" i="5"/>
  <c r="AB97" i="5"/>
  <c r="Z97" i="5"/>
  <c r="X97" i="5"/>
  <c r="V97" i="5"/>
  <c r="T97" i="5"/>
  <c r="Q97" i="5"/>
  <c r="O97" i="5"/>
  <c r="AG98" i="5"/>
  <c r="AE98" i="5"/>
  <c r="AK98" i="5" s="1"/>
  <c r="AD98" i="5"/>
  <c r="AB98" i="5"/>
  <c r="Z98" i="5"/>
  <c r="X98" i="5"/>
  <c r="V98" i="5"/>
  <c r="T98" i="5"/>
  <c r="Q98" i="5"/>
  <c r="O98" i="5"/>
  <c r="AN99" i="5"/>
  <c r="AH99" i="5"/>
  <c r="AF99" i="5"/>
  <c r="L99" i="5"/>
  <c r="AO99" i="5" s="1"/>
  <c r="M103" i="5"/>
  <c r="AG100" i="5"/>
  <c r="AE100" i="5"/>
  <c r="AK100" i="5" s="1"/>
  <c r="AD100" i="5"/>
  <c r="AB100" i="5"/>
  <c r="Z100" i="5"/>
  <c r="X100" i="5"/>
  <c r="V100" i="5"/>
  <c r="T100" i="5"/>
  <c r="Q100" i="5"/>
  <c r="O100" i="5"/>
  <c r="AG101" i="5"/>
  <c r="AE101" i="5"/>
  <c r="AK101" i="5" s="1"/>
  <c r="AD101" i="5"/>
  <c r="AB101" i="5"/>
  <c r="Z101" i="5"/>
  <c r="X101" i="5"/>
  <c r="V101" i="5"/>
  <c r="T101" i="5"/>
  <c r="Q101" i="5"/>
  <c r="O101" i="5"/>
  <c r="AG102" i="5"/>
  <c r="AE102" i="5"/>
  <c r="AK102" i="5" s="1"/>
  <c r="AD102" i="5"/>
  <c r="AB102" i="5"/>
  <c r="Z102" i="5"/>
  <c r="X102" i="5"/>
  <c r="V102" i="5"/>
  <c r="T102" i="5"/>
  <c r="Q102" i="5"/>
  <c r="O102" i="5"/>
  <c r="AN103" i="5"/>
  <c r="AH103" i="5"/>
  <c r="AF103" i="5"/>
  <c r="L103" i="5"/>
  <c r="AO103" i="5" s="1"/>
  <c r="M107" i="5"/>
  <c r="AG104" i="5"/>
  <c r="AE104" i="5"/>
  <c r="AK104" i="5" s="1"/>
  <c r="AD104" i="5"/>
  <c r="AB104" i="5"/>
  <c r="Z104" i="5"/>
  <c r="X104" i="5"/>
  <c r="V104" i="5"/>
  <c r="T104" i="5"/>
  <c r="Q104" i="5"/>
  <c r="O104" i="5"/>
  <c r="AG105" i="5"/>
  <c r="AE105" i="5"/>
  <c r="AK105" i="5" s="1"/>
  <c r="AD105" i="5"/>
  <c r="AB105" i="5"/>
  <c r="Z105" i="5"/>
  <c r="X105" i="5"/>
  <c r="V105" i="5"/>
  <c r="T105" i="5"/>
  <c r="Q105" i="5"/>
  <c r="O105" i="5"/>
  <c r="AG106" i="5"/>
  <c r="AE106" i="5"/>
  <c r="AK106" i="5" s="1"/>
  <c r="AD106" i="5"/>
  <c r="AB106" i="5"/>
  <c r="Z106" i="5"/>
  <c r="X106" i="5"/>
  <c r="V106" i="5"/>
  <c r="T106" i="5"/>
  <c r="Q106" i="5"/>
  <c r="O106" i="5"/>
  <c r="AN107" i="5"/>
  <c r="AH107" i="5"/>
  <c r="AF107" i="5"/>
  <c r="L107" i="5"/>
  <c r="AO107" i="5" s="1"/>
  <c r="M111" i="5"/>
  <c r="AG108" i="5"/>
  <c r="AE108" i="5"/>
  <c r="AK108" i="5" s="1"/>
  <c r="AD108" i="5"/>
  <c r="AB108" i="5"/>
  <c r="Z108" i="5"/>
  <c r="X108" i="5"/>
  <c r="V108" i="5"/>
  <c r="T108" i="5"/>
  <c r="Q108" i="5"/>
  <c r="O108" i="5"/>
  <c r="AG109" i="5"/>
  <c r="AE109" i="5"/>
  <c r="AK109" i="5" s="1"/>
  <c r="AD109" i="5"/>
  <c r="AB109" i="5"/>
  <c r="Z109" i="5"/>
  <c r="X109" i="5"/>
  <c r="V109" i="5"/>
  <c r="T109" i="5"/>
  <c r="Q109" i="5"/>
  <c r="O109" i="5"/>
  <c r="AG110" i="5"/>
  <c r="AE110" i="5"/>
  <c r="AK110" i="5" s="1"/>
  <c r="AD110" i="5"/>
  <c r="AB110" i="5"/>
  <c r="Z110" i="5"/>
  <c r="X110" i="5"/>
  <c r="V110" i="5"/>
  <c r="T110" i="5"/>
  <c r="Q110" i="5"/>
  <c r="O110" i="5"/>
  <c r="AN111" i="5"/>
  <c r="AH111" i="5"/>
  <c r="AF111" i="5"/>
  <c r="L111" i="5"/>
  <c r="AO111" i="5" s="1"/>
  <c r="M115" i="5"/>
  <c r="AG112" i="5"/>
  <c r="AE112" i="5"/>
  <c r="AK112" i="5" s="1"/>
  <c r="AD112" i="5"/>
  <c r="AB112" i="5"/>
  <c r="Z112" i="5"/>
  <c r="X112" i="5"/>
  <c r="V112" i="5"/>
  <c r="T112" i="5"/>
  <c r="Q112" i="5"/>
  <c r="O112" i="5"/>
  <c r="AG113" i="5"/>
  <c r="AE113" i="5"/>
  <c r="AK113" i="5" s="1"/>
  <c r="AD113" i="5"/>
  <c r="AB113" i="5"/>
  <c r="Z113" i="5"/>
  <c r="X113" i="5"/>
  <c r="V113" i="5"/>
  <c r="T113" i="5"/>
  <c r="Q113" i="5"/>
  <c r="O113" i="5"/>
  <c r="AG114" i="5"/>
  <c r="AE114" i="5"/>
  <c r="AK114" i="5" s="1"/>
  <c r="AD114" i="5"/>
  <c r="AB114" i="5"/>
  <c r="Z114" i="5"/>
  <c r="X114" i="5"/>
  <c r="V114" i="5"/>
  <c r="T114" i="5"/>
  <c r="Q114" i="5"/>
  <c r="O114" i="5"/>
  <c r="AN115" i="5"/>
  <c r="AH115" i="5"/>
  <c r="AF115" i="5"/>
  <c r="L115" i="5"/>
  <c r="AO115" i="5" s="1"/>
  <c r="M119" i="5"/>
  <c r="AG116" i="5"/>
  <c r="AE116" i="5"/>
  <c r="AK116" i="5" s="1"/>
  <c r="AD116" i="5"/>
  <c r="AB116" i="5"/>
  <c r="Z116" i="5"/>
  <c r="X116" i="5"/>
  <c r="V116" i="5"/>
  <c r="T116" i="5"/>
  <c r="Q116" i="5"/>
  <c r="O116" i="5"/>
  <c r="AG117" i="5"/>
  <c r="AE117" i="5"/>
  <c r="AK117" i="5" s="1"/>
  <c r="AD117" i="5"/>
  <c r="AB117" i="5"/>
  <c r="Z117" i="5"/>
  <c r="X117" i="5"/>
  <c r="V117" i="5"/>
  <c r="T117" i="5"/>
  <c r="Q117" i="5"/>
  <c r="O117" i="5"/>
  <c r="AG118" i="5"/>
  <c r="AE118" i="5"/>
  <c r="AK118" i="5" s="1"/>
  <c r="AD118" i="5"/>
  <c r="AB118" i="5"/>
  <c r="Z118" i="5"/>
  <c r="X118" i="5"/>
  <c r="V118" i="5"/>
  <c r="T118" i="5"/>
  <c r="Q118" i="5"/>
  <c r="O118" i="5"/>
  <c r="AN119" i="5"/>
  <c r="AH119" i="5"/>
  <c r="AF119" i="5"/>
  <c r="L119" i="5"/>
  <c r="AO119" i="5" s="1"/>
  <c r="M123" i="5"/>
  <c r="AG120" i="5"/>
  <c r="AE120" i="5"/>
  <c r="AK120" i="5" s="1"/>
  <c r="AD120" i="5"/>
  <c r="AB120" i="5"/>
  <c r="Z120" i="5"/>
  <c r="X120" i="5"/>
  <c r="V120" i="5"/>
  <c r="T120" i="5"/>
  <c r="Q120" i="5"/>
  <c r="O120" i="5"/>
  <c r="AG121" i="5"/>
  <c r="AE121" i="5"/>
  <c r="AK121" i="5" s="1"/>
  <c r="AD121" i="5"/>
  <c r="AB121" i="5"/>
  <c r="Z121" i="5"/>
  <c r="X121" i="5"/>
  <c r="V121" i="5"/>
  <c r="T121" i="5"/>
  <c r="Q121" i="5"/>
  <c r="O121" i="5"/>
  <c r="AG122" i="5"/>
  <c r="AE122" i="5"/>
  <c r="AK122" i="5" s="1"/>
  <c r="AD122" i="5"/>
  <c r="AB122" i="5"/>
  <c r="Z122" i="5"/>
  <c r="X122" i="5"/>
  <c r="V122" i="5"/>
  <c r="T122" i="5"/>
  <c r="Q122" i="5"/>
  <c r="O122" i="5"/>
  <c r="AN123" i="5"/>
  <c r="AH123" i="5"/>
  <c r="AF123" i="5"/>
  <c r="L123" i="5"/>
  <c r="AO123" i="5" s="1"/>
  <c r="M127" i="5"/>
  <c r="AG124" i="5"/>
  <c r="AE124" i="5"/>
  <c r="AK124" i="5" s="1"/>
  <c r="AD124" i="5"/>
  <c r="AB124" i="5"/>
  <c r="Z124" i="5"/>
  <c r="X124" i="5"/>
  <c r="V124" i="5"/>
  <c r="T124" i="5"/>
  <c r="Q124" i="5"/>
  <c r="O124" i="5"/>
  <c r="AG125" i="5"/>
  <c r="AE125" i="5"/>
  <c r="AK125" i="5" s="1"/>
  <c r="AD125" i="5"/>
  <c r="AB125" i="5"/>
  <c r="Z125" i="5"/>
  <c r="X125" i="5"/>
  <c r="V125" i="5"/>
  <c r="T125" i="5"/>
  <c r="Q125" i="5"/>
  <c r="O125" i="5"/>
  <c r="AG126" i="5"/>
  <c r="AE126" i="5"/>
  <c r="AK126" i="5" s="1"/>
  <c r="AD126" i="5"/>
  <c r="AB126" i="5"/>
  <c r="Z126" i="5"/>
  <c r="X126" i="5"/>
  <c r="V126" i="5"/>
  <c r="T126" i="5"/>
  <c r="Q126" i="5"/>
  <c r="O126" i="5"/>
  <c r="AN127" i="5"/>
  <c r="AH127" i="5"/>
  <c r="AF127" i="5"/>
  <c r="L127" i="5"/>
  <c r="AO127" i="5" s="1"/>
  <c r="M7" i="4"/>
  <c r="AG4" i="4"/>
  <c r="AE4" i="4"/>
  <c r="AK4" i="4" s="1"/>
  <c r="AD4" i="4"/>
  <c r="AB4" i="4"/>
  <c r="Z4" i="4"/>
  <c r="X4" i="4"/>
  <c r="V4" i="4"/>
  <c r="T4" i="4"/>
  <c r="Q4" i="4"/>
  <c r="O4" i="4"/>
  <c r="AT8" i="4"/>
  <c r="AT9" i="4" s="1"/>
  <c r="AT10" i="4" s="1"/>
  <c r="AU7" i="4"/>
  <c r="AG5" i="4"/>
  <c r="AE5" i="4"/>
  <c r="AK5" i="4" s="1"/>
  <c r="AD5" i="4"/>
  <c r="AB5" i="4"/>
  <c r="Z5" i="4"/>
  <c r="X5" i="4"/>
  <c r="V5" i="4"/>
  <c r="T5" i="4"/>
  <c r="Q5" i="4"/>
  <c r="O5" i="4"/>
  <c r="AG6" i="4"/>
  <c r="AE6" i="4"/>
  <c r="AK6" i="4" s="1"/>
  <c r="AD6" i="4"/>
  <c r="AB6" i="4"/>
  <c r="Z6" i="4"/>
  <c r="X6" i="4"/>
  <c r="V6" i="4"/>
  <c r="T6" i="4"/>
  <c r="Q6" i="4"/>
  <c r="O6" i="4"/>
  <c r="AO7" i="4"/>
  <c r="AN7" i="4"/>
  <c r="AH7" i="4"/>
  <c r="AF7" i="4"/>
  <c r="L7" i="4"/>
  <c r="M11" i="4"/>
  <c r="AG8" i="4"/>
  <c r="AE8" i="4"/>
  <c r="AK8" i="4" s="1"/>
  <c r="AD8" i="4"/>
  <c r="AB8" i="4"/>
  <c r="Z8" i="4"/>
  <c r="X8" i="4"/>
  <c r="V8" i="4"/>
  <c r="T8" i="4"/>
  <c r="Q8" i="4"/>
  <c r="O8" i="4"/>
  <c r="AG9" i="4"/>
  <c r="AE9" i="4"/>
  <c r="AK9" i="4" s="1"/>
  <c r="AD9" i="4"/>
  <c r="AB9" i="4"/>
  <c r="Z9" i="4"/>
  <c r="X9" i="4"/>
  <c r="V9" i="4"/>
  <c r="T9" i="4"/>
  <c r="Q9" i="4"/>
  <c r="O9" i="4"/>
  <c r="AG10" i="4"/>
  <c r="AE10" i="4"/>
  <c r="AK10" i="4" s="1"/>
  <c r="AD10" i="4"/>
  <c r="AB10" i="4"/>
  <c r="Z10" i="4"/>
  <c r="X10" i="4"/>
  <c r="V10" i="4"/>
  <c r="T10" i="4"/>
  <c r="Q10" i="4"/>
  <c r="O10" i="4"/>
  <c r="AO11" i="4"/>
  <c r="AN11" i="4"/>
  <c r="AH11" i="4"/>
  <c r="AF11" i="4"/>
  <c r="L11" i="4"/>
  <c r="M15" i="4"/>
  <c r="AG12" i="4"/>
  <c r="AE12" i="4"/>
  <c r="AK12" i="4" s="1"/>
  <c r="AD12" i="4"/>
  <c r="AB12" i="4"/>
  <c r="Z12" i="4"/>
  <c r="X12" i="4"/>
  <c r="V12" i="4"/>
  <c r="T12" i="4"/>
  <c r="Q12" i="4"/>
  <c r="O12" i="4"/>
  <c r="AG13" i="4"/>
  <c r="AE13" i="4"/>
  <c r="AK13" i="4" s="1"/>
  <c r="AD13" i="4"/>
  <c r="AB13" i="4"/>
  <c r="Z13" i="4"/>
  <c r="X13" i="4"/>
  <c r="V13" i="4"/>
  <c r="T13" i="4"/>
  <c r="Q13" i="4"/>
  <c r="O13" i="4"/>
  <c r="AG14" i="4"/>
  <c r="AE14" i="4"/>
  <c r="AK14" i="4" s="1"/>
  <c r="AD14" i="4"/>
  <c r="AB14" i="4"/>
  <c r="Z14" i="4"/>
  <c r="X14" i="4"/>
  <c r="V14" i="4"/>
  <c r="T14" i="4"/>
  <c r="Q14" i="4"/>
  <c r="O14" i="4"/>
  <c r="AO15" i="4"/>
  <c r="AN15" i="4"/>
  <c r="AH15" i="4"/>
  <c r="AF15" i="4"/>
  <c r="L15" i="4"/>
  <c r="M19" i="4"/>
  <c r="AG16" i="4"/>
  <c r="AE16" i="4"/>
  <c r="AK16" i="4" s="1"/>
  <c r="AD16" i="4"/>
  <c r="AB16" i="4"/>
  <c r="Z16" i="4"/>
  <c r="X16" i="4"/>
  <c r="V16" i="4"/>
  <c r="T16" i="4"/>
  <c r="Q16" i="4"/>
  <c r="O16" i="4"/>
  <c r="AG17" i="4"/>
  <c r="AE17" i="4"/>
  <c r="AK17" i="4" s="1"/>
  <c r="AD17" i="4"/>
  <c r="AB17" i="4"/>
  <c r="Z17" i="4"/>
  <c r="X17" i="4"/>
  <c r="V17" i="4"/>
  <c r="T17" i="4"/>
  <c r="Q17" i="4"/>
  <c r="O17" i="4"/>
  <c r="AG18" i="4"/>
  <c r="AE18" i="4"/>
  <c r="AK18" i="4" s="1"/>
  <c r="AD18" i="4"/>
  <c r="AB18" i="4"/>
  <c r="Z18" i="4"/>
  <c r="X18" i="4"/>
  <c r="V18" i="4"/>
  <c r="T18" i="4"/>
  <c r="Q18" i="4"/>
  <c r="O18" i="4"/>
  <c r="AO19" i="4"/>
  <c r="AN19" i="4"/>
  <c r="AH19" i="4"/>
  <c r="AF19" i="4"/>
  <c r="L19" i="4"/>
  <c r="M23" i="4"/>
  <c r="AG20" i="4"/>
  <c r="AE20" i="4"/>
  <c r="AK20" i="4" s="1"/>
  <c r="AD20" i="4"/>
  <c r="AB20" i="4"/>
  <c r="Z20" i="4"/>
  <c r="X20" i="4"/>
  <c r="V20" i="4"/>
  <c r="T20" i="4"/>
  <c r="Q20" i="4"/>
  <c r="O20" i="4"/>
  <c r="AG21" i="4"/>
  <c r="AE21" i="4"/>
  <c r="AK21" i="4" s="1"/>
  <c r="AD21" i="4"/>
  <c r="AB21" i="4"/>
  <c r="Z21" i="4"/>
  <c r="X21" i="4"/>
  <c r="V21" i="4"/>
  <c r="T21" i="4"/>
  <c r="Q21" i="4"/>
  <c r="O21" i="4"/>
  <c r="AG22" i="4"/>
  <c r="AE22" i="4"/>
  <c r="AK22" i="4" s="1"/>
  <c r="AD22" i="4"/>
  <c r="AB22" i="4"/>
  <c r="Z22" i="4"/>
  <c r="X22" i="4"/>
  <c r="V22" i="4"/>
  <c r="T22" i="4"/>
  <c r="Q22" i="4"/>
  <c r="O22" i="4"/>
  <c r="AO23" i="4"/>
  <c r="AN23" i="4"/>
  <c r="AH23" i="4"/>
  <c r="AF23" i="4"/>
  <c r="L23" i="4"/>
  <c r="M27" i="4"/>
  <c r="AG24" i="4"/>
  <c r="AE24" i="4"/>
  <c r="AK24" i="4" s="1"/>
  <c r="AD24" i="4"/>
  <c r="AB24" i="4"/>
  <c r="Z24" i="4"/>
  <c r="X24" i="4"/>
  <c r="V24" i="4"/>
  <c r="T24" i="4"/>
  <c r="Q24" i="4"/>
  <c r="O24" i="4"/>
  <c r="AG25" i="4"/>
  <c r="AE25" i="4"/>
  <c r="AK25" i="4" s="1"/>
  <c r="AD25" i="4"/>
  <c r="AB25" i="4"/>
  <c r="Z25" i="4"/>
  <c r="X25" i="4"/>
  <c r="V25" i="4"/>
  <c r="T25" i="4"/>
  <c r="Q25" i="4"/>
  <c r="O25" i="4"/>
  <c r="AG26" i="4"/>
  <c r="AE26" i="4"/>
  <c r="AK26" i="4" s="1"/>
  <c r="AD26" i="4"/>
  <c r="AB26" i="4"/>
  <c r="Z26" i="4"/>
  <c r="X26" i="4"/>
  <c r="V26" i="4"/>
  <c r="T26" i="4"/>
  <c r="Q26" i="4"/>
  <c r="O26" i="4"/>
  <c r="AO27" i="4"/>
  <c r="AN27" i="4"/>
  <c r="AH27" i="4"/>
  <c r="AF27" i="4"/>
  <c r="L27" i="4"/>
  <c r="M31" i="4"/>
  <c r="AG28" i="4"/>
  <c r="AE28" i="4"/>
  <c r="AK28" i="4" s="1"/>
  <c r="AD28" i="4"/>
  <c r="AB28" i="4"/>
  <c r="Z28" i="4"/>
  <c r="X28" i="4"/>
  <c r="V28" i="4"/>
  <c r="T28" i="4"/>
  <c r="Q28" i="4"/>
  <c r="O28" i="4"/>
  <c r="AG29" i="4"/>
  <c r="AE29" i="4"/>
  <c r="AK29" i="4" s="1"/>
  <c r="AD29" i="4"/>
  <c r="AB29" i="4"/>
  <c r="Z29" i="4"/>
  <c r="X29" i="4"/>
  <c r="V29" i="4"/>
  <c r="T29" i="4"/>
  <c r="Q29" i="4"/>
  <c r="O29" i="4"/>
  <c r="AG30" i="4"/>
  <c r="AE30" i="4"/>
  <c r="AK30" i="4" s="1"/>
  <c r="AD30" i="4"/>
  <c r="AB30" i="4"/>
  <c r="Z30" i="4"/>
  <c r="X30" i="4"/>
  <c r="V30" i="4"/>
  <c r="T30" i="4"/>
  <c r="Q30" i="4"/>
  <c r="O30" i="4"/>
  <c r="AN31" i="4"/>
  <c r="AH31" i="4"/>
  <c r="AF31" i="4"/>
  <c r="L31" i="4"/>
  <c r="AO31" i="4" s="1"/>
  <c r="M35" i="4"/>
  <c r="AG32" i="4"/>
  <c r="AE32" i="4"/>
  <c r="AK32" i="4" s="1"/>
  <c r="AD32" i="4"/>
  <c r="AB32" i="4"/>
  <c r="Z32" i="4"/>
  <c r="X32" i="4"/>
  <c r="V32" i="4"/>
  <c r="T32" i="4"/>
  <c r="Q32" i="4"/>
  <c r="O32" i="4"/>
  <c r="AG33" i="4"/>
  <c r="AE33" i="4"/>
  <c r="AK33" i="4" s="1"/>
  <c r="AD33" i="4"/>
  <c r="AB33" i="4"/>
  <c r="Z33" i="4"/>
  <c r="X33" i="4"/>
  <c r="V33" i="4"/>
  <c r="T33" i="4"/>
  <c r="Q33" i="4"/>
  <c r="O33" i="4"/>
  <c r="AG34" i="4"/>
  <c r="AE34" i="4"/>
  <c r="AK34" i="4" s="1"/>
  <c r="AD34" i="4"/>
  <c r="AB34" i="4"/>
  <c r="Z34" i="4"/>
  <c r="X34" i="4"/>
  <c r="V34" i="4"/>
  <c r="T34" i="4"/>
  <c r="Q34" i="4"/>
  <c r="O34" i="4"/>
  <c r="AN35" i="4"/>
  <c r="AH35" i="4"/>
  <c r="AF35" i="4"/>
  <c r="L35" i="4"/>
  <c r="AO35" i="4" s="1"/>
  <c r="M39" i="4"/>
  <c r="AG36" i="4"/>
  <c r="AE36" i="4"/>
  <c r="AK36" i="4" s="1"/>
  <c r="AD36" i="4"/>
  <c r="AB36" i="4"/>
  <c r="Z36" i="4"/>
  <c r="X36" i="4"/>
  <c r="V36" i="4"/>
  <c r="T36" i="4"/>
  <c r="Q36" i="4"/>
  <c r="O36" i="4"/>
  <c r="AG37" i="4"/>
  <c r="AE37" i="4"/>
  <c r="AK37" i="4" s="1"/>
  <c r="AD37" i="4"/>
  <c r="AB37" i="4"/>
  <c r="Z37" i="4"/>
  <c r="X37" i="4"/>
  <c r="V37" i="4"/>
  <c r="T37" i="4"/>
  <c r="Q37" i="4"/>
  <c r="O37" i="4"/>
  <c r="AG38" i="4"/>
  <c r="AE38" i="4"/>
  <c r="AK38" i="4" s="1"/>
  <c r="AD38" i="4"/>
  <c r="AB38" i="4"/>
  <c r="Z38" i="4"/>
  <c r="X38" i="4"/>
  <c r="V38" i="4"/>
  <c r="T38" i="4"/>
  <c r="Q38" i="4"/>
  <c r="O38" i="4"/>
  <c r="AN39" i="4"/>
  <c r="AH39" i="4"/>
  <c r="AF39" i="4"/>
  <c r="L39" i="4"/>
  <c r="AO39" i="4" s="1"/>
  <c r="M43" i="4"/>
  <c r="AG40" i="4"/>
  <c r="AE40" i="4"/>
  <c r="AK40" i="4" s="1"/>
  <c r="AD40" i="4"/>
  <c r="AB40" i="4"/>
  <c r="Z40" i="4"/>
  <c r="X40" i="4"/>
  <c r="V40" i="4"/>
  <c r="T40" i="4"/>
  <c r="Q40" i="4"/>
  <c r="O40" i="4"/>
  <c r="AG41" i="4"/>
  <c r="AE41" i="4"/>
  <c r="AK41" i="4" s="1"/>
  <c r="AD41" i="4"/>
  <c r="AB41" i="4"/>
  <c r="Z41" i="4"/>
  <c r="X41" i="4"/>
  <c r="V41" i="4"/>
  <c r="T41" i="4"/>
  <c r="Q41" i="4"/>
  <c r="O41" i="4"/>
  <c r="AG42" i="4"/>
  <c r="AE42" i="4"/>
  <c r="AK42" i="4" s="1"/>
  <c r="AD42" i="4"/>
  <c r="AB42" i="4"/>
  <c r="Z42" i="4"/>
  <c r="X42" i="4"/>
  <c r="V42" i="4"/>
  <c r="T42" i="4"/>
  <c r="Q42" i="4"/>
  <c r="O42" i="4"/>
  <c r="AN43" i="4"/>
  <c r="AH43" i="4"/>
  <c r="AF43" i="4"/>
  <c r="L43" i="4"/>
  <c r="AO43" i="4" s="1"/>
  <c r="M47" i="4"/>
  <c r="AG44" i="4"/>
  <c r="AE44" i="4"/>
  <c r="AK44" i="4" s="1"/>
  <c r="AD44" i="4"/>
  <c r="AB44" i="4"/>
  <c r="Z44" i="4"/>
  <c r="X44" i="4"/>
  <c r="V44" i="4"/>
  <c r="T44" i="4"/>
  <c r="Q44" i="4"/>
  <c r="O44" i="4"/>
  <c r="AG45" i="4"/>
  <c r="AE45" i="4"/>
  <c r="AK45" i="4" s="1"/>
  <c r="AD45" i="4"/>
  <c r="AB45" i="4"/>
  <c r="Z45" i="4"/>
  <c r="X45" i="4"/>
  <c r="V45" i="4"/>
  <c r="T45" i="4"/>
  <c r="Q45" i="4"/>
  <c r="O45" i="4"/>
  <c r="AG46" i="4"/>
  <c r="AE46" i="4"/>
  <c r="AK46" i="4" s="1"/>
  <c r="AD46" i="4"/>
  <c r="AB46" i="4"/>
  <c r="Z46" i="4"/>
  <c r="X46" i="4"/>
  <c r="V46" i="4"/>
  <c r="T46" i="4"/>
  <c r="Q46" i="4"/>
  <c r="O46" i="4"/>
  <c r="AN47" i="4"/>
  <c r="AH47" i="4"/>
  <c r="AF47" i="4"/>
  <c r="L47" i="4"/>
  <c r="AO47" i="4" s="1"/>
  <c r="M51" i="4"/>
  <c r="AG48" i="4"/>
  <c r="AE48" i="4"/>
  <c r="AK48" i="4" s="1"/>
  <c r="AD48" i="4"/>
  <c r="AB48" i="4"/>
  <c r="Z48" i="4"/>
  <c r="X48" i="4"/>
  <c r="V48" i="4"/>
  <c r="T48" i="4"/>
  <c r="Q48" i="4"/>
  <c r="O48" i="4"/>
  <c r="AG49" i="4"/>
  <c r="AE49" i="4"/>
  <c r="AK49" i="4" s="1"/>
  <c r="AD49" i="4"/>
  <c r="AB49" i="4"/>
  <c r="Z49" i="4"/>
  <c r="X49" i="4"/>
  <c r="V49" i="4"/>
  <c r="T49" i="4"/>
  <c r="Q49" i="4"/>
  <c r="O49" i="4"/>
  <c r="AG50" i="4"/>
  <c r="AE50" i="4"/>
  <c r="AK50" i="4" s="1"/>
  <c r="AD50" i="4"/>
  <c r="AB50" i="4"/>
  <c r="Z50" i="4"/>
  <c r="X50" i="4"/>
  <c r="V50" i="4"/>
  <c r="T50" i="4"/>
  <c r="Q50" i="4"/>
  <c r="O50" i="4"/>
  <c r="AN51" i="4"/>
  <c r="AH51" i="4"/>
  <c r="AF51" i="4"/>
  <c r="L51" i="4"/>
  <c r="AO51" i="4" s="1"/>
  <c r="M55" i="4"/>
  <c r="AG52" i="4"/>
  <c r="AE52" i="4"/>
  <c r="AK52" i="4" s="1"/>
  <c r="AD52" i="4"/>
  <c r="AB52" i="4"/>
  <c r="Z52" i="4"/>
  <c r="X52" i="4"/>
  <c r="V52" i="4"/>
  <c r="T52" i="4"/>
  <c r="Q52" i="4"/>
  <c r="O52" i="4"/>
  <c r="AG53" i="4"/>
  <c r="AE53" i="4"/>
  <c r="AK53" i="4" s="1"/>
  <c r="AD53" i="4"/>
  <c r="AB53" i="4"/>
  <c r="Z53" i="4"/>
  <c r="X53" i="4"/>
  <c r="V53" i="4"/>
  <c r="T53" i="4"/>
  <c r="Q53" i="4"/>
  <c r="O53" i="4"/>
  <c r="AG54" i="4"/>
  <c r="AE54" i="4"/>
  <c r="AK54" i="4" s="1"/>
  <c r="AD54" i="4"/>
  <c r="AB54" i="4"/>
  <c r="Z54" i="4"/>
  <c r="X54" i="4"/>
  <c r="V54" i="4"/>
  <c r="T54" i="4"/>
  <c r="Q54" i="4"/>
  <c r="O54" i="4"/>
  <c r="AN55" i="4"/>
  <c r="AH55" i="4"/>
  <c r="AF55" i="4"/>
  <c r="L55" i="4"/>
  <c r="AO55" i="4" s="1"/>
  <c r="M59" i="4"/>
  <c r="AG56" i="4"/>
  <c r="AE56" i="4"/>
  <c r="AK56" i="4" s="1"/>
  <c r="AD56" i="4"/>
  <c r="AB56" i="4"/>
  <c r="Z56" i="4"/>
  <c r="X56" i="4"/>
  <c r="V56" i="4"/>
  <c r="T56" i="4"/>
  <c r="Q56" i="4"/>
  <c r="O56" i="4"/>
  <c r="AG57" i="4"/>
  <c r="AE57" i="4"/>
  <c r="AK57" i="4" s="1"/>
  <c r="AD57" i="4"/>
  <c r="AB57" i="4"/>
  <c r="Z57" i="4"/>
  <c r="X57" i="4"/>
  <c r="V57" i="4"/>
  <c r="T57" i="4"/>
  <c r="Q57" i="4"/>
  <c r="O57" i="4"/>
  <c r="AG58" i="4"/>
  <c r="AE58" i="4"/>
  <c r="AK58" i="4" s="1"/>
  <c r="AD58" i="4"/>
  <c r="AB58" i="4"/>
  <c r="Z58" i="4"/>
  <c r="X58" i="4"/>
  <c r="V58" i="4"/>
  <c r="T58" i="4"/>
  <c r="Q58" i="4"/>
  <c r="O58" i="4"/>
  <c r="AN59" i="4"/>
  <c r="AH59" i="4"/>
  <c r="AF59" i="4"/>
  <c r="L59" i="4"/>
  <c r="AO59" i="4" s="1"/>
  <c r="M63" i="4"/>
  <c r="AG60" i="4"/>
  <c r="AE60" i="4"/>
  <c r="AK60" i="4" s="1"/>
  <c r="AD60" i="4"/>
  <c r="AB60" i="4"/>
  <c r="Z60" i="4"/>
  <c r="X60" i="4"/>
  <c r="V60" i="4"/>
  <c r="T60" i="4"/>
  <c r="Q60" i="4"/>
  <c r="O60" i="4"/>
  <c r="AG61" i="4"/>
  <c r="AE61" i="4"/>
  <c r="AK61" i="4" s="1"/>
  <c r="AD61" i="4"/>
  <c r="AB61" i="4"/>
  <c r="Z61" i="4"/>
  <c r="X61" i="4"/>
  <c r="V61" i="4"/>
  <c r="T61" i="4"/>
  <c r="Q61" i="4"/>
  <c r="O61" i="4"/>
  <c r="AG62" i="4"/>
  <c r="AE62" i="4"/>
  <c r="AK62" i="4" s="1"/>
  <c r="AD62" i="4"/>
  <c r="AB62" i="4"/>
  <c r="Z62" i="4"/>
  <c r="X62" i="4"/>
  <c r="V62" i="4"/>
  <c r="T62" i="4"/>
  <c r="Q62" i="4"/>
  <c r="O62" i="4"/>
  <c r="AN63" i="4"/>
  <c r="AH63" i="4"/>
  <c r="AF63" i="4"/>
  <c r="L63" i="4"/>
  <c r="AO63" i="4" s="1"/>
  <c r="M67" i="4"/>
  <c r="AG64" i="4"/>
  <c r="AE64" i="4"/>
  <c r="AK64" i="4" s="1"/>
  <c r="AD64" i="4"/>
  <c r="AB64" i="4"/>
  <c r="Z64" i="4"/>
  <c r="X64" i="4"/>
  <c r="V64" i="4"/>
  <c r="T64" i="4"/>
  <c r="Q64" i="4"/>
  <c r="O64" i="4"/>
  <c r="AG65" i="4"/>
  <c r="AE65" i="4"/>
  <c r="AK65" i="4" s="1"/>
  <c r="AD65" i="4"/>
  <c r="AB65" i="4"/>
  <c r="Z65" i="4"/>
  <c r="X65" i="4"/>
  <c r="V65" i="4"/>
  <c r="T65" i="4"/>
  <c r="Q65" i="4"/>
  <c r="O65" i="4"/>
  <c r="AG66" i="4"/>
  <c r="AE66" i="4"/>
  <c r="AK66" i="4" s="1"/>
  <c r="AD66" i="4"/>
  <c r="AB66" i="4"/>
  <c r="Z66" i="4"/>
  <c r="X66" i="4"/>
  <c r="V66" i="4"/>
  <c r="T66" i="4"/>
  <c r="Q66" i="4"/>
  <c r="O66" i="4"/>
  <c r="AN67" i="4"/>
  <c r="AH67" i="4"/>
  <c r="AF67" i="4"/>
  <c r="L67" i="4"/>
  <c r="AO67" i="4" s="1"/>
  <c r="M71" i="4"/>
  <c r="AG68" i="4"/>
  <c r="AE68" i="4"/>
  <c r="AK68" i="4" s="1"/>
  <c r="AD68" i="4"/>
  <c r="AB68" i="4"/>
  <c r="Z68" i="4"/>
  <c r="X68" i="4"/>
  <c r="V68" i="4"/>
  <c r="T68" i="4"/>
  <c r="Q68" i="4"/>
  <c r="O68" i="4"/>
  <c r="AG69" i="4"/>
  <c r="AE69" i="4"/>
  <c r="AK69" i="4" s="1"/>
  <c r="AD69" i="4"/>
  <c r="AB69" i="4"/>
  <c r="Z69" i="4"/>
  <c r="X69" i="4"/>
  <c r="V69" i="4"/>
  <c r="T69" i="4"/>
  <c r="Q69" i="4"/>
  <c r="O69" i="4"/>
  <c r="AG70" i="4"/>
  <c r="AE70" i="4"/>
  <c r="AK70" i="4" s="1"/>
  <c r="AD70" i="4"/>
  <c r="AB70" i="4"/>
  <c r="Z70" i="4"/>
  <c r="X70" i="4"/>
  <c r="V70" i="4"/>
  <c r="T70" i="4"/>
  <c r="Q70" i="4"/>
  <c r="O70" i="4"/>
  <c r="AN71" i="4"/>
  <c r="AH71" i="4"/>
  <c r="AF71" i="4"/>
  <c r="L71" i="4"/>
  <c r="AO71" i="4" s="1"/>
  <c r="M75" i="4"/>
  <c r="AG72" i="4"/>
  <c r="AE72" i="4"/>
  <c r="AK72" i="4" s="1"/>
  <c r="AD72" i="4"/>
  <c r="AB72" i="4"/>
  <c r="Z72" i="4"/>
  <c r="X72" i="4"/>
  <c r="V72" i="4"/>
  <c r="T72" i="4"/>
  <c r="Q72" i="4"/>
  <c r="O72" i="4"/>
  <c r="AG73" i="4"/>
  <c r="AE73" i="4"/>
  <c r="AK73" i="4" s="1"/>
  <c r="AD73" i="4"/>
  <c r="AB73" i="4"/>
  <c r="Z73" i="4"/>
  <c r="X73" i="4"/>
  <c r="V73" i="4"/>
  <c r="T73" i="4"/>
  <c r="Q73" i="4"/>
  <c r="O73" i="4"/>
  <c r="AG74" i="4"/>
  <c r="AE74" i="4"/>
  <c r="AK74" i="4" s="1"/>
  <c r="AD74" i="4"/>
  <c r="AB74" i="4"/>
  <c r="Z74" i="4"/>
  <c r="X74" i="4"/>
  <c r="V74" i="4"/>
  <c r="T74" i="4"/>
  <c r="Q74" i="4"/>
  <c r="O74" i="4"/>
  <c r="AN75" i="4"/>
  <c r="AH75" i="4"/>
  <c r="AF75" i="4"/>
  <c r="L75" i="4"/>
  <c r="AO75" i="4" s="1"/>
  <c r="M79" i="4"/>
  <c r="AG76" i="4"/>
  <c r="AE76" i="4"/>
  <c r="AK76" i="4" s="1"/>
  <c r="AD76" i="4"/>
  <c r="AB76" i="4"/>
  <c r="Z76" i="4"/>
  <c r="X76" i="4"/>
  <c r="V76" i="4"/>
  <c r="T76" i="4"/>
  <c r="Q76" i="4"/>
  <c r="O76" i="4"/>
  <c r="AG77" i="4"/>
  <c r="AE77" i="4"/>
  <c r="AK77" i="4" s="1"/>
  <c r="AD77" i="4"/>
  <c r="AB77" i="4"/>
  <c r="Z77" i="4"/>
  <c r="X77" i="4"/>
  <c r="V77" i="4"/>
  <c r="T77" i="4"/>
  <c r="Q77" i="4"/>
  <c r="O77" i="4"/>
  <c r="AG78" i="4"/>
  <c r="AE78" i="4"/>
  <c r="AK78" i="4" s="1"/>
  <c r="AD78" i="4"/>
  <c r="AB78" i="4"/>
  <c r="Z78" i="4"/>
  <c r="X78" i="4"/>
  <c r="V78" i="4"/>
  <c r="T78" i="4"/>
  <c r="Q78" i="4"/>
  <c r="O78" i="4"/>
  <c r="AN79" i="4"/>
  <c r="AH79" i="4"/>
  <c r="AF79" i="4"/>
  <c r="L79" i="4"/>
  <c r="AO79" i="4" s="1"/>
  <c r="M83" i="4"/>
  <c r="AG80" i="4"/>
  <c r="AE80" i="4"/>
  <c r="AK80" i="4" s="1"/>
  <c r="AD80" i="4"/>
  <c r="AB80" i="4"/>
  <c r="Z80" i="4"/>
  <c r="X80" i="4"/>
  <c r="V80" i="4"/>
  <c r="T80" i="4"/>
  <c r="Q80" i="4"/>
  <c r="O80" i="4"/>
  <c r="AG81" i="4"/>
  <c r="AE81" i="4"/>
  <c r="AK81" i="4" s="1"/>
  <c r="AD81" i="4"/>
  <c r="AB81" i="4"/>
  <c r="Z81" i="4"/>
  <c r="X81" i="4"/>
  <c r="V81" i="4"/>
  <c r="T81" i="4"/>
  <c r="Q81" i="4"/>
  <c r="O81" i="4"/>
  <c r="AG82" i="4"/>
  <c r="AE82" i="4"/>
  <c r="AK82" i="4" s="1"/>
  <c r="AD82" i="4"/>
  <c r="AB82" i="4"/>
  <c r="Z82" i="4"/>
  <c r="X82" i="4"/>
  <c r="V82" i="4"/>
  <c r="T82" i="4"/>
  <c r="Q82" i="4"/>
  <c r="O82" i="4"/>
  <c r="AN83" i="4"/>
  <c r="AH83" i="4"/>
  <c r="AF83" i="4"/>
  <c r="L83" i="4"/>
  <c r="AO83" i="4" s="1"/>
  <c r="M87" i="4"/>
  <c r="AG84" i="4"/>
  <c r="AE84" i="4"/>
  <c r="AK84" i="4" s="1"/>
  <c r="AD84" i="4"/>
  <c r="AB84" i="4"/>
  <c r="Z84" i="4"/>
  <c r="X84" i="4"/>
  <c r="V84" i="4"/>
  <c r="T84" i="4"/>
  <c r="Q84" i="4"/>
  <c r="O84" i="4"/>
  <c r="AG85" i="4"/>
  <c r="AE85" i="4"/>
  <c r="AK85" i="4" s="1"/>
  <c r="AD85" i="4"/>
  <c r="AB85" i="4"/>
  <c r="Z85" i="4"/>
  <c r="X85" i="4"/>
  <c r="V85" i="4"/>
  <c r="T85" i="4"/>
  <c r="Q85" i="4"/>
  <c r="O85" i="4"/>
  <c r="AG86" i="4"/>
  <c r="AE86" i="4"/>
  <c r="AK86" i="4" s="1"/>
  <c r="AD86" i="4"/>
  <c r="AB86" i="4"/>
  <c r="Z86" i="4"/>
  <c r="X86" i="4"/>
  <c r="V86" i="4"/>
  <c r="T86" i="4"/>
  <c r="Q86" i="4"/>
  <c r="O86" i="4"/>
  <c r="AN87" i="4"/>
  <c r="AH87" i="4"/>
  <c r="AF87" i="4"/>
  <c r="L87" i="4"/>
  <c r="AO87" i="4" s="1"/>
  <c r="M91" i="4"/>
  <c r="AG88" i="4"/>
  <c r="AE88" i="4"/>
  <c r="AK88" i="4" s="1"/>
  <c r="AD88" i="4"/>
  <c r="AB88" i="4"/>
  <c r="Z88" i="4"/>
  <c r="X88" i="4"/>
  <c r="V88" i="4"/>
  <c r="T88" i="4"/>
  <c r="Q88" i="4"/>
  <c r="O88" i="4"/>
  <c r="AG89" i="4"/>
  <c r="AE89" i="4"/>
  <c r="AK89" i="4" s="1"/>
  <c r="AD89" i="4"/>
  <c r="AB89" i="4"/>
  <c r="Z89" i="4"/>
  <c r="X89" i="4"/>
  <c r="V89" i="4"/>
  <c r="T89" i="4"/>
  <c r="Q89" i="4"/>
  <c r="O89" i="4"/>
  <c r="AG90" i="4"/>
  <c r="AE90" i="4"/>
  <c r="AK90" i="4" s="1"/>
  <c r="AD90" i="4"/>
  <c r="AB90" i="4"/>
  <c r="Z90" i="4"/>
  <c r="X90" i="4"/>
  <c r="V90" i="4"/>
  <c r="T90" i="4"/>
  <c r="Q90" i="4"/>
  <c r="O90" i="4"/>
  <c r="AN91" i="4"/>
  <c r="AH91" i="4"/>
  <c r="AF91" i="4"/>
  <c r="L91" i="4"/>
  <c r="AO91" i="4" s="1"/>
  <c r="M95" i="4"/>
  <c r="AG92" i="4"/>
  <c r="AE92" i="4"/>
  <c r="AK92" i="4" s="1"/>
  <c r="AD92" i="4"/>
  <c r="AB92" i="4"/>
  <c r="Z92" i="4"/>
  <c r="X92" i="4"/>
  <c r="V92" i="4"/>
  <c r="T92" i="4"/>
  <c r="Q92" i="4"/>
  <c r="O92" i="4"/>
  <c r="AG93" i="4"/>
  <c r="AE93" i="4"/>
  <c r="AK93" i="4" s="1"/>
  <c r="AD93" i="4"/>
  <c r="AB93" i="4"/>
  <c r="Z93" i="4"/>
  <c r="X93" i="4"/>
  <c r="V93" i="4"/>
  <c r="T93" i="4"/>
  <c r="Q93" i="4"/>
  <c r="O93" i="4"/>
  <c r="AG94" i="4"/>
  <c r="AE94" i="4"/>
  <c r="AK94" i="4" s="1"/>
  <c r="AD94" i="4"/>
  <c r="AB94" i="4"/>
  <c r="Z94" i="4"/>
  <c r="X94" i="4"/>
  <c r="V94" i="4"/>
  <c r="T94" i="4"/>
  <c r="Q94" i="4"/>
  <c r="O94" i="4"/>
  <c r="AN95" i="4"/>
  <c r="AH95" i="4"/>
  <c r="AF95" i="4"/>
  <c r="L95" i="4"/>
  <c r="AO95" i="4" s="1"/>
  <c r="M99" i="4"/>
  <c r="AG96" i="4"/>
  <c r="AE96" i="4"/>
  <c r="AK96" i="4" s="1"/>
  <c r="AD96" i="4"/>
  <c r="AB96" i="4"/>
  <c r="Z96" i="4"/>
  <c r="X96" i="4"/>
  <c r="V96" i="4"/>
  <c r="T96" i="4"/>
  <c r="Q96" i="4"/>
  <c r="O96" i="4"/>
  <c r="AG97" i="4"/>
  <c r="AE97" i="4"/>
  <c r="AK97" i="4" s="1"/>
  <c r="AD97" i="4"/>
  <c r="AB97" i="4"/>
  <c r="Z97" i="4"/>
  <c r="X97" i="4"/>
  <c r="V97" i="4"/>
  <c r="T97" i="4"/>
  <c r="Q97" i="4"/>
  <c r="O97" i="4"/>
  <c r="AG98" i="4"/>
  <c r="AE98" i="4"/>
  <c r="AK98" i="4" s="1"/>
  <c r="AD98" i="4"/>
  <c r="AB98" i="4"/>
  <c r="Z98" i="4"/>
  <c r="X98" i="4"/>
  <c r="V98" i="4"/>
  <c r="T98" i="4"/>
  <c r="Q98" i="4"/>
  <c r="O98" i="4"/>
  <c r="AN99" i="4"/>
  <c r="AH99" i="4"/>
  <c r="AF99" i="4"/>
  <c r="L99" i="4"/>
  <c r="AO99" i="4" s="1"/>
  <c r="M103" i="4"/>
  <c r="AG100" i="4"/>
  <c r="AE100" i="4"/>
  <c r="AK100" i="4" s="1"/>
  <c r="AD100" i="4"/>
  <c r="AB100" i="4"/>
  <c r="Z100" i="4"/>
  <c r="X100" i="4"/>
  <c r="V100" i="4"/>
  <c r="T100" i="4"/>
  <c r="Q100" i="4"/>
  <c r="O100" i="4"/>
  <c r="AG101" i="4"/>
  <c r="AE101" i="4"/>
  <c r="AK101" i="4" s="1"/>
  <c r="AD101" i="4"/>
  <c r="AB101" i="4"/>
  <c r="Z101" i="4"/>
  <c r="X101" i="4"/>
  <c r="V101" i="4"/>
  <c r="T101" i="4"/>
  <c r="Q101" i="4"/>
  <c r="O101" i="4"/>
  <c r="AG102" i="4"/>
  <c r="AE102" i="4"/>
  <c r="AK102" i="4" s="1"/>
  <c r="AD102" i="4"/>
  <c r="AB102" i="4"/>
  <c r="Z102" i="4"/>
  <c r="X102" i="4"/>
  <c r="V102" i="4"/>
  <c r="T102" i="4"/>
  <c r="Q102" i="4"/>
  <c r="O102" i="4"/>
  <c r="AN103" i="4"/>
  <c r="AH103" i="4"/>
  <c r="AF103" i="4"/>
  <c r="L103" i="4"/>
  <c r="AO103" i="4" s="1"/>
  <c r="M107" i="4"/>
  <c r="AG104" i="4"/>
  <c r="AE104" i="4"/>
  <c r="AK104" i="4" s="1"/>
  <c r="AD104" i="4"/>
  <c r="AB104" i="4"/>
  <c r="Z104" i="4"/>
  <c r="X104" i="4"/>
  <c r="V104" i="4"/>
  <c r="T104" i="4"/>
  <c r="Q104" i="4"/>
  <c r="O104" i="4"/>
  <c r="AG105" i="4"/>
  <c r="AE105" i="4"/>
  <c r="AK105" i="4" s="1"/>
  <c r="AD105" i="4"/>
  <c r="AB105" i="4"/>
  <c r="Z105" i="4"/>
  <c r="X105" i="4"/>
  <c r="V105" i="4"/>
  <c r="T105" i="4"/>
  <c r="Q105" i="4"/>
  <c r="O105" i="4"/>
  <c r="AG106" i="4"/>
  <c r="AE106" i="4"/>
  <c r="AK106" i="4" s="1"/>
  <c r="AD106" i="4"/>
  <c r="AB106" i="4"/>
  <c r="Z106" i="4"/>
  <c r="X106" i="4"/>
  <c r="V106" i="4"/>
  <c r="T106" i="4"/>
  <c r="Q106" i="4"/>
  <c r="O106" i="4"/>
  <c r="AN107" i="4"/>
  <c r="AH107" i="4"/>
  <c r="AF107" i="4"/>
  <c r="L107" i="4"/>
  <c r="AO107" i="4" s="1"/>
  <c r="M111" i="4"/>
  <c r="AG108" i="4"/>
  <c r="AE108" i="4"/>
  <c r="AK108" i="4" s="1"/>
  <c r="AD108" i="4"/>
  <c r="AB108" i="4"/>
  <c r="Z108" i="4"/>
  <c r="X108" i="4"/>
  <c r="V108" i="4"/>
  <c r="T108" i="4"/>
  <c r="Q108" i="4"/>
  <c r="O108" i="4"/>
  <c r="AG109" i="4"/>
  <c r="AE109" i="4"/>
  <c r="AK109" i="4" s="1"/>
  <c r="AD109" i="4"/>
  <c r="AB109" i="4"/>
  <c r="Z109" i="4"/>
  <c r="X109" i="4"/>
  <c r="V109" i="4"/>
  <c r="T109" i="4"/>
  <c r="Q109" i="4"/>
  <c r="O109" i="4"/>
  <c r="AG110" i="4"/>
  <c r="AE110" i="4"/>
  <c r="AK110" i="4" s="1"/>
  <c r="AD110" i="4"/>
  <c r="AB110" i="4"/>
  <c r="Z110" i="4"/>
  <c r="X110" i="4"/>
  <c r="V110" i="4"/>
  <c r="T110" i="4"/>
  <c r="Q110" i="4"/>
  <c r="O110" i="4"/>
  <c r="AN111" i="4"/>
  <c r="AH111" i="4"/>
  <c r="AF111" i="4"/>
  <c r="L111" i="4"/>
  <c r="AO111" i="4" s="1"/>
  <c r="M115" i="4"/>
  <c r="AG112" i="4"/>
  <c r="AE112" i="4"/>
  <c r="AK112" i="4" s="1"/>
  <c r="AD112" i="4"/>
  <c r="AB112" i="4"/>
  <c r="Z112" i="4"/>
  <c r="X112" i="4"/>
  <c r="V112" i="4"/>
  <c r="T112" i="4"/>
  <c r="Q112" i="4"/>
  <c r="O112" i="4"/>
  <c r="AG113" i="4"/>
  <c r="AE113" i="4"/>
  <c r="AK113" i="4" s="1"/>
  <c r="AD113" i="4"/>
  <c r="AB113" i="4"/>
  <c r="Z113" i="4"/>
  <c r="X113" i="4"/>
  <c r="V113" i="4"/>
  <c r="T113" i="4"/>
  <c r="Q113" i="4"/>
  <c r="O113" i="4"/>
  <c r="AG114" i="4"/>
  <c r="AE114" i="4"/>
  <c r="AK114" i="4" s="1"/>
  <c r="AD114" i="4"/>
  <c r="AB114" i="4"/>
  <c r="Z114" i="4"/>
  <c r="X114" i="4"/>
  <c r="V114" i="4"/>
  <c r="T114" i="4"/>
  <c r="Q114" i="4"/>
  <c r="O114" i="4"/>
  <c r="AN115" i="4"/>
  <c r="AH115" i="4"/>
  <c r="AF115" i="4"/>
  <c r="L115" i="4"/>
  <c r="AO115" i="4" s="1"/>
  <c r="M119" i="4"/>
  <c r="AG116" i="4"/>
  <c r="AE116" i="4"/>
  <c r="AK116" i="4" s="1"/>
  <c r="AD116" i="4"/>
  <c r="AB116" i="4"/>
  <c r="Z116" i="4"/>
  <c r="X116" i="4"/>
  <c r="V116" i="4"/>
  <c r="T116" i="4"/>
  <c r="Q116" i="4"/>
  <c r="O116" i="4"/>
  <c r="AG117" i="4"/>
  <c r="AE117" i="4"/>
  <c r="AK117" i="4" s="1"/>
  <c r="AD117" i="4"/>
  <c r="AB117" i="4"/>
  <c r="Z117" i="4"/>
  <c r="X117" i="4"/>
  <c r="V117" i="4"/>
  <c r="T117" i="4"/>
  <c r="Q117" i="4"/>
  <c r="O117" i="4"/>
  <c r="AG118" i="4"/>
  <c r="AE118" i="4"/>
  <c r="AK118" i="4" s="1"/>
  <c r="AD118" i="4"/>
  <c r="AB118" i="4"/>
  <c r="Z118" i="4"/>
  <c r="X118" i="4"/>
  <c r="V118" i="4"/>
  <c r="T118" i="4"/>
  <c r="Q118" i="4"/>
  <c r="O118" i="4"/>
  <c r="AN119" i="4"/>
  <c r="AH119" i="4"/>
  <c r="AF119" i="4"/>
  <c r="L119" i="4"/>
  <c r="AO119" i="4" s="1"/>
  <c r="M123" i="4"/>
  <c r="AG120" i="4"/>
  <c r="AE120" i="4"/>
  <c r="AK120" i="4" s="1"/>
  <c r="AD120" i="4"/>
  <c r="AB120" i="4"/>
  <c r="Z120" i="4"/>
  <c r="X120" i="4"/>
  <c r="V120" i="4"/>
  <c r="T120" i="4"/>
  <c r="Q120" i="4"/>
  <c r="O120" i="4"/>
  <c r="AG121" i="4"/>
  <c r="AE121" i="4"/>
  <c r="AK121" i="4" s="1"/>
  <c r="AD121" i="4"/>
  <c r="AB121" i="4"/>
  <c r="Z121" i="4"/>
  <c r="X121" i="4"/>
  <c r="V121" i="4"/>
  <c r="T121" i="4"/>
  <c r="Q121" i="4"/>
  <c r="O121" i="4"/>
  <c r="AG122" i="4"/>
  <c r="AE122" i="4"/>
  <c r="AK122" i="4" s="1"/>
  <c r="AD122" i="4"/>
  <c r="AB122" i="4"/>
  <c r="Z122" i="4"/>
  <c r="X122" i="4"/>
  <c r="V122" i="4"/>
  <c r="T122" i="4"/>
  <c r="Q122" i="4"/>
  <c r="O122" i="4"/>
  <c r="AN123" i="4"/>
  <c r="AH123" i="4"/>
  <c r="AF123" i="4"/>
  <c r="L123" i="4"/>
  <c r="AO123" i="4" s="1"/>
  <c r="M123" i="3"/>
  <c r="AG120" i="3"/>
  <c r="AE120" i="3"/>
  <c r="AK120" i="3" s="1"/>
  <c r="AD120" i="3"/>
  <c r="AB120" i="3"/>
  <c r="Z120" i="3"/>
  <c r="X120" i="3"/>
  <c r="V120" i="3"/>
  <c r="T120" i="3"/>
  <c r="Q120" i="3"/>
  <c r="O120" i="3"/>
  <c r="AT124" i="3"/>
  <c r="AT125" i="3" s="1"/>
  <c r="AT126" i="3" s="1"/>
  <c r="AU127" i="3" s="1"/>
  <c r="AU123" i="3"/>
  <c r="AG121" i="3"/>
  <c r="AE121" i="3"/>
  <c r="AK121" i="3" s="1"/>
  <c r="AD121" i="3"/>
  <c r="AB121" i="3"/>
  <c r="Z121" i="3"/>
  <c r="X121" i="3"/>
  <c r="V121" i="3"/>
  <c r="T121" i="3"/>
  <c r="Q121" i="3"/>
  <c r="O121" i="3"/>
  <c r="AG122" i="3"/>
  <c r="AE122" i="3"/>
  <c r="AK122" i="3" s="1"/>
  <c r="AD122" i="3"/>
  <c r="AB122" i="3"/>
  <c r="Z122" i="3"/>
  <c r="X122" i="3"/>
  <c r="V122" i="3"/>
  <c r="T122" i="3"/>
  <c r="Q122" i="3"/>
  <c r="O122" i="3"/>
  <c r="AN123" i="3"/>
  <c r="AH123" i="3"/>
  <c r="AF123" i="3"/>
  <c r="L123" i="3"/>
  <c r="AO123" i="3" s="1"/>
  <c r="M127" i="3"/>
  <c r="AG124" i="3"/>
  <c r="AE124" i="3"/>
  <c r="AK124" i="3" s="1"/>
  <c r="AD124" i="3"/>
  <c r="AB124" i="3"/>
  <c r="Z124" i="3"/>
  <c r="X124" i="3"/>
  <c r="V124" i="3"/>
  <c r="T124" i="3"/>
  <c r="Q124" i="3"/>
  <c r="O124" i="3"/>
  <c r="AG125" i="3"/>
  <c r="AE125" i="3"/>
  <c r="AK125" i="3" s="1"/>
  <c r="AD125" i="3"/>
  <c r="AB125" i="3"/>
  <c r="Z125" i="3"/>
  <c r="X125" i="3"/>
  <c r="V125" i="3"/>
  <c r="T125" i="3"/>
  <c r="Q125" i="3"/>
  <c r="O125" i="3"/>
  <c r="AG126" i="3"/>
  <c r="AE126" i="3"/>
  <c r="AK126" i="3" s="1"/>
  <c r="AD126" i="3"/>
  <c r="AB126" i="3"/>
  <c r="Z126" i="3"/>
  <c r="X126" i="3"/>
  <c r="V126" i="3"/>
  <c r="T126" i="3"/>
  <c r="Q126" i="3"/>
  <c r="O126" i="3"/>
  <c r="AN127" i="3"/>
  <c r="AH127" i="3"/>
  <c r="AF127" i="3"/>
  <c r="L127" i="3"/>
  <c r="AO127" i="3" s="1"/>
  <c r="M7" i="3"/>
  <c r="AG4" i="3"/>
  <c r="AE4" i="3"/>
  <c r="AK4" i="3" s="1"/>
  <c r="AD4" i="3"/>
  <c r="AB4" i="3"/>
  <c r="Z4" i="3"/>
  <c r="X4" i="3"/>
  <c r="V4" i="3"/>
  <c r="T4" i="3"/>
  <c r="Q4" i="3"/>
  <c r="O4" i="3"/>
  <c r="AT8" i="3"/>
  <c r="AT9" i="3" s="1"/>
  <c r="AT10" i="3" s="1"/>
  <c r="AU7" i="3"/>
  <c r="AG5" i="3"/>
  <c r="AE5" i="3"/>
  <c r="AK5" i="3" s="1"/>
  <c r="AD5" i="3"/>
  <c r="AB5" i="3"/>
  <c r="Z5" i="3"/>
  <c r="X5" i="3"/>
  <c r="V5" i="3"/>
  <c r="T5" i="3"/>
  <c r="Q5" i="3"/>
  <c r="O5" i="3"/>
  <c r="AG6" i="3"/>
  <c r="AE6" i="3"/>
  <c r="AK6" i="3" s="1"/>
  <c r="AD6" i="3"/>
  <c r="AB6" i="3"/>
  <c r="Z6" i="3"/>
  <c r="X6" i="3"/>
  <c r="V6" i="3"/>
  <c r="T6" i="3"/>
  <c r="Q6" i="3"/>
  <c r="O6" i="3"/>
  <c r="AO7" i="3"/>
  <c r="AN7" i="3"/>
  <c r="AH7" i="3"/>
  <c r="AF7" i="3"/>
  <c r="L7" i="3"/>
  <c r="M11" i="3"/>
  <c r="AG8" i="3"/>
  <c r="AE8" i="3"/>
  <c r="AK8" i="3" s="1"/>
  <c r="AD8" i="3"/>
  <c r="AB8" i="3"/>
  <c r="Z8" i="3"/>
  <c r="X8" i="3"/>
  <c r="V8" i="3"/>
  <c r="T8" i="3"/>
  <c r="Q8" i="3"/>
  <c r="O8" i="3"/>
  <c r="AG9" i="3"/>
  <c r="AE9" i="3"/>
  <c r="AK9" i="3" s="1"/>
  <c r="AD9" i="3"/>
  <c r="AB9" i="3"/>
  <c r="Z9" i="3"/>
  <c r="X9" i="3"/>
  <c r="V9" i="3"/>
  <c r="T9" i="3"/>
  <c r="Q9" i="3"/>
  <c r="O9" i="3"/>
  <c r="AG10" i="3"/>
  <c r="AE10" i="3"/>
  <c r="AK10" i="3" s="1"/>
  <c r="AD10" i="3"/>
  <c r="AB10" i="3"/>
  <c r="Z10" i="3"/>
  <c r="X10" i="3"/>
  <c r="V10" i="3"/>
  <c r="T10" i="3"/>
  <c r="Q10" i="3"/>
  <c r="O10" i="3"/>
  <c r="AO11" i="3"/>
  <c r="AN11" i="3"/>
  <c r="AH11" i="3"/>
  <c r="AF11" i="3"/>
  <c r="L11" i="3"/>
  <c r="M15" i="3"/>
  <c r="AG12" i="3"/>
  <c r="AE12" i="3"/>
  <c r="AK12" i="3" s="1"/>
  <c r="AD12" i="3"/>
  <c r="AB12" i="3"/>
  <c r="Z12" i="3"/>
  <c r="X12" i="3"/>
  <c r="V12" i="3"/>
  <c r="T12" i="3"/>
  <c r="Q12" i="3"/>
  <c r="O12" i="3"/>
  <c r="AG13" i="3"/>
  <c r="AE13" i="3"/>
  <c r="AK13" i="3" s="1"/>
  <c r="AD13" i="3"/>
  <c r="AB13" i="3"/>
  <c r="Z13" i="3"/>
  <c r="X13" i="3"/>
  <c r="V13" i="3"/>
  <c r="T13" i="3"/>
  <c r="Q13" i="3"/>
  <c r="O13" i="3"/>
  <c r="AG14" i="3"/>
  <c r="AE14" i="3"/>
  <c r="AK14" i="3" s="1"/>
  <c r="AD14" i="3"/>
  <c r="AB14" i="3"/>
  <c r="Z14" i="3"/>
  <c r="X14" i="3"/>
  <c r="V14" i="3"/>
  <c r="T14" i="3"/>
  <c r="Q14" i="3"/>
  <c r="O14" i="3"/>
  <c r="AO15" i="3"/>
  <c r="AN15" i="3"/>
  <c r="AH15" i="3"/>
  <c r="AF15" i="3"/>
  <c r="L15" i="3"/>
  <c r="M19" i="3"/>
  <c r="AG16" i="3"/>
  <c r="AE16" i="3"/>
  <c r="AK16" i="3" s="1"/>
  <c r="AD16" i="3"/>
  <c r="AB16" i="3"/>
  <c r="Z16" i="3"/>
  <c r="X16" i="3"/>
  <c r="V16" i="3"/>
  <c r="T16" i="3"/>
  <c r="Q16" i="3"/>
  <c r="O16" i="3"/>
  <c r="AG17" i="3"/>
  <c r="AE17" i="3"/>
  <c r="AK17" i="3" s="1"/>
  <c r="AD17" i="3"/>
  <c r="AB17" i="3"/>
  <c r="Z17" i="3"/>
  <c r="X17" i="3"/>
  <c r="V17" i="3"/>
  <c r="T17" i="3"/>
  <c r="Q17" i="3"/>
  <c r="O17" i="3"/>
  <c r="AG18" i="3"/>
  <c r="AE18" i="3"/>
  <c r="AK18" i="3" s="1"/>
  <c r="AD18" i="3"/>
  <c r="AB18" i="3"/>
  <c r="Z18" i="3"/>
  <c r="X18" i="3"/>
  <c r="V18" i="3"/>
  <c r="T18" i="3"/>
  <c r="Q18" i="3"/>
  <c r="O18" i="3"/>
  <c r="AO19" i="3"/>
  <c r="AN19" i="3"/>
  <c r="AH19" i="3"/>
  <c r="AF19" i="3"/>
  <c r="L19" i="3"/>
  <c r="M23" i="3"/>
  <c r="AG20" i="3"/>
  <c r="AE20" i="3"/>
  <c r="AK20" i="3" s="1"/>
  <c r="AD20" i="3"/>
  <c r="AB20" i="3"/>
  <c r="Z20" i="3"/>
  <c r="X20" i="3"/>
  <c r="V20" i="3"/>
  <c r="T20" i="3"/>
  <c r="Q20" i="3"/>
  <c r="O20" i="3"/>
  <c r="AG21" i="3"/>
  <c r="AE21" i="3"/>
  <c r="AK21" i="3" s="1"/>
  <c r="AD21" i="3"/>
  <c r="AB21" i="3"/>
  <c r="Z21" i="3"/>
  <c r="X21" i="3"/>
  <c r="V21" i="3"/>
  <c r="T21" i="3"/>
  <c r="Q21" i="3"/>
  <c r="O21" i="3"/>
  <c r="AG22" i="3"/>
  <c r="AE22" i="3"/>
  <c r="AK22" i="3" s="1"/>
  <c r="AD22" i="3"/>
  <c r="AB22" i="3"/>
  <c r="Z22" i="3"/>
  <c r="X22" i="3"/>
  <c r="V22" i="3"/>
  <c r="T22" i="3"/>
  <c r="Q22" i="3"/>
  <c r="O22" i="3"/>
  <c r="AO23" i="3"/>
  <c r="AN23" i="3"/>
  <c r="AH23" i="3"/>
  <c r="AF23" i="3"/>
  <c r="L23" i="3"/>
  <c r="M27" i="3"/>
  <c r="AG24" i="3"/>
  <c r="AE24" i="3"/>
  <c r="AK24" i="3" s="1"/>
  <c r="AD24" i="3"/>
  <c r="AB24" i="3"/>
  <c r="Z24" i="3"/>
  <c r="X24" i="3"/>
  <c r="V24" i="3"/>
  <c r="T24" i="3"/>
  <c r="Q24" i="3"/>
  <c r="O24" i="3"/>
  <c r="AG25" i="3"/>
  <c r="AE25" i="3"/>
  <c r="AK25" i="3" s="1"/>
  <c r="AD25" i="3"/>
  <c r="AB25" i="3"/>
  <c r="Z25" i="3"/>
  <c r="X25" i="3"/>
  <c r="V25" i="3"/>
  <c r="T25" i="3"/>
  <c r="Q25" i="3"/>
  <c r="O25" i="3"/>
  <c r="AG26" i="3"/>
  <c r="AE26" i="3"/>
  <c r="AK26" i="3" s="1"/>
  <c r="AD26" i="3"/>
  <c r="AB26" i="3"/>
  <c r="Z26" i="3"/>
  <c r="X26" i="3"/>
  <c r="V26" i="3"/>
  <c r="T26" i="3"/>
  <c r="Q26" i="3"/>
  <c r="O26" i="3"/>
  <c r="AO27" i="3"/>
  <c r="AN27" i="3"/>
  <c r="AH27" i="3"/>
  <c r="AF27" i="3"/>
  <c r="L27" i="3"/>
  <c r="M31" i="3"/>
  <c r="AG28" i="3"/>
  <c r="AE28" i="3"/>
  <c r="AK28" i="3" s="1"/>
  <c r="AD28" i="3"/>
  <c r="AB28" i="3"/>
  <c r="Z28" i="3"/>
  <c r="X28" i="3"/>
  <c r="V28" i="3"/>
  <c r="T28" i="3"/>
  <c r="Q28" i="3"/>
  <c r="O28" i="3"/>
  <c r="AG29" i="3"/>
  <c r="AE29" i="3"/>
  <c r="AK29" i="3" s="1"/>
  <c r="AD29" i="3"/>
  <c r="AB29" i="3"/>
  <c r="Z29" i="3"/>
  <c r="X29" i="3"/>
  <c r="V29" i="3"/>
  <c r="T29" i="3"/>
  <c r="Q29" i="3"/>
  <c r="O29" i="3"/>
  <c r="AG30" i="3"/>
  <c r="AE30" i="3"/>
  <c r="AK30" i="3" s="1"/>
  <c r="AD30" i="3"/>
  <c r="AB30" i="3"/>
  <c r="Z30" i="3"/>
  <c r="X30" i="3"/>
  <c r="V30" i="3"/>
  <c r="T30" i="3"/>
  <c r="Q30" i="3"/>
  <c r="O30" i="3"/>
  <c r="AN31" i="3"/>
  <c r="AH31" i="3"/>
  <c r="AF31" i="3"/>
  <c r="L31" i="3"/>
  <c r="AO31" i="3" s="1"/>
  <c r="M35" i="3"/>
  <c r="AG32" i="3"/>
  <c r="AE32" i="3"/>
  <c r="AK32" i="3" s="1"/>
  <c r="AD32" i="3"/>
  <c r="AB32" i="3"/>
  <c r="Z32" i="3"/>
  <c r="X32" i="3"/>
  <c r="V32" i="3"/>
  <c r="T32" i="3"/>
  <c r="Q32" i="3"/>
  <c r="O32" i="3"/>
  <c r="AG33" i="3"/>
  <c r="AE33" i="3"/>
  <c r="AK33" i="3" s="1"/>
  <c r="AD33" i="3"/>
  <c r="AB33" i="3"/>
  <c r="Z33" i="3"/>
  <c r="X33" i="3"/>
  <c r="V33" i="3"/>
  <c r="T33" i="3"/>
  <c r="Q33" i="3"/>
  <c r="O33" i="3"/>
  <c r="AG34" i="3"/>
  <c r="AE34" i="3"/>
  <c r="AK34" i="3" s="1"/>
  <c r="AD34" i="3"/>
  <c r="AB34" i="3"/>
  <c r="Z34" i="3"/>
  <c r="X34" i="3"/>
  <c r="V34" i="3"/>
  <c r="T34" i="3"/>
  <c r="Q34" i="3"/>
  <c r="O34" i="3"/>
  <c r="AN35" i="3"/>
  <c r="AH35" i="3"/>
  <c r="AF35" i="3"/>
  <c r="L35" i="3"/>
  <c r="AO35" i="3" s="1"/>
  <c r="M39" i="3"/>
  <c r="AG36" i="3"/>
  <c r="AE36" i="3"/>
  <c r="AK36" i="3" s="1"/>
  <c r="AD36" i="3"/>
  <c r="AB36" i="3"/>
  <c r="Z36" i="3"/>
  <c r="X36" i="3"/>
  <c r="V36" i="3"/>
  <c r="T36" i="3"/>
  <c r="Q36" i="3"/>
  <c r="O36" i="3"/>
  <c r="AG37" i="3"/>
  <c r="AE37" i="3"/>
  <c r="AK37" i="3" s="1"/>
  <c r="AD37" i="3"/>
  <c r="AB37" i="3"/>
  <c r="Z37" i="3"/>
  <c r="X37" i="3"/>
  <c r="V37" i="3"/>
  <c r="T37" i="3"/>
  <c r="Q37" i="3"/>
  <c r="O37" i="3"/>
  <c r="AG38" i="3"/>
  <c r="AE38" i="3"/>
  <c r="AK38" i="3" s="1"/>
  <c r="AD38" i="3"/>
  <c r="AB38" i="3"/>
  <c r="Z38" i="3"/>
  <c r="X38" i="3"/>
  <c r="V38" i="3"/>
  <c r="T38" i="3"/>
  <c r="Q38" i="3"/>
  <c r="O38" i="3"/>
  <c r="AN39" i="3"/>
  <c r="AH39" i="3"/>
  <c r="AF39" i="3"/>
  <c r="L39" i="3"/>
  <c r="AO39" i="3" s="1"/>
  <c r="M43" i="3"/>
  <c r="AG40" i="3"/>
  <c r="AE40" i="3"/>
  <c r="AK40" i="3" s="1"/>
  <c r="AD40" i="3"/>
  <c r="AB40" i="3"/>
  <c r="Z40" i="3"/>
  <c r="X40" i="3"/>
  <c r="V40" i="3"/>
  <c r="T40" i="3"/>
  <c r="Q40" i="3"/>
  <c r="O40" i="3"/>
  <c r="AG41" i="3"/>
  <c r="AE41" i="3"/>
  <c r="AK41" i="3" s="1"/>
  <c r="AD41" i="3"/>
  <c r="AB41" i="3"/>
  <c r="Z41" i="3"/>
  <c r="X41" i="3"/>
  <c r="V41" i="3"/>
  <c r="T41" i="3"/>
  <c r="Q41" i="3"/>
  <c r="O41" i="3"/>
  <c r="AG42" i="3"/>
  <c r="AE42" i="3"/>
  <c r="AK42" i="3" s="1"/>
  <c r="AD42" i="3"/>
  <c r="AB42" i="3"/>
  <c r="Z42" i="3"/>
  <c r="X42" i="3"/>
  <c r="V42" i="3"/>
  <c r="T42" i="3"/>
  <c r="Q42" i="3"/>
  <c r="O42" i="3"/>
  <c r="AN43" i="3"/>
  <c r="AH43" i="3"/>
  <c r="AF43" i="3"/>
  <c r="L43" i="3"/>
  <c r="AO43" i="3" s="1"/>
  <c r="M47" i="3"/>
  <c r="AG44" i="3"/>
  <c r="AE44" i="3"/>
  <c r="AK44" i="3" s="1"/>
  <c r="AD44" i="3"/>
  <c r="AB44" i="3"/>
  <c r="Z44" i="3"/>
  <c r="X44" i="3"/>
  <c r="V44" i="3"/>
  <c r="T44" i="3"/>
  <c r="Q44" i="3"/>
  <c r="O44" i="3"/>
  <c r="AG45" i="3"/>
  <c r="AE45" i="3"/>
  <c r="AK45" i="3" s="1"/>
  <c r="AD45" i="3"/>
  <c r="AB45" i="3"/>
  <c r="Z45" i="3"/>
  <c r="X45" i="3"/>
  <c r="V45" i="3"/>
  <c r="T45" i="3"/>
  <c r="Q45" i="3"/>
  <c r="O45" i="3"/>
  <c r="AG46" i="3"/>
  <c r="AE46" i="3"/>
  <c r="AK46" i="3" s="1"/>
  <c r="AD46" i="3"/>
  <c r="AB46" i="3"/>
  <c r="Z46" i="3"/>
  <c r="X46" i="3"/>
  <c r="V46" i="3"/>
  <c r="T46" i="3"/>
  <c r="Q46" i="3"/>
  <c r="O46" i="3"/>
  <c r="AN47" i="3"/>
  <c r="AH47" i="3"/>
  <c r="AF47" i="3"/>
  <c r="L47" i="3"/>
  <c r="AO47" i="3" s="1"/>
  <c r="M51" i="3"/>
  <c r="AG48" i="3"/>
  <c r="AE48" i="3"/>
  <c r="AK48" i="3" s="1"/>
  <c r="AD48" i="3"/>
  <c r="AB48" i="3"/>
  <c r="Z48" i="3"/>
  <c r="X48" i="3"/>
  <c r="V48" i="3"/>
  <c r="T48" i="3"/>
  <c r="Q48" i="3"/>
  <c r="O48" i="3"/>
  <c r="AG49" i="3"/>
  <c r="AE49" i="3"/>
  <c r="AK49" i="3" s="1"/>
  <c r="AD49" i="3"/>
  <c r="AB49" i="3"/>
  <c r="Z49" i="3"/>
  <c r="X49" i="3"/>
  <c r="V49" i="3"/>
  <c r="T49" i="3"/>
  <c r="Q49" i="3"/>
  <c r="O49" i="3"/>
  <c r="AG50" i="3"/>
  <c r="AE50" i="3"/>
  <c r="AK50" i="3" s="1"/>
  <c r="AD50" i="3"/>
  <c r="AB50" i="3"/>
  <c r="Z50" i="3"/>
  <c r="X50" i="3"/>
  <c r="V50" i="3"/>
  <c r="T50" i="3"/>
  <c r="Q50" i="3"/>
  <c r="O50" i="3"/>
  <c r="AN51" i="3"/>
  <c r="AH51" i="3"/>
  <c r="AF51" i="3"/>
  <c r="L51" i="3"/>
  <c r="AO51" i="3" s="1"/>
  <c r="M55" i="3"/>
  <c r="AG52" i="3"/>
  <c r="AE52" i="3"/>
  <c r="AK52" i="3" s="1"/>
  <c r="AD52" i="3"/>
  <c r="AB52" i="3"/>
  <c r="Z52" i="3"/>
  <c r="X52" i="3"/>
  <c r="V52" i="3"/>
  <c r="T52" i="3"/>
  <c r="Q52" i="3"/>
  <c r="O52" i="3"/>
  <c r="AG53" i="3"/>
  <c r="AE53" i="3"/>
  <c r="AK53" i="3" s="1"/>
  <c r="AD53" i="3"/>
  <c r="AB53" i="3"/>
  <c r="Z53" i="3"/>
  <c r="X53" i="3"/>
  <c r="V53" i="3"/>
  <c r="T53" i="3"/>
  <c r="Q53" i="3"/>
  <c r="O53" i="3"/>
  <c r="AG54" i="3"/>
  <c r="AE54" i="3"/>
  <c r="AK54" i="3" s="1"/>
  <c r="AD54" i="3"/>
  <c r="AB54" i="3"/>
  <c r="Z54" i="3"/>
  <c r="X54" i="3"/>
  <c r="V54" i="3"/>
  <c r="T54" i="3"/>
  <c r="Q54" i="3"/>
  <c r="O54" i="3"/>
  <c r="AN55" i="3"/>
  <c r="AH55" i="3"/>
  <c r="AF55" i="3"/>
  <c r="L55" i="3"/>
  <c r="AO55" i="3" s="1"/>
  <c r="M59" i="3"/>
  <c r="AG56" i="3"/>
  <c r="AE56" i="3"/>
  <c r="AK56" i="3" s="1"/>
  <c r="AD56" i="3"/>
  <c r="AB56" i="3"/>
  <c r="Z56" i="3"/>
  <c r="X56" i="3"/>
  <c r="V56" i="3"/>
  <c r="T56" i="3"/>
  <c r="Q56" i="3"/>
  <c r="O56" i="3"/>
  <c r="AG57" i="3"/>
  <c r="AE57" i="3"/>
  <c r="AK57" i="3" s="1"/>
  <c r="AD57" i="3"/>
  <c r="AB57" i="3"/>
  <c r="Z57" i="3"/>
  <c r="X57" i="3"/>
  <c r="V57" i="3"/>
  <c r="T57" i="3"/>
  <c r="Q57" i="3"/>
  <c r="O57" i="3"/>
  <c r="AG58" i="3"/>
  <c r="AE58" i="3"/>
  <c r="AK58" i="3" s="1"/>
  <c r="AD58" i="3"/>
  <c r="AB58" i="3"/>
  <c r="Z58" i="3"/>
  <c r="X58" i="3"/>
  <c r="V58" i="3"/>
  <c r="T58" i="3"/>
  <c r="Q58" i="3"/>
  <c r="O58" i="3"/>
  <c r="AN59" i="3"/>
  <c r="AH59" i="3"/>
  <c r="AF59" i="3"/>
  <c r="L59" i="3"/>
  <c r="AO59" i="3" s="1"/>
  <c r="M63" i="3"/>
  <c r="AG60" i="3"/>
  <c r="AE60" i="3"/>
  <c r="AK60" i="3" s="1"/>
  <c r="AD60" i="3"/>
  <c r="AB60" i="3"/>
  <c r="Z60" i="3"/>
  <c r="X60" i="3"/>
  <c r="V60" i="3"/>
  <c r="T60" i="3"/>
  <c r="Q60" i="3"/>
  <c r="O60" i="3"/>
  <c r="AG61" i="3"/>
  <c r="AE61" i="3"/>
  <c r="AK61" i="3" s="1"/>
  <c r="AD61" i="3"/>
  <c r="AB61" i="3"/>
  <c r="Z61" i="3"/>
  <c r="X61" i="3"/>
  <c r="V61" i="3"/>
  <c r="T61" i="3"/>
  <c r="Q61" i="3"/>
  <c r="O61" i="3"/>
  <c r="AG62" i="3"/>
  <c r="AE62" i="3"/>
  <c r="AK62" i="3" s="1"/>
  <c r="AD62" i="3"/>
  <c r="AB62" i="3"/>
  <c r="Z62" i="3"/>
  <c r="X62" i="3"/>
  <c r="V62" i="3"/>
  <c r="T62" i="3"/>
  <c r="Q62" i="3"/>
  <c r="O62" i="3"/>
  <c r="AN63" i="3"/>
  <c r="AH63" i="3"/>
  <c r="AF63" i="3"/>
  <c r="L63" i="3"/>
  <c r="AO63" i="3" s="1"/>
  <c r="M67" i="3"/>
  <c r="AG64" i="3"/>
  <c r="AE64" i="3"/>
  <c r="AK64" i="3" s="1"/>
  <c r="AD64" i="3"/>
  <c r="AB64" i="3"/>
  <c r="Z64" i="3"/>
  <c r="X64" i="3"/>
  <c r="V64" i="3"/>
  <c r="T64" i="3"/>
  <c r="Q64" i="3"/>
  <c r="O64" i="3"/>
  <c r="AG65" i="3"/>
  <c r="AE65" i="3"/>
  <c r="AK65" i="3" s="1"/>
  <c r="AD65" i="3"/>
  <c r="AB65" i="3"/>
  <c r="Z65" i="3"/>
  <c r="X65" i="3"/>
  <c r="V65" i="3"/>
  <c r="T65" i="3"/>
  <c r="Q65" i="3"/>
  <c r="O65" i="3"/>
  <c r="AG66" i="3"/>
  <c r="AE66" i="3"/>
  <c r="AK66" i="3" s="1"/>
  <c r="AD66" i="3"/>
  <c r="AB66" i="3"/>
  <c r="Z66" i="3"/>
  <c r="X66" i="3"/>
  <c r="V66" i="3"/>
  <c r="T66" i="3"/>
  <c r="Q66" i="3"/>
  <c r="O66" i="3"/>
  <c r="AN67" i="3"/>
  <c r="AH67" i="3"/>
  <c r="AF67" i="3"/>
  <c r="L67" i="3"/>
  <c r="AO67" i="3" s="1"/>
  <c r="M71" i="3"/>
  <c r="AG68" i="3"/>
  <c r="AE68" i="3"/>
  <c r="AK68" i="3" s="1"/>
  <c r="AD68" i="3"/>
  <c r="AB68" i="3"/>
  <c r="Z68" i="3"/>
  <c r="X68" i="3"/>
  <c r="V68" i="3"/>
  <c r="T68" i="3"/>
  <c r="Q68" i="3"/>
  <c r="O68" i="3"/>
  <c r="AG69" i="3"/>
  <c r="AE69" i="3"/>
  <c r="AK69" i="3" s="1"/>
  <c r="AD69" i="3"/>
  <c r="AB69" i="3"/>
  <c r="Z69" i="3"/>
  <c r="X69" i="3"/>
  <c r="V69" i="3"/>
  <c r="T69" i="3"/>
  <c r="Q69" i="3"/>
  <c r="O69" i="3"/>
  <c r="AG70" i="3"/>
  <c r="AE70" i="3"/>
  <c r="AK70" i="3" s="1"/>
  <c r="AD70" i="3"/>
  <c r="AB70" i="3"/>
  <c r="Z70" i="3"/>
  <c r="X70" i="3"/>
  <c r="V70" i="3"/>
  <c r="T70" i="3"/>
  <c r="Q70" i="3"/>
  <c r="O70" i="3"/>
  <c r="AN71" i="3"/>
  <c r="AH71" i="3"/>
  <c r="AF71" i="3"/>
  <c r="L71" i="3"/>
  <c r="AO71" i="3" s="1"/>
  <c r="M75" i="3"/>
  <c r="AG72" i="3"/>
  <c r="AE72" i="3"/>
  <c r="AK72" i="3" s="1"/>
  <c r="AD72" i="3"/>
  <c r="AB72" i="3"/>
  <c r="Z72" i="3"/>
  <c r="X72" i="3"/>
  <c r="V72" i="3"/>
  <c r="T72" i="3"/>
  <c r="Q72" i="3"/>
  <c r="O72" i="3"/>
  <c r="AG73" i="3"/>
  <c r="AE73" i="3"/>
  <c r="AK73" i="3" s="1"/>
  <c r="AD73" i="3"/>
  <c r="AB73" i="3"/>
  <c r="Z73" i="3"/>
  <c r="X73" i="3"/>
  <c r="V73" i="3"/>
  <c r="T73" i="3"/>
  <c r="Q73" i="3"/>
  <c r="O73" i="3"/>
  <c r="AG74" i="3"/>
  <c r="AE74" i="3"/>
  <c r="AK74" i="3" s="1"/>
  <c r="AD74" i="3"/>
  <c r="AB74" i="3"/>
  <c r="Z74" i="3"/>
  <c r="X74" i="3"/>
  <c r="V74" i="3"/>
  <c r="T74" i="3"/>
  <c r="Q74" i="3"/>
  <c r="O74" i="3"/>
  <c r="AN75" i="3"/>
  <c r="AH75" i="3"/>
  <c r="AF75" i="3"/>
  <c r="L75" i="3"/>
  <c r="AO75" i="3" s="1"/>
  <c r="M79" i="3"/>
  <c r="AG76" i="3"/>
  <c r="AE76" i="3"/>
  <c r="AK76" i="3" s="1"/>
  <c r="AD76" i="3"/>
  <c r="AB76" i="3"/>
  <c r="Z76" i="3"/>
  <c r="X76" i="3"/>
  <c r="V76" i="3"/>
  <c r="T76" i="3"/>
  <c r="Q76" i="3"/>
  <c r="O76" i="3"/>
  <c r="AG77" i="3"/>
  <c r="AE77" i="3"/>
  <c r="AK77" i="3" s="1"/>
  <c r="AD77" i="3"/>
  <c r="AB77" i="3"/>
  <c r="Z77" i="3"/>
  <c r="X77" i="3"/>
  <c r="V77" i="3"/>
  <c r="T77" i="3"/>
  <c r="Q77" i="3"/>
  <c r="O77" i="3"/>
  <c r="AG78" i="3"/>
  <c r="AE78" i="3"/>
  <c r="AK78" i="3" s="1"/>
  <c r="AD78" i="3"/>
  <c r="AB78" i="3"/>
  <c r="Z78" i="3"/>
  <c r="X78" i="3"/>
  <c r="V78" i="3"/>
  <c r="T78" i="3"/>
  <c r="Q78" i="3"/>
  <c r="O78" i="3"/>
  <c r="AN79" i="3"/>
  <c r="AH79" i="3"/>
  <c r="AF79" i="3"/>
  <c r="L79" i="3"/>
  <c r="AO79" i="3" s="1"/>
  <c r="M83" i="3"/>
  <c r="AG80" i="3"/>
  <c r="AE80" i="3"/>
  <c r="AK80" i="3" s="1"/>
  <c r="AD80" i="3"/>
  <c r="AB80" i="3"/>
  <c r="Z80" i="3"/>
  <c r="X80" i="3"/>
  <c r="V80" i="3"/>
  <c r="T80" i="3"/>
  <c r="Q80" i="3"/>
  <c r="O80" i="3"/>
  <c r="AG81" i="3"/>
  <c r="AE81" i="3"/>
  <c r="AK81" i="3" s="1"/>
  <c r="AD81" i="3"/>
  <c r="AB81" i="3"/>
  <c r="Z81" i="3"/>
  <c r="X81" i="3"/>
  <c r="V81" i="3"/>
  <c r="T81" i="3"/>
  <c r="Q81" i="3"/>
  <c r="O81" i="3"/>
  <c r="AG82" i="3"/>
  <c r="AE82" i="3"/>
  <c r="AK82" i="3" s="1"/>
  <c r="AD82" i="3"/>
  <c r="AB82" i="3"/>
  <c r="Z82" i="3"/>
  <c r="X82" i="3"/>
  <c r="V82" i="3"/>
  <c r="T82" i="3"/>
  <c r="Q82" i="3"/>
  <c r="O82" i="3"/>
  <c r="AN83" i="3"/>
  <c r="AH83" i="3"/>
  <c r="AF83" i="3"/>
  <c r="L83" i="3"/>
  <c r="AO83" i="3" s="1"/>
  <c r="M87" i="3"/>
  <c r="AG84" i="3"/>
  <c r="AE84" i="3"/>
  <c r="AK84" i="3" s="1"/>
  <c r="AD84" i="3"/>
  <c r="AB84" i="3"/>
  <c r="Z84" i="3"/>
  <c r="X84" i="3"/>
  <c r="V84" i="3"/>
  <c r="T84" i="3"/>
  <c r="Q84" i="3"/>
  <c r="O84" i="3"/>
  <c r="AG85" i="3"/>
  <c r="AE85" i="3"/>
  <c r="AK85" i="3" s="1"/>
  <c r="AD85" i="3"/>
  <c r="AB85" i="3"/>
  <c r="Z85" i="3"/>
  <c r="X85" i="3"/>
  <c r="V85" i="3"/>
  <c r="T85" i="3"/>
  <c r="Q85" i="3"/>
  <c r="O85" i="3"/>
  <c r="AG86" i="3"/>
  <c r="AE86" i="3"/>
  <c r="AK86" i="3" s="1"/>
  <c r="AD86" i="3"/>
  <c r="AB86" i="3"/>
  <c r="Z86" i="3"/>
  <c r="X86" i="3"/>
  <c r="V86" i="3"/>
  <c r="T86" i="3"/>
  <c r="Q86" i="3"/>
  <c r="O86" i="3"/>
  <c r="AN87" i="3"/>
  <c r="AH87" i="3"/>
  <c r="AF87" i="3"/>
  <c r="L87" i="3"/>
  <c r="AO87" i="3" s="1"/>
  <c r="M91" i="3"/>
  <c r="AG88" i="3"/>
  <c r="AE88" i="3"/>
  <c r="AK88" i="3" s="1"/>
  <c r="AD88" i="3"/>
  <c r="AB88" i="3"/>
  <c r="Z88" i="3"/>
  <c r="X88" i="3"/>
  <c r="V88" i="3"/>
  <c r="T88" i="3"/>
  <c r="Q88" i="3"/>
  <c r="O88" i="3"/>
  <c r="AG89" i="3"/>
  <c r="AE89" i="3"/>
  <c r="AK89" i="3" s="1"/>
  <c r="AD89" i="3"/>
  <c r="AB89" i="3"/>
  <c r="Z89" i="3"/>
  <c r="X89" i="3"/>
  <c r="V89" i="3"/>
  <c r="T89" i="3"/>
  <c r="Q89" i="3"/>
  <c r="O89" i="3"/>
  <c r="AG90" i="3"/>
  <c r="AE90" i="3"/>
  <c r="AK90" i="3" s="1"/>
  <c r="AD90" i="3"/>
  <c r="AB90" i="3"/>
  <c r="Z90" i="3"/>
  <c r="X90" i="3"/>
  <c r="V90" i="3"/>
  <c r="T90" i="3"/>
  <c r="Q90" i="3"/>
  <c r="O90" i="3"/>
  <c r="AN91" i="3"/>
  <c r="AH91" i="3"/>
  <c r="AF91" i="3"/>
  <c r="L91" i="3"/>
  <c r="AO91" i="3" s="1"/>
  <c r="M95" i="3"/>
  <c r="AG92" i="3"/>
  <c r="AE92" i="3"/>
  <c r="AK92" i="3" s="1"/>
  <c r="AD92" i="3"/>
  <c r="AB92" i="3"/>
  <c r="Z92" i="3"/>
  <c r="X92" i="3"/>
  <c r="V92" i="3"/>
  <c r="T92" i="3"/>
  <c r="Q92" i="3"/>
  <c r="O92" i="3"/>
  <c r="AG93" i="3"/>
  <c r="AE93" i="3"/>
  <c r="AK93" i="3" s="1"/>
  <c r="AD93" i="3"/>
  <c r="AB93" i="3"/>
  <c r="Z93" i="3"/>
  <c r="X93" i="3"/>
  <c r="V93" i="3"/>
  <c r="T93" i="3"/>
  <c r="Q93" i="3"/>
  <c r="O93" i="3"/>
  <c r="AG94" i="3"/>
  <c r="AE94" i="3"/>
  <c r="AK94" i="3" s="1"/>
  <c r="AD94" i="3"/>
  <c r="AB94" i="3"/>
  <c r="Z94" i="3"/>
  <c r="X94" i="3"/>
  <c r="V94" i="3"/>
  <c r="T94" i="3"/>
  <c r="Q94" i="3"/>
  <c r="O94" i="3"/>
  <c r="AN95" i="3"/>
  <c r="AH95" i="3"/>
  <c r="AF95" i="3"/>
  <c r="L95" i="3"/>
  <c r="AO95" i="3" s="1"/>
  <c r="M99" i="3"/>
  <c r="AG96" i="3"/>
  <c r="AE96" i="3"/>
  <c r="AK96" i="3" s="1"/>
  <c r="AD96" i="3"/>
  <c r="AB96" i="3"/>
  <c r="Z96" i="3"/>
  <c r="X96" i="3"/>
  <c r="V96" i="3"/>
  <c r="T96" i="3"/>
  <c r="Q96" i="3"/>
  <c r="O96" i="3"/>
  <c r="AG97" i="3"/>
  <c r="AE97" i="3"/>
  <c r="AK97" i="3" s="1"/>
  <c r="AD97" i="3"/>
  <c r="AB97" i="3"/>
  <c r="Z97" i="3"/>
  <c r="X97" i="3"/>
  <c r="V97" i="3"/>
  <c r="T97" i="3"/>
  <c r="Q97" i="3"/>
  <c r="O97" i="3"/>
  <c r="AG98" i="3"/>
  <c r="AE98" i="3"/>
  <c r="AK98" i="3" s="1"/>
  <c r="AD98" i="3"/>
  <c r="AB98" i="3"/>
  <c r="Z98" i="3"/>
  <c r="X98" i="3"/>
  <c r="V98" i="3"/>
  <c r="T98" i="3"/>
  <c r="Q98" i="3"/>
  <c r="O98" i="3"/>
  <c r="AN99" i="3"/>
  <c r="AH99" i="3"/>
  <c r="AF99" i="3"/>
  <c r="L99" i="3"/>
  <c r="AO99" i="3" s="1"/>
  <c r="M103" i="3"/>
  <c r="AG100" i="3"/>
  <c r="AE100" i="3"/>
  <c r="AK100" i="3" s="1"/>
  <c r="AD100" i="3"/>
  <c r="AB100" i="3"/>
  <c r="Z100" i="3"/>
  <c r="X100" i="3"/>
  <c r="V100" i="3"/>
  <c r="T100" i="3"/>
  <c r="Q100" i="3"/>
  <c r="O100" i="3"/>
  <c r="AG101" i="3"/>
  <c r="AE101" i="3"/>
  <c r="AK101" i="3" s="1"/>
  <c r="AD101" i="3"/>
  <c r="AB101" i="3"/>
  <c r="Z101" i="3"/>
  <c r="X101" i="3"/>
  <c r="V101" i="3"/>
  <c r="T101" i="3"/>
  <c r="Q101" i="3"/>
  <c r="O101" i="3"/>
  <c r="AG102" i="3"/>
  <c r="AE102" i="3"/>
  <c r="AK102" i="3" s="1"/>
  <c r="AD102" i="3"/>
  <c r="AB102" i="3"/>
  <c r="Z102" i="3"/>
  <c r="X102" i="3"/>
  <c r="V102" i="3"/>
  <c r="T102" i="3"/>
  <c r="Q102" i="3"/>
  <c r="O102" i="3"/>
  <c r="AN103" i="3"/>
  <c r="AH103" i="3"/>
  <c r="AF103" i="3"/>
  <c r="L103" i="3"/>
  <c r="AO103" i="3" s="1"/>
  <c r="M107" i="3"/>
  <c r="AG104" i="3"/>
  <c r="AE104" i="3"/>
  <c r="AK104" i="3" s="1"/>
  <c r="AD104" i="3"/>
  <c r="AB104" i="3"/>
  <c r="Z104" i="3"/>
  <c r="X104" i="3"/>
  <c r="V104" i="3"/>
  <c r="T104" i="3"/>
  <c r="Q104" i="3"/>
  <c r="O104" i="3"/>
  <c r="AG105" i="3"/>
  <c r="AE105" i="3"/>
  <c r="AK105" i="3" s="1"/>
  <c r="AD105" i="3"/>
  <c r="AB105" i="3"/>
  <c r="Z105" i="3"/>
  <c r="X105" i="3"/>
  <c r="V105" i="3"/>
  <c r="T105" i="3"/>
  <c r="Q105" i="3"/>
  <c r="O105" i="3"/>
  <c r="AG106" i="3"/>
  <c r="AE106" i="3"/>
  <c r="AK106" i="3" s="1"/>
  <c r="AD106" i="3"/>
  <c r="AB106" i="3"/>
  <c r="Z106" i="3"/>
  <c r="X106" i="3"/>
  <c r="V106" i="3"/>
  <c r="T106" i="3"/>
  <c r="Q106" i="3"/>
  <c r="O106" i="3"/>
  <c r="AN107" i="3"/>
  <c r="AH107" i="3"/>
  <c r="AF107" i="3"/>
  <c r="L107" i="3"/>
  <c r="AO107" i="3" s="1"/>
  <c r="M111" i="3"/>
  <c r="AG108" i="3"/>
  <c r="AE108" i="3"/>
  <c r="AK108" i="3" s="1"/>
  <c r="AD108" i="3"/>
  <c r="AB108" i="3"/>
  <c r="Z108" i="3"/>
  <c r="X108" i="3"/>
  <c r="V108" i="3"/>
  <c r="T108" i="3"/>
  <c r="Q108" i="3"/>
  <c r="O108" i="3"/>
  <c r="AG109" i="3"/>
  <c r="AE109" i="3"/>
  <c r="AK109" i="3" s="1"/>
  <c r="AD109" i="3"/>
  <c r="AB109" i="3"/>
  <c r="Z109" i="3"/>
  <c r="X109" i="3"/>
  <c r="V109" i="3"/>
  <c r="T109" i="3"/>
  <c r="Q109" i="3"/>
  <c r="O109" i="3"/>
  <c r="AG110" i="3"/>
  <c r="AE110" i="3"/>
  <c r="AK110" i="3" s="1"/>
  <c r="AD110" i="3"/>
  <c r="AB110" i="3"/>
  <c r="Z110" i="3"/>
  <c r="X110" i="3"/>
  <c r="V110" i="3"/>
  <c r="T110" i="3"/>
  <c r="Q110" i="3"/>
  <c r="O110" i="3"/>
  <c r="AN111" i="3"/>
  <c r="AH111" i="3"/>
  <c r="AF111" i="3"/>
  <c r="L111" i="3"/>
  <c r="AO111" i="3" s="1"/>
  <c r="M115" i="3"/>
  <c r="AG112" i="3"/>
  <c r="AE112" i="3"/>
  <c r="AK112" i="3" s="1"/>
  <c r="AD112" i="3"/>
  <c r="AB112" i="3"/>
  <c r="Z112" i="3"/>
  <c r="X112" i="3"/>
  <c r="V112" i="3"/>
  <c r="T112" i="3"/>
  <c r="Q112" i="3"/>
  <c r="O112" i="3"/>
  <c r="AG113" i="3"/>
  <c r="AE113" i="3"/>
  <c r="AK113" i="3" s="1"/>
  <c r="AD113" i="3"/>
  <c r="AB113" i="3"/>
  <c r="Z113" i="3"/>
  <c r="X113" i="3"/>
  <c r="V113" i="3"/>
  <c r="T113" i="3"/>
  <c r="Q113" i="3"/>
  <c r="O113" i="3"/>
  <c r="AG114" i="3"/>
  <c r="AE114" i="3"/>
  <c r="AK114" i="3" s="1"/>
  <c r="AD114" i="3"/>
  <c r="AB114" i="3"/>
  <c r="Z114" i="3"/>
  <c r="X114" i="3"/>
  <c r="V114" i="3"/>
  <c r="T114" i="3"/>
  <c r="Q114" i="3"/>
  <c r="O114" i="3"/>
  <c r="AN115" i="3"/>
  <c r="AH115" i="3"/>
  <c r="AF115" i="3"/>
  <c r="L115" i="3"/>
  <c r="AO115" i="3" s="1"/>
  <c r="M119" i="3"/>
  <c r="AG116" i="3"/>
  <c r="AE116" i="3"/>
  <c r="AK116" i="3" s="1"/>
  <c r="AD116" i="3"/>
  <c r="AB116" i="3"/>
  <c r="Z116" i="3"/>
  <c r="X116" i="3"/>
  <c r="V116" i="3"/>
  <c r="T116" i="3"/>
  <c r="Q116" i="3"/>
  <c r="O116" i="3"/>
  <c r="AG117" i="3"/>
  <c r="AE117" i="3"/>
  <c r="AK117" i="3" s="1"/>
  <c r="AD117" i="3"/>
  <c r="AB117" i="3"/>
  <c r="Z117" i="3"/>
  <c r="X117" i="3"/>
  <c r="V117" i="3"/>
  <c r="T117" i="3"/>
  <c r="Q117" i="3"/>
  <c r="O117" i="3"/>
  <c r="AG118" i="3"/>
  <c r="AE118" i="3"/>
  <c r="AK118" i="3" s="1"/>
  <c r="AD118" i="3"/>
  <c r="AB118" i="3"/>
  <c r="Z118" i="3"/>
  <c r="X118" i="3"/>
  <c r="V118" i="3"/>
  <c r="T118" i="3"/>
  <c r="Q118" i="3"/>
  <c r="O118" i="3"/>
  <c r="AN119" i="3"/>
  <c r="AH119" i="3"/>
  <c r="AF119" i="3"/>
  <c r="L119" i="3"/>
  <c r="AO119" i="3" s="1"/>
  <c r="M7" i="2"/>
  <c r="AG4" i="2"/>
  <c r="AE4" i="2"/>
  <c r="AK4" i="2" s="1"/>
  <c r="AD4" i="2"/>
  <c r="AB4" i="2"/>
  <c r="Z4" i="2"/>
  <c r="X4" i="2"/>
  <c r="V4" i="2"/>
  <c r="T4" i="2"/>
  <c r="Q4" i="2"/>
  <c r="O4" i="2"/>
  <c r="AT8" i="2"/>
  <c r="AT9" i="2" s="1"/>
  <c r="AT10" i="2" s="1"/>
  <c r="AU7" i="2"/>
  <c r="AG5" i="2"/>
  <c r="AE5" i="2"/>
  <c r="AK5" i="2" s="1"/>
  <c r="AD5" i="2"/>
  <c r="AB5" i="2"/>
  <c r="Z5" i="2"/>
  <c r="X5" i="2"/>
  <c r="V5" i="2"/>
  <c r="T5" i="2"/>
  <c r="Q5" i="2"/>
  <c r="O5" i="2"/>
  <c r="AG6" i="2"/>
  <c r="AE6" i="2"/>
  <c r="AK6" i="2" s="1"/>
  <c r="AD6" i="2"/>
  <c r="AB6" i="2"/>
  <c r="Z6" i="2"/>
  <c r="X6" i="2"/>
  <c r="V6" i="2"/>
  <c r="T6" i="2"/>
  <c r="Q6" i="2"/>
  <c r="O6" i="2"/>
  <c r="AO7" i="2"/>
  <c r="AN7" i="2"/>
  <c r="AH7" i="2"/>
  <c r="AF7" i="2"/>
  <c r="L7" i="2"/>
  <c r="M11" i="2"/>
  <c r="AG8" i="2"/>
  <c r="AE8" i="2"/>
  <c r="AK8" i="2" s="1"/>
  <c r="AD8" i="2"/>
  <c r="AB8" i="2"/>
  <c r="Z8" i="2"/>
  <c r="X8" i="2"/>
  <c r="V8" i="2"/>
  <c r="T8" i="2"/>
  <c r="Q8" i="2"/>
  <c r="O8" i="2"/>
  <c r="AG9" i="2"/>
  <c r="AE9" i="2"/>
  <c r="AK9" i="2" s="1"/>
  <c r="AD9" i="2"/>
  <c r="AB9" i="2"/>
  <c r="Z9" i="2"/>
  <c r="X9" i="2"/>
  <c r="V9" i="2"/>
  <c r="T9" i="2"/>
  <c r="Q9" i="2"/>
  <c r="O9" i="2"/>
  <c r="AG10" i="2"/>
  <c r="AE10" i="2"/>
  <c r="AK10" i="2" s="1"/>
  <c r="AD10" i="2"/>
  <c r="AB10" i="2"/>
  <c r="Z10" i="2"/>
  <c r="X10" i="2"/>
  <c r="V10" i="2"/>
  <c r="T10" i="2"/>
  <c r="Q10" i="2"/>
  <c r="O10" i="2"/>
  <c r="AO11" i="2"/>
  <c r="AN11" i="2"/>
  <c r="AH11" i="2"/>
  <c r="AF11" i="2"/>
  <c r="L11" i="2"/>
  <c r="M15" i="2"/>
  <c r="AG12" i="2"/>
  <c r="AE12" i="2"/>
  <c r="AK12" i="2" s="1"/>
  <c r="AD12" i="2"/>
  <c r="AB12" i="2"/>
  <c r="Z12" i="2"/>
  <c r="X12" i="2"/>
  <c r="V12" i="2"/>
  <c r="T12" i="2"/>
  <c r="Q12" i="2"/>
  <c r="O12" i="2"/>
  <c r="AG13" i="2"/>
  <c r="AE13" i="2"/>
  <c r="AK13" i="2" s="1"/>
  <c r="AD13" i="2"/>
  <c r="AB13" i="2"/>
  <c r="Z13" i="2"/>
  <c r="X13" i="2"/>
  <c r="V13" i="2"/>
  <c r="T13" i="2"/>
  <c r="Q13" i="2"/>
  <c r="O13" i="2"/>
  <c r="AG14" i="2"/>
  <c r="AE14" i="2"/>
  <c r="AK14" i="2" s="1"/>
  <c r="AD14" i="2"/>
  <c r="AB14" i="2"/>
  <c r="Z14" i="2"/>
  <c r="X14" i="2"/>
  <c r="V14" i="2"/>
  <c r="T14" i="2"/>
  <c r="Q14" i="2"/>
  <c r="O14" i="2"/>
  <c r="AO15" i="2"/>
  <c r="AN15" i="2"/>
  <c r="AH15" i="2"/>
  <c r="AF15" i="2"/>
  <c r="L15" i="2"/>
  <c r="M19" i="2"/>
  <c r="AG16" i="2"/>
  <c r="AE16" i="2"/>
  <c r="AK16" i="2" s="1"/>
  <c r="AD16" i="2"/>
  <c r="AB16" i="2"/>
  <c r="Z16" i="2"/>
  <c r="X16" i="2"/>
  <c r="V16" i="2"/>
  <c r="T16" i="2"/>
  <c r="Q16" i="2"/>
  <c r="O16" i="2"/>
  <c r="AG17" i="2"/>
  <c r="AE17" i="2"/>
  <c r="AK17" i="2" s="1"/>
  <c r="AD17" i="2"/>
  <c r="AB17" i="2"/>
  <c r="Z17" i="2"/>
  <c r="X17" i="2"/>
  <c r="V17" i="2"/>
  <c r="T17" i="2"/>
  <c r="Q17" i="2"/>
  <c r="O17" i="2"/>
  <c r="AG18" i="2"/>
  <c r="AE18" i="2"/>
  <c r="AK18" i="2" s="1"/>
  <c r="AD18" i="2"/>
  <c r="AB18" i="2"/>
  <c r="Z18" i="2"/>
  <c r="X18" i="2"/>
  <c r="V18" i="2"/>
  <c r="T18" i="2"/>
  <c r="Q18" i="2"/>
  <c r="O18" i="2"/>
  <c r="AO19" i="2"/>
  <c r="AN19" i="2"/>
  <c r="AH19" i="2"/>
  <c r="AF19" i="2"/>
  <c r="L19" i="2"/>
  <c r="M23" i="2"/>
  <c r="AG20" i="2"/>
  <c r="AE20" i="2"/>
  <c r="AK20" i="2" s="1"/>
  <c r="AD20" i="2"/>
  <c r="AB20" i="2"/>
  <c r="Z20" i="2"/>
  <c r="X20" i="2"/>
  <c r="V20" i="2"/>
  <c r="T20" i="2"/>
  <c r="Q20" i="2"/>
  <c r="O20" i="2"/>
  <c r="AG21" i="2"/>
  <c r="AE21" i="2"/>
  <c r="AK21" i="2" s="1"/>
  <c r="AD21" i="2"/>
  <c r="AB21" i="2"/>
  <c r="Z21" i="2"/>
  <c r="X21" i="2"/>
  <c r="V21" i="2"/>
  <c r="T21" i="2"/>
  <c r="Q21" i="2"/>
  <c r="O21" i="2"/>
  <c r="AG22" i="2"/>
  <c r="AE22" i="2"/>
  <c r="AK22" i="2" s="1"/>
  <c r="AD22" i="2"/>
  <c r="AB22" i="2"/>
  <c r="Z22" i="2"/>
  <c r="X22" i="2"/>
  <c r="V22" i="2"/>
  <c r="T22" i="2"/>
  <c r="Q22" i="2"/>
  <c r="O22" i="2"/>
  <c r="AO23" i="2"/>
  <c r="AN23" i="2"/>
  <c r="AH23" i="2"/>
  <c r="AF23" i="2"/>
  <c r="L23" i="2"/>
  <c r="M27" i="2"/>
  <c r="AG24" i="2"/>
  <c r="AE24" i="2"/>
  <c r="AK24" i="2" s="1"/>
  <c r="AD24" i="2"/>
  <c r="AB24" i="2"/>
  <c r="Z24" i="2"/>
  <c r="X24" i="2"/>
  <c r="V24" i="2"/>
  <c r="T24" i="2"/>
  <c r="Q24" i="2"/>
  <c r="O24" i="2"/>
  <c r="AG25" i="2"/>
  <c r="AE25" i="2"/>
  <c r="AK25" i="2" s="1"/>
  <c r="AD25" i="2"/>
  <c r="AB25" i="2"/>
  <c r="Z25" i="2"/>
  <c r="X25" i="2"/>
  <c r="V25" i="2"/>
  <c r="T25" i="2"/>
  <c r="Q25" i="2"/>
  <c r="O25" i="2"/>
  <c r="AG26" i="2"/>
  <c r="AE26" i="2"/>
  <c r="AK26" i="2" s="1"/>
  <c r="AD26" i="2"/>
  <c r="AB26" i="2"/>
  <c r="Z26" i="2"/>
  <c r="X26" i="2"/>
  <c r="V26" i="2"/>
  <c r="T26" i="2"/>
  <c r="Q26" i="2"/>
  <c r="O26" i="2"/>
  <c r="AO27" i="2"/>
  <c r="AN27" i="2"/>
  <c r="AH27" i="2"/>
  <c r="AF27" i="2"/>
  <c r="L27" i="2"/>
  <c r="M31" i="2"/>
  <c r="AG28" i="2"/>
  <c r="AE28" i="2"/>
  <c r="AK28" i="2" s="1"/>
  <c r="AD28" i="2"/>
  <c r="AB28" i="2"/>
  <c r="Z28" i="2"/>
  <c r="X28" i="2"/>
  <c r="V28" i="2"/>
  <c r="T28" i="2"/>
  <c r="Q28" i="2"/>
  <c r="O28" i="2"/>
  <c r="AG29" i="2"/>
  <c r="AE29" i="2"/>
  <c r="AK29" i="2" s="1"/>
  <c r="AD29" i="2"/>
  <c r="AB29" i="2"/>
  <c r="Z29" i="2"/>
  <c r="X29" i="2"/>
  <c r="V29" i="2"/>
  <c r="T29" i="2"/>
  <c r="Q29" i="2"/>
  <c r="O29" i="2"/>
  <c r="AG30" i="2"/>
  <c r="AE30" i="2"/>
  <c r="AK30" i="2" s="1"/>
  <c r="AD30" i="2"/>
  <c r="AB30" i="2"/>
  <c r="Z30" i="2"/>
  <c r="X30" i="2"/>
  <c r="V30" i="2"/>
  <c r="T30" i="2"/>
  <c r="Q30" i="2"/>
  <c r="O30" i="2"/>
  <c r="AN31" i="2"/>
  <c r="AH31" i="2"/>
  <c r="AF31" i="2"/>
  <c r="L31" i="2"/>
  <c r="AO31" i="2" s="1"/>
  <c r="M35" i="2"/>
  <c r="AG32" i="2"/>
  <c r="AE32" i="2"/>
  <c r="AK32" i="2" s="1"/>
  <c r="AD32" i="2"/>
  <c r="AB32" i="2"/>
  <c r="Z32" i="2"/>
  <c r="X32" i="2"/>
  <c r="V32" i="2"/>
  <c r="T32" i="2"/>
  <c r="Q32" i="2"/>
  <c r="O32" i="2"/>
  <c r="AG33" i="2"/>
  <c r="AE33" i="2"/>
  <c r="AK33" i="2" s="1"/>
  <c r="AD33" i="2"/>
  <c r="AB33" i="2"/>
  <c r="Z33" i="2"/>
  <c r="X33" i="2"/>
  <c r="V33" i="2"/>
  <c r="T33" i="2"/>
  <c r="Q33" i="2"/>
  <c r="O33" i="2"/>
  <c r="AG34" i="2"/>
  <c r="AE34" i="2"/>
  <c r="AK34" i="2" s="1"/>
  <c r="AD34" i="2"/>
  <c r="AB34" i="2"/>
  <c r="Z34" i="2"/>
  <c r="X34" i="2"/>
  <c r="V34" i="2"/>
  <c r="T34" i="2"/>
  <c r="Q34" i="2"/>
  <c r="O34" i="2"/>
  <c r="AN35" i="2"/>
  <c r="AH35" i="2"/>
  <c r="AF35" i="2"/>
  <c r="L35" i="2"/>
  <c r="AO35" i="2" s="1"/>
  <c r="M39" i="2"/>
  <c r="AG36" i="2"/>
  <c r="AE36" i="2"/>
  <c r="AK36" i="2" s="1"/>
  <c r="AD36" i="2"/>
  <c r="AB36" i="2"/>
  <c r="Z36" i="2"/>
  <c r="X36" i="2"/>
  <c r="V36" i="2"/>
  <c r="T36" i="2"/>
  <c r="Q36" i="2"/>
  <c r="O36" i="2"/>
  <c r="AG37" i="2"/>
  <c r="AE37" i="2"/>
  <c r="AK37" i="2" s="1"/>
  <c r="AD37" i="2"/>
  <c r="AB37" i="2"/>
  <c r="Z37" i="2"/>
  <c r="X37" i="2"/>
  <c r="V37" i="2"/>
  <c r="T37" i="2"/>
  <c r="Q37" i="2"/>
  <c r="O37" i="2"/>
  <c r="AG38" i="2"/>
  <c r="AE38" i="2"/>
  <c r="AK38" i="2" s="1"/>
  <c r="AD38" i="2"/>
  <c r="AB38" i="2"/>
  <c r="Z38" i="2"/>
  <c r="X38" i="2"/>
  <c r="V38" i="2"/>
  <c r="T38" i="2"/>
  <c r="Q38" i="2"/>
  <c r="O38" i="2"/>
  <c r="AN39" i="2"/>
  <c r="AH39" i="2"/>
  <c r="AF39" i="2"/>
  <c r="L39" i="2"/>
  <c r="AO39" i="2" s="1"/>
  <c r="M43" i="2"/>
  <c r="AG40" i="2"/>
  <c r="AE40" i="2"/>
  <c r="AK40" i="2" s="1"/>
  <c r="AD40" i="2"/>
  <c r="AB40" i="2"/>
  <c r="Z40" i="2"/>
  <c r="X40" i="2"/>
  <c r="V40" i="2"/>
  <c r="T40" i="2"/>
  <c r="Q40" i="2"/>
  <c r="O40" i="2"/>
  <c r="AG41" i="2"/>
  <c r="AE41" i="2"/>
  <c r="AK41" i="2" s="1"/>
  <c r="AD41" i="2"/>
  <c r="AB41" i="2"/>
  <c r="Z41" i="2"/>
  <c r="X41" i="2"/>
  <c r="V41" i="2"/>
  <c r="T41" i="2"/>
  <c r="Q41" i="2"/>
  <c r="O41" i="2"/>
  <c r="AG42" i="2"/>
  <c r="AE42" i="2"/>
  <c r="AK42" i="2" s="1"/>
  <c r="AD42" i="2"/>
  <c r="AB42" i="2"/>
  <c r="Z42" i="2"/>
  <c r="X42" i="2"/>
  <c r="V42" i="2"/>
  <c r="T42" i="2"/>
  <c r="Q42" i="2"/>
  <c r="O42" i="2"/>
  <c r="AN43" i="2"/>
  <c r="AH43" i="2"/>
  <c r="AF43" i="2"/>
  <c r="L43" i="2"/>
  <c r="AO43" i="2" s="1"/>
  <c r="M47" i="2"/>
  <c r="AG44" i="2"/>
  <c r="AE44" i="2"/>
  <c r="AK44" i="2" s="1"/>
  <c r="AD44" i="2"/>
  <c r="AB44" i="2"/>
  <c r="Z44" i="2"/>
  <c r="X44" i="2"/>
  <c r="V44" i="2"/>
  <c r="T44" i="2"/>
  <c r="Q44" i="2"/>
  <c r="O44" i="2"/>
  <c r="AG45" i="2"/>
  <c r="AE45" i="2"/>
  <c r="AK45" i="2" s="1"/>
  <c r="AD45" i="2"/>
  <c r="AB45" i="2"/>
  <c r="Z45" i="2"/>
  <c r="X45" i="2"/>
  <c r="V45" i="2"/>
  <c r="T45" i="2"/>
  <c r="Q45" i="2"/>
  <c r="O45" i="2"/>
  <c r="AG46" i="2"/>
  <c r="AE46" i="2"/>
  <c r="AK46" i="2" s="1"/>
  <c r="AD46" i="2"/>
  <c r="AB46" i="2"/>
  <c r="Z46" i="2"/>
  <c r="X46" i="2"/>
  <c r="V46" i="2"/>
  <c r="T46" i="2"/>
  <c r="Q46" i="2"/>
  <c r="O46" i="2"/>
  <c r="AN47" i="2"/>
  <c r="AH47" i="2"/>
  <c r="AF47" i="2"/>
  <c r="L47" i="2"/>
  <c r="AO47" i="2" s="1"/>
  <c r="M51" i="2"/>
  <c r="AG48" i="2"/>
  <c r="AE48" i="2"/>
  <c r="AK48" i="2" s="1"/>
  <c r="AD48" i="2"/>
  <c r="AB48" i="2"/>
  <c r="Z48" i="2"/>
  <c r="X48" i="2"/>
  <c r="V48" i="2"/>
  <c r="T48" i="2"/>
  <c r="Q48" i="2"/>
  <c r="O48" i="2"/>
  <c r="AG49" i="2"/>
  <c r="AE49" i="2"/>
  <c r="AK49" i="2" s="1"/>
  <c r="AD49" i="2"/>
  <c r="AB49" i="2"/>
  <c r="Z49" i="2"/>
  <c r="X49" i="2"/>
  <c r="V49" i="2"/>
  <c r="T49" i="2"/>
  <c r="Q49" i="2"/>
  <c r="O49" i="2"/>
  <c r="AG50" i="2"/>
  <c r="AE50" i="2"/>
  <c r="AK50" i="2" s="1"/>
  <c r="AD50" i="2"/>
  <c r="AB50" i="2"/>
  <c r="Z50" i="2"/>
  <c r="X50" i="2"/>
  <c r="V50" i="2"/>
  <c r="T50" i="2"/>
  <c r="Q50" i="2"/>
  <c r="O50" i="2"/>
  <c r="AN51" i="2"/>
  <c r="AH51" i="2"/>
  <c r="AF51" i="2"/>
  <c r="L51" i="2"/>
  <c r="AO51" i="2" s="1"/>
  <c r="M55" i="2"/>
  <c r="AG52" i="2"/>
  <c r="AE52" i="2"/>
  <c r="AK52" i="2" s="1"/>
  <c r="AD52" i="2"/>
  <c r="AB52" i="2"/>
  <c r="Z52" i="2"/>
  <c r="X52" i="2"/>
  <c r="V52" i="2"/>
  <c r="T52" i="2"/>
  <c r="Q52" i="2"/>
  <c r="O52" i="2"/>
  <c r="AG53" i="2"/>
  <c r="AE53" i="2"/>
  <c r="AK53" i="2" s="1"/>
  <c r="AD53" i="2"/>
  <c r="AB53" i="2"/>
  <c r="Z53" i="2"/>
  <c r="X53" i="2"/>
  <c r="V53" i="2"/>
  <c r="T53" i="2"/>
  <c r="Q53" i="2"/>
  <c r="O53" i="2"/>
  <c r="AG54" i="2"/>
  <c r="AE54" i="2"/>
  <c r="AK54" i="2" s="1"/>
  <c r="AD54" i="2"/>
  <c r="AB54" i="2"/>
  <c r="Z54" i="2"/>
  <c r="X54" i="2"/>
  <c r="V54" i="2"/>
  <c r="T54" i="2"/>
  <c r="Q54" i="2"/>
  <c r="O54" i="2"/>
  <c r="AN55" i="2"/>
  <c r="AH55" i="2"/>
  <c r="AF55" i="2"/>
  <c r="L55" i="2"/>
  <c r="AO55" i="2" s="1"/>
  <c r="M59" i="2"/>
  <c r="AG56" i="2"/>
  <c r="AE56" i="2"/>
  <c r="AK56" i="2" s="1"/>
  <c r="AD56" i="2"/>
  <c r="AB56" i="2"/>
  <c r="Z56" i="2"/>
  <c r="X56" i="2"/>
  <c r="V56" i="2"/>
  <c r="T56" i="2"/>
  <c r="Q56" i="2"/>
  <c r="O56" i="2"/>
  <c r="AG57" i="2"/>
  <c r="AE57" i="2"/>
  <c r="AK57" i="2" s="1"/>
  <c r="AD57" i="2"/>
  <c r="AB57" i="2"/>
  <c r="Z57" i="2"/>
  <c r="X57" i="2"/>
  <c r="V57" i="2"/>
  <c r="T57" i="2"/>
  <c r="Q57" i="2"/>
  <c r="O57" i="2"/>
  <c r="AG58" i="2"/>
  <c r="AE58" i="2"/>
  <c r="AK58" i="2" s="1"/>
  <c r="AD58" i="2"/>
  <c r="AB58" i="2"/>
  <c r="Z58" i="2"/>
  <c r="X58" i="2"/>
  <c r="V58" i="2"/>
  <c r="T58" i="2"/>
  <c r="Q58" i="2"/>
  <c r="O58" i="2"/>
  <c r="AN59" i="2"/>
  <c r="AH59" i="2"/>
  <c r="AF59" i="2"/>
  <c r="L59" i="2"/>
  <c r="AO59" i="2" s="1"/>
  <c r="M63" i="2"/>
  <c r="AG60" i="2"/>
  <c r="AE60" i="2"/>
  <c r="AK60" i="2" s="1"/>
  <c r="AD60" i="2"/>
  <c r="AB60" i="2"/>
  <c r="Z60" i="2"/>
  <c r="X60" i="2"/>
  <c r="V60" i="2"/>
  <c r="T60" i="2"/>
  <c r="Q60" i="2"/>
  <c r="O60" i="2"/>
  <c r="AG61" i="2"/>
  <c r="AE61" i="2"/>
  <c r="AK61" i="2" s="1"/>
  <c r="AD61" i="2"/>
  <c r="AB61" i="2"/>
  <c r="Z61" i="2"/>
  <c r="X61" i="2"/>
  <c r="V61" i="2"/>
  <c r="T61" i="2"/>
  <c r="Q61" i="2"/>
  <c r="O61" i="2"/>
  <c r="AG62" i="2"/>
  <c r="AE62" i="2"/>
  <c r="AK62" i="2" s="1"/>
  <c r="AD62" i="2"/>
  <c r="AB62" i="2"/>
  <c r="Z62" i="2"/>
  <c r="X62" i="2"/>
  <c r="V62" i="2"/>
  <c r="T62" i="2"/>
  <c r="Q62" i="2"/>
  <c r="O62" i="2"/>
  <c r="AN63" i="2"/>
  <c r="AH63" i="2"/>
  <c r="AF63" i="2"/>
  <c r="L63" i="2"/>
  <c r="AO63" i="2" s="1"/>
  <c r="M67" i="2"/>
  <c r="AG64" i="2"/>
  <c r="AE64" i="2"/>
  <c r="AK64" i="2" s="1"/>
  <c r="AD64" i="2"/>
  <c r="AB64" i="2"/>
  <c r="Z64" i="2"/>
  <c r="X64" i="2"/>
  <c r="V64" i="2"/>
  <c r="T64" i="2"/>
  <c r="Q64" i="2"/>
  <c r="O64" i="2"/>
  <c r="AG65" i="2"/>
  <c r="AE65" i="2"/>
  <c r="AK65" i="2" s="1"/>
  <c r="AD65" i="2"/>
  <c r="AB65" i="2"/>
  <c r="Z65" i="2"/>
  <c r="X65" i="2"/>
  <c r="V65" i="2"/>
  <c r="T65" i="2"/>
  <c r="Q65" i="2"/>
  <c r="O65" i="2"/>
  <c r="AG66" i="2"/>
  <c r="AE66" i="2"/>
  <c r="AK66" i="2" s="1"/>
  <c r="AD66" i="2"/>
  <c r="AB66" i="2"/>
  <c r="Z66" i="2"/>
  <c r="X66" i="2"/>
  <c r="V66" i="2"/>
  <c r="T66" i="2"/>
  <c r="Q66" i="2"/>
  <c r="O66" i="2"/>
  <c r="AN67" i="2"/>
  <c r="AH67" i="2"/>
  <c r="AF67" i="2"/>
  <c r="L67" i="2"/>
  <c r="AO67" i="2" s="1"/>
  <c r="M71" i="2"/>
  <c r="AG68" i="2"/>
  <c r="AE68" i="2"/>
  <c r="AK68" i="2" s="1"/>
  <c r="AD68" i="2"/>
  <c r="AB68" i="2"/>
  <c r="Z68" i="2"/>
  <c r="X68" i="2"/>
  <c r="V68" i="2"/>
  <c r="T68" i="2"/>
  <c r="Q68" i="2"/>
  <c r="O68" i="2"/>
  <c r="AG69" i="2"/>
  <c r="AE69" i="2"/>
  <c r="AK69" i="2" s="1"/>
  <c r="AD69" i="2"/>
  <c r="AB69" i="2"/>
  <c r="Z69" i="2"/>
  <c r="X69" i="2"/>
  <c r="V69" i="2"/>
  <c r="T69" i="2"/>
  <c r="Q69" i="2"/>
  <c r="O69" i="2"/>
  <c r="AG70" i="2"/>
  <c r="AE70" i="2"/>
  <c r="AK70" i="2" s="1"/>
  <c r="AD70" i="2"/>
  <c r="AB70" i="2"/>
  <c r="Z70" i="2"/>
  <c r="X70" i="2"/>
  <c r="V70" i="2"/>
  <c r="T70" i="2"/>
  <c r="Q70" i="2"/>
  <c r="O70" i="2"/>
  <c r="AN71" i="2"/>
  <c r="AH71" i="2"/>
  <c r="AF71" i="2"/>
  <c r="L71" i="2"/>
  <c r="AO71" i="2" s="1"/>
  <c r="M75" i="2"/>
  <c r="AG72" i="2"/>
  <c r="AE72" i="2"/>
  <c r="AK72" i="2" s="1"/>
  <c r="AD72" i="2"/>
  <c r="AB72" i="2"/>
  <c r="Z72" i="2"/>
  <c r="X72" i="2"/>
  <c r="V72" i="2"/>
  <c r="T72" i="2"/>
  <c r="Q72" i="2"/>
  <c r="O72" i="2"/>
  <c r="AG73" i="2"/>
  <c r="AE73" i="2"/>
  <c r="AK73" i="2" s="1"/>
  <c r="AD73" i="2"/>
  <c r="AB73" i="2"/>
  <c r="Z73" i="2"/>
  <c r="X73" i="2"/>
  <c r="V73" i="2"/>
  <c r="T73" i="2"/>
  <c r="Q73" i="2"/>
  <c r="O73" i="2"/>
  <c r="AG74" i="2"/>
  <c r="AE74" i="2"/>
  <c r="AK74" i="2" s="1"/>
  <c r="AD74" i="2"/>
  <c r="AB74" i="2"/>
  <c r="Z74" i="2"/>
  <c r="X74" i="2"/>
  <c r="V74" i="2"/>
  <c r="T74" i="2"/>
  <c r="Q74" i="2"/>
  <c r="O74" i="2"/>
  <c r="AN75" i="2"/>
  <c r="AH75" i="2"/>
  <c r="AF75" i="2"/>
  <c r="L75" i="2"/>
  <c r="AO75" i="2" s="1"/>
  <c r="M79" i="2"/>
  <c r="AG76" i="2"/>
  <c r="AE76" i="2"/>
  <c r="AK76" i="2" s="1"/>
  <c r="AD76" i="2"/>
  <c r="AB76" i="2"/>
  <c r="Z76" i="2"/>
  <c r="X76" i="2"/>
  <c r="V76" i="2"/>
  <c r="T76" i="2"/>
  <c r="Q76" i="2"/>
  <c r="O76" i="2"/>
  <c r="AG77" i="2"/>
  <c r="AE77" i="2"/>
  <c r="AK77" i="2" s="1"/>
  <c r="AD77" i="2"/>
  <c r="AB77" i="2"/>
  <c r="Z77" i="2"/>
  <c r="X77" i="2"/>
  <c r="V77" i="2"/>
  <c r="T77" i="2"/>
  <c r="Q77" i="2"/>
  <c r="O77" i="2"/>
  <c r="AG78" i="2"/>
  <c r="AE78" i="2"/>
  <c r="AK78" i="2" s="1"/>
  <c r="AD78" i="2"/>
  <c r="AB78" i="2"/>
  <c r="Z78" i="2"/>
  <c r="X78" i="2"/>
  <c r="V78" i="2"/>
  <c r="T78" i="2"/>
  <c r="Q78" i="2"/>
  <c r="O78" i="2"/>
  <c r="AN79" i="2"/>
  <c r="AH79" i="2"/>
  <c r="AF79" i="2"/>
  <c r="L79" i="2"/>
  <c r="AO79" i="2" s="1"/>
  <c r="M83" i="2"/>
  <c r="AG80" i="2"/>
  <c r="AE80" i="2"/>
  <c r="AK80" i="2" s="1"/>
  <c r="AD80" i="2"/>
  <c r="AB80" i="2"/>
  <c r="Z80" i="2"/>
  <c r="X80" i="2"/>
  <c r="V80" i="2"/>
  <c r="T80" i="2"/>
  <c r="Q80" i="2"/>
  <c r="O80" i="2"/>
  <c r="AG81" i="2"/>
  <c r="AE81" i="2"/>
  <c r="AK81" i="2" s="1"/>
  <c r="AD81" i="2"/>
  <c r="AB81" i="2"/>
  <c r="Z81" i="2"/>
  <c r="X81" i="2"/>
  <c r="V81" i="2"/>
  <c r="T81" i="2"/>
  <c r="Q81" i="2"/>
  <c r="O81" i="2"/>
  <c r="AG82" i="2"/>
  <c r="AE82" i="2"/>
  <c r="AK82" i="2" s="1"/>
  <c r="AD82" i="2"/>
  <c r="AB82" i="2"/>
  <c r="Z82" i="2"/>
  <c r="X82" i="2"/>
  <c r="V82" i="2"/>
  <c r="T82" i="2"/>
  <c r="Q82" i="2"/>
  <c r="O82" i="2"/>
  <c r="AN83" i="2"/>
  <c r="AH83" i="2"/>
  <c r="AF83" i="2"/>
  <c r="L83" i="2"/>
  <c r="AO83" i="2" s="1"/>
  <c r="M87" i="2"/>
  <c r="AG84" i="2"/>
  <c r="AE84" i="2"/>
  <c r="AK84" i="2" s="1"/>
  <c r="AD84" i="2"/>
  <c r="AB84" i="2"/>
  <c r="Z84" i="2"/>
  <c r="X84" i="2"/>
  <c r="V84" i="2"/>
  <c r="T84" i="2"/>
  <c r="Q84" i="2"/>
  <c r="O84" i="2"/>
  <c r="AG85" i="2"/>
  <c r="AE85" i="2"/>
  <c r="AK85" i="2" s="1"/>
  <c r="AD85" i="2"/>
  <c r="AB85" i="2"/>
  <c r="Z85" i="2"/>
  <c r="X85" i="2"/>
  <c r="V85" i="2"/>
  <c r="T85" i="2"/>
  <c r="Q85" i="2"/>
  <c r="O85" i="2"/>
  <c r="AG86" i="2"/>
  <c r="AE86" i="2"/>
  <c r="AK86" i="2" s="1"/>
  <c r="AD86" i="2"/>
  <c r="AB86" i="2"/>
  <c r="Z86" i="2"/>
  <c r="X86" i="2"/>
  <c r="V86" i="2"/>
  <c r="T86" i="2"/>
  <c r="Q86" i="2"/>
  <c r="O86" i="2"/>
  <c r="AN87" i="2"/>
  <c r="AH87" i="2"/>
  <c r="AF87" i="2"/>
  <c r="L87" i="2"/>
  <c r="AO87" i="2" s="1"/>
  <c r="M91" i="2"/>
  <c r="AG88" i="2"/>
  <c r="AE88" i="2"/>
  <c r="AK88" i="2" s="1"/>
  <c r="AD88" i="2"/>
  <c r="AB88" i="2"/>
  <c r="Z88" i="2"/>
  <c r="X88" i="2"/>
  <c r="V88" i="2"/>
  <c r="T88" i="2"/>
  <c r="Q88" i="2"/>
  <c r="O88" i="2"/>
  <c r="AG89" i="2"/>
  <c r="AE89" i="2"/>
  <c r="AK89" i="2" s="1"/>
  <c r="AD89" i="2"/>
  <c r="AB89" i="2"/>
  <c r="Z89" i="2"/>
  <c r="X89" i="2"/>
  <c r="V89" i="2"/>
  <c r="T89" i="2"/>
  <c r="Q89" i="2"/>
  <c r="O89" i="2"/>
  <c r="AG90" i="2"/>
  <c r="AE90" i="2"/>
  <c r="AK90" i="2" s="1"/>
  <c r="AD90" i="2"/>
  <c r="AB90" i="2"/>
  <c r="Z90" i="2"/>
  <c r="X90" i="2"/>
  <c r="V90" i="2"/>
  <c r="T90" i="2"/>
  <c r="Q90" i="2"/>
  <c r="O90" i="2"/>
  <c r="AN91" i="2"/>
  <c r="AH91" i="2"/>
  <c r="AF91" i="2"/>
  <c r="L91" i="2"/>
  <c r="AO91" i="2" s="1"/>
  <c r="M95" i="2"/>
  <c r="AG92" i="2"/>
  <c r="AE92" i="2"/>
  <c r="AK92" i="2" s="1"/>
  <c r="AD92" i="2"/>
  <c r="AB92" i="2"/>
  <c r="Z92" i="2"/>
  <c r="X92" i="2"/>
  <c r="V92" i="2"/>
  <c r="T92" i="2"/>
  <c r="Q92" i="2"/>
  <c r="O92" i="2"/>
  <c r="AG93" i="2"/>
  <c r="AE93" i="2"/>
  <c r="AK93" i="2" s="1"/>
  <c r="AD93" i="2"/>
  <c r="AB93" i="2"/>
  <c r="Z93" i="2"/>
  <c r="X93" i="2"/>
  <c r="V93" i="2"/>
  <c r="T93" i="2"/>
  <c r="Q93" i="2"/>
  <c r="O93" i="2"/>
  <c r="AG94" i="2"/>
  <c r="AE94" i="2"/>
  <c r="AK94" i="2" s="1"/>
  <c r="AD94" i="2"/>
  <c r="AB94" i="2"/>
  <c r="Z94" i="2"/>
  <c r="X94" i="2"/>
  <c r="V94" i="2"/>
  <c r="T94" i="2"/>
  <c r="Q94" i="2"/>
  <c r="O94" i="2"/>
  <c r="AN95" i="2"/>
  <c r="AH95" i="2"/>
  <c r="AF95" i="2"/>
  <c r="L95" i="2"/>
  <c r="AO95" i="2" s="1"/>
  <c r="M99" i="2"/>
  <c r="AG96" i="2"/>
  <c r="AE96" i="2"/>
  <c r="AK96" i="2" s="1"/>
  <c r="AD96" i="2"/>
  <c r="AB96" i="2"/>
  <c r="Z96" i="2"/>
  <c r="X96" i="2"/>
  <c r="V96" i="2"/>
  <c r="T96" i="2"/>
  <c r="Q96" i="2"/>
  <c r="O96" i="2"/>
  <c r="AG97" i="2"/>
  <c r="AE97" i="2"/>
  <c r="AK97" i="2" s="1"/>
  <c r="AD97" i="2"/>
  <c r="AB97" i="2"/>
  <c r="Z97" i="2"/>
  <c r="X97" i="2"/>
  <c r="V97" i="2"/>
  <c r="T97" i="2"/>
  <c r="Q97" i="2"/>
  <c r="O97" i="2"/>
  <c r="AG98" i="2"/>
  <c r="AE98" i="2"/>
  <c r="AK98" i="2" s="1"/>
  <c r="AD98" i="2"/>
  <c r="AB98" i="2"/>
  <c r="Z98" i="2"/>
  <c r="X98" i="2"/>
  <c r="V98" i="2"/>
  <c r="T98" i="2"/>
  <c r="Q98" i="2"/>
  <c r="O98" i="2"/>
  <c r="AN99" i="2"/>
  <c r="AH99" i="2"/>
  <c r="AF99" i="2"/>
  <c r="L99" i="2"/>
  <c r="AO99" i="2" s="1"/>
  <c r="M103" i="2"/>
  <c r="AG100" i="2"/>
  <c r="AE100" i="2"/>
  <c r="AK100" i="2" s="1"/>
  <c r="AD100" i="2"/>
  <c r="AB100" i="2"/>
  <c r="Z100" i="2"/>
  <c r="X100" i="2"/>
  <c r="V100" i="2"/>
  <c r="T100" i="2"/>
  <c r="Q100" i="2"/>
  <c r="O100" i="2"/>
  <c r="AG101" i="2"/>
  <c r="AE101" i="2"/>
  <c r="AK101" i="2" s="1"/>
  <c r="AD101" i="2"/>
  <c r="AB101" i="2"/>
  <c r="Z101" i="2"/>
  <c r="X101" i="2"/>
  <c r="V101" i="2"/>
  <c r="T101" i="2"/>
  <c r="Q101" i="2"/>
  <c r="O101" i="2"/>
  <c r="AG102" i="2"/>
  <c r="AE102" i="2"/>
  <c r="AK102" i="2" s="1"/>
  <c r="AD102" i="2"/>
  <c r="AB102" i="2"/>
  <c r="Z102" i="2"/>
  <c r="X102" i="2"/>
  <c r="V102" i="2"/>
  <c r="T102" i="2"/>
  <c r="Q102" i="2"/>
  <c r="O102" i="2"/>
  <c r="AN103" i="2"/>
  <c r="AH103" i="2"/>
  <c r="AF103" i="2"/>
  <c r="L103" i="2"/>
  <c r="AO103" i="2" s="1"/>
  <c r="M107" i="2"/>
  <c r="AG104" i="2"/>
  <c r="AE104" i="2"/>
  <c r="AK104" i="2" s="1"/>
  <c r="AD104" i="2"/>
  <c r="AB104" i="2"/>
  <c r="Z104" i="2"/>
  <c r="X104" i="2"/>
  <c r="V104" i="2"/>
  <c r="T104" i="2"/>
  <c r="Q104" i="2"/>
  <c r="O104" i="2"/>
  <c r="AG105" i="2"/>
  <c r="AE105" i="2"/>
  <c r="AK105" i="2" s="1"/>
  <c r="AD105" i="2"/>
  <c r="AB105" i="2"/>
  <c r="Z105" i="2"/>
  <c r="X105" i="2"/>
  <c r="V105" i="2"/>
  <c r="T105" i="2"/>
  <c r="Q105" i="2"/>
  <c r="O105" i="2"/>
  <c r="AG106" i="2"/>
  <c r="AE106" i="2"/>
  <c r="AK106" i="2" s="1"/>
  <c r="AD106" i="2"/>
  <c r="AB106" i="2"/>
  <c r="Z106" i="2"/>
  <c r="X106" i="2"/>
  <c r="V106" i="2"/>
  <c r="T106" i="2"/>
  <c r="Q106" i="2"/>
  <c r="O106" i="2"/>
  <c r="AN107" i="2"/>
  <c r="AH107" i="2"/>
  <c r="AF107" i="2"/>
  <c r="L107" i="2"/>
  <c r="AO107" i="2" s="1"/>
  <c r="M111" i="2"/>
  <c r="AG108" i="2"/>
  <c r="AE108" i="2"/>
  <c r="AK108" i="2" s="1"/>
  <c r="AD108" i="2"/>
  <c r="AB108" i="2"/>
  <c r="Z108" i="2"/>
  <c r="X108" i="2"/>
  <c r="V108" i="2"/>
  <c r="T108" i="2"/>
  <c r="Q108" i="2"/>
  <c r="O108" i="2"/>
  <c r="AG109" i="2"/>
  <c r="AE109" i="2"/>
  <c r="AK109" i="2" s="1"/>
  <c r="AD109" i="2"/>
  <c r="AB109" i="2"/>
  <c r="Z109" i="2"/>
  <c r="X109" i="2"/>
  <c r="V109" i="2"/>
  <c r="T109" i="2"/>
  <c r="Q109" i="2"/>
  <c r="O109" i="2"/>
  <c r="AG110" i="2"/>
  <c r="AE110" i="2"/>
  <c r="AK110" i="2" s="1"/>
  <c r="AD110" i="2"/>
  <c r="AB110" i="2"/>
  <c r="Z110" i="2"/>
  <c r="X110" i="2"/>
  <c r="V110" i="2"/>
  <c r="T110" i="2"/>
  <c r="Q110" i="2"/>
  <c r="O110" i="2"/>
  <c r="AN111" i="2"/>
  <c r="AH111" i="2"/>
  <c r="AF111" i="2"/>
  <c r="L111" i="2"/>
  <c r="AO111" i="2" s="1"/>
  <c r="M115" i="2"/>
  <c r="AG112" i="2"/>
  <c r="AE112" i="2"/>
  <c r="AK112" i="2" s="1"/>
  <c r="AD112" i="2"/>
  <c r="AB112" i="2"/>
  <c r="Z112" i="2"/>
  <c r="X112" i="2"/>
  <c r="V112" i="2"/>
  <c r="T112" i="2"/>
  <c r="Q112" i="2"/>
  <c r="O112" i="2"/>
  <c r="AG113" i="2"/>
  <c r="AE113" i="2"/>
  <c r="AK113" i="2" s="1"/>
  <c r="AD113" i="2"/>
  <c r="AB113" i="2"/>
  <c r="Z113" i="2"/>
  <c r="X113" i="2"/>
  <c r="V113" i="2"/>
  <c r="T113" i="2"/>
  <c r="Q113" i="2"/>
  <c r="O113" i="2"/>
  <c r="AG114" i="2"/>
  <c r="AE114" i="2"/>
  <c r="AK114" i="2" s="1"/>
  <c r="AD114" i="2"/>
  <c r="AB114" i="2"/>
  <c r="Z114" i="2"/>
  <c r="X114" i="2"/>
  <c r="V114" i="2"/>
  <c r="T114" i="2"/>
  <c r="Q114" i="2"/>
  <c r="O114" i="2"/>
  <c r="AN115" i="2"/>
  <c r="AH115" i="2"/>
  <c r="AF115" i="2"/>
  <c r="L115" i="2"/>
  <c r="AO115" i="2" s="1"/>
  <c r="M23" i="1"/>
  <c r="AG20" i="1"/>
  <c r="AE20" i="1"/>
  <c r="AK20" i="1" s="1"/>
  <c r="AD20" i="1"/>
  <c r="AB20" i="1"/>
  <c r="Z20" i="1"/>
  <c r="X20" i="1"/>
  <c r="V20" i="1"/>
  <c r="T20" i="1"/>
  <c r="Q20" i="1"/>
  <c r="O20" i="1"/>
  <c r="AT24" i="1"/>
  <c r="AT25" i="1" s="1"/>
  <c r="AT26" i="1" s="1"/>
  <c r="AU23" i="1"/>
  <c r="AG21" i="1"/>
  <c r="AE21" i="1"/>
  <c r="AK21" i="1" s="1"/>
  <c r="AD21" i="1"/>
  <c r="AB21" i="1"/>
  <c r="Z21" i="1"/>
  <c r="X21" i="1"/>
  <c r="V21" i="1"/>
  <c r="T21" i="1"/>
  <c r="Q21" i="1"/>
  <c r="O21" i="1"/>
  <c r="AG22" i="1"/>
  <c r="AE22" i="1"/>
  <c r="AK22" i="1" s="1"/>
  <c r="AD22" i="1"/>
  <c r="AB22" i="1"/>
  <c r="Z22" i="1"/>
  <c r="X22" i="1"/>
  <c r="V22" i="1"/>
  <c r="T22" i="1"/>
  <c r="Q22" i="1"/>
  <c r="O22" i="1"/>
  <c r="AO23" i="1"/>
  <c r="AN23" i="1"/>
  <c r="AH23" i="1"/>
  <c r="AF23" i="1"/>
  <c r="L23" i="1"/>
  <c r="M27" i="1"/>
  <c r="AG24" i="1"/>
  <c r="AE24" i="1"/>
  <c r="AK24" i="1" s="1"/>
  <c r="AD24" i="1"/>
  <c r="AB24" i="1"/>
  <c r="Z24" i="1"/>
  <c r="X24" i="1"/>
  <c r="V24" i="1"/>
  <c r="T24" i="1"/>
  <c r="Q24" i="1"/>
  <c r="O24" i="1"/>
  <c r="AG25" i="1"/>
  <c r="AE25" i="1"/>
  <c r="AK25" i="1" s="1"/>
  <c r="AD25" i="1"/>
  <c r="AB25" i="1"/>
  <c r="Z25" i="1"/>
  <c r="X25" i="1"/>
  <c r="V25" i="1"/>
  <c r="T25" i="1"/>
  <c r="Q25" i="1"/>
  <c r="O25" i="1"/>
  <c r="AG26" i="1"/>
  <c r="AE26" i="1"/>
  <c r="AK26" i="1" s="1"/>
  <c r="AD26" i="1"/>
  <c r="AB26" i="1"/>
  <c r="Z26" i="1"/>
  <c r="X26" i="1"/>
  <c r="V26" i="1"/>
  <c r="T26" i="1"/>
  <c r="Q26" i="1"/>
  <c r="O26" i="1"/>
  <c r="AO27" i="1"/>
  <c r="AN27" i="1"/>
  <c r="AH27" i="1"/>
  <c r="AF27" i="1"/>
  <c r="L27" i="1"/>
  <c r="M31" i="1"/>
  <c r="AG28" i="1"/>
  <c r="AE28" i="1"/>
  <c r="AK28" i="1" s="1"/>
  <c r="AD28" i="1"/>
  <c r="AB28" i="1"/>
  <c r="Z28" i="1"/>
  <c r="X28" i="1"/>
  <c r="V28" i="1"/>
  <c r="T28" i="1"/>
  <c r="Q28" i="1"/>
  <c r="O28" i="1"/>
  <c r="AG29" i="1"/>
  <c r="AE29" i="1"/>
  <c r="AK29" i="1" s="1"/>
  <c r="AD29" i="1"/>
  <c r="AB29" i="1"/>
  <c r="Z29" i="1"/>
  <c r="X29" i="1"/>
  <c r="V29" i="1"/>
  <c r="T29" i="1"/>
  <c r="Q29" i="1"/>
  <c r="O29" i="1"/>
  <c r="AG30" i="1"/>
  <c r="AE30" i="1"/>
  <c r="AK30" i="1" s="1"/>
  <c r="AD30" i="1"/>
  <c r="AB30" i="1"/>
  <c r="Z30" i="1"/>
  <c r="X30" i="1"/>
  <c r="V30" i="1"/>
  <c r="T30" i="1"/>
  <c r="Q30" i="1"/>
  <c r="O30" i="1"/>
  <c r="AN31" i="1"/>
  <c r="AH31" i="1"/>
  <c r="AF31" i="1"/>
  <c r="L31" i="1"/>
  <c r="AO31" i="1" s="1"/>
  <c r="M35" i="1"/>
  <c r="AG32" i="1"/>
  <c r="AE32" i="1"/>
  <c r="AK32" i="1" s="1"/>
  <c r="AD32" i="1"/>
  <c r="AB32" i="1"/>
  <c r="Z32" i="1"/>
  <c r="X32" i="1"/>
  <c r="V32" i="1"/>
  <c r="T32" i="1"/>
  <c r="Q32" i="1"/>
  <c r="O32" i="1"/>
  <c r="AG33" i="1"/>
  <c r="AE33" i="1"/>
  <c r="AK33" i="1" s="1"/>
  <c r="AD33" i="1"/>
  <c r="AB33" i="1"/>
  <c r="Z33" i="1"/>
  <c r="X33" i="1"/>
  <c r="V33" i="1"/>
  <c r="T33" i="1"/>
  <c r="Q33" i="1"/>
  <c r="O33" i="1"/>
  <c r="AG34" i="1"/>
  <c r="AE34" i="1"/>
  <c r="AK34" i="1" s="1"/>
  <c r="AD34" i="1"/>
  <c r="AB34" i="1"/>
  <c r="Z34" i="1"/>
  <c r="X34" i="1"/>
  <c r="V34" i="1"/>
  <c r="T34" i="1"/>
  <c r="Q34" i="1"/>
  <c r="O34" i="1"/>
  <c r="AN35" i="1"/>
  <c r="AH35" i="1"/>
  <c r="AF35" i="1"/>
  <c r="L35" i="1"/>
  <c r="AO35" i="1" s="1"/>
  <c r="M39" i="1"/>
  <c r="AG36" i="1"/>
  <c r="AE36" i="1"/>
  <c r="AK36" i="1" s="1"/>
  <c r="AD36" i="1"/>
  <c r="AB36" i="1"/>
  <c r="Z36" i="1"/>
  <c r="X36" i="1"/>
  <c r="V36" i="1"/>
  <c r="T36" i="1"/>
  <c r="Q36" i="1"/>
  <c r="O36" i="1"/>
  <c r="AG37" i="1"/>
  <c r="AE37" i="1"/>
  <c r="AK37" i="1" s="1"/>
  <c r="AD37" i="1"/>
  <c r="AB37" i="1"/>
  <c r="Z37" i="1"/>
  <c r="X37" i="1"/>
  <c r="V37" i="1"/>
  <c r="T37" i="1"/>
  <c r="Q37" i="1"/>
  <c r="O37" i="1"/>
  <c r="AG38" i="1"/>
  <c r="AE38" i="1"/>
  <c r="AK38" i="1" s="1"/>
  <c r="AD38" i="1"/>
  <c r="AB38" i="1"/>
  <c r="Z38" i="1"/>
  <c r="X38" i="1"/>
  <c r="V38" i="1"/>
  <c r="T38" i="1"/>
  <c r="Q38" i="1"/>
  <c r="O38" i="1"/>
  <c r="AN39" i="1"/>
  <c r="AH39" i="1"/>
  <c r="AF39" i="1"/>
  <c r="L39" i="1"/>
  <c r="AO39" i="1" s="1"/>
  <c r="M43" i="1"/>
  <c r="AG40" i="1"/>
  <c r="AE40" i="1"/>
  <c r="AK40" i="1" s="1"/>
  <c r="AD40" i="1"/>
  <c r="AB40" i="1"/>
  <c r="Z40" i="1"/>
  <c r="X40" i="1"/>
  <c r="V40" i="1"/>
  <c r="T40" i="1"/>
  <c r="Q40" i="1"/>
  <c r="O40" i="1"/>
  <c r="AG41" i="1"/>
  <c r="AE41" i="1"/>
  <c r="AK41" i="1" s="1"/>
  <c r="AD41" i="1"/>
  <c r="AB41" i="1"/>
  <c r="Z41" i="1"/>
  <c r="X41" i="1"/>
  <c r="V41" i="1"/>
  <c r="T41" i="1"/>
  <c r="Q41" i="1"/>
  <c r="O41" i="1"/>
  <c r="AG42" i="1"/>
  <c r="AE42" i="1"/>
  <c r="AK42" i="1" s="1"/>
  <c r="AD42" i="1"/>
  <c r="AB42" i="1"/>
  <c r="Z42" i="1"/>
  <c r="X42" i="1"/>
  <c r="V42" i="1"/>
  <c r="T42" i="1"/>
  <c r="Q42" i="1"/>
  <c r="O42" i="1"/>
  <c r="AN43" i="1"/>
  <c r="AH43" i="1"/>
  <c r="AF43" i="1"/>
  <c r="L43" i="1"/>
  <c r="AO43" i="1" s="1"/>
  <c r="M47" i="1"/>
  <c r="AG44" i="1"/>
  <c r="AE44" i="1"/>
  <c r="AK44" i="1" s="1"/>
  <c r="AD44" i="1"/>
  <c r="AB44" i="1"/>
  <c r="Z44" i="1"/>
  <c r="X44" i="1"/>
  <c r="V44" i="1"/>
  <c r="T44" i="1"/>
  <c r="Q44" i="1"/>
  <c r="O44" i="1"/>
  <c r="AG45" i="1"/>
  <c r="AE45" i="1"/>
  <c r="AK45" i="1" s="1"/>
  <c r="AD45" i="1"/>
  <c r="AB45" i="1"/>
  <c r="Z45" i="1"/>
  <c r="X45" i="1"/>
  <c r="V45" i="1"/>
  <c r="T45" i="1"/>
  <c r="Q45" i="1"/>
  <c r="O45" i="1"/>
  <c r="AG46" i="1"/>
  <c r="AE46" i="1"/>
  <c r="AK46" i="1" s="1"/>
  <c r="AD46" i="1"/>
  <c r="AB46" i="1"/>
  <c r="Z46" i="1"/>
  <c r="X46" i="1"/>
  <c r="V46" i="1"/>
  <c r="T46" i="1"/>
  <c r="Q46" i="1"/>
  <c r="O46" i="1"/>
  <c r="AN47" i="1"/>
  <c r="AH47" i="1"/>
  <c r="AF47" i="1"/>
  <c r="L47" i="1"/>
  <c r="AO47" i="1" s="1"/>
  <c r="M51" i="1"/>
  <c r="AG48" i="1"/>
  <c r="AE48" i="1"/>
  <c r="AK48" i="1" s="1"/>
  <c r="AD48" i="1"/>
  <c r="AB48" i="1"/>
  <c r="Z48" i="1"/>
  <c r="X48" i="1"/>
  <c r="V48" i="1"/>
  <c r="T48" i="1"/>
  <c r="Q48" i="1"/>
  <c r="O48" i="1"/>
  <c r="AG49" i="1"/>
  <c r="AE49" i="1"/>
  <c r="AK49" i="1" s="1"/>
  <c r="AD49" i="1"/>
  <c r="AB49" i="1"/>
  <c r="Z49" i="1"/>
  <c r="X49" i="1"/>
  <c r="V49" i="1"/>
  <c r="T49" i="1"/>
  <c r="Q49" i="1"/>
  <c r="O49" i="1"/>
  <c r="AG50" i="1"/>
  <c r="AE50" i="1"/>
  <c r="AK50" i="1" s="1"/>
  <c r="AD50" i="1"/>
  <c r="AB50" i="1"/>
  <c r="Z50" i="1"/>
  <c r="X50" i="1"/>
  <c r="V50" i="1"/>
  <c r="T50" i="1"/>
  <c r="Q50" i="1"/>
  <c r="O50" i="1"/>
  <c r="AN51" i="1"/>
  <c r="AH51" i="1"/>
  <c r="AF51" i="1"/>
  <c r="L51" i="1"/>
  <c r="AO51" i="1" s="1"/>
  <c r="M55" i="1"/>
  <c r="AG52" i="1"/>
  <c r="AE52" i="1"/>
  <c r="AK52" i="1" s="1"/>
  <c r="AD52" i="1"/>
  <c r="AB52" i="1"/>
  <c r="Z52" i="1"/>
  <c r="X52" i="1"/>
  <c r="V52" i="1"/>
  <c r="T52" i="1"/>
  <c r="Q52" i="1"/>
  <c r="O52" i="1"/>
  <c r="AG53" i="1"/>
  <c r="AE53" i="1"/>
  <c r="AK53" i="1" s="1"/>
  <c r="AD53" i="1"/>
  <c r="AB53" i="1"/>
  <c r="Z53" i="1"/>
  <c r="X53" i="1"/>
  <c r="V53" i="1"/>
  <c r="T53" i="1"/>
  <c r="Q53" i="1"/>
  <c r="O53" i="1"/>
  <c r="AG54" i="1"/>
  <c r="AE54" i="1"/>
  <c r="AK54" i="1" s="1"/>
  <c r="AD54" i="1"/>
  <c r="AB54" i="1"/>
  <c r="Z54" i="1"/>
  <c r="X54" i="1"/>
  <c r="V54" i="1"/>
  <c r="T54" i="1"/>
  <c r="Q54" i="1"/>
  <c r="O54" i="1"/>
  <c r="AN55" i="1"/>
  <c r="AH55" i="1"/>
  <c r="AF55" i="1"/>
  <c r="L55" i="1"/>
  <c r="AO55" i="1" s="1"/>
  <c r="M59" i="1"/>
  <c r="AG56" i="1"/>
  <c r="AE56" i="1"/>
  <c r="AK56" i="1" s="1"/>
  <c r="AD56" i="1"/>
  <c r="AB56" i="1"/>
  <c r="Z56" i="1"/>
  <c r="X56" i="1"/>
  <c r="V56" i="1"/>
  <c r="T56" i="1"/>
  <c r="Q56" i="1"/>
  <c r="O56" i="1"/>
  <c r="AG57" i="1"/>
  <c r="AE57" i="1"/>
  <c r="AK57" i="1" s="1"/>
  <c r="AD57" i="1"/>
  <c r="AB57" i="1"/>
  <c r="Z57" i="1"/>
  <c r="X57" i="1"/>
  <c r="V57" i="1"/>
  <c r="T57" i="1"/>
  <c r="Q57" i="1"/>
  <c r="O57" i="1"/>
  <c r="AG58" i="1"/>
  <c r="AE58" i="1"/>
  <c r="AK58" i="1" s="1"/>
  <c r="AD58" i="1"/>
  <c r="AB58" i="1"/>
  <c r="Z58" i="1"/>
  <c r="X58" i="1"/>
  <c r="V58" i="1"/>
  <c r="T58" i="1"/>
  <c r="Q58" i="1"/>
  <c r="O58" i="1"/>
  <c r="AN59" i="1"/>
  <c r="AH59" i="1"/>
  <c r="AF59" i="1"/>
  <c r="L59" i="1"/>
  <c r="AO59" i="1" s="1"/>
  <c r="M63" i="1"/>
  <c r="AG60" i="1"/>
  <c r="AE60" i="1"/>
  <c r="AK60" i="1" s="1"/>
  <c r="AD60" i="1"/>
  <c r="AB60" i="1"/>
  <c r="Z60" i="1"/>
  <c r="X60" i="1"/>
  <c r="V60" i="1"/>
  <c r="T60" i="1"/>
  <c r="Q60" i="1"/>
  <c r="O60" i="1"/>
  <c r="AG61" i="1"/>
  <c r="AE61" i="1"/>
  <c r="AK61" i="1" s="1"/>
  <c r="AD61" i="1"/>
  <c r="AB61" i="1"/>
  <c r="Z61" i="1"/>
  <c r="X61" i="1"/>
  <c r="V61" i="1"/>
  <c r="T61" i="1"/>
  <c r="Q61" i="1"/>
  <c r="O61" i="1"/>
  <c r="AG62" i="1"/>
  <c r="AE62" i="1"/>
  <c r="AK62" i="1" s="1"/>
  <c r="AD62" i="1"/>
  <c r="AB62" i="1"/>
  <c r="Z62" i="1"/>
  <c r="X62" i="1"/>
  <c r="V62" i="1"/>
  <c r="T62" i="1"/>
  <c r="Q62" i="1"/>
  <c r="O62" i="1"/>
  <c r="AN63" i="1"/>
  <c r="AH63" i="1"/>
  <c r="AF63" i="1"/>
  <c r="L63" i="1"/>
  <c r="AO63" i="1" s="1"/>
  <c r="M67" i="1"/>
  <c r="AG64" i="1"/>
  <c r="AE64" i="1"/>
  <c r="AK64" i="1" s="1"/>
  <c r="AD64" i="1"/>
  <c r="AB64" i="1"/>
  <c r="Z64" i="1"/>
  <c r="X64" i="1"/>
  <c r="V64" i="1"/>
  <c r="T64" i="1"/>
  <c r="Q64" i="1"/>
  <c r="O64" i="1"/>
  <c r="AG65" i="1"/>
  <c r="AE65" i="1"/>
  <c r="AK65" i="1" s="1"/>
  <c r="AD65" i="1"/>
  <c r="AB65" i="1"/>
  <c r="Z65" i="1"/>
  <c r="X65" i="1"/>
  <c r="V65" i="1"/>
  <c r="T65" i="1"/>
  <c r="Q65" i="1"/>
  <c r="O65" i="1"/>
  <c r="AG66" i="1"/>
  <c r="AE66" i="1"/>
  <c r="AK66" i="1" s="1"/>
  <c r="AD66" i="1"/>
  <c r="AB66" i="1"/>
  <c r="Z66" i="1"/>
  <c r="X66" i="1"/>
  <c r="V66" i="1"/>
  <c r="T66" i="1"/>
  <c r="Q66" i="1"/>
  <c r="O66" i="1"/>
  <c r="AN67" i="1"/>
  <c r="AH67" i="1"/>
  <c r="AF67" i="1"/>
  <c r="L67" i="1"/>
  <c r="AO67" i="1" s="1"/>
  <c r="M71" i="1"/>
  <c r="AG68" i="1"/>
  <c r="AE68" i="1"/>
  <c r="AK68" i="1" s="1"/>
  <c r="AD68" i="1"/>
  <c r="AB68" i="1"/>
  <c r="Z68" i="1"/>
  <c r="X68" i="1"/>
  <c r="V68" i="1"/>
  <c r="T68" i="1"/>
  <c r="Q68" i="1"/>
  <c r="O68" i="1"/>
  <c r="AG69" i="1"/>
  <c r="AE69" i="1"/>
  <c r="AK69" i="1" s="1"/>
  <c r="AD69" i="1"/>
  <c r="AB69" i="1"/>
  <c r="Z69" i="1"/>
  <c r="X69" i="1"/>
  <c r="V69" i="1"/>
  <c r="T69" i="1"/>
  <c r="Q69" i="1"/>
  <c r="O69" i="1"/>
  <c r="AG70" i="1"/>
  <c r="AE70" i="1"/>
  <c r="AK70" i="1" s="1"/>
  <c r="AD70" i="1"/>
  <c r="AB70" i="1"/>
  <c r="Z70" i="1"/>
  <c r="X70" i="1"/>
  <c r="V70" i="1"/>
  <c r="T70" i="1"/>
  <c r="Q70" i="1"/>
  <c r="O70" i="1"/>
  <c r="AN71" i="1"/>
  <c r="AH71" i="1"/>
  <c r="AF71" i="1"/>
  <c r="L71" i="1"/>
  <c r="AO71" i="1" s="1"/>
  <c r="M75" i="1"/>
  <c r="AG72" i="1"/>
  <c r="AE72" i="1"/>
  <c r="AK72" i="1" s="1"/>
  <c r="AD72" i="1"/>
  <c r="AB72" i="1"/>
  <c r="Z72" i="1"/>
  <c r="X72" i="1"/>
  <c r="V72" i="1"/>
  <c r="T72" i="1"/>
  <c r="Q72" i="1"/>
  <c r="O72" i="1"/>
  <c r="AG73" i="1"/>
  <c r="AE73" i="1"/>
  <c r="AK73" i="1" s="1"/>
  <c r="AD73" i="1"/>
  <c r="AB73" i="1"/>
  <c r="Z73" i="1"/>
  <c r="X73" i="1"/>
  <c r="V73" i="1"/>
  <c r="T73" i="1"/>
  <c r="Q73" i="1"/>
  <c r="O73" i="1"/>
  <c r="AG74" i="1"/>
  <c r="AE74" i="1"/>
  <c r="AK74" i="1" s="1"/>
  <c r="AD74" i="1"/>
  <c r="AB74" i="1"/>
  <c r="Z74" i="1"/>
  <c r="X74" i="1"/>
  <c r="V74" i="1"/>
  <c r="T74" i="1"/>
  <c r="Q74" i="1"/>
  <c r="O74" i="1"/>
  <c r="AN75" i="1"/>
  <c r="AH75" i="1"/>
  <c r="AF75" i="1"/>
  <c r="L75" i="1"/>
  <c r="AO75" i="1" s="1"/>
  <c r="M79" i="1"/>
  <c r="AG76" i="1"/>
  <c r="AE76" i="1"/>
  <c r="AK76" i="1" s="1"/>
  <c r="AD76" i="1"/>
  <c r="AB76" i="1"/>
  <c r="Z76" i="1"/>
  <c r="X76" i="1"/>
  <c r="V76" i="1"/>
  <c r="T76" i="1"/>
  <c r="Q76" i="1"/>
  <c r="O76" i="1"/>
  <c r="AG77" i="1"/>
  <c r="AE77" i="1"/>
  <c r="AK77" i="1" s="1"/>
  <c r="AD77" i="1"/>
  <c r="AB77" i="1"/>
  <c r="Z77" i="1"/>
  <c r="X77" i="1"/>
  <c r="V77" i="1"/>
  <c r="T77" i="1"/>
  <c r="Q77" i="1"/>
  <c r="O77" i="1"/>
  <c r="AG78" i="1"/>
  <c r="AE78" i="1"/>
  <c r="AK78" i="1" s="1"/>
  <c r="AD78" i="1"/>
  <c r="AB78" i="1"/>
  <c r="Z78" i="1"/>
  <c r="X78" i="1"/>
  <c r="V78" i="1"/>
  <c r="T78" i="1"/>
  <c r="Q78" i="1"/>
  <c r="O78" i="1"/>
  <c r="AN79" i="1"/>
  <c r="AH79" i="1"/>
  <c r="AF79" i="1"/>
  <c r="L79" i="1"/>
  <c r="AO79" i="1" s="1"/>
  <c r="M83" i="1"/>
  <c r="AG80" i="1"/>
  <c r="AE80" i="1"/>
  <c r="AK80" i="1" s="1"/>
  <c r="AD80" i="1"/>
  <c r="AB80" i="1"/>
  <c r="Z80" i="1"/>
  <c r="X80" i="1"/>
  <c r="V80" i="1"/>
  <c r="T80" i="1"/>
  <c r="Q80" i="1"/>
  <c r="O80" i="1"/>
  <c r="AG81" i="1"/>
  <c r="AE81" i="1"/>
  <c r="AK81" i="1" s="1"/>
  <c r="AD81" i="1"/>
  <c r="AB81" i="1"/>
  <c r="Z81" i="1"/>
  <c r="X81" i="1"/>
  <c r="V81" i="1"/>
  <c r="T81" i="1"/>
  <c r="Q81" i="1"/>
  <c r="O81" i="1"/>
  <c r="AG82" i="1"/>
  <c r="AE82" i="1"/>
  <c r="AK82" i="1" s="1"/>
  <c r="AD82" i="1"/>
  <c r="AB82" i="1"/>
  <c r="Z82" i="1"/>
  <c r="X82" i="1"/>
  <c r="V82" i="1"/>
  <c r="T82" i="1"/>
  <c r="Q82" i="1"/>
  <c r="O82" i="1"/>
  <c r="AN83" i="1"/>
  <c r="AH83" i="1"/>
  <c r="AF83" i="1"/>
  <c r="L83" i="1"/>
  <c r="AO83" i="1" s="1"/>
  <c r="M87" i="1"/>
  <c r="AG84" i="1"/>
  <c r="AE84" i="1"/>
  <c r="AK84" i="1" s="1"/>
  <c r="AD84" i="1"/>
  <c r="AB84" i="1"/>
  <c r="Z84" i="1"/>
  <c r="X84" i="1"/>
  <c r="V84" i="1"/>
  <c r="T84" i="1"/>
  <c r="Q84" i="1"/>
  <c r="O84" i="1"/>
  <c r="AG85" i="1"/>
  <c r="AE85" i="1"/>
  <c r="AK85" i="1" s="1"/>
  <c r="AD85" i="1"/>
  <c r="AB85" i="1"/>
  <c r="Z85" i="1"/>
  <c r="X85" i="1"/>
  <c r="V85" i="1"/>
  <c r="T85" i="1"/>
  <c r="Q85" i="1"/>
  <c r="O85" i="1"/>
  <c r="AG86" i="1"/>
  <c r="AE86" i="1"/>
  <c r="AK86" i="1" s="1"/>
  <c r="AD86" i="1"/>
  <c r="AB86" i="1"/>
  <c r="Z86" i="1"/>
  <c r="X86" i="1"/>
  <c r="V86" i="1"/>
  <c r="T86" i="1"/>
  <c r="Q86" i="1"/>
  <c r="O86" i="1"/>
  <c r="AN87" i="1"/>
  <c r="AH87" i="1"/>
  <c r="AF87" i="1"/>
  <c r="L87" i="1"/>
  <c r="AO87" i="1" s="1"/>
  <c r="M91" i="1"/>
  <c r="AG88" i="1"/>
  <c r="AE88" i="1"/>
  <c r="AK88" i="1" s="1"/>
  <c r="AD88" i="1"/>
  <c r="AB88" i="1"/>
  <c r="Z88" i="1"/>
  <c r="X88" i="1"/>
  <c r="V88" i="1"/>
  <c r="T88" i="1"/>
  <c r="Q88" i="1"/>
  <c r="O88" i="1"/>
  <c r="AG89" i="1"/>
  <c r="AE89" i="1"/>
  <c r="AK89" i="1" s="1"/>
  <c r="AD89" i="1"/>
  <c r="AB89" i="1"/>
  <c r="Z89" i="1"/>
  <c r="X89" i="1"/>
  <c r="V89" i="1"/>
  <c r="T89" i="1"/>
  <c r="Q89" i="1"/>
  <c r="O89" i="1"/>
  <c r="AG90" i="1"/>
  <c r="AE90" i="1"/>
  <c r="AK90" i="1" s="1"/>
  <c r="AD90" i="1"/>
  <c r="AB90" i="1"/>
  <c r="Z90" i="1"/>
  <c r="X90" i="1"/>
  <c r="V90" i="1"/>
  <c r="T90" i="1"/>
  <c r="Q90" i="1"/>
  <c r="O90" i="1"/>
  <c r="AN91" i="1"/>
  <c r="AH91" i="1"/>
  <c r="AF91" i="1"/>
  <c r="L91" i="1"/>
  <c r="AO91" i="1" s="1"/>
  <c r="M95" i="1"/>
  <c r="AG92" i="1"/>
  <c r="AE92" i="1"/>
  <c r="AK92" i="1" s="1"/>
  <c r="AD92" i="1"/>
  <c r="AB92" i="1"/>
  <c r="Z92" i="1"/>
  <c r="X92" i="1"/>
  <c r="V92" i="1"/>
  <c r="T92" i="1"/>
  <c r="Q92" i="1"/>
  <c r="O92" i="1"/>
  <c r="AG93" i="1"/>
  <c r="AE93" i="1"/>
  <c r="AK93" i="1" s="1"/>
  <c r="AD93" i="1"/>
  <c r="AB93" i="1"/>
  <c r="Z93" i="1"/>
  <c r="X93" i="1"/>
  <c r="V93" i="1"/>
  <c r="T93" i="1"/>
  <c r="Q93" i="1"/>
  <c r="O93" i="1"/>
  <c r="AG94" i="1"/>
  <c r="AE94" i="1"/>
  <c r="AK94" i="1" s="1"/>
  <c r="AD94" i="1"/>
  <c r="AB94" i="1"/>
  <c r="Z94" i="1"/>
  <c r="X94" i="1"/>
  <c r="V94" i="1"/>
  <c r="T94" i="1"/>
  <c r="Q94" i="1"/>
  <c r="O94" i="1"/>
  <c r="AN95" i="1"/>
  <c r="AH95" i="1"/>
  <c r="AF95" i="1"/>
  <c r="L95" i="1"/>
  <c r="AO95" i="1" s="1"/>
  <c r="M99" i="1"/>
  <c r="AG96" i="1"/>
  <c r="AE96" i="1"/>
  <c r="AK96" i="1" s="1"/>
  <c r="AD96" i="1"/>
  <c r="AB96" i="1"/>
  <c r="Z96" i="1"/>
  <c r="X96" i="1"/>
  <c r="V96" i="1"/>
  <c r="T96" i="1"/>
  <c r="Q96" i="1"/>
  <c r="O96" i="1"/>
  <c r="AG97" i="1"/>
  <c r="AE97" i="1"/>
  <c r="AK97" i="1" s="1"/>
  <c r="AD97" i="1"/>
  <c r="AB97" i="1"/>
  <c r="Z97" i="1"/>
  <c r="X97" i="1"/>
  <c r="V97" i="1"/>
  <c r="T97" i="1"/>
  <c r="Q97" i="1"/>
  <c r="O97" i="1"/>
  <c r="AG98" i="1"/>
  <c r="AE98" i="1"/>
  <c r="AK98" i="1" s="1"/>
  <c r="AD98" i="1"/>
  <c r="AB98" i="1"/>
  <c r="Z98" i="1"/>
  <c r="X98" i="1"/>
  <c r="V98" i="1"/>
  <c r="T98" i="1"/>
  <c r="Q98" i="1"/>
  <c r="O98" i="1"/>
  <c r="AN99" i="1"/>
  <c r="AH99" i="1"/>
  <c r="AF99" i="1"/>
  <c r="L99" i="1"/>
  <c r="AO99" i="1" s="1"/>
  <c r="M103" i="1"/>
  <c r="AG100" i="1"/>
  <c r="AE100" i="1"/>
  <c r="AK100" i="1" s="1"/>
  <c r="AD100" i="1"/>
  <c r="AB100" i="1"/>
  <c r="Z100" i="1"/>
  <c r="X100" i="1"/>
  <c r="V100" i="1"/>
  <c r="T100" i="1"/>
  <c r="Q100" i="1"/>
  <c r="O100" i="1"/>
  <c r="AG101" i="1"/>
  <c r="AE101" i="1"/>
  <c r="AK101" i="1" s="1"/>
  <c r="AD101" i="1"/>
  <c r="AB101" i="1"/>
  <c r="Z101" i="1"/>
  <c r="X101" i="1"/>
  <c r="V101" i="1"/>
  <c r="T101" i="1"/>
  <c r="Q101" i="1"/>
  <c r="O101" i="1"/>
  <c r="AG102" i="1"/>
  <c r="AE102" i="1"/>
  <c r="AK102" i="1" s="1"/>
  <c r="AD102" i="1"/>
  <c r="AB102" i="1"/>
  <c r="Z102" i="1"/>
  <c r="X102" i="1"/>
  <c r="V102" i="1"/>
  <c r="T102" i="1"/>
  <c r="Q102" i="1"/>
  <c r="O102" i="1"/>
  <c r="AN103" i="1"/>
  <c r="AH103" i="1"/>
  <c r="AF103" i="1"/>
  <c r="L103" i="1"/>
  <c r="AO103" i="1" s="1"/>
  <c r="M107" i="1"/>
  <c r="AG104" i="1"/>
  <c r="AE104" i="1"/>
  <c r="AK104" i="1" s="1"/>
  <c r="AD104" i="1"/>
  <c r="AB104" i="1"/>
  <c r="Z104" i="1"/>
  <c r="X104" i="1"/>
  <c r="V104" i="1"/>
  <c r="T104" i="1"/>
  <c r="Q104" i="1"/>
  <c r="O104" i="1"/>
  <c r="AG105" i="1"/>
  <c r="AE105" i="1"/>
  <c r="AK105" i="1" s="1"/>
  <c r="AD105" i="1"/>
  <c r="AB105" i="1"/>
  <c r="Z105" i="1"/>
  <c r="X105" i="1"/>
  <c r="V105" i="1"/>
  <c r="T105" i="1"/>
  <c r="Q105" i="1"/>
  <c r="O105" i="1"/>
  <c r="AG106" i="1"/>
  <c r="AE106" i="1"/>
  <c r="AK106" i="1" s="1"/>
  <c r="AD106" i="1"/>
  <c r="AB106" i="1"/>
  <c r="Z106" i="1"/>
  <c r="X106" i="1"/>
  <c r="V106" i="1"/>
  <c r="T106" i="1"/>
  <c r="Q106" i="1"/>
  <c r="O106" i="1"/>
  <c r="AN107" i="1"/>
  <c r="AH107" i="1"/>
  <c r="AF107" i="1"/>
  <c r="L107" i="1"/>
  <c r="AO107" i="1" s="1"/>
  <c r="M111" i="1"/>
  <c r="AG108" i="1"/>
  <c r="AE108" i="1"/>
  <c r="AK108" i="1" s="1"/>
  <c r="AD108" i="1"/>
  <c r="AB108" i="1"/>
  <c r="Z108" i="1"/>
  <c r="X108" i="1"/>
  <c r="V108" i="1"/>
  <c r="T108" i="1"/>
  <c r="Q108" i="1"/>
  <c r="O108" i="1"/>
  <c r="AG109" i="1"/>
  <c r="AE109" i="1"/>
  <c r="AK109" i="1" s="1"/>
  <c r="AD109" i="1"/>
  <c r="AB109" i="1"/>
  <c r="Z109" i="1"/>
  <c r="X109" i="1"/>
  <c r="V109" i="1"/>
  <c r="T109" i="1"/>
  <c r="Q109" i="1"/>
  <c r="O109" i="1"/>
  <c r="AG110" i="1"/>
  <c r="AE110" i="1"/>
  <c r="AK110" i="1" s="1"/>
  <c r="AD110" i="1"/>
  <c r="AB110" i="1"/>
  <c r="Z110" i="1"/>
  <c r="X110" i="1"/>
  <c r="V110" i="1"/>
  <c r="T110" i="1"/>
  <c r="Q110" i="1"/>
  <c r="O110" i="1"/>
  <c r="AN111" i="1"/>
  <c r="AH111" i="1"/>
  <c r="AF111" i="1"/>
  <c r="L111" i="1"/>
  <c r="AO111" i="1" s="1"/>
  <c r="M115" i="1"/>
  <c r="AG112" i="1"/>
  <c r="AE112" i="1"/>
  <c r="AK112" i="1" s="1"/>
  <c r="AD112" i="1"/>
  <c r="AB112" i="1"/>
  <c r="Z112" i="1"/>
  <c r="X112" i="1"/>
  <c r="V112" i="1"/>
  <c r="T112" i="1"/>
  <c r="Q112" i="1"/>
  <c r="O112" i="1"/>
  <c r="AG113" i="1"/>
  <c r="AE113" i="1"/>
  <c r="AK113" i="1" s="1"/>
  <c r="AD113" i="1"/>
  <c r="AB113" i="1"/>
  <c r="Z113" i="1"/>
  <c r="X113" i="1"/>
  <c r="V113" i="1"/>
  <c r="T113" i="1"/>
  <c r="Q113" i="1"/>
  <c r="O113" i="1"/>
  <c r="AG114" i="1"/>
  <c r="AE114" i="1"/>
  <c r="AK114" i="1" s="1"/>
  <c r="AD114" i="1"/>
  <c r="AB114" i="1"/>
  <c r="Z114" i="1"/>
  <c r="X114" i="1"/>
  <c r="V114" i="1"/>
  <c r="T114" i="1"/>
  <c r="Q114" i="1"/>
  <c r="O114" i="1"/>
  <c r="AN115" i="1"/>
  <c r="AH115" i="1"/>
  <c r="AF115" i="1"/>
  <c r="L115" i="1"/>
  <c r="AO115" i="1" s="1"/>
  <c r="M119" i="1"/>
  <c r="AG116" i="1"/>
  <c r="AE116" i="1"/>
  <c r="AK116" i="1" s="1"/>
  <c r="AD116" i="1"/>
  <c r="AB116" i="1"/>
  <c r="Z116" i="1"/>
  <c r="X116" i="1"/>
  <c r="V116" i="1"/>
  <c r="T116" i="1"/>
  <c r="Q116" i="1"/>
  <c r="O116" i="1"/>
  <c r="AG117" i="1"/>
  <c r="AE117" i="1"/>
  <c r="AK117" i="1" s="1"/>
  <c r="AD117" i="1"/>
  <c r="AB117" i="1"/>
  <c r="Z117" i="1"/>
  <c r="X117" i="1"/>
  <c r="V117" i="1"/>
  <c r="T117" i="1"/>
  <c r="Q117" i="1"/>
  <c r="O117" i="1"/>
  <c r="AG118" i="1"/>
  <c r="AE118" i="1"/>
  <c r="AK118" i="1" s="1"/>
  <c r="AD118" i="1"/>
  <c r="AB118" i="1"/>
  <c r="Z118" i="1"/>
  <c r="X118" i="1"/>
  <c r="V118" i="1"/>
  <c r="T118" i="1"/>
  <c r="Q118" i="1"/>
  <c r="O118" i="1"/>
  <c r="AN119" i="1"/>
  <c r="AH119" i="1"/>
  <c r="AF119" i="1"/>
  <c r="L119" i="1"/>
  <c r="AO119" i="1" s="1"/>
  <c r="M123" i="1"/>
  <c r="AG120" i="1"/>
  <c r="AE120" i="1"/>
  <c r="AK120" i="1" s="1"/>
  <c r="AD120" i="1"/>
  <c r="AB120" i="1"/>
  <c r="Z120" i="1"/>
  <c r="X120" i="1"/>
  <c r="V120" i="1"/>
  <c r="T120" i="1"/>
  <c r="Q120" i="1"/>
  <c r="O120" i="1"/>
  <c r="AG121" i="1"/>
  <c r="AE121" i="1"/>
  <c r="AK121" i="1" s="1"/>
  <c r="AD121" i="1"/>
  <c r="AB121" i="1"/>
  <c r="Z121" i="1"/>
  <c r="X121" i="1"/>
  <c r="V121" i="1"/>
  <c r="T121" i="1"/>
  <c r="Q121" i="1"/>
  <c r="O121" i="1"/>
  <c r="AG122" i="1"/>
  <c r="AE122" i="1"/>
  <c r="AK122" i="1" s="1"/>
  <c r="AD122" i="1"/>
  <c r="AB122" i="1"/>
  <c r="Z122" i="1"/>
  <c r="X122" i="1"/>
  <c r="V122" i="1"/>
  <c r="T122" i="1"/>
  <c r="Q122" i="1"/>
  <c r="O122" i="1"/>
  <c r="AN123" i="1"/>
  <c r="AH123" i="1"/>
  <c r="AF123" i="1"/>
  <c r="L123" i="1"/>
  <c r="AO123" i="1" s="1"/>
  <c r="M127" i="1"/>
  <c r="AG124" i="1"/>
  <c r="AE124" i="1"/>
  <c r="AK124" i="1" s="1"/>
  <c r="AD124" i="1"/>
  <c r="AB124" i="1"/>
  <c r="Z124" i="1"/>
  <c r="X124" i="1"/>
  <c r="V124" i="1"/>
  <c r="T124" i="1"/>
  <c r="Q124" i="1"/>
  <c r="O124" i="1"/>
  <c r="AG125" i="1"/>
  <c r="AE125" i="1"/>
  <c r="AK125" i="1" s="1"/>
  <c r="AD125" i="1"/>
  <c r="AB125" i="1"/>
  <c r="Z125" i="1"/>
  <c r="X125" i="1"/>
  <c r="V125" i="1"/>
  <c r="T125" i="1"/>
  <c r="Q125" i="1"/>
  <c r="O125" i="1"/>
  <c r="AG126" i="1"/>
  <c r="AE126" i="1"/>
  <c r="AK126" i="1" s="1"/>
  <c r="AD126" i="1"/>
  <c r="AB126" i="1"/>
  <c r="Z126" i="1"/>
  <c r="X126" i="1"/>
  <c r="V126" i="1"/>
  <c r="T126" i="1"/>
  <c r="Q126" i="1"/>
  <c r="O126" i="1"/>
  <c r="AN127" i="1"/>
  <c r="AH127" i="1"/>
  <c r="AF127" i="1"/>
  <c r="L127" i="1"/>
  <c r="AO127" i="1" s="1"/>
  <c r="AT3" i="1"/>
  <c r="N91" i="10" l="1"/>
  <c r="P91" i="10"/>
  <c r="R91" i="10"/>
  <c r="U91" i="10"/>
  <c r="W91" i="10"/>
  <c r="Y91" i="10"/>
  <c r="AA91" i="10"/>
  <c r="AC91" i="10"/>
  <c r="AE91" i="10"/>
  <c r="AK91" i="10" s="1"/>
  <c r="N87" i="10"/>
  <c r="P87" i="10"/>
  <c r="R87" i="10"/>
  <c r="U87" i="10"/>
  <c r="W87" i="10"/>
  <c r="Y87" i="10"/>
  <c r="AA87" i="10"/>
  <c r="AC87" i="10"/>
  <c r="AE87" i="10"/>
  <c r="AK87" i="10" s="1"/>
  <c r="N83" i="10"/>
  <c r="P83" i="10"/>
  <c r="R83" i="10"/>
  <c r="U83" i="10"/>
  <c r="W83" i="10"/>
  <c r="Y83" i="10"/>
  <c r="AA83" i="10"/>
  <c r="AC83" i="10"/>
  <c r="AE83" i="10"/>
  <c r="AK83" i="10" s="1"/>
  <c r="N79" i="10"/>
  <c r="P79" i="10"/>
  <c r="R79" i="10"/>
  <c r="U79" i="10"/>
  <c r="W79" i="10"/>
  <c r="Y79" i="10"/>
  <c r="AA79" i="10"/>
  <c r="AC79" i="10"/>
  <c r="AE79" i="10"/>
  <c r="AK79" i="10" s="1"/>
  <c r="N75" i="10"/>
  <c r="P75" i="10"/>
  <c r="R75" i="10"/>
  <c r="U75" i="10"/>
  <c r="W75" i="10"/>
  <c r="Y75" i="10"/>
  <c r="AA75" i="10"/>
  <c r="AC75" i="10"/>
  <c r="AE75" i="10"/>
  <c r="AK75" i="10" s="1"/>
  <c r="N71" i="10"/>
  <c r="P71" i="10"/>
  <c r="R71" i="10"/>
  <c r="U71" i="10"/>
  <c r="W71" i="10"/>
  <c r="Y71" i="10"/>
  <c r="AA71" i="10"/>
  <c r="AC71" i="10"/>
  <c r="AE71" i="10"/>
  <c r="AK71" i="10" s="1"/>
  <c r="N67" i="10"/>
  <c r="P67" i="10"/>
  <c r="R67" i="10"/>
  <c r="U67" i="10"/>
  <c r="W67" i="10"/>
  <c r="Y67" i="10"/>
  <c r="AA67" i="10"/>
  <c r="AC67" i="10"/>
  <c r="AE67" i="10"/>
  <c r="AK67" i="10" s="1"/>
  <c r="N63" i="10"/>
  <c r="P63" i="10"/>
  <c r="R63" i="10"/>
  <c r="U63" i="10"/>
  <c r="W63" i="10"/>
  <c r="Y63" i="10"/>
  <c r="AA63" i="10"/>
  <c r="AC63" i="10"/>
  <c r="AE63" i="10"/>
  <c r="AK63" i="10" s="1"/>
  <c r="N59" i="10"/>
  <c r="P59" i="10"/>
  <c r="R59" i="10"/>
  <c r="U59" i="10"/>
  <c r="W59" i="10"/>
  <c r="Y59" i="10"/>
  <c r="AA59" i="10"/>
  <c r="AC59" i="10"/>
  <c r="AE59" i="10"/>
  <c r="AK59" i="10" s="1"/>
  <c r="N55" i="10"/>
  <c r="P55" i="10"/>
  <c r="R55" i="10"/>
  <c r="U55" i="10"/>
  <c r="W55" i="10"/>
  <c r="Y55" i="10"/>
  <c r="AA55" i="10"/>
  <c r="AC55" i="10"/>
  <c r="AE55" i="10"/>
  <c r="AK55" i="10" s="1"/>
  <c r="N51" i="10"/>
  <c r="P51" i="10"/>
  <c r="R51" i="10"/>
  <c r="U51" i="10"/>
  <c r="W51" i="10"/>
  <c r="Y51" i="10"/>
  <c r="AA51" i="10"/>
  <c r="AC51" i="10"/>
  <c r="AE51" i="10"/>
  <c r="AK51" i="10" s="1"/>
  <c r="N47" i="10"/>
  <c r="P47" i="10"/>
  <c r="R47" i="10"/>
  <c r="U47" i="10"/>
  <c r="W47" i="10"/>
  <c r="Y47" i="10"/>
  <c r="AA47" i="10"/>
  <c r="AC47" i="10"/>
  <c r="AE47" i="10"/>
  <c r="AK47" i="10" s="1"/>
  <c r="N43" i="10"/>
  <c r="P43" i="10"/>
  <c r="R43" i="10"/>
  <c r="U43" i="10"/>
  <c r="W43" i="10"/>
  <c r="Y43" i="10"/>
  <c r="AA43" i="10"/>
  <c r="AC43" i="10"/>
  <c r="AE43" i="10"/>
  <c r="AK43" i="10" s="1"/>
  <c r="N39" i="10"/>
  <c r="P39" i="10"/>
  <c r="R39" i="10"/>
  <c r="U39" i="10"/>
  <c r="W39" i="10"/>
  <c r="Y39" i="10"/>
  <c r="AA39" i="10"/>
  <c r="AC39" i="10"/>
  <c r="AE39" i="10"/>
  <c r="AK39" i="10" s="1"/>
  <c r="N35" i="10"/>
  <c r="P35" i="10"/>
  <c r="R35" i="10"/>
  <c r="U35" i="10"/>
  <c r="W35" i="10"/>
  <c r="Y35" i="10"/>
  <c r="AA35" i="10"/>
  <c r="AC35" i="10"/>
  <c r="AE35" i="10"/>
  <c r="AK35" i="10" s="1"/>
  <c r="N31" i="10"/>
  <c r="P31" i="10"/>
  <c r="R31" i="10"/>
  <c r="U31" i="10"/>
  <c r="W31" i="10"/>
  <c r="Y31" i="10"/>
  <c r="AA31" i="10"/>
  <c r="AC31" i="10"/>
  <c r="AE31" i="10"/>
  <c r="AK31" i="10" s="1"/>
  <c r="N27" i="10"/>
  <c r="P27" i="10"/>
  <c r="R27" i="10"/>
  <c r="U27" i="10"/>
  <c r="W27" i="10"/>
  <c r="Y27" i="10"/>
  <c r="AA27" i="10"/>
  <c r="AC27" i="10"/>
  <c r="AE27" i="10"/>
  <c r="AK27" i="10" s="1"/>
  <c r="N23" i="10"/>
  <c r="P23" i="10"/>
  <c r="R23" i="10"/>
  <c r="U23" i="10"/>
  <c r="W23" i="10"/>
  <c r="Y23" i="10"/>
  <c r="AA23" i="10"/>
  <c r="AC23" i="10"/>
  <c r="AE23" i="10"/>
  <c r="AK23" i="10" s="1"/>
  <c r="N19" i="10"/>
  <c r="P19" i="10"/>
  <c r="R19" i="10"/>
  <c r="U19" i="10"/>
  <c r="W19" i="10"/>
  <c r="Y19" i="10"/>
  <c r="AA19" i="10"/>
  <c r="AC19" i="10"/>
  <c r="AE19" i="10"/>
  <c r="AK19" i="10" s="1"/>
  <c r="N15" i="10"/>
  <c r="P15" i="10"/>
  <c r="R15" i="10"/>
  <c r="U15" i="10"/>
  <c r="W15" i="10"/>
  <c r="Y15" i="10"/>
  <c r="AA15" i="10"/>
  <c r="AC15" i="10"/>
  <c r="AE15" i="10"/>
  <c r="AK15" i="10" s="1"/>
  <c r="N11" i="10"/>
  <c r="P11" i="10"/>
  <c r="R11" i="10"/>
  <c r="U11" i="10"/>
  <c r="W11" i="10"/>
  <c r="Y11" i="10"/>
  <c r="AA11" i="10"/>
  <c r="AC11" i="10"/>
  <c r="AE11" i="10"/>
  <c r="AK11" i="10" s="1"/>
  <c r="AU11" i="10"/>
  <c r="AT12" i="10"/>
  <c r="AT13" i="10" s="1"/>
  <c r="AT14" i="10" s="1"/>
  <c r="N7" i="10"/>
  <c r="P7" i="10"/>
  <c r="R7" i="10"/>
  <c r="U7" i="10"/>
  <c r="W7" i="10"/>
  <c r="Y7" i="10"/>
  <c r="AA7" i="10"/>
  <c r="AC7" i="10"/>
  <c r="AE7" i="10"/>
  <c r="AK7" i="10" s="1"/>
  <c r="N123" i="9"/>
  <c r="P123" i="9"/>
  <c r="R123" i="9"/>
  <c r="U123" i="9"/>
  <c r="W123" i="9"/>
  <c r="Y123" i="9"/>
  <c r="AA123" i="9"/>
  <c r="AC123" i="9"/>
  <c r="AE123" i="9"/>
  <c r="AK123" i="9" s="1"/>
  <c r="N119" i="9"/>
  <c r="P119" i="9"/>
  <c r="R119" i="9"/>
  <c r="U119" i="9"/>
  <c r="W119" i="9"/>
  <c r="Y119" i="9"/>
  <c r="AA119" i="9"/>
  <c r="AC119" i="9"/>
  <c r="AE119" i="9"/>
  <c r="AK119" i="9" s="1"/>
  <c r="N115" i="9"/>
  <c r="P115" i="9"/>
  <c r="R115" i="9"/>
  <c r="U115" i="9"/>
  <c r="W115" i="9"/>
  <c r="Y115" i="9"/>
  <c r="AA115" i="9"/>
  <c r="AC115" i="9"/>
  <c r="AE115" i="9"/>
  <c r="AK115" i="9" s="1"/>
  <c r="N111" i="9"/>
  <c r="P111" i="9"/>
  <c r="R111" i="9"/>
  <c r="U111" i="9"/>
  <c r="W111" i="9"/>
  <c r="Y111" i="9"/>
  <c r="AA111" i="9"/>
  <c r="AC111" i="9"/>
  <c r="AE111" i="9"/>
  <c r="AK111" i="9" s="1"/>
  <c r="N107" i="9"/>
  <c r="P107" i="9"/>
  <c r="R107" i="9"/>
  <c r="U107" i="9"/>
  <c r="W107" i="9"/>
  <c r="Y107" i="9"/>
  <c r="AA107" i="9"/>
  <c r="AC107" i="9"/>
  <c r="AE107" i="9"/>
  <c r="AK107" i="9" s="1"/>
  <c r="N103" i="9"/>
  <c r="P103" i="9"/>
  <c r="R103" i="9"/>
  <c r="U103" i="9"/>
  <c r="W103" i="9"/>
  <c r="Y103" i="9"/>
  <c r="AA103" i="9"/>
  <c r="AC103" i="9"/>
  <c r="AE103" i="9"/>
  <c r="AK103" i="9" s="1"/>
  <c r="N99" i="9"/>
  <c r="P99" i="9"/>
  <c r="R99" i="9"/>
  <c r="U99" i="9"/>
  <c r="W99" i="9"/>
  <c r="Y99" i="9"/>
  <c r="AA99" i="9"/>
  <c r="AC99" i="9"/>
  <c r="AE99" i="9"/>
  <c r="AK99" i="9" s="1"/>
  <c r="N95" i="9"/>
  <c r="P95" i="9"/>
  <c r="R95" i="9"/>
  <c r="U95" i="9"/>
  <c r="W95" i="9"/>
  <c r="Y95" i="9"/>
  <c r="AA95" i="9"/>
  <c r="AC95" i="9"/>
  <c r="AE95" i="9"/>
  <c r="AK95" i="9" s="1"/>
  <c r="N91" i="9"/>
  <c r="P91" i="9"/>
  <c r="R91" i="9"/>
  <c r="U91" i="9"/>
  <c r="W91" i="9"/>
  <c r="Y91" i="9"/>
  <c r="AA91" i="9"/>
  <c r="AC91" i="9"/>
  <c r="AE91" i="9"/>
  <c r="AK91" i="9" s="1"/>
  <c r="N87" i="9"/>
  <c r="P87" i="9"/>
  <c r="R87" i="9"/>
  <c r="U87" i="9"/>
  <c r="W87" i="9"/>
  <c r="Y87" i="9"/>
  <c r="AA87" i="9"/>
  <c r="AC87" i="9"/>
  <c r="AE87" i="9"/>
  <c r="AK87" i="9" s="1"/>
  <c r="N83" i="9"/>
  <c r="P83" i="9"/>
  <c r="R83" i="9"/>
  <c r="U83" i="9"/>
  <c r="W83" i="9"/>
  <c r="Y83" i="9"/>
  <c r="AA83" i="9"/>
  <c r="AC83" i="9"/>
  <c r="AE83" i="9"/>
  <c r="AK83" i="9" s="1"/>
  <c r="N79" i="9"/>
  <c r="P79" i="9"/>
  <c r="R79" i="9"/>
  <c r="U79" i="9"/>
  <c r="W79" i="9"/>
  <c r="Y79" i="9"/>
  <c r="AA79" i="9"/>
  <c r="AC79" i="9"/>
  <c r="AE79" i="9"/>
  <c r="AK79" i="9" s="1"/>
  <c r="N75" i="9"/>
  <c r="P75" i="9"/>
  <c r="R75" i="9"/>
  <c r="U75" i="9"/>
  <c r="W75" i="9"/>
  <c r="Y75" i="9"/>
  <c r="AA75" i="9"/>
  <c r="AC75" i="9"/>
  <c r="AE75" i="9"/>
  <c r="AK75" i="9" s="1"/>
  <c r="N71" i="9"/>
  <c r="P71" i="9"/>
  <c r="R71" i="9"/>
  <c r="U71" i="9"/>
  <c r="W71" i="9"/>
  <c r="Y71" i="9"/>
  <c r="AA71" i="9"/>
  <c r="AC71" i="9"/>
  <c r="AE71" i="9"/>
  <c r="AK71" i="9" s="1"/>
  <c r="N67" i="9"/>
  <c r="P67" i="9"/>
  <c r="R67" i="9"/>
  <c r="U67" i="9"/>
  <c r="W67" i="9"/>
  <c r="Y67" i="9"/>
  <c r="AA67" i="9"/>
  <c r="AC67" i="9"/>
  <c r="AE67" i="9"/>
  <c r="AK67" i="9" s="1"/>
  <c r="N63" i="9"/>
  <c r="P63" i="9"/>
  <c r="R63" i="9"/>
  <c r="U63" i="9"/>
  <c r="W63" i="9"/>
  <c r="Y63" i="9"/>
  <c r="AA63" i="9"/>
  <c r="AC63" i="9"/>
  <c r="AE63" i="9"/>
  <c r="AK63" i="9" s="1"/>
  <c r="N59" i="9"/>
  <c r="P59" i="9"/>
  <c r="R59" i="9"/>
  <c r="U59" i="9"/>
  <c r="W59" i="9"/>
  <c r="Y59" i="9"/>
  <c r="AA59" i="9"/>
  <c r="AC59" i="9"/>
  <c r="AE59" i="9"/>
  <c r="AK59" i="9" s="1"/>
  <c r="N55" i="9"/>
  <c r="P55" i="9"/>
  <c r="R55" i="9"/>
  <c r="U55" i="9"/>
  <c r="W55" i="9"/>
  <c r="Y55" i="9"/>
  <c r="AA55" i="9"/>
  <c r="AC55" i="9"/>
  <c r="AE55" i="9"/>
  <c r="AK55" i="9" s="1"/>
  <c r="N51" i="9"/>
  <c r="P51" i="9"/>
  <c r="R51" i="9"/>
  <c r="U51" i="9"/>
  <c r="W51" i="9"/>
  <c r="Y51" i="9"/>
  <c r="AA51" i="9"/>
  <c r="AC51" i="9"/>
  <c r="AE51" i="9"/>
  <c r="AK51" i="9" s="1"/>
  <c r="N47" i="9"/>
  <c r="P47" i="9"/>
  <c r="R47" i="9"/>
  <c r="U47" i="9"/>
  <c r="W47" i="9"/>
  <c r="Y47" i="9"/>
  <c r="AA47" i="9"/>
  <c r="AC47" i="9"/>
  <c r="AE47" i="9"/>
  <c r="AK47" i="9" s="1"/>
  <c r="N43" i="9"/>
  <c r="P43" i="9"/>
  <c r="R43" i="9"/>
  <c r="U43" i="9"/>
  <c r="W43" i="9"/>
  <c r="Y43" i="9"/>
  <c r="AA43" i="9"/>
  <c r="AC43" i="9"/>
  <c r="AE43" i="9"/>
  <c r="AK43" i="9" s="1"/>
  <c r="N39" i="9"/>
  <c r="P39" i="9"/>
  <c r="R39" i="9"/>
  <c r="U39" i="9"/>
  <c r="W39" i="9"/>
  <c r="Y39" i="9"/>
  <c r="AA39" i="9"/>
  <c r="AC39" i="9"/>
  <c r="AE39" i="9"/>
  <c r="AK39" i="9" s="1"/>
  <c r="N35" i="9"/>
  <c r="P35" i="9"/>
  <c r="R35" i="9"/>
  <c r="U35" i="9"/>
  <c r="W35" i="9"/>
  <c r="Y35" i="9"/>
  <c r="AA35" i="9"/>
  <c r="AC35" i="9"/>
  <c r="AE35" i="9"/>
  <c r="AK35" i="9" s="1"/>
  <c r="N31" i="9"/>
  <c r="P31" i="9"/>
  <c r="R31" i="9"/>
  <c r="U31" i="9"/>
  <c r="W31" i="9"/>
  <c r="Y31" i="9"/>
  <c r="AA31" i="9"/>
  <c r="AC31" i="9"/>
  <c r="AE31" i="9"/>
  <c r="AK31" i="9" s="1"/>
  <c r="N27" i="9"/>
  <c r="P27" i="9"/>
  <c r="R27" i="9"/>
  <c r="U27" i="9"/>
  <c r="W27" i="9"/>
  <c r="Y27" i="9"/>
  <c r="AA27" i="9"/>
  <c r="AC27" i="9"/>
  <c r="AE27" i="9"/>
  <c r="AK27" i="9" s="1"/>
  <c r="N23" i="9"/>
  <c r="P23" i="9"/>
  <c r="R23" i="9"/>
  <c r="U23" i="9"/>
  <c r="W23" i="9"/>
  <c r="Y23" i="9"/>
  <c r="AA23" i="9"/>
  <c r="AC23" i="9"/>
  <c r="AE23" i="9"/>
  <c r="AK23" i="9" s="1"/>
  <c r="N19" i="9"/>
  <c r="P19" i="9"/>
  <c r="R19" i="9"/>
  <c r="U19" i="9"/>
  <c r="W19" i="9"/>
  <c r="Y19" i="9"/>
  <c r="AA19" i="9"/>
  <c r="AC19" i="9"/>
  <c r="AE19" i="9"/>
  <c r="AK19" i="9" s="1"/>
  <c r="N15" i="9"/>
  <c r="P15" i="9"/>
  <c r="R15" i="9"/>
  <c r="U15" i="9"/>
  <c r="W15" i="9"/>
  <c r="Y15" i="9"/>
  <c r="AA15" i="9"/>
  <c r="AC15" i="9"/>
  <c r="AE15" i="9"/>
  <c r="AK15" i="9" s="1"/>
  <c r="N11" i="9"/>
  <c r="P11" i="9"/>
  <c r="R11" i="9"/>
  <c r="U11" i="9"/>
  <c r="W11" i="9"/>
  <c r="Y11" i="9"/>
  <c r="AA11" i="9"/>
  <c r="AC11" i="9"/>
  <c r="AE11" i="9"/>
  <c r="AK11" i="9" s="1"/>
  <c r="AU11" i="9"/>
  <c r="AT12" i="9"/>
  <c r="AT13" i="9" s="1"/>
  <c r="AT14" i="9" s="1"/>
  <c r="N7" i="9"/>
  <c r="P7" i="9"/>
  <c r="R7" i="9"/>
  <c r="U7" i="9"/>
  <c r="W7" i="9"/>
  <c r="Y7" i="9"/>
  <c r="AA7" i="9"/>
  <c r="AC7" i="9"/>
  <c r="AE7" i="9"/>
  <c r="AK7" i="9" s="1"/>
  <c r="N127" i="8"/>
  <c r="P127" i="8"/>
  <c r="R127" i="8"/>
  <c r="U127" i="8"/>
  <c r="W127" i="8"/>
  <c r="Y127" i="8"/>
  <c r="AA127" i="8"/>
  <c r="AC127" i="8"/>
  <c r="AE127" i="8"/>
  <c r="AK127" i="8" s="1"/>
  <c r="N123" i="8"/>
  <c r="P123" i="8"/>
  <c r="R123" i="8"/>
  <c r="U123" i="8"/>
  <c r="W123" i="8"/>
  <c r="Y123" i="8"/>
  <c r="AA123" i="8"/>
  <c r="AC123" i="8"/>
  <c r="AE123" i="8"/>
  <c r="AK123" i="8" s="1"/>
  <c r="N119" i="8"/>
  <c r="P119" i="8"/>
  <c r="R119" i="8"/>
  <c r="U119" i="8"/>
  <c r="W119" i="8"/>
  <c r="Y119" i="8"/>
  <c r="AA119" i="8"/>
  <c r="AC119" i="8"/>
  <c r="AE119" i="8"/>
  <c r="AK119" i="8" s="1"/>
  <c r="N115" i="8"/>
  <c r="P115" i="8"/>
  <c r="R115" i="8"/>
  <c r="U115" i="8"/>
  <c r="W115" i="8"/>
  <c r="Y115" i="8"/>
  <c r="AA115" i="8"/>
  <c r="AC115" i="8"/>
  <c r="AE115" i="8"/>
  <c r="AK115" i="8" s="1"/>
  <c r="N111" i="8"/>
  <c r="P111" i="8"/>
  <c r="R111" i="8"/>
  <c r="U111" i="8"/>
  <c r="W111" i="8"/>
  <c r="Y111" i="8"/>
  <c r="AA111" i="8"/>
  <c r="AC111" i="8"/>
  <c r="AE111" i="8"/>
  <c r="AK111" i="8" s="1"/>
  <c r="N107" i="8"/>
  <c r="P107" i="8"/>
  <c r="R107" i="8"/>
  <c r="U107" i="8"/>
  <c r="W107" i="8"/>
  <c r="Y107" i="8"/>
  <c r="AA107" i="8"/>
  <c r="AC107" i="8"/>
  <c r="AE107" i="8"/>
  <c r="AK107" i="8" s="1"/>
  <c r="N103" i="8"/>
  <c r="P103" i="8"/>
  <c r="R103" i="8"/>
  <c r="U103" i="8"/>
  <c r="W103" i="8"/>
  <c r="Y103" i="8"/>
  <c r="AA103" i="8"/>
  <c r="AC103" i="8"/>
  <c r="AE103" i="8"/>
  <c r="AK103" i="8" s="1"/>
  <c r="N99" i="8"/>
  <c r="P99" i="8"/>
  <c r="R99" i="8"/>
  <c r="U99" i="8"/>
  <c r="W99" i="8"/>
  <c r="Y99" i="8"/>
  <c r="AA99" i="8"/>
  <c r="AC99" i="8"/>
  <c r="AE99" i="8"/>
  <c r="AK99" i="8" s="1"/>
  <c r="N95" i="8"/>
  <c r="P95" i="8"/>
  <c r="R95" i="8"/>
  <c r="U95" i="8"/>
  <c r="W95" i="8"/>
  <c r="Y95" i="8"/>
  <c r="AA95" i="8"/>
  <c r="AC95" i="8"/>
  <c r="AE95" i="8"/>
  <c r="AK95" i="8" s="1"/>
  <c r="N91" i="8"/>
  <c r="P91" i="8"/>
  <c r="R91" i="8"/>
  <c r="U91" i="8"/>
  <c r="W91" i="8"/>
  <c r="Y91" i="8"/>
  <c r="AA91" i="8"/>
  <c r="AC91" i="8"/>
  <c r="AE91" i="8"/>
  <c r="AK91" i="8" s="1"/>
  <c r="N87" i="8"/>
  <c r="P87" i="8"/>
  <c r="R87" i="8"/>
  <c r="U87" i="8"/>
  <c r="W87" i="8"/>
  <c r="Y87" i="8"/>
  <c r="AA87" i="8"/>
  <c r="AC87" i="8"/>
  <c r="AE87" i="8"/>
  <c r="AK87" i="8" s="1"/>
  <c r="N83" i="8"/>
  <c r="P83" i="8"/>
  <c r="R83" i="8"/>
  <c r="U83" i="8"/>
  <c r="W83" i="8"/>
  <c r="Y83" i="8"/>
  <c r="AA83" i="8"/>
  <c r="AC83" i="8"/>
  <c r="AE83" i="8"/>
  <c r="AK83" i="8" s="1"/>
  <c r="N79" i="8"/>
  <c r="P79" i="8"/>
  <c r="R79" i="8"/>
  <c r="U79" i="8"/>
  <c r="W79" i="8"/>
  <c r="Y79" i="8"/>
  <c r="AA79" i="8"/>
  <c r="AC79" i="8"/>
  <c r="AE79" i="8"/>
  <c r="AK79" i="8" s="1"/>
  <c r="N75" i="8"/>
  <c r="P75" i="8"/>
  <c r="R75" i="8"/>
  <c r="U75" i="8"/>
  <c r="W75" i="8"/>
  <c r="Y75" i="8"/>
  <c r="AA75" i="8"/>
  <c r="AC75" i="8"/>
  <c r="AE75" i="8"/>
  <c r="AK75" i="8" s="1"/>
  <c r="N71" i="8"/>
  <c r="P71" i="8"/>
  <c r="R71" i="8"/>
  <c r="U71" i="8"/>
  <c r="W71" i="8"/>
  <c r="Y71" i="8"/>
  <c r="AA71" i="8"/>
  <c r="AC71" i="8"/>
  <c r="AE71" i="8"/>
  <c r="AK71" i="8" s="1"/>
  <c r="N67" i="8"/>
  <c r="P67" i="8"/>
  <c r="R67" i="8"/>
  <c r="U67" i="8"/>
  <c r="W67" i="8"/>
  <c r="Y67" i="8"/>
  <c r="AA67" i="8"/>
  <c r="AC67" i="8"/>
  <c r="AE67" i="8"/>
  <c r="AK67" i="8" s="1"/>
  <c r="N63" i="8"/>
  <c r="P63" i="8"/>
  <c r="R63" i="8"/>
  <c r="U63" i="8"/>
  <c r="W63" i="8"/>
  <c r="Y63" i="8"/>
  <c r="AA63" i="8"/>
  <c r="AC63" i="8"/>
  <c r="AE63" i="8"/>
  <c r="AK63" i="8" s="1"/>
  <c r="N59" i="8"/>
  <c r="P59" i="8"/>
  <c r="R59" i="8"/>
  <c r="U59" i="8"/>
  <c r="W59" i="8"/>
  <c r="Y59" i="8"/>
  <c r="AA59" i="8"/>
  <c r="AC59" i="8"/>
  <c r="AE59" i="8"/>
  <c r="AK59" i="8" s="1"/>
  <c r="N55" i="8"/>
  <c r="P55" i="8"/>
  <c r="R55" i="8"/>
  <c r="U55" i="8"/>
  <c r="W55" i="8"/>
  <c r="Y55" i="8"/>
  <c r="AA55" i="8"/>
  <c r="AC55" i="8"/>
  <c r="AE55" i="8"/>
  <c r="AK55" i="8" s="1"/>
  <c r="N51" i="8"/>
  <c r="P51" i="8"/>
  <c r="R51" i="8"/>
  <c r="U51" i="8"/>
  <c r="W51" i="8"/>
  <c r="Y51" i="8"/>
  <c r="AA51" i="8"/>
  <c r="AC51" i="8"/>
  <c r="AE51" i="8"/>
  <c r="AK51" i="8" s="1"/>
  <c r="N47" i="8"/>
  <c r="P47" i="8"/>
  <c r="R47" i="8"/>
  <c r="U47" i="8"/>
  <c r="W47" i="8"/>
  <c r="Y47" i="8"/>
  <c r="AA47" i="8"/>
  <c r="AC47" i="8"/>
  <c r="AE47" i="8"/>
  <c r="AK47" i="8" s="1"/>
  <c r="N43" i="8"/>
  <c r="P43" i="8"/>
  <c r="R43" i="8"/>
  <c r="U43" i="8"/>
  <c r="W43" i="8"/>
  <c r="Y43" i="8"/>
  <c r="AA43" i="8"/>
  <c r="AC43" i="8"/>
  <c r="AE43" i="8"/>
  <c r="AK43" i="8" s="1"/>
  <c r="N39" i="8"/>
  <c r="P39" i="8"/>
  <c r="R39" i="8"/>
  <c r="U39" i="8"/>
  <c r="W39" i="8"/>
  <c r="Y39" i="8"/>
  <c r="AA39" i="8"/>
  <c r="AC39" i="8"/>
  <c r="AE39" i="8"/>
  <c r="AK39" i="8" s="1"/>
  <c r="N35" i="8"/>
  <c r="P35" i="8"/>
  <c r="R35" i="8"/>
  <c r="U35" i="8"/>
  <c r="W35" i="8"/>
  <c r="Y35" i="8"/>
  <c r="AA35" i="8"/>
  <c r="AC35" i="8"/>
  <c r="AE35" i="8"/>
  <c r="AK35" i="8" s="1"/>
  <c r="N31" i="8"/>
  <c r="P31" i="8"/>
  <c r="R31" i="8"/>
  <c r="U31" i="8"/>
  <c r="W31" i="8"/>
  <c r="Y31" i="8"/>
  <c r="AA31" i="8"/>
  <c r="AC31" i="8"/>
  <c r="AE31" i="8"/>
  <c r="AK31" i="8" s="1"/>
  <c r="N27" i="8"/>
  <c r="P27" i="8"/>
  <c r="R27" i="8"/>
  <c r="U27" i="8"/>
  <c r="W27" i="8"/>
  <c r="Y27" i="8"/>
  <c r="AA27" i="8"/>
  <c r="AC27" i="8"/>
  <c r="AE27" i="8"/>
  <c r="AK27" i="8" s="1"/>
  <c r="N23" i="8"/>
  <c r="P23" i="8"/>
  <c r="R23" i="8"/>
  <c r="U23" i="8"/>
  <c r="W23" i="8"/>
  <c r="Y23" i="8"/>
  <c r="AC23" i="8"/>
  <c r="AE23" i="8"/>
  <c r="AK23" i="8" s="1"/>
  <c r="N19" i="8"/>
  <c r="P19" i="8"/>
  <c r="R19" i="8"/>
  <c r="U19" i="8"/>
  <c r="W19" i="8"/>
  <c r="Y19" i="8"/>
  <c r="AA19" i="8"/>
  <c r="AC19" i="8"/>
  <c r="AE19" i="8"/>
  <c r="AK19" i="8" s="1"/>
  <c r="N15" i="8"/>
  <c r="P15" i="8"/>
  <c r="R15" i="8"/>
  <c r="U15" i="8"/>
  <c r="W15" i="8"/>
  <c r="Y15" i="8"/>
  <c r="AA15" i="8"/>
  <c r="AC15" i="8"/>
  <c r="AE15" i="8"/>
  <c r="AK15" i="8" s="1"/>
  <c r="N11" i="8"/>
  <c r="P11" i="8"/>
  <c r="R11" i="8"/>
  <c r="U11" i="8"/>
  <c r="W11" i="8"/>
  <c r="Y11" i="8"/>
  <c r="AA11" i="8"/>
  <c r="AC11" i="8"/>
  <c r="AE11" i="8"/>
  <c r="AK11" i="8" s="1"/>
  <c r="AU11" i="8"/>
  <c r="AT12" i="8"/>
  <c r="AT13" i="8" s="1"/>
  <c r="AT14" i="8" s="1"/>
  <c r="N7" i="8"/>
  <c r="P7" i="8"/>
  <c r="R7" i="8"/>
  <c r="U7" i="8"/>
  <c r="W7" i="8"/>
  <c r="Y7" i="8"/>
  <c r="AA7" i="8"/>
  <c r="AC7" i="8"/>
  <c r="AE7" i="8"/>
  <c r="AK7" i="8" s="1"/>
  <c r="N126" i="7"/>
  <c r="P126" i="7"/>
  <c r="R126" i="7"/>
  <c r="U126" i="7"/>
  <c r="W126" i="7"/>
  <c r="Y126" i="7"/>
  <c r="AA126" i="7"/>
  <c r="AC126" i="7"/>
  <c r="AE126" i="7"/>
  <c r="AK126" i="7" s="1"/>
  <c r="N122" i="7"/>
  <c r="P122" i="7"/>
  <c r="R122" i="7"/>
  <c r="U122" i="7"/>
  <c r="W122" i="7"/>
  <c r="Y122" i="7"/>
  <c r="AA122" i="7"/>
  <c r="AC122" i="7"/>
  <c r="AE122" i="7"/>
  <c r="AK122" i="7" s="1"/>
  <c r="N118" i="7"/>
  <c r="P118" i="7"/>
  <c r="R118" i="7"/>
  <c r="U118" i="7"/>
  <c r="W118" i="7"/>
  <c r="Y118" i="7"/>
  <c r="AA118" i="7"/>
  <c r="AC118" i="7"/>
  <c r="AE118" i="7"/>
  <c r="AK118" i="7" s="1"/>
  <c r="N114" i="7"/>
  <c r="P114" i="7"/>
  <c r="R114" i="7"/>
  <c r="U114" i="7"/>
  <c r="W114" i="7"/>
  <c r="Y114" i="7"/>
  <c r="AA114" i="7"/>
  <c r="AC114" i="7"/>
  <c r="AE114" i="7"/>
  <c r="AK114" i="7" s="1"/>
  <c r="N110" i="7"/>
  <c r="P110" i="7"/>
  <c r="R110" i="7"/>
  <c r="U110" i="7"/>
  <c r="W110" i="7"/>
  <c r="Y110" i="7"/>
  <c r="AA110" i="7"/>
  <c r="AC110" i="7"/>
  <c r="AE110" i="7"/>
  <c r="AK110" i="7" s="1"/>
  <c r="N106" i="7"/>
  <c r="P106" i="7"/>
  <c r="R106" i="7"/>
  <c r="U106" i="7"/>
  <c r="W106" i="7"/>
  <c r="Y106" i="7"/>
  <c r="AA106" i="7"/>
  <c r="AC106" i="7"/>
  <c r="AE106" i="7"/>
  <c r="AK106" i="7" s="1"/>
  <c r="N102" i="7"/>
  <c r="P102" i="7"/>
  <c r="R102" i="7"/>
  <c r="U102" i="7"/>
  <c r="W102" i="7"/>
  <c r="Y102" i="7"/>
  <c r="AA102" i="7"/>
  <c r="AC102" i="7"/>
  <c r="AE102" i="7"/>
  <c r="AK102" i="7" s="1"/>
  <c r="N98" i="7"/>
  <c r="P98" i="7"/>
  <c r="R98" i="7"/>
  <c r="U98" i="7"/>
  <c r="W98" i="7"/>
  <c r="Y98" i="7"/>
  <c r="AA98" i="7"/>
  <c r="AC98" i="7"/>
  <c r="AE98" i="7"/>
  <c r="AK98" i="7" s="1"/>
  <c r="N94" i="7"/>
  <c r="P94" i="7"/>
  <c r="R94" i="7"/>
  <c r="U94" i="7"/>
  <c r="W94" i="7"/>
  <c r="Y94" i="7"/>
  <c r="AA94" i="7"/>
  <c r="AC94" i="7"/>
  <c r="AE94" i="7"/>
  <c r="AK94" i="7" s="1"/>
  <c r="N90" i="7"/>
  <c r="P90" i="7"/>
  <c r="R90" i="7"/>
  <c r="U90" i="7"/>
  <c r="W90" i="7"/>
  <c r="Y90" i="7"/>
  <c r="AA90" i="7"/>
  <c r="AC90" i="7"/>
  <c r="AE90" i="7"/>
  <c r="AK90" i="7" s="1"/>
  <c r="N86" i="7"/>
  <c r="P86" i="7"/>
  <c r="R86" i="7"/>
  <c r="U86" i="7"/>
  <c r="W86" i="7"/>
  <c r="Y86" i="7"/>
  <c r="AA86" i="7"/>
  <c r="AC86" i="7"/>
  <c r="AE86" i="7"/>
  <c r="AK86" i="7" s="1"/>
  <c r="N82" i="7"/>
  <c r="P82" i="7"/>
  <c r="R82" i="7"/>
  <c r="U82" i="7"/>
  <c r="W82" i="7"/>
  <c r="Y82" i="7"/>
  <c r="AA82" i="7"/>
  <c r="AC82" i="7"/>
  <c r="AE82" i="7"/>
  <c r="AK82" i="7" s="1"/>
  <c r="N78" i="7"/>
  <c r="P78" i="7"/>
  <c r="R78" i="7"/>
  <c r="U78" i="7"/>
  <c r="W78" i="7"/>
  <c r="Y78" i="7"/>
  <c r="AA78" i="7"/>
  <c r="AC78" i="7"/>
  <c r="AE78" i="7"/>
  <c r="AK78" i="7" s="1"/>
  <c r="N74" i="7"/>
  <c r="P74" i="7"/>
  <c r="R74" i="7"/>
  <c r="U74" i="7"/>
  <c r="W74" i="7"/>
  <c r="Y74" i="7"/>
  <c r="AA74" i="7"/>
  <c r="AC74" i="7"/>
  <c r="AE74" i="7"/>
  <c r="AK74" i="7" s="1"/>
  <c r="AU74" i="7"/>
  <c r="AT75" i="7"/>
  <c r="AT76" i="7" s="1"/>
  <c r="AT77" i="7" s="1"/>
  <c r="N70" i="7"/>
  <c r="P70" i="7"/>
  <c r="R70" i="7"/>
  <c r="U70" i="7"/>
  <c r="W70" i="7"/>
  <c r="Y70" i="7"/>
  <c r="AA70" i="7"/>
  <c r="AC70" i="7"/>
  <c r="AE70" i="7"/>
  <c r="AK70" i="7" s="1"/>
  <c r="O63" i="7"/>
  <c r="Q63" i="7"/>
  <c r="T63" i="7"/>
  <c r="V63" i="7"/>
  <c r="X63" i="7"/>
  <c r="Z63" i="7"/>
  <c r="AB63" i="7"/>
  <c r="AD63" i="7"/>
  <c r="AJ63" i="7" s="1"/>
  <c r="AG63" i="7"/>
  <c r="AE63" i="7"/>
  <c r="AK63" i="7" s="1"/>
  <c r="AC63" i="7"/>
  <c r="AA63" i="7"/>
  <c r="Y63" i="7"/>
  <c r="W63" i="7"/>
  <c r="U63" i="7"/>
  <c r="R63" i="7"/>
  <c r="P63" i="7"/>
  <c r="N63" i="7"/>
  <c r="O59" i="7"/>
  <c r="Q59" i="7"/>
  <c r="T59" i="7"/>
  <c r="V59" i="7"/>
  <c r="X59" i="7"/>
  <c r="Z59" i="7"/>
  <c r="AB59" i="7"/>
  <c r="AD59" i="7"/>
  <c r="AJ59" i="7" s="1"/>
  <c r="AG59" i="7"/>
  <c r="AE59" i="7"/>
  <c r="AK59" i="7" s="1"/>
  <c r="AC59" i="7"/>
  <c r="AA59" i="7"/>
  <c r="Y59" i="7"/>
  <c r="W59" i="7"/>
  <c r="U59" i="7"/>
  <c r="R59" i="7"/>
  <c r="P59" i="7"/>
  <c r="N59" i="7"/>
  <c r="O55" i="7"/>
  <c r="Q55" i="7"/>
  <c r="T55" i="7"/>
  <c r="V55" i="7"/>
  <c r="X55" i="7"/>
  <c r="Z55" i="7"/>
  <c r="AB55" i="7"/>
  <c r="AD55" i="7"/>
  <c r="AJ55" i="7" s="1"/>
  <c r="AG55" i="7"/>
  <c r="AE55" i="7"/>
  <c r="AK55" i="7" s="1"/>
  <c r="AC55" i="7"/>
  <c r="AA55" i="7"/>
  <c r="Y55" i="7"/>
  <c r="W55" i="7"/>
  <c r="U55" i="7"/>
  <c r="R55" i="7"/>
  <c r="P55" i="7"/>
  <c r="N55" i="7"/>
  <c r="O51" i="7"/>
  <c r="Q51" i="7"/>
  <c r="T51" i="7"/>
  <c r="V51" i="7"/>
  <c r="X51" i="7"/>
  <c r="Z51" i="7"/>
  <c r="AB51" i="7"/>
  <c r="AD51" i="7"/>
  <c r="AJ51" i="7" s="1"/>
  <c r="AG51" i="7"/>
  <c r="AE51" i="7"/>
  <c r="AK51" i="7" s="1"/>
  <c r="AC51" i="7"/>
  <c r="AA51" i="7"/>
  <c r="Y51" i="7"/>
  <c r="W51" i="7"/>
  <c r="U51" i="7"/>
  <c r="R51" i="7"/>
  <c r="P51" i="7"/>
  <c r="N51" i="7"/>
  <c r="O47" i="7"/>
  <c r="Q47" i="7"/>
  <c r="T47" i="7"/>
  <c r="V47" i="7"/>
  <c r="X47" i="7"/>
  <c r="Z47" i="7"/>
  <c r="AB47" i="7"/>
  <c r="AD47" i="7"/>
  <c r="AJ47" i="7" s="1"/>
  <c r="AG47" i="7"/>
  <c r="AE47" i="7"/>
  <c r="AK47" i="7" s="1"/>
  <c r="AC47" i="7"/>
  <c r="AA47" i="7"/>
  <c r="Y47" i="7"/>
  <c r="W47" i="7"/>
  <c r="U47" i="7"/>
  <c r="R47" i="7"/>
  <c r="P47" i="7"/>
  <c r="N47" i="7"/>
  <c r="O43" i="7"/>
  <c r="Q43" i="7"/>
  <c r="T43" i="7"/>
  <c r="V43" i="7"/>
  <c r="X43" i="7"/>
  <c r="Z43" i="7"/>
  <c r="AB43" i="7"/>
  <c r="AD43" i="7"/>
  <c r="AJ43" i="7" s="1"/>
  <c r="AG43" i="7"/>
  <c r="AE43" i="7"/>
  <c r="AK43" i="7" s="1"/>
  <c r="AC43" i="7"/>
  <c r="AA43" i="7"/>
  <c r="Y43" i="7"/>
  <c r="W43" i="7"/>
  <c r="U43" i="7"/>
  <c r="R43" i="7"/>
  <c r="P43" i="7"/>
  <c r="N43" i="7"/>
  <c r="O39" i="7"/>
  <c r="Q39" i="7"/>
  <c r="T39" i="7"/>
  <c r="V39" i="7"/>
  <c r="X39" i="7"/>
  <c r="Z39" i="7"/>
  <c r="AB39" i="7"/>
  <c r="AD39" i="7"/>
  <c r="AJ39" i="7" s="1"/>
  <c r="AG39" i="7"/>
  <c r="AE39" i="7"/>
  <c r="AK39" i="7" s="1"/>
  <c r="AC39" i="7"/>
  <c r="AA39" i="7"/>
  <c r="Y39" i="7"/>
  <c r="W39" i="7"/>
  <c r="U39" i="7"/>
  <c r="R39" i="7"/>
  <c r="P39" i="7"/>
  <c r="N39" i="7"/>
  <c r="O35" i="7"/>
  <c r="Q35" i="7"/>
  <c r="T35" i="7"/>
  <c r="V35" i="7"/>
  <c r="X35" i="7"/>
  <c r="Z35" i="7"/>
  <c r="AB35" i="7"/>
  <c r="AD35" i="7"/>
  <c r="AJ35" i="7" s="1"/>
  <c r="AG35" i="7"/>
  <c r="AE35" i="7"/>
  <c r="AK35" i="7" s="1"/>
  <c r="AC35" i="7"/>
  <c r="AA35" i="7"/>
  <c r="Y35" i="7"/>
  <c r="W35" i="7"/>
  <c r="U35" i="7"/>
  <c r="R35" i="7"/>
  <c r="P35" i="7"/>
  <c r="N35" i="7"/>
  <c r="AT36" i="7"/>
  <c r="AT37" i="7" s="1"/>
  <c r="AT38" i="7" s="1"/>
  <c r="AU35" i="7"/>
  <c r="O31" i="7"/>
  <c r="Q31" i="7"/>
  <c r="T31" i="7"/>
  <c r="V31" i="7"/>
  <c r="X31" i="7"/>
  <c r="Z31" i="7"/>
  <c r="AB31" i="7"/>
  <c r="AD31" i="7"/>
  <c r="AJ31" i="7" s="1"/>
  <c r="AG31" i="7"/>
  <c r="AE31" i="7"/>
  <c r="AK31" i="7" s="1"/>
  <c r="AC31" i="7"/>
  <c r="AA31" i="7"/>
  <c r="Y31" i="7"/>
  <c r="W31" i="7"/>
  <c r="U31" i="7"/>
  <c r="R31" i="7"/>
  <c r="P31" i="7"/>
  <c r="N31" i="7"/>
  <c r="O27" i="7"/>
  <c r="Q27" i="7"/>
  <c r="T27" i="7"/>
  <c r="V27" i="7"/>
  <c r="X27" i="7"/>
  <c r="Z27" i="7"/>
  <c r="AB27" i="7"/>
  <c r="AD27" i="7"/>
  <c r="AJ27" i="7" s="1"/>
  <c r="AG27" i="7"/>
  <c r="AE27" i="7"/>
  <c r="AK27" i="7" s="1"/>
  <c r="AC27" i="7"/>
  <c r="AA27" i="7"/>
  <c r="Y27" i="7"/>
  <c r="W27" i="7"/>
  <c r="U27" i="7"/>
  <c r="R27" i="7"/>
  <c r="P27" i="7"/>
  <c r="N27" i="7"/>
  <c r="O23" i="7"/>
  <c r="Q23" i="7"/>
  <c r="T23" i="7"/>
  <c r="V23" i="7"/>
  <c r="X23" i="7"/>
  <c r="Z23" i="7"/>
  <c r="AB23" i="7"/>
  <c r="AD23" i="7"/>
  <c r="AJ23" i="7" s="1"/>
  <c r="AG23" i="7"/>
  <c r="AE23" i="7"/>
  <c r="AK23" i="7" s="1"/>
  <c r="AC23" i="7"/>
  <c r="AA23" i="7"/>
  <c r="Y23" i="7"/>
  <c r="W23" i="7"/>
  <c r="U23" i="7"/>
  <c r="R23" i="7"/>
  <c r="P23" i="7"/>
  <c r="N23" i="7"/>
  <c r="O19" i="7"/>
  <c r="Q19" i="7"/>
  <c r="T19" i="7"/>
  <c r="V19" i="7"/>
  <c r="X19" i="7"/>
  <c r="Z19" i="7"/>
  <c r="AB19" i="7"/>
  <c r="AD19" i="7"/>
  <c r="AJ19" i="7" s="1"/>
  <c r="AG19" i="7"/>
  <c r="AE19" i="7"/>
  <c r="AK19" i="7" s="1"/>
  <c r="AC19" i="7"/>
  <c r="AA19" i="7"/>
  <c r="Y19" i="7"/>
  <c r="W19" i="7"/>
  <c r="U19" i="7"/>
  <c r="R19" i="7"/>
  <c r="P19" i="7"/>
  <c r="N19" i="7"/>
  <c r="O15" i="7"/>
  <c r="Q15" i="7"/>
  <c r="T15" i="7"/>
  <c r="V15" i="7"/>
  <c r="X15" i="7"/>
  <c r="Z15" i="7"/>
  <c r="AB15" i="7"/>
  <c r="AD15" i="7"/>
  <c r="AJ15" i="7" s="1"/>
  <c r="AG15" i="7"/>
  <c r="AE15" i="7"/>
  <c r="AK15" i="7" s="1"/>
  <c r="AC15" i="7"/>
  <c r="AA15" i="7"/>
  <c r="Y15" i="7"/>
  <c r="W15" i="7"/>
  <c r="U15" i="7"/>
  <c r="R15" i="7"/>
  <c r="P15" i="7"/>
  <c r="N15" i="7"/>
  <c r="O11" i="7"/>
  <c r="Q11" i="7"/>
  <c r="T11" i="7"/>
  <c r="V11" i="7"/>
  <c r="X11" i="7"/>
  <c r="Z11" i="7"/>
  <c r="AB11" i="7"/>
  <c r="AD11" i="7"/>
  <c r="AJ11" i="7" s="1"/>
  <c r="AG11" i="7"/>
  <c r="AE11" i="7"/>
  <c r="AK11" i="7" s="1"/>
  <c r="AC11" i="7"/>
  <c r="AA11" i="7"/>
  <c r="Y11" i="7"/>
  <c r="W11" i="7"/>
  <c r="U11" i="7"/>
  <c r="R11" i="7"/>
  <c r="P11" i="7"/>
  <c r="N11" i="7"/>
  <c r="AT12" i="7"/>
  <c r="AT13" i="7" s="1"/>
  <c r="AT14" i="7" s="1"/>
  <c r="AU11" i="7"/>
  <c r="O7" i="7"/>
  <c r="Q7" i="7"/>
  <c r="T7" i="7"/>
  <c r="V7" i="7"/>
  <c r="X7" i="7"/>
  <c r="Z7" i="7"/>
  <c r="AB7" i="7"/>
  <c r="AD7" i="7"/>
  <c r="AJ7" i="7" s="1"/>
  <c r="AG7" i="7"/>
  <c r="AE7" i="7"/>
  <c r="AK7" i="7" s="1"/>
  <c r="AC7" i="7"/>
  <c r="AA7" i="7"/>
  <c r="Y7" i="7"/>
  <c r="W7" i="7"/>
  <c r="U7" i="7"/>
  <c r="R7" i="7"/>
  <c r="P7" i="7"/>
  <c r="N7" i="7"/>
  <c r="O123" i="6"/>
  <c r="Q123" i="6"/>
  <c r="T123" i="6"/>
  <c r="V123" i="6"/>
  <c r="X123" i="6"/>
  <c r="Z123" i="6"/>
  <c r="AB123" i="6"/>
  <c r="AD123" i="6"/>
  <c r="AJ123" i="6" s="1"/>
  <c r="AG123" i="6"/>
  <c r="AE123" i="6"/>
  <c r="AK123" i="6" s="1"/>
  <c r="AC123" i="6"/>
  <c r="AA123" i="6"/>
  <c r="Y123" i="6"/>
  <c r="W123" i="6"/>
  <c r="U123" i="6"/>
  <c r="R123" i="6"/>
  <c r="P123" i="6"/>
  <c r="N123" i="6"/>
  <c r="O119" i="6"/>
  <c r="Q119" i="6"/>
  <c r="T119" i="6"/>
  <c r="V119" i="6"/>
  <c r="X119" i="6"/>
  <c r="Z119" i="6"/>
  <c r="AB119" i="6"/>
  <c r="AD119" i="6"/>
  <c r="AJ119" i="6" s="1"/>
  <c r="AG119" i="6"/>
  <c r="AE119" i="6"/>
  <c r="AK119" i="6" s="1"/>
  <c r="AC119" i="6"/>
  <c r="AA119" i="6"/>
  <c r="Y119" i="6"/>
  <c r="W119" i="6"/>
  <c r="U119" i="6"/>
  <c r="R119" i="6"/>
  <c r="P119" i="6"/>
  <c r="N119" i="6"/>
  <c r="O115" i="6"/>
  <c r="Q115" i="6"/>
  <c r="T115" i="6"/>
  <c r="V115" i="6"/>
  <c r="X115" i="6"/>
  <c r="Z115" i="6"/>
  <c r="AB115" i="6"/>
  <c r="AD115" i="6"/>
  <c r="AJ115" i="6" s="1"/>
  <c r="AG115" i="6"/>
  <c r="AE115" i="6"/>
  <c r="AK115" i="6" s="1"/>
  <c r="AC115" i="6"/>
  <c r="AA115" i="6"/>
  <c r="Y115" i="6"/>
  <c r="W115" i="6"/>
  <c r="U115" i="6"/>
  <c r="R115" i="6"/>
  <c r="P115" i="6"/>
  <c r="N115" i="6"/>
  <c r="O111" i="6"/>
  <c r="Q111" i="6"/>
  <c r="T111" i="6"/>
  <c r="V111" i="6"/>
  <c r="X111" i="6"/>
  <c r="Z111" i="6"/>
  <c r="AB111" i="6"/>
  <c r="AD111" i="6"/>
  <c r="AJ111" i="6" s="1"/>
  <c r="AG111" i="6"/>
  <c r="AE111" i="6"/>
  <c r="AK111" i="6" s="1"/>
  <c r="AC111" i="6"/>
  <c r="AA111" i="6"/>
  <c r="Y111" i="6"/>
  <c r="W111" i="6"/>
  <c r="U111" i="6"/>
  <c r="R111" i="6"/>
  <c r="P111" i="6"/>
  <c r="N111" i="6"/>
  <c r="O107" i="6"/>
  <c r="Q107" i="6"/>
  <c r="T107" i="6"/>
  <c r="V107" i="6"/>
  <c r="X107" i="6"/>
  <c r="Z107" i="6"/>
  <c r="AB107" i="6"/>
  <c r="AD107" i="6"/>
  <c r="AJ107" i="6" s="1"/>
  <c r="AG107" i="6"/>
  <c r="AE107" i="6"/>
  <c r="AK107" i="6" s="1"/>
  <c r="AC107" i="6"/>
  <c r="AA107" i="6"/>
  <c r="Y107" i="6"/>
  <c r="W107" i="6"/>
  <c r="U107" i="6"/>
  <c r="R107" i="6"/>
  <c r="P107" i="6"/>
  <c r="N107" i="6"/>
  <c r="O103" i="6"/>
  <c r="Q103" i="6"/>
  <c r="T103" i="6"/>
  <c r="V103" i="6"/>
  <c r="X103" i="6"/>
  <c r="Z103" i="6"/>
  <c r="AB103" i="6"/>
  <c r="AD103" i="6"/>
  <c r="AJ103" i="6" s="1"/>
  <c r="AG103" i="6"/>
  <c r="AE103" i="6"/>
  <c r="AK103" i="6" s="1"/>
  <c r="AC103" i="6"/>
  <c r="AA103" i="6"/>
  <c r="Y103" i="6"/>
  <c r="W103" i="6"/>
  <c r="U103" i="6"/>
  <c r="R103" i="6"/>
  <c r="P103" i="6"/>
  <c r="N103" i="6"/>
  <c r="O99" i="6"/>
  <c r="Q99" i="6"/>
  <c r="T99" i="6"/>
  <c r="V99" i="6"/>
  <c r="X99" i="6"/>
  <c r="Z99" i="6"/>
  <c r="AB99" i="6"/>
  <c r="AD99" i="6"/>
  <c r="AJ99" i="6" s="1"/>
  <c r="AG99" i="6"/>
  <c r="AE99" i="6"/>
  <c r="AK99" i="6" s="1"/>
  <c r="AC99" i="6"/>
  <c r="AA99" i="6"/>
  <c r="Y99" i="6"/>
  <c r="W99" i="6"/>
  <c r="U99" i="6"/>
  <c r="R99" i="6"/>
  <c r="P99" i="6"/>
  <c r="N99" i="6"/>
  <c r="O95" i="6"/>
  <c r="Q95" i="6"/>
  <c r="T95" i="6"/>
  <c r="V95" i="6"/>
  <c r="X95" i="6"/>
  <c r="Z95" i="6"/>
  <c r="AB95" i="6"/>
  <c r="AD95" i="6"/>
  <c r="AJ95" i="6" s="1"/>
  <c r="AG95" i="6"/>
  <c r="AE95" i="6"/>
  <c r="AK95" i="6" s="1"/>
  <c r="AC95" i="6"/>
  <c r="AA95" i="6"/>
  <c r="Y95" i="6"/>
  <c r="W95" i="6"/>
  <c r="U95" i="6"/>
  <c r="R95" i="6"/>
  <c r="P95" i="6"/>
  <c r="N95" i="6"/>
  <c r="O91" i="6"/>
  <c r="Q91" i="6"/>
  <c r="T91" i="6"/>
  <c r="V91" i="6"/>
  <c r="X91" i="6"/>
  <c r="Z91" i="6"/>
  <c r="AB91" i="6"/>
  <c r="AD91" i="6"/>
  <c r="AJ91" i="6" s="1"/>
  <c r="AG91" i="6"/>
  <c r="AE91" i="6"/>
  <c r="AK91" i="6" s="1"/>
  <c r="AC91" i="6"/>
  <c r="AA91" i="6"/>
  <c r="Y91" i="6"/>
  <c r="W91" i="6"/>
  <c r="U91" i="6"/>
  <c r="R91" i="6"/>
  <c r="P91" i="6"/>
  <c r="N91" i="6"/>
  <c r="O87" i="6"/>
  <c r="Q87" i="6"/>
  <c r="T87" i="6"/>
  <c r="V87" i="6"/>
  <c r="X87" i="6"/>
  <c r="Z87" i="6"/>
  <c r="AB87" i="6"/>
  <c r="AD87" i="6"/>
  <c r="AJ87" i="6" s="1"/>
  <c r="AG87" i="6"/>
  <c r="AE87" i="6"/>
  <c r="AK87" i="6" s="1"/>
  <c r="AC87" i="6"/>
  <c r="AA87" i="6"/>
  <c r="Y87" i="6"/>
  <c r="W87" i="6"/>
  <c r="U87" i="6"/>
  <c r="R87" i="6"/>
  <c r="P87" i="6"/>
  <c r="N87" i="6"/>
  <c r="O83" i="6"/>
  <c r="Q83" i="6"/>
  <c r="T83" i="6"/>
  <c r="V83" i="6"/>
  <c r="X83" i="6"/>
  <c r="Z83" i="6"/>
  <c r="AB83" i="6"/>
  <c r="AD83" i="6"/>
  <c r="AJ83" i="6" s="1"/>
  <c r="AG83" i="6"/>
  <c r="AE83" i="6"/>
  <c r="AK83" i="6" s="1"/>
  <c r="AC83" i="6"/>
  <c r="AA83" i="6"/>
  <c r="Y83" i="6"/>
  <c r="W83" i="6"/>
  <c r="U83" i="6"/>
  <c r="R83" i="6"/>
  <c r="P83" i="6"/>
  <c r="N83" i="6"/>
  <c r="O79" i="6"/>
  <c r="Q79" i="6"/>
  <c r="T79" i="6"/>
  <c r="V79" i="6"/>
  <c r="X79" i="6"/>
  <c r="Z79" i="6"/>
  <c r="AB79" i="6"/>
  <c r="AD79" i="6"/>
  <c r="AJ79" i="6" s="1"/>
  <c r="AG79" i="6"/>
  <c r="AE79" i="6"/>
  <c r="AK79" i="6" s="1"/>
  <c r="AC79" i="6"/>
  <c r="AA79" i="6"/>
  <c r="Y79" i="6"/>
  <c r="W79" i="6"/>
  <c r="U79" i="6"/>
  <c r="R79" i="6"/>
  <c r="P79" i="6"/>
  <c r="N79" i="6"/>
  <c r="O75" i="6"/>
  <c r="Q75" i="6"/>
  <c r="T75" i="6"/>
  <c r="V75" i="6"/>
  <c r="X75" i="6"/>
  <c r="Z75" i="6"/>
  <c r="AB75" i="6"/>
  <c r="AD75" i="6"/>
  <c r="AJ75" i="6" s="1"/>
  <c r="AG75" i="6"/>
  <c r="AE75" i="6"/>
  <c r="AK75" i="6" s="1"/>
  <c r="AC75" i="6"/>
  <c r="AA75" i="6"/>
  <c r="Y75" i="6"/>
  <c r="W75" i="6"/>
  <c r="U75" i="6"/>
  <c r="R75" i="6"/>
  <c r="P75" i="6"/>
  <c r="N75" i="6"/>
  <c r="O71" i="6"/>
  <c r="Q71" i="6"/>
  <c r="T71" i="6"/>
  <c r="V71" i="6"/>
  <c r="X71" i="6"/>
  <c r="Z71" i="6"/>
  <c r="AB71" i="6"/>
  <c r="AD71" i="6"/>
  <c r="AJ71" i="6" s="1"/>
  <c r="AG71" i="6"/>
  <c r="AE71" i="6"/>
  <c r="AK71" i="6" s="1"/>
  <c r="AC71" i="6"/>
  <c r="AA71" i="6"/>
  <c r="Y71" i="6"/>
  <c r="W71" i="6"/>
  <c r="U71" i="6"/>
  <c r="R71" i="6"/>
  <c r="P71" i="6"/>
  <c r="N71" i="6"/>
  <c r="O67" i="6"/>
  <c r="Q67" i="6"/>
  <c r="T67" i="6"/>
  <c r="V67" i="6"/>
  <c r="X67" i="6"/>
  <c r="Z67" i="6"/>
  <c r="AB67" i="6"/>
  <c r="AD67" i="6"/>
  <c r="AJ67" i="6" s="1"/>
  <c r="AG67" i="6"/>
  <c r="AE67" i="6"/>
  <c r="AK67" i="6" s="1"/>
  <c r="AC67" i="6"/>
  <c r="AA67" i="6"/>
  <c r="Y67" i="6"/>
  <c r="W67" i="6"/>
  <c r="U67" i="6"/>
  <c r="R67" i="6"/>
  <c r="P67" i="6"/>
  <c r="N67" i="6"/>
  <c r="O63" i="6"/>
  <c r="Q63" i="6"/>
  <c r="T63" i="6"/>
  <c r="V63" i="6"/>
  <c r="X63" i="6"/>
  <c r="Z63" i="6"/>
  <c r="AB63" i="6"/>
  <c r="AD63" i="6"/>
  <c r="AJ63" i="6" s="1"/>
  <c r="AG63" i="6"/>
  <c r="AE63" i="6"/>
  <c r="AK63" i="6" s="1"/>
  <c r="AC63" i="6"/>
  <c r="AA63" i="6"/>
  <c r="Y63" i="6"/>
  <c r="W63" i="6"/>
  <c r="U63" i="6"/>
  <c r="R63" i="6"/>
  <c r="P63" i="6"/>
  <c r="N63" i="6"/>
  <c r="O59" i="6"/>
  <c r="Q59" i="6"/>
  <c r="T59" i="6"/>
  <c r="V59" i="6"/>
  <c r="X59" i="6"/>
  <c r="Z59" i="6"/>
  <c r="AB59" i="6"/>
  <c r="AD59" i="6"/>
  <c r="AJ59" i="6" s="1"/>
  <c r="AG59" i="6"/>
  <c r="AE59" i="6"/>
  <c r="AK59" i="6" s="1"/>
  <c r="AC59" i="6"/>
  <c r="AA59" i="6"/>
  <c r="Y59" i="6"/>
  <c r="W59" i="6"/>
  <c r="U59" i="6"/>
  <c r="R59" i="6"/>
  <c r="P59" i="6"/>
  <c r="N59" i="6"/>
  <c r="AT60" i="6"/>
  <c r="AT61" i="6" s="1"/>
  <c r="AT62" i="6" s="1"/>
  <c r="AU59" i="6"/>
  <c r="O55" i="6"/>
  <c r="Q55" i="6"/>
  <c r="T55" i="6"/>
  <c r="V55" i="6"/>
  <c r="X55" i="6"/>
  <c r="Z55" i="6"/>
  <c r="AB55" i="6"/>
  <c r="AD55" i="6"/>
  <c r="AJ55" i="6" s="1"/>
  <c r="AG55" i="6"/>
  <c r="AE55" i="6"/>
  <c r="AK55" i="6" s="1"/>
  <c r="AC55" i="6"/>
  <c r="AA55" i="6"/>
  <c r="Y55" i="6"/>
  <c r="W55" i="6"/>
  <c r="U55" i="6"/>
  <c r="R55" i="6"/>
  <c r="P55" i="6"/>
  <c r="N55" i="6"/>
  <c r="O51" i="6"/>
  <c r="Q51" i="6"/>
  <c r="T51" i="6"/>
  <c r="V51" i="6"/>
  <c r="X51" i="6"/>
  <c r="Z51" i="6"/>
  <c r="AB51" i="6"/>
  <c r="AD51" i="6"/>
  <c r="AJ51" i="6" s="1"/>
  <c r="AG51" i="6"/>
  <c r="AE51" i="6"/>
  <c r="AK51" i="6" s="1"/>
  <c r="AC51" i="6"/>
  <c r="AA51" i="6"/>
  <c r="Y51" i="6"/>
  <c r="W51" i="6"/>
  <c r="U51" i="6"/>
  <c r="R51" i="6"/>
  <c r="P51" i="6"/>
  <c r="N51" i="6"/>
  <c r="O47" i="6"/>
  <c r="Q47" i="6"/>
  <c r="T47" i="6"/>
  <c r="V47" i="6"/>
  <c r="X47" i="6"/>
  <c r="Z47" i="6"/>
  <c r="AB47" i="6"/>
  <c r="AD47" i="6"/>
  <c r="AJ47" i="6" s="1"/>
  <c r="AG47" i="6"/>
  <c r="AE47" i="6"/>
  <c r="AK47" i="6" s="1"/>
  <c r="AC47" i="6"/>
  <c r="AA47" i="6"/>
  <c r="Y47" i="6"/>
  <c r="W47" i="6"/>
  <c r="U47" i="6"/>
  <c r="R47" i="6"/>
  <c r="P47" i="6"/>
  <c r="N47" i="6"/>
  <c r="O43" i="6"/>
  <c r="Q43" i="6"/>
  <c r="T43" i="6"/>
  <c r="V43" i="6"/>
  <c r="X43" i="6"/>
  <c r="Z43" i="6"/>
  <c r="AB43" i="6"/>
  <c r="AD43" i="6"/>
  <c r="AJ43" i="6" s="1"/>
  <c r="AG43" i="6"/>
  <c r="AE43" i="6"/>
  <c r="AK43" i="6" s="1"/>
  <c r="AC43" i="6"/>
  <c r="AA43" i="6"/>
  <c r="Y43" i="6"/>
  <c r="W43" i="6"/>
  <c r="U43" i="6"/>
  <c r="R43" i="6"/>
  <c r="P43" i="6"/>
  <c r="N43" i="6"/>
  <c r="O39" i="6"/>
  <c r="Q39" i="6"/>
  <c r="T39" i="6"/>
  <c r="V39" i="6"/>
  <c r="X39" i="6"/>
  <c r="Z39" i="6"/>
  <c r="AB39" i="6"/>
  <c r="AD39" i="6"/>
  <c r="AJ39" i="6" s="1"/>
  <c r="AG39" i="6"/>
  <c r="AE39" i="6"/>
  <c r="AK39" i="6" s="1"/>
  <c r="AC39" i="6"/>
  <c r="AA39" i="6"/>
  <c r="Y39" i="6"/>
  <c r="W39" i="6"/>
  <c r="U39" i="6"/>
  <c r="R39" i="6"/>
  <c r="P39" i="6"/>
  <c r="N39" i="6"/>
  <c r="O35" i="6"/>
  <c r="Q35" i="6"/>
  <c r="T35" i="6"/>
  <c r="V35" i="6"/>
  <c r="X35" i="6"/>
  <c r="Z35" i="6"/>
  <c r="AB35" i="6"/>
  <c r="AD35" i="6"/>
  <c r="AJ35" i="6" s="1"/>
  <c r="AG35" i="6"/>
  <c r="AE35" i="6"/>
  <c r="AK35" i="6" s="1"/>
  <c r="AC35" i="6"/>
  <c r="AA35" i="6"/>
  <c r="Y35" i="6"/>
  <c r="W35" i="6"/>
  <c r="U35" i="6"/>
  <c r="R35" i="6"/>
  <c r="P35" i="6"/>
  <c r="N35" i="6"/>
  <c r="O31" i="6"/>
  <c r="Q31" i="6"/>
  <c r="T31" i="6"/>
  <c r="V31" i="6"/>
  <c r="X31" i="6"/>
  <c r="Z31" i="6"/>
  <c r="AB31" i="6"/>
  <c r="AD31" i="6"/>
  <c r="AJ31" i="6" s="1"/>
  <c r="AG31" i="6"/>
  <c r="AE31" i="6"/>
  <c r="AK31" i="6" s="1"/>
  <c r="AC31" i="6"/>
  <c r="AA31" i="6"/>
  <c r="Y31" i="6"/>
  <c r="W31" i="6"/>
  <c r="U31" i="6"/>
  <c r="R31" i="6"/>
  <c r="P31" i="6"/>
  <c r="N31" i="6"/>
  <c r="O27" i="6"/>
  <c r="Q27" i="6"/>
  <c r="T27" i="6"/>
  <c r="V27" i="6"/>
  <c r="X27" i="6"/>
  <c r="Z27" i="6"/>
  <c r="AB27" i="6"/>
  <c r="AD27" i="6"/>
  <c r="AJ27" i="6" s="1"/>
  <c r="AG27" i="6"/>
  <c r="AE27" i="6"/>
  <c r="AK27" i="6" s="1"/>
  <c r="AC27" i="6"/>
  <c r="AA27" i="6"/>
  <c r="Y27" i="6"/>
  <c r="W27" i="6"/>
  <c r="U27" i="6"/>
  <c r="R27" i="6"/>
  <c r="P27" i="6"/>
  <c r="N27" i="6"/>
  <c r="O23" i="6"/>
  <c r="Q23" i="6"/>
  <c r="T23" i="6"/>
  <c r="V23" i="6"/>
  <c r="X23" i="6"/>
  <c r="Z23" i="6"/>
  <c r="AB23" i="6"/>
  <c r="AD23" i="6"/>
  <c r="AJ23" i="6" s="1"/>
  <c r="AG23" i="6"/>
  <c r="AE23" i="6"/>
  <c r="AK23" i="6" s="1"/>
  <c r="AC23" i="6"/>
  <c r="AA23" i="6"/>
  <c r="Y23" i="6"/>
  <c r="W23" i="6"/>
  <c r="U23" i="6"/>
  <c r="R23" i="6"/>
  <c r="P23" i="6"/>
  <c r="N23" i="6"/>
  <c r="O19" i="6"/>
  <c r="Q19" i="6"/>
  <c r="T19" i="6"/>
  <c r="V19" i="6"/>
  <c r="X19" i="6"/>
  <c r="Z19" i="6"/>
  <c r="AB19" i="6"/>
  <c r="AD19" i="6"/>
  <c r="AJ19" i="6" s="1"/>
  <c r="AG19" i="6"/>
  <c r="AE19" i="6"/>
  <c r="AK19" i="6" s="1"/>
  <c r="AC19" i="6"/>
  <c r="AA19" i="6"/>
  <c r="Y19" i="6"/>
  <c r="W19" i="6"/>
  <c r="U19" i="6"/>
  <c r="R19" i="6"/>
  <c r="P19" i="6"/>
  <c r="N19" i="6"/>
  <c r="O15" i="6"/>
  <c r="Q15" i="6"/>
  <c r="T15" i="6"/>
  <c r="V15" i="6"/>
  <c r="X15" i="6"/>
  <c r="Z15" i="6"/>
  <c r="AB15" i="6"/>
  <c r="AD15" i="6"/>
  <c r="AJ15" i="6" s="1"/>
  <c r="AG15" i="6"/>
  <c r="AE15" i="6"/>
  <c r="AK15" i="6" s="1"/>
  <c r="AC15" i="6"/>
  <c r="AA15" i="6"/>
  <c r="Y15" i="6"/>
  <c r="W15" i="6"/>
  <c r="U15" i="6"/>
  <c r="R15" i="6"/>
  <c r="P15" i="6"/>
  <c r="N15" i="6"/>
  <c r="O11" i="6"/>
  <c r="Q11" i="6"/>
  <c r="T11" i="6"/>
  <c r="V11" i="6"/>
  <c r="X11" i="6"/>
  <c r="Z11" i="6"/>
  <c r="AB11" i="6"/>
  <c r="AD11" i="6"/>
  <c r="AJ11" i="6" s="1"/>
  <c r="AG11" i="6"/>
  <c r="AE11" i="6"/>
  <c r="AK11" i="6" s="1"/>
  <c r="AC11" i="6"/>
  <c r="AA11" i="6"/>
  <c r="Y11" i="6"/>
  <c r="W11" i="6"/>
  <c r="U11" i="6"/>
  <c r="R11" i="6"/>
  <c r="P11" i="6"/>
  <c r="N11" i="6"/>
  <c r="AT12" i="6"/>
  <c r="AT13" i="6" s="1"/>
  <c r="AT14" i="6" s="1"/>
  <c r="AU11" i="6"/>
  <c r="O7" i="6"/>
  <c r="Q7" i="6"/>
  <c r="T7" i="6"/>
  <c r="V7" i="6"/>
  <c r="X7" i="6"/>
  <c r="Z7" i="6"/>
  <c r="AB7" i="6"/>
  <c r="AD7" i="6"/>
  <c r="AJ7" i="6" s="1"/>
  <c r="AG7" i="6"/>
  <c r="AE7" i="6"/>
  <c r="AK7" i="6" s="1"/>
  <c r="AC7" i="6"/>
  <c r="AA7" i="6"/>
  <c r="Y7" i="6"/>
  <c r="W7" i="6"/>
  <c r="U7" i="6"/>
  <c r="R7" i="6"/>
  <c r="P7" i="6"/>
  <c r="N7" i="6"/>
  <c r="O127" i="5"/>
  <c r="Q127" i="5"/>
  <c r="T127" i="5"/>
  <c r="V127" i="5"/>
  <c r="X127" i="5"/>
  <c r="Z127" i="5"/>
  <c r="AB127" i="5"/>
  <c r="AD127" i="5"/>
  <c r="AJ127" i="5" s="1"/>
  <c r="AG127" i="5"/>
  <c r="AE127" i="5"/>
  <c r="AK127" i="5" s="1"/>
  <c r="AC127" i="5"/>
  <c r="AA127" i="5"/>
  <c r="Y127" i="5"/>
  <c r="W127" i="5"/>
  <c r="U127" i="5"/>
  <c r="R127" i="5"/>
  <c r="P127" i="5"/>
  <c r="N127" i="5"/>
  <c r="O123" i="5"/>
  <c r="Q123" i="5"/>
  <c r="T123" i="5"/>
  <c r="V123" i="5"/>
  <c r="X123" i="5"/>
  <c r="Z123" i="5"/>
  <c r="AB123" i="5"/>
  <c r="AD123" i="5"/>
  <c r="AJ123" i="5" s="1"/>
  <c r="AG123" i="5"/>
  <c r="AE123" i="5"/>
  <c r="AK123" i="5" s="1"/>
  <c r="AC123" i="5"/>
  <c r="AA123" i="5"/>
  <c r="Y123" i="5"/>
  <c r="W123" i="5"/>
  <c r="U123" i="5"/>
  <c r="R123" i="5"/>
  <c r="P123" i="5"/>
  <c r="N123" i="5"/>
  <c r="O119" i="5"/>
  <c r="Q119" i="5"/>
  <c r="T119" i="5"/>
  <c r="V119" i="5"/>
  <c r="X119" i="5"/>
  <c r="Z119" i="5"/>
  <c r="AB119" i="5"/>
  <c r="AD119" i="5"/>
  <c r="AJ119" i="5" s="1"/>
  <c r="AG119" i="5"/>
  <c r="AE119" i="5"/>
  <c r="AK119" i="5" s="1"/>
  <c r="AC119" i="5"/>
  <c r="AA119" i="5"/>
  <c r="Y119" i="5"/>
  <c r="W119" i="5"/>
  <c r="U119" i="5"/>
  <c r="R119" i="5"/>
  <c r="P119" i="5"/>
  <c r="N119" i="5"/>
  <c r="O115" i="5"/>
  <c r="Q115" i="5"/>
  <c r="T115" i="5"/>
  <c r="V115" i="5"/>
  <c r="X115" i="5"/>
  <c r="Z115" i="5"/>
  <c r="AB115" i="5"/>
  <c r="AD115" i="5"/>
  <c r="AJ115" i="5" s="1"/>
  <c r="AG115" i="5"/>
  <c r="AE115" i="5"/>
  <c r="AK115" i="5" s="1"/>
  <c r="AC115" i="5"/>
  <c r="AA115" i="5"/>
  <c r="Y115" i="5"/>
  <c r="W115" i="5"/>
  <c r="U115" i="5"/>
  <c r="R115" i="5"/>
  <c r="P115" i="5"/>
  <c r="N115" i="5"/>
  <c r="O111" i="5"/>
  <c r="Q111" i="5"/>
  <c r="T111" i="5"/>
  <c r="V111" i="5"/>
  <c r="X111" i="5"/>
  <c r="Z111" i="5"/>
  <c r="AB111" i="5"/>
  <c r="AD111" i="5"/>
  <c r="AJ111" i="5" s="1"/>
  <c r="AG111" i="5"/>
  <c r="AE111" i="5"/>
  <c r="AK111" i="5" s="1"/>
  <c r="AC111" i="5"/>
  <c r="AA111" i="5"/>
  <c r="Y111" i="5"/>
  <c r="W111" i="5"/>
  <c r="U111" i="5"/>
  <c r="R111" i="5"/>
  <c r="P111" i="5"/>
  <c r="N111" i="5"/>
  <c r="O107" i="5"/>
  <c r="Q107" i="5"/>
  <c r="T107" i="5"/>
  <c r="V107" i="5"/>
  <c r="X107" i="5"/>
  <c r="Z107" i="5"/>
  <c r="AB107" i="5"/>
  <c r="AD107" i="5"/>
  <c r="AJ107" i="5" s="1"/>
  <c r="AG107" i="5"/>
  <c r="AE107" i="5"/>
  <c r="AK107" i="5" s="1"/>
  <c r="AC107" i="5"/>
  <c r="AA107" i="5"/>
  <c r="Y107" i="5"/>
  <c r="W107" i="5"/>
  <c r="U107" i="5"/>
  <c r="R107" i="5"/>
  <c r="P107" i="5"/>
  <c r="N107" i="5"/>
  <c r="O103" i="5"/>
  <c r="Q103" i="5"/>
  <c r="T103" i="5"/>
  <c r="V103" i="5"/>
  <c r="X103" i="5"/>
  <c r="Z103" i="5"/>
  <c r="AB103" i="5"/>
  <c r="AD103" i="5"/>
  <c r="AJ103" i="5" s="1"/>
  <c r="AG103" i="5"/>
  <c r="AE103" i="5"/>
  <c r="AK103" i="5" s="1"/>
  <c r="AC103" i="5"/>
  <c r="AA103" i="5"/>
  <c r="Y103" i="5"/>
  <c r="W103" i="5"/>
  <c r="U103" i="5"/>
  <c r="R103" i="5"/>
  <c r="P103" i="5"/>
  <c r="N103" i="5"/>
  <c r="O99" i="5"/>
  <c r="Q99" i="5"/>
  <c r="T99" i="5"/>
  <c r="V99" i="5"/>
  <c r="X99" i="5"/>
  <c r="Z99" i="5"/>
  <c r="AB99" i="5"/>
  <c r="AD99" i="5"/>
  <c r="AJ99" i="5" s="1"/>
  <c r="AG99" i="5"/>
  <c r="AE99" i="5"/>
  <c r="AK99" i="5" s="1"/>
  <c r="AC99" i="5"/>
  <c r="AA99" i="5"/>
  <c r="Y99" i="5"/>
  <c r="W99" i="5"/>
  <c r="U99" i="5"/>
  <c r="R99" i="5"/>
  <c r="P99" i="5"/>
  <c r="N99" i="5"/>
  <c r="O95" i="5"/>
  <c r="Q95" i="5"/>
  <c r="T95" i="5"/>
  <c r="V95" i="5"/>
  <c r="X95" i="5"/>
  <c r="Z95" i="5"/>
  <c r="AB95" i="5"/>
  <c r="AD95" i="5"/>
  <c r="AJ95" i="5" s="1"/>
  <c r="AG95" i="5"/>
  <c r="AE95" i="5"/>
  <c r="AK95" i="5" s="1"/>
  <c r="AC95" i="5"/>
  <c r="AA95" i="5"/>
  <c r="Y95" i="5"/>
  <c r="W95" i="5"/>
  <c r="U95" i="5"/>
  <c r="R95" i="5"/>
  <c r="P95" i="5"/>
  <c r="N95" i="5"/>
  <c r="O91" i="5"/>
  <c r="Q91" i="5"/>
  <c r="T91" i="5"/>
  <c r="V91" i="5"/>
  <c r="X91" i="5"/>
  <c r="Z91" i="5"/>
  <c r="AB91" i="5"/>
  <c r="AD91" i="5"/>
  <c r="AJ91" i="5" s="1"/>
  <c r="AG91" i="5"/>
  <c r="AE91" i="5"/>
  <c r="AK91" i="5" s="1"/>
  <c r="AC91" i="5"/>
  <c r="AA91" i="5"/>
  <c r="Y91" i="5"/>
  <c r="W91" i="5"/>
  <c r="U91" i="5"/>
  <c r="R91" i="5"/>
  <c r="P91" i="5"/>
  <c r="N91" i="5"/>
  <c r="O87" i="5"/>
  <c r="Q87" i="5"/>
  <c r="T87" i="5"/>
  <c r="V87" i="5"/>
  <c r="X87" i="5"/>
  <c r="Z87" i="5"/>
  <c r="AB87" i="5"/>
  <c r="AD87" i="5"/>
  <c r="AJ87" i="5" s="1"/>
  <c r="AG87" i="5"/>
  <c r="AE87" i="5"/>
  <c r="AK87" i="5" s="1"/>
  <c r="AC87" i="5"/>
  <c r="AA87" i="5"/>
  <c r="Y87" i="5"/>
  <c r="W87" i="5"/>
  <c r="U87" i="5"/>
  <c r="R87" i="5"/>
  <c r="P87" i="5"/>
  <c r="N87" i="5"/>
  <c r="O83" i="5"/>
  <c r="Q83" i="5"/>
  <c r="T83" i="5"/>
  <c r="V83" i="5"/>
  <c r="X83" i="5"/>
  <c r="Z83" i="5"/>
  <c r="AB83" i="5"/>
  <c r="AD83" i="5"/>
  <c r="AJ83" i="5" s="1"/>
  <c r="AG83" i="5"/>
  <c r="AE83" i="5"/>
  <c r="AK83" i="5" s="1"/>
  <c r="AC83" i="5"/>
  <c r="AA83" i="5"/>
  <c r="Y83" i="5"/>
  <c r="W83" i="5"/>
  <c r="U83" i="5"/>
  <c r="R83" i="5"/>
  <c r="P83" i="5"/>
  <c r="N83" i="5"/>
  <c r="O79" i="5"/>
  <c r="Q79" i="5"/>
  <c r="T79" i="5"/>
  <c r="V79" i="5"/>
  <c r="X79" i="5"/>
  <c r="Z79" i="5"/>
  <c r="AB79" i="5"/>
  <c r="AD79" i="5"/>
  <c r="AJ79" i="5" s="1"/>
  <c r="AG79" i="5"/>
  <c r="AE79" i="5"/>
  <c r="AK79" i="5" s="1"/>
  <c r="AC79" i="5"/>
  <c r="AA79" i="5"/>
  <c r="Y79" i="5"/>
  <c r="W79" i="5"/>
  <c r="U79" i="5"/>
  <c r="R79" i="5"/>
  <c r="P79" i="5"/>
  <c r="N79" i="5"/>
  <c r="O75" i="5"/>
  <c r="Q75" i="5"/>
  <c r="T75" i="5"/>
  <c r="V75" i="5"/>
  <c r="X75" i="5"/>
  <c r="Z75" i="5"/>
  <c r="AB75" i="5"/>
  <c r="AD75" i="5"/>
  <c r="AJ75" i="5" s="1"/>
  <c r="AG75" i="5"/>
  <c r="AE75" i="5"/>
  <c r="AK75" i="5" s="1"/>
  <c r="AC75" i="5"/>
  <c r="AA75" i="5"/>
  <c r="Y75" i="5"/>
  <c r="W75" i="5"/>
  <c r="U75" i="5"/>
  <c r="R75" i="5"/>
  <c r="P75" i="5"/>
  <c r="N75" i="5"/>
  <c r="O71" i="5"/>
  <c r="Q71" i="5"/>
  <c r="T71" i="5"/>
  <c r="V71" i="5"/>
  <c r="X71" i="5"/>
  <c r="Z71" i="5"/>
  <c r="AB71" i="5"/>
  <c r="AD71" i="5"/>
  <c r="AJ71" i="5" s="1"/>
  <c r="AG71" i="5"/>
  <c r="AE71" i="5"/>
  <c r="AK71" i="5" s="1"/>
  <c r="AC71" i="5"/>
  <c r="AA71" i="5"/>
  <c r="Y71" i="5"/>
  <c r="W71" i="5"/>
  <c r="U71" i="5"/>
  <c r="R71" i="5"/>
  <c r="P71" i="5"/>
  <c r="N71" i="5"/>
  <c r="O67" i="5"/>
  <c r="Q67" i="5"/>
  <c r="T67" i="5"/>
  <c r="V67" i="5"/>
  <c r="X67" i="5"/>
  <c r="Z67" i="5"/>
  <c r="AB67" i="5"/>
  <c r="AD67" i="5"/>
  <c r="AJ67" i="5" s="1"/>
  <c r="AG67" i="5"/>
  <c r="AE67" i="5"/>
  <c r="AK67" i="5" s="1"/>
  <c r="AC67" i="5"/>
  <c r="AA67" i="5"/>
  <c r="Y67" i="5"/>
  <c r="W67" i="5"/>
  <c r="U67" i="5"/>
  <c r="R67" i="5"/>
  <c r="P67" i="5"/>
  <c r="N67" i="5"/>
  <c r="O63" i="5"/>
  <c r="Q63" i="5"/>
  <c r="T63" i="5"/>
  <c r="V63" i="5"/>
  <c r="X63" i="5"/>
  <c r="Z63" i="5"/>
  <c r="AB63" i="5"/>
  <c r="AD63" i="5"/>
  <c r="AJ63" i="5" s="1"/>
  <c r="AG63" i="5"/>
  <c r="AE63" i="5"/>
  <c r="AK63" i="5" s="1"/>
  <c r="AC63" i="5"/>
  <c r="AA63" i="5"/>
  <c r="Y63" i="5"/>
  <c r="W63" i="5"/>
  <c r="U63" i="5"/>
  <c r="R63" i="5"/>
  <c r="P63" i="5"/>
  <c r="N63" i="5"/>
  <c r="O59" i="5"/>
  <c r="Q59" i="5"/>
  <c r="T59" i="5"/>
  <c r="V59" i="5"/>
  <c r="X59" i="5"/>
  <c r="Z59" i="5"/>
  <c r="AB59" i="5"/>
  <c r="AD59" i="5"/>
  <c r="AJ59" i="5" s="1"/>
  <c r="AG59" i="5"/>
  <c r="AE59" i="5"/>
  <c r="AK59" i="5" s="1"/>
  <c r="AC59" i="5"/>
  <c r="AA59" i="5"/>
  <c r="Y59" i="5"/>
  <c r="W59" i="5"/>
  <c r="U59" i="5"/>
  <c r="R59" i="5"/>
  <c r="P59" i="5"/>
  <c r="N59" i="5"/>
  <c r="O55" i="5"/>
  <c r="Q55" i="5"/>
  <c r="T55" i="5"/>
  <c r="V55" i="5"/>
  <c r="X55" i="5"/>
  <c r="Z55" i="5"/>
  <c r="AB55" i="5"/>
  <c r="AD55" i="5"/>
  <c r="AJ55" i="5" s="1"/>
  <c r="AG55" i="5"/>
  <c r="AE55" i="5"/>
  <c r="AK55" i="5" s="1"/>
  <c r="AC55" i="5"/>
  <c r="AA55" i="5"/>
  <c r="W55" i="5"/>
  <c r="U55" i="5"/>
  <c r="R55" i="5"/>
  <c r="P55" i="5"/>
  <c r="O51" i="5"/>
  <c r="Q51" i="5"/>
  <c r="T51" i="5"/>
  <c r="V51" i="5"/>
  <c r="X51" i="5"/>
  <c r="Z51" i="5"/>
  <c r="AB51" i="5"/>
  <c r="AD51" i="5"/>
  <c r="AJ51" i="5" s="1"/>
  <c r="AG51" i="5"/>
  <c r="AE51" i="5"/>
  <c r="AK51" i="5" s="1"/>
  <c r="AC51" i="5"/>
  <c r="AA51" i="5"/>
  <c r="Y51" i="5"/>
  <c r="W51" i="5"/>
  <c r="U51" i="5"/>
  <c r="R51" i="5"/>
  <c r="P51" i="5"/>
  <c r="N51" i="5"/>
  <c r="O47" i="5"/>
  <c r="Q47" i="5"/>
  <c r="T47" i="5"/>
  <c r="V47" i="5"/>
  <c r="X47" i="5"/>
  <c r="Z47" i="5"/>
  <c r="AB47" i="5"/>
  <c r="AD47" i="5"/>
  <c r="AJ47" i="5" s="1"/>
  <c r="AG47" i="5"/>
  <c r="AE47" i="5"/>
  <c r="AK47" i="5" s="1"/>
  <c r="AC47" i="5"/>
  <c r="AA47" i="5"/>
  <c r="Y47" i="5"/>
  <c r="W47" i="5"/>
  <c r="U47" i="5"/>
  <c r="R47" i="5"/>
  <c r="P47" i="5"/>
  <c r="N47" i="5"/>
  <c r="O43" i="5"/>
  <c r="Q43" i="5"/>
  <c r="T43" i="5"/>
  <c r="V43" i="5"/>
  <c r="X43" i="5"/>
  <c r="Z43" i="5"/>
  <c r="AB43" i="5"/>
  <c r="AD43" i="5"/>
  <c r="AJ43" i="5" s="1"/>
  <c r="AG43" i="5"/>
  <c r="AE43" i="5"/>
  <c r="AK43" i="5" s="1"/>
  <c r="AC43" i="5"/>
  <c r="AA43" i="5"/>
  <c r="Y43" i="5"/>
  <c r="W43" i="5"/>
  <c r="U43" i="5"/>
  <c r="R43" i="5"/>
  <c r="P43" i="5"/>
  <c r="N43" i="5"/>
  <c r="O39" i="5"/>
  <c r="Q39" i="5"/>
  <c r="T39" i="5"/>
  <c r="V39" i="5"/>
  <c r="X39" i="5"/>
  <c r="Z39" i="5"/>
  <c r="AB39" i="5"/>
  <c r="AD39" i="5"/>
  <c r="AJ39" i="5" s="1"/>
  <c r="AG39" i="5"/>
  <c r="AE39" i="5"/>
  <c r="AK39" i="5" s="1"/>
  <c r="AC39" i="5"/>
  <c r="AA39" i="5"/>
  <c r="Y39" i="5"/>
  <c r="W39" i="5"/>
  <c r="U39" i="5"/>
  <c r="R39" i="5"/>
  <c r="P39" i="5"/>
  <c r="N39" i="5"/>
  <c r="O35" i="5"/>
  <c r="Q35" i="5"/>
  <c r="T35" i="5"/>
  <c r="V35" i="5"/>
  <c r="X35" i="5"/>
  <c r="Z35" i="5"/>
  <c r="AB35" i="5"/>
  <c r="AD35" i="5"/>
  <c r="AJ35" i="5" s="1"/>
  <c r="AG35" i="5"/>
  <c r="AE35" i="5"/>
  <c r="AK35" i="5" s="1"/>
  <c r="AC35" i="5"/>
  <c r="AA35" i="5"/>
  <c r="Y35" i="5"/>
  <c r="W35" i="5"/>
  <c r="U35" i="5"/>
  <c r="R35" i="5"/>
  <c r="P35" i="5"/>
  <c r="N35" i="5"/>
  <c r="O31" i="5"/>
  <c r="Q31" i="5"/>
  <c r="T31" i="5"/>
  <c r="V31" i="5"/>
  <c r="X31" i="5"/>
  <c r="Z31" i="5"/>
  <c r="AB31" i="5"/>
  <c r="AD31" i="5"/>
  <c r="AJ31" i="5" s="1"/>
  <c r="AG31" i="5"/>
  <c r="AE31" i="5"/>
  <c r="AK31" i="5" s="1"/>
  <c r="AC31" i="5"/>
  <c r="AA31" i="5"/>
  <c r="Y31" i="5"/>
  <c r="W31" i="5"/>
  <c r="U31" i="5"/>
  <c r="R31" i="5"/>
  <c r="P31" i="5"/>
  <c r="N31" i="5"/>
  <c r="O27" i="5"/>
  <c r="Q27" i="5"/>
  <c r="T27" i="5"/>
  <c r="V27" i="5"/>
  <c r="X27" i="5"/>
  <c r="Z27" i="5"/>
  <c r="AB27" i="5"/>
  <c r="AD27" i="5"/>
  <c r="AJ27" i="5" s="1"/>
  <c r="AG27" i="5"/>
  <c r="AE27" i="5"/>
  <c r="AK27" i="5" s="1"/>
  <c r="AC27" i="5"/>
  <c r="AA27" i="5"/>
  <c r="Y27" i="5"/>
  <c r="W27" i="5"/>
  <c r="U27" i="5"/>
  <c r="R27" i="5"/>
  <c r="P27" i="5"/>
  <c r="N27" i="5"/>
  <c r="O23" i="5"/>
  <c r="Q23" i="5"/>
  <c r="T23" i="5"/>
  <c r="V23" i="5"/>
  <c r="X23" i="5"/>
  <c r="Z23" i="5"/>
  <c r="AB23" i="5"/>
  <c r="AD23" i="5"/>
  <c r="AJ23" i="5" s="1"/>
  <c r="AG23" i="5"/>
  <c r="AE23" i="5"/>
  <c r="AK23" i="5" s="1"/>
  <c r="AC23" i="5"/>
  <c r="AA23" i="5"/>
  <c r="Y23" i="5"/>
  <c r="W23" i="5"/>
  <c r="U23" i="5"/>
  <c r="R23" i="5"/>
  <c r="P23" i="5"/>
  <c r="N23" i="5"/>
  <c r="O19" i="5"/>
  <c r="Q19" i="5"/>
  <c r="T19" i="5"/>
  <c r="V19" i="5"/>
  <c r="X19" i="5"/>
  <c r="Z19" i="5"/>
  <c r="AB19" i="5"/>
  <c r="AD19" i="5"/>
  <c r="AJ19" i="5" s="1"/>
  <c r="AG19" i="5"/>
  <c r="AE19" i="5"/>
  <c r="AK19" i="5" s="1"/>
  <c r="AC19" i="5"/>
  <c r="AA19" i="5"/>
  <c r="Y19" i="5"/>
  <c r="W19" i="5"/>
  <c r="U19" i="5"/>
  <c r="R19" i="5"/>
  <c r="P19" i="5"/>
  <c r="N19" i="5"/>
  <c r="O15" i="5"/>
  <c r="Q15" i="5"/>
  <c r="T15" i="5"/>
  <c r="V15" i="5"/>
  <c r="X15" i="5"/>
  <c r="Z15" i="5"/>
  <c r="AB15" i="5"/>
  <c r="AD15" i="5"/>
  <c r="AJ15" i="5" s="1"/>
  <c r="AG15" i="5"/>
  <c r="AE15" i="5"/>
  <c r="AK15" i="5" s="1"/>
  <c r="AC15" i="5"/>
  <c r="AA15" i="5"/>
  <c r="Y15" i="5"/>
  <c r="W15" i="5"/>
  <c r="U15" i="5"/>
  <c r="R15" i="5"/>
  <c r="P15" i="5"/>
  <c r="N15" i="5"/>
  <c r="O11" i="5"/>
  <c r="Q11" i="5"/>
  <c r="T11" i="5"/>
  <c r="V11" i="5"/>
  <c r="X11" i="5"/>
  <c r="Z11" i="5"/>
  <c r="AB11" i="5"/>
  <c r="AD11" i="5"/>
  <c r="AJ11" i="5" s="1"/>
  <c r="AG11" i="5"/>
  <c r="AE11" i="5"/>
  <c r="AK11" i="5" s="1"/>
  <c r="AC11" i="5"/>
  <c r="AA11" i="5"/>
  <c r="Y11" i="5"/>
  <c r="W11" i="5"/>
  <c r="U11" i="5"/>
  <c r="R11" i="5"/>
  <c r="P11" i="5"/>
  <c r="N11" i="5"/>
  <c r="AT12" i="5"/>
  <c r="AT13" i="5" s="1"/>
  <c r="AT14" i="5" s="1"/>
  <c r="AU11" i="5"/>
  <c r="O7" i="5"/>
  <c r="Q7" i="5"/>
  <c r="T7" i="5"/>
  <c r="V7" i="5"/>
  <c r="X7" i="5"/>
  <c r="Z7" i="5"/>
  <c r="AB7" i="5"/>
  <c r="AD7" i="5"/>
  <c r="AJ7" i="5" s="1"/>
  <c r="AG7" i="5"/>
  <c r="AE7" i="5"/>
  <c r="AK7" i="5" s="1"/>
  <c r="AC7" i="5"/>
  <c r="AA7" i="5"/>
  <c r="Y7" i="5"/>
  <c r="W7" i="5"/>
  <c r="U7" i="5"/>
  <c r="R7" i="5"/>
  <c r="P7" i="5"/>
  <c r="N7" i="5"/>
  <c r="O123" i="4"/>
  <c r="Q123" i="4"/>
  <c r="T123" i="4"/>
  <c r="V123" i="4"/>
  <c r="X123" i="4"/>
  <c r="Z123" i="4"/>
  <c r="AB123" i="4"/>
  <c r="AD123" i="4"/>
  <c r="AJ123" i="4" s="1"/>
  <c r="AG123" i="4"/>
  <c r="AE123" i="4"/>
  <c r="AK123" i="4" s="1"/>
  <c r="AC123" i="4"/>
  <c r="AA123" i="4"/>
  <c r="Y123" i="4"/>
  <c r="W123" i="4"/>
  <c r="U123" i="4"/>
  <c r="R123" i="4"/>
  <c r="P123" i="4"/>
  <c r="N123" i="4"/>
  <c r="O119" i="4"/>
  <c r="Q119" i="4"/>
  <c r="T119" i="4"/>
  <c r="V119" i="4"/>
  <c r="X119" i="4"/>
  <c r="Z119" i="4"/>
  <c r="AB119" i="4"/>
  <c r="AD119" i="4"/>
  <c r="AJ119" i="4" s="1"/>
  <c r="AG119" i="4"/>
  <c r="AE119" i="4"/>
  <c r="AK119" i="4" s="1"/>
  <c r="AC119" i="4"/>
  <c r="AA119" i="4"/>
  <c r="Y119" i="4"/>
  <c r="W119" i="4"/>
  <c r="U119" i="4"/>
  <c r="R119" i="4"/>
  <c r="P119" i="4"/>
  <c r="N119" i="4"/>
  <c r="O115" i="4"/>
  <c r="Q115" i="4"/>
  <c r="T115" i="4"/>
  <c r="V115" i="4"/>
  <c r="X115" i="4"/>
  <c r="Z115" i="4"/>
  <c r="AB115" i="4"/>
  <c r="AD115" i="4"/>
  <c r="AJ115" i="4" s="1"/>
  <c r="AG115" i="4"/>
  <c r="AE115" i="4"/>
  <c r="AK115" i="4" s="1"/>
  <c r="AC115" i="4"/>
  <c r="AA115" i="4"/>
  <c r="Y115" i="4"/>
  <c r="W115" i="4"/>
  <c r="U115" i="4"/>
  <c r="R115" i="4"/>
  <c r="P115" i="4"/>
  <c r="N115" i="4"/>
  <c r="O111" i="4"/>
  <c r="Q111" i="4"/>
  <c r="T111" i="4"/>
  <c r="V111" i="4"/>
  <c r="X111" i="4"/>
  <c r="Z111" i="4"/>
  <c r="AB111" i="4"/>
  <c r="AD111" i="4"/>
  <c r="AJ111" i="4" s="1"/>
  <c r="AG111" i="4"/>
  <c r="AE111" i="4"/>
  <c r="AK111" i="4" s="1"/>
  <c r="AC111" i="4"/>
  <c r="AA111" i="4"/>
  <c r="Y111" i="4"/>
  <c r="W111" i="4"/>
  <c r="U111" i="4"/>
  <c r="R111" i="4"/>
  <c r="P111" i="4"/>
  <c r="N111" i="4"/>
  <c r="O107" i="4"/>
  <c r="Q107" i="4"/>
  <c r="T107" i="4"/>
  <c r="V107" i="4"/>
  <c r="X107" i="4"/>
  <c r="Z107" i="4"/>
  <c r="AB107" i="4"/>
  <c r="AD107" i="4"/>
  <c r="AJ107" i="4" s="1"/>
  <c r="AG107" i="4"/>
  <c r="AE107" i="4"/>
  <c r="AK107" i="4" s="1"/>
  <c r="AC107" i="4"/>
  <c r="AA107" i="4"/>
  <c r="Y107" i="4"/>
  <c r="W107" i="4"/>
  <c r="U107" i="4"/>
  <c r="R107" i="4"/>
  <c r="P107" i="4"/>
  <c r="N107" i="4"/>
  <c r="O103" i="4"/>
  <c r="Q103" i="4"/>
  <c r="T103" i="4"/>
  <c r="V103" i="4"/>
  <c r="X103" i="4"/>
  <c r="Z103" i="4"/>
  <c r="AB103" i="4"/>
  <c r="AD103" i="4"/>
  <c r="AJ103" i="4" s="1"/>
  <c r="AG103" i="4"/>
  <c r="AE103" i="4"/>
  <c r="AK103" i="4" s="1"/>
  <c r="AC103" i="4"/>
  <c r="AA103" i="4"/>
  <c r="Y103" i="4"/>
  <c r="W103" i="4"/>
  <c r="U103" i="4"/>
  <c r="R103" i="4"/>
  <c r="P103" i="4"/>
  <c r="N103" i="4"/>
  <c r="O99" i="4"/>
  <c r="Q99" i="4"/>
  <c r="T99" i="4"/>
  <c r="V99" i="4"/>
  <c r="X99" i="4"/>
  <c r="Z99" i="4"/>
  <c r="AB99" i="4"/>
  <c r="AD99" i="4"/>
  <c r="AJ99" i="4" s="1"/>
  <c r="AG99" i="4"/>
  <c r="AE99" i="4"/>
  <c r="AK99" i="4" s="1"/>
  <c r="AC99" i="4"/>
  <c r="AA99" i="4"/>
  <c r="Y99" i="4"/>
  <c r="W99" i="4"/>
  <c r="U99" i="4"/>
  <c r="R99" i="4"/>
  <c r="P99" i="4"/>
  <c r="N99" i="4"/>
  <c r="O95" i="4"/>
  <c r="Q95" i="4"/>
  <c r="T95" i="4"/>
  <c r="V95" i="4"/>
  <c r="X95" i="4"/>
  <c r="Z95" i="4"/>
  <c r="AB95" i="4"/>
  <c r="AD95" i="4"/>
  <c r="AJ95" i="4" s="1"/>
  <c r="AG95" i="4"/>
  <c r="AE95" i="4"/>
  <c r="AK95" i="4" s="1"/>
  <c r="AC95" i="4"/>
  <c r="AA95" i="4"/>
  <c r="Y95" i="4"/>
  <c r="W95" i="4"/>
  <c r="U95" i="4"/>
  <c r="R95" i="4"/>
  <c r="P95" i="4"/>
  <c r="N95" i="4"/>
  <c r="O91" i="4"/>
  <c r="Q91" i="4"/>
  <c r="T91" i="4"/>
  <c r="V91" i="4"/>
  <c r="X91" i="4"/>
  <c r="Z91" i="4"/>
  <c r="AB91" i="4"/>
  <c r="AD91" i="4"/>
  <c r="AJ91" i="4" s="1"/>
  <c r="AG91" i="4"/>
  <c r="AE91" i="4"/>
  <c r="AK91" i="4" s="1"/>
  <c r="AC91" i="4"/>
  <c r="AA91" i="4"/>
  <c r="Y91" i="4"/>
  <c r="W91" i="4"/>
  <c r="U91" i="4"/>
  <c r="R91" i="4"/>
  <c r="P91" i="4"/>
  <c r="N91" i="4"/>
  <c r="O87" i="4"/>
  <c r="Q87" i="4"/>
  <c r="T87" i="4"/>
  <c r="V87" i="4"/>
  <c r="X87" i="4"/>
  <c r="Z87" i="4"/>
  <c r="AB87" i="4"/>
  <c r="AD87" i="4"/>
  <c r="AJ87" i="4" s="1"/>
  <c r="AG87" i="4"/>
  <c r="AE87" i="4"/>
  <c r="AK87" i="4" s="1"/>
  <c r="AC87" i="4"/>
  <c r="AA87" i="4"/>
  <c r="Y87" i="4"/>
  <c r="W87" i="4"/>
  <c r="U87" i="4"/>
  <c r="R87" i="4"/>
  <c r="P87" i="4"/>
  <c r="N87" i="4"/>
  <c r="O83" i="4"/>
  <c r="Q83" i="4"/>
  <c r="T83" i="4"/>
  <c r="V83" i="4"/>
  <c r="X83" i="4"/>
  <c r="Z83" i="4"/>
  <c r="AB83" i="4"/>
  <c r="AD83" i="4"/>
  <c r="AJ83" i="4" s="1"/>
  <c r="AG83" i="4"/>
  <c r="AE83" i="4"/>
  <c r="AK83" i="4" s="1"/>
  <c r="AC83" i="4"/>
  <c r="AA83" i="4"/>
  <c r="Y83" i="4"/>
  <c r="W83" i="4"/>
  <c r="U83" i="4"/>
  <c r="R83" i="4"/>
  <c r="P83" i="4"/>
  <c r="N83" i="4"/>
  <c r="O79" i="4"/>
  <c r="Q79" i="4"/>
  <c r="T79" i="4"/>
  <c r="V79" i="4"/>
  <c r="X79" i="4"/>
  <c r="Z79" i="4"/>
  <c r="AB79" i="4"/>
  <c r="AD79" i="4"/>
  <c r="AJ79" i="4" s="1"/>
  <c r="AG79" i="4"/>
  <c r="AE79" i="4"/>
  <c r="AK79" i="4" s="1"/>
  <c r="AC79" i="4"/>
  <c r="AA79" i="4"/>
  <c r="Y79" i="4"/>
  <c r="W79" i="4"/>
  <c r="U79" i="4"/>
  <c r="R79" i="4"/>
  <c r="P79" i="4"/>
  <c r="N79" i="4"/>
  <c r="O75" i="4"/>
  <c r="Q75" i="4"/>
  <c r="T75" i="4"/>
  <c r="V75" i="4"/>
  <c r="X75" i="4"/>
  <c r="Z75" i="4"/>
  <c r="AB75" i="4"/>
  <c r="AD75" i="4"/>
  <c r="AJ75" i="4" s="1"/>
  <c r="AG75" i="4"/>
  <c r="AE75" i="4"/>
  <c r="AK75" i="4" s="1"/>
  <c r="AC75" i="4"/>
  <c r="AA75" i="4"/>
  <c r="Y75" i="4"/>
  <c r="W75" i="4"/>
  <c r="U75" i="4"/>
  <c r="R75" i="4"/>
  <c r="P75" i="4"/>
  <c r="N75" i="4"/>
  <c r="O71" i="4"/>
  <c r="Q71" i="4"/>
  <c r="T71" i="4"/>
  <c r="V71" i="4"/>
  <c r="X71" i="4"/>
  <c r="Z71" i="4"/>
  <c r="AB71" i="4"/>
  <c r="AD71" i="4"/>
  <c r="AJ71" i="4" s="1"/>
  <c r="AG71" i="4"/>
  <c r="AE71" i="4"/>
  <c r="AK71" i="4" s="1"/>
  <c r="AC71" i="4"/>
  <c r="AA71" i="4"/>
  <c r="Y71" i="4"/>
  <c r="W71" i="4"/>
  <c r="U71" i="4"/>
  <c r="R71" i="4"/>
  <c r="P71" i="4"/>
  <c r="N71" i="4"/>
  <c r="O67" i="4"/>
  <c r="Q67" i="4"/>
  <c r="T67" i="4"/>
  <c r="V67" i="4"/>
  <c r="X67" i="4"/>
  <c r="Z67" i="4"/>
  <c r="AB67" i="4"/>
  <c r="AD67" i="4"/>
  <c r="AJ67" i="4" s="1"/>
  <c r="AG67" i="4"/>
  <c r="AE67" i="4"/>
  <c r="AK67" i="4" s="1"/>
  <c r="AC67" i="4"/>
  <c r="AA67" i="4"/>
  <c r="Y67" i="4"/>
  <c r="W67" i="4"/>
  <c r="U67" i="4"/>
  <c r="R67" i="4"/>
  <c r="P67" i="4"/>
  <c r="N67" i="4"/>
  <c r="O63" i="4"/>
  <c r="Q63" i="4"/>
  <c r="T63" i="4"/>
  <c r="V63" i="4"/>
  <c r="X63" i="4"/>
  <c r="Z63" i="4"/>
  <c r="AB63" i="4"/>
  <c r="AD63" i="4"/>
  <c r="AJ63" i="4" s="1"/>
  <c r="AG63" i="4"/>
  <c r="AE63" i="4"/>
  <c r="AK63" i="4" s="1"/>
  <c r="AC63" i="4"/>
  <c r="AA63" i="4"/>
  <c r="Y63" i="4"/>
  <c r="W63" i="4"/>
  <c r="U63" i="4"/>
  <c r="R63" i="4"/>
  <c r="P63" i="4"/>
  <c r="N63" i="4"/>
  <c r="O59" i="4"/>
  <c r="Q59" i="4"/>
  <c r="T59" i="4"/>
  <c r="V59" i="4"/>
  <c r="X59" i="4"/>
  <c r="Z59" i="4"/>
  <c r="AB59" i="4"/>
  <c r="AD59" i="4"/>
  <c r="AJ59" i="4" s="1"/>
  <c r="AG59" i="4"/>
  <c r="AE59" i="4"/>
  <c r="AK59" i="4" s="1"/>
  <c r="AC59" i="4"/>
  <c r="AA59" i="4"/>
  <c r="Y59" i="4"/>
  <c r="W59" i="4"/>
  <c r="U59" i="4"/>
  <c r="R59" i="4"/>
  <c r="P59" i="4"/>
  <c r="N59" i="4"/>
  <c r="O55" i="4"/>
  <c r="Q55" i="4"/>
  <c r="T55" i="4"/>
  <c r="V55" i="4"/>
  <c r="X55" i="4"/>
  <c r="Z55" i="4"/>
  <c r="AB55" i="4"/>
  <c r="AD55" i="4"/>
  <c r="AJ55" i="4" s="1"/>
  <c r="AG55" i="4"/>
  <c r="AE55" i="4"/>
  <c r="AK55" i="4" s="1"/>
  <c r="AC55" i="4"/>
  <c r="AA55" i="4"/>
  <c r="Y55" i="4"/>
  <c r="W55" i="4"/>
  <c r="U55" i="4"/>
  <c r="R55" i="4"/>
  <c r="P55" i="4"/>
  <c r="N55" i="4"/>
  <c r="O51" i="4"/>
  <c r="Q51" i="4"/>
  <c r="T51" i="4"/>
  <c r="V51" i="4"/>
  <c r="X51" i="4"/>
  <c r="Z51" i="4"/>
  <c r="AB51" i="4"/>
  <c r="AD51" i="4"/>
  <c r="AJ51" i="4" s="1"/>
  <c r="AG51" i="4"/>
  <c r="AE51" i="4"/>
  <c r="AK51" i="4" s="1"/>
  <c r="AC51" i="4"/>
  <c r="AA51" i="4"/>
  <c r="Y51" i="4"/>
  <c r="W51" i="4"/>
  <c r="U51" i="4"/>
  <c r="R51" i="4"/>
  <c r="P51" i="4"/>
  <c r="N51" i="4"/>
  <c r="O47" i="4"/>
  <c r="Q47" i="4"/>
  <c r="T47" i="4"/>
  <c r="V47" i="4"/>
  <c r="X47" i="4"/>
  <c r="Z47" i="4"/>
  <c r="AB47" i="4"/>
  <c r="AD47" i="4"/>
  <c r="AJ47" i="4" s="1"/>
  <c r="AG47" i="4"/>
  <c r="AE47" i="4"/>
  <c r="AK47" i="4" s="1"/>
  <c r="AC47" i="4"/>
  <c r="AA47" i="4"/>
  <c r="Y47" i="4"/>
  <c r="W47" i="4"/>
  <c r="U47" i="4"/>
  <c r="R47" i="4"/>
  <c r="P47" i="4"/>
  <c r="N47" i="4"/>
  <c r="O43" i="4"/>
  <c r="Q43" i="4"/>
  <c r="T43" i="4"/>
  <c r="V43" i="4"/>
  <c r="X43" i="4"/>
  <c r="Z43" i="4"/>
  <c r="AB43" i="4"/>
  <c r="AD43" i="4"/>
  <c r="AJ43" i="4" s="1"/>
  <c r="AG43" i="4"/>
  <c r="AE43" i="4"/>
  <c r="AK43" i="4" s="1"/>
  <c r="AC43" i="4"/>
  <c r="AA43" i="4"/>
  <c r="Y43" i="4"/>
  <c r="W43" i="4"/>
  <c r="U43" i="4"/>
  <c r="R43" i="4"/>
  <c r="P43" i="4"/>
  <c r="N43" i="4"/>
  <c r="O39" i="4"/>
  <c r="Q39" i="4"/>
  <c r="T39" i="4"/>
  <c r="V39" i="4"/>
  <c r="X39" i="4"/>
  <c r="Z39" i="4"/>
  <c r="AB39" i="4"/>
  <c r="AD39" i="4"/>
  <c r="AJ39" i="4" s="1"/>
  <c r="AG39" i="4"/>
  <c r="AE39" i="4"/>
  <c r="AK39" i="4" s="1"/>
  <c r="AC39" i="4"/>
  <c r="AA39" i="4"/>
  <c r="Y39" i="4"/>
  <c r="W39" i="4"/>
  <c r="U39" i="4"/>
  <c r="R39" i="4"/>
  <c r="P39" i="4"/>
  <c r="N39" i="4"/>
  <c r="O35" i="4"/>
  <c r="Q35" i="4"/>
  <c r="T35" i="4"/>
  <c r="V35" i="4"/>
  <c r="X35" i="4"/>
  <c r="Z35" i="4"/>
  <c r="AB35" i="4"/>
  <c r="AD35" i="4"/>
  <c r="AJ35" i="4" s="1"/>
  <c r="AG35" i="4"/>
  <c r="AE35" i="4"/>
  <c r="AK35" i="4" s="1"/>
  <c r="AC35" i="4"/>
  <c r="AA35" i="4"/>
  <c r="Y35" i="4"/>
  <c r="W35" i="4"/>
  <c r="U35" i="4"/>
  <c r="R35" i="4"/>
  <c r="P35" i="4"/>
  <c r="N35" i="4"/>
  <c r="O31" i="4"/>
  <c r="Q31" i="4"/>
  <c r="T31" i="4"/>
  <c r="V31" i="4"/>
  <c r="X31" i="4"/>
  <c r="Z31" i="4"/>
  <c r="AB31" i="4"/>
  <c r="AD31" i="4"/>
  <c r="AJ31" i="4" s="1"/>
  <c r="AG31" i="4"/>
  <c r="AE31" i="4"/>
  <c r="AK31" i="4" s="1"/>
  <c r="AC31" i="4"/>
  <c r="AA31" i="4"/>
  <c r="Y31" i="4"/>
  <c r="W31" i="4"/>
  <c r="U31" i="4"/>
  <c r="R31" i="4"/>
  <c r="P31" i="4"/>
  <c r="N31" i="4"/>
  <c r="O27" i="4"/>
  <c r="Q27" i="4"/>
  <c r="T27" i="4"/>
  <c r="V27" i="4"/>
  <c r="X27" i="4"/>
  <c r="Z27" i="4"/>
  <c r="AB27" i="4"/>
  <c r="AD27" i="4"/>
  <c r="AJ27" i="4" s="1"/>
  <c r="AG27" i="4"/>
  <c r="AE27" i="4"/>
  <c r="AK27" i="4" s="1"/>
  <c r="AC27" i="4"/>
  <c r="AA27" i="4"/>
  <c r="Y27" i="4"/>
  <c r="W27" i="4"/>
  <c r="U27" i="4"/>
  <c r="R27" i="4"/>
  <c r="P27" i="4"/>
  <c r="N27" i="4"/>
  <c r="O23" i="4"/>
  <c r="Q23" i="4"/>
  <c r="T23" i="4"/>
  <c r="V23" i="4"/>
  <c r="X23" i="4"/>
  <c r="Z23" i="4"/>
  <c r="AB23" i="4"/>
  <c r="AD23" i="4"/>
  <c r="AJ23" i="4" s="1"/>
  <c r="AG23" i="4"/>
  <c r="AE23" i="4"/>
  <c r="AK23" i="4" s="1"/>
  <c r="AC23" i="4"/>
  <c r="AA23" i="4"/>
  <c r="Y23" i="4"/>
  <c r="W23" i="4"/>
  <c r="U23" i="4"/>
  <c r="R23" i="4"/>
  <c r="P23" i="4"/>
  <c r="N23" i="4"/>
  <c r="O19" i="4"/>
  <c r="Q19" i="4"/>
  <c r="T19" i="4"/>
  <c r="V19" i="4"/>
  <c r="X19" i="4"/>
  <c r="Z19" i="4"/>
  <c r="AB19" i="4"/>
  <c r="AD19" i="4"/>
  <c r="AJ19" i="4" s="1"/>
  <c r="AG19" i="4"/>
  <c r="AE19" i="4"/>
  <c r="AK19" i="4" s="1"/>
  <c r="AC19" i="4"/>
  <c r="AA19" i="4"/>
  <c r="Y19" i="4"/>
  <c r="W19" i="4"/>
  <c r="U19" i="4"/>
  <c r="R19" i="4"/>
  <c r="P19" i="4"/>
  <c r="N19" i="4"/>
  <c r="O15" i="4"/>
  <c r="Q15" i="4"/>
  <c r="T15" i="4"/>
  <c r="V15" i="4"/>
  <c r="X15" i="4"/>
  <c r="Z15" i="4"/>
  <c r="AB15" i="4"/>
  <c r="AD15" i="4"/>
  <c r="AJ15" i="4" s="1"/>
  <c r="AG15" i="4"/>
  <c r="AE15" i="4"/>
  <c r="AK15" i="4" s="1"/>
  <c r="AC15" i="4"/>
  <c r="AA15" i="4"/>
  <c r="Y15" i="4"/>
  <c r="W15" i="4"/>
  <c r="U15" i="4"/>
  <c r="R15" i="4"/>
  <c r="P15" i="4"/>
  <c r="N15" i="4"/>
  <c r="O11" i="4"/>
  <c r="Q11" i="4"/>
  <c r="T11" i="4"/>
  <c r="V11" i="4"/>
  <c r="X11" i="4"/>
  <c r="Z11" i="4"/>
  <c r="AB11" i="4"/>
  <c r="AD11" i="4"/>
  <c r="AJ11" i="4" s="1"/>
  <c r="AG11" i="4"/>
  <c r="AE11" i="4"/>
  <c r="AK11" i="4" s="1"/>
  <c r="AC11" i="4"/>
  <c r="AA11" i="4"/>
  <c r="Y11" i="4"/>
  <c r="W11" i="4"/>
  <c r="U11" i="4"/>
  <c r="R11" i="4"/>
  <c r="P11" i="4"/>
  <c r="N11" i="4"/>
  <c r="AT12" i="4"/>
  <c r="AT13" i="4" s="1"/>
  <c r="AT14" i="4" s="1"/>
  <c r="AU11" i="4"/>
  <c r="O7" i="4"/>
  <c r="Q7" i="4"/>
  <c r="T7" i="4"/>
  <c r="V7" i="4"/>
  <c r="X7" i="4"/>
  <c r="Z7" i="4"/>
  <c r="AB7" i="4"/>
  <c r="AD7" i="4"/>
  <c r="AJ7" i="4" s="1"/>
  <c r="AG7" i="4"/>
  <c r="AE7" i="4"/>
  <c r="AK7" i="4" s="1"/>
  <c r="AC7" i="4"/>
  <c r="AA7" i="4"/>
  <c r="Y7" i="4"/>
  <c r="W7" i="4"/>
  <c r="U7" i="4"/>
  <c r="R7" i="4"/>
  <c r="P7" i="4"/>
  <c r="N7" i="4"/>
  <c r="O127" i="3"/>
  <c r="Q127" i="3"/>
  <c r="T127" i="3"/>
  <c r="V127" i="3"/>
  <c r="X127" i="3"/>
  <c r="Z127" i="3"/>
  <c r="AB127" i="3"/>
  <c r="AD127" i="3"/>
  <c r="AJ127" i="3" s="1"/>
  <c r="AG127" i="3"/>
  <c r="AE127" i="3"/>
  <c r="AK127" i="3" s="1"/>
  <c r="AC127" i="3"/>
  <c r="AA127" i="3"/>
  <c r="Y127" i="3"/>
  <c r="W127" i="3"/>
  <c r="U127" i="3"/>
  <c r="R127" i="3"/>
  <c r="P127" i="3"/>
  <c r="N127" i="3"/>
  <c r="O123" i="3"/>
  <c r="Q123" i="3"/>
  <c r="T123" i="3"/>
  <c r="V123" i="3"/>
  <c r="X123" i="3"/>
  <c r="Z123" i="3"/>
  <c r="AB123" i="3"/>
  <c r="AD123" i="3"/>
  <c r="AJ123" i="3" s="1"/>
  <c r="AG123" i="3"/>
  <c r="AE123" i="3"/>
  <c r="AK123" i="3" s="1"/>
  <c r="AC123" i="3"/>
  <c r="AA123" i="3"/>
  <c r="Y123" i="3"/>
  <c r="W123" i="3"/>
  <c r="U123" i="3"/>
  <c r="R123" i="3"/>
  <c r="P123" i="3"/>
  <c r="N123" i="3"/>
  <c r="O119" i="3"/>
  <c r="Q119" i="3"/>
  <c r="T119" i="3"/>
  <c r="V119" i="3"/>
  <c r="X119" i="3"/>
  <c r="Z119" i="3"/>
  <c r="AB119" i="3"/>
  <c r="AD119" i="3"/>
  <c r="AJ119" i="3" s="1"/>
  <c r="AG119" i="3"/>
  <c r="AE119" i="3"/>
  <c r="AK119" i="3" s="1"/>
  <c r="AC119" i="3"/>
  <c r="AA119" i="3"/>
  <c r="Y119" i="3"/>
  <c r="W119" i="3"/>
  <c r="U119" i="3"/>
  <c r="R119" i="3"/>
  <c r="P119" i="3"/>
  <c r="N119" i="3"/>
  <c r="O115" i="3"/>
  <c r="Q115" i="3"/>
  <c r="T115" i="3"/>
  <c r="V115" i="3"/>
  <c r="X115" i="3"/>
  <c r="Z115" i="3"/>
  <c r="AB115" i="3"/>
  <c r="AD115" i="3"/>
  <c r="AJ115" i="3" s="1"/>
  <c r="AG115" i="3"/>
  <c r="AE115" i="3"/>
  <c r="AK115" i="3" s="1"/>
  <c r="AC115" i="3"/>
  <c r="AA115" i="3"/>
  <c r="Y115" i="3"/>
  <c r="W115" i="3"/>
  <c r="U115" i="3"/>
  <c r="R115" i="3"/>
  <c r="P115" i="3"/>
  <c r="N115" i="3"/>
  <c r="O111" i="3"/>
  <c r="Q111" i="3"/>
  <c r="T111" i="3"/>
  <c r="V111" i="3"/>
  <c r="X111" i="3"/>
  <c r="Z111" i="3"/>
  <c r="AB111" i="3"/>
  <c r="AD111" i="3"/>
  <c r="AJ111" i="3" s="1"/>
  <c r="AG111" i="3"/>
  <c r="AE111" i="3"/>
  <c r="AK111" i="3" s="1"/>
  <c r="AC111" i="3"/>
  <c r="AA111" i="3"/>
  <c r="Y111" i="3"/>
  <c r="W111" i="3"/>
  <c r="U111" i="3"/>
  <c r="R111" i="3"/>
  <c r="P111" i="3"/>
  <c r="N111" i="3"/>
  <c r="O107" i="3"/>
  <c r="Q107" i="3"/>
  <c r="T107" i="3"/>
  <c r="V107" i="3"/>
  <c r="X107" i="3"/>
  <c r="Z107" i="3"/>
  <c r="AB107" i="3"/>
  <c r="AD107" i="3"/>
  <c r="AJ107" i="3" s="1"/>
  <c r="AG107" i="3"/>
  <c r="AE107" i="3"/>
  <c r="AK107" i="3" s="1"/>
  <c r="AC107" i="3"/>
  <c r="AA107" i="3"/>
  <c r="Y107" i="3"/>
  <c r="W107" i="3"/>
  <c r="U107" i="3"/>
  <c r="R107" i="3"/>
  <c r="P107" i="3"/>
  <c r="N107" i="3"/>
  <c r="O103" i="3"/>
  <c r="Q103" i="3"/>
  <c r="T103" i="3"/>
  <c r="V103" i="3"/>
  <c r="X103" i="3"/>
  <c r="Z103" i="3"/>
  <c r="AB103" i="3"/>
  <c r="AD103" i="3"/>
  <c r="AJ103" i="3" s="1"/>
  <c r="AG103" i="3"/>
  <c r="AE103" i="3"/>
  <c r="AK103" i="3" s="1"/>
  <c r="AC103" i="3"/>
  <c r="AA103" i="3"/>
  <c r="Y103" i="3"/>
  <c r="W103" i="3"/>
  <c r="U103" i="3"/>
  <c r="R103" i="3"/>
  <c r="P103" i="3"/>
  <c r="N103" i="3"/>
  <c r="O99" i="3"/>
  <c r="Q99" i="3"/>
  <c r="T99" i="3"/>
  <c r="V99" i="3"/>
  <c r="X99" i="3"/>
  <c r="Z99" i="3"/>
  <c r="AB99" i="3"/>
  <c r="AD99" i="3"/>
  <c r="AJ99" i="3" s="1"/>
  <c r="AG99" i="3"/>
  <c r="AE99" i="3"/>
  <c r="AK99" i="3" s="1"/>
  <c r="AC99" i="3"/>
  <c r="AA99" i="3"/>
  <c r="Y99" i="3"/>
  <c r="W99" i="3"/>
  <c r="U99" i="3"/>
  <c r="R99" i="3"/>
  <c r="P99" i="3"/>
  <c r="N99" i="3"/>
  <c r="O95" i="3"/>
  <c r="Q95" i="3"/>
  <c r="T95" i="3"/>
  <c r="V95" i="3"/>
  <c r="X95" i="3"/>
  <c r="Z95" i="3"/>
  <c r="AB95" i="3"/>
  <c r="AD95" i="3"/>
  <c r="AJ95" i="3" s="1"/>
  <c r="AG95" i="3"/>
  <c r="AE95" i="3"/>
  <c r="AK95" i="3" s="1"/>
  <c r="AC95" i="3"/>
  <c r="AA95" i="3"/>
  <c r="Y95" i="3"/>
  <c r="W95" i="3"/>
  <c r="U95" i="3"/>
  <c r="R95" i="3"/>
  <c r="P95" i="3"/>
  <c r="N95" i="3"/>
  <c r="O91" i="3"/>
  <c r="Q91" i="3"/>
  <c r="T91" i="3"/>
  <c r="V91" i="3"/>
  <c r="X91" i="3"/>
  <c r="Z91" i="3"/>
  <c r="AB91" i="3"/>
  <c r="AD91" i="3"/>
  <c r="AJ91" i="3" s="1"/>
  <c r="AG91" i="3"/>
  <c r="AE91" i="3"/>
  <c r="AK91" i="3" s="1"/>
  <c r="AC91" i="3"/>
  <c r="AA91" i="3"/>
  <c r="Y91" i="3"/>
  <c r="W91" i="3"/>
  <c r="U91" i="3"/>
  <c r="R91" i="3"/>
  <c r="P91" i="3"/>
  <c r="N91" i="3"/>
  <c r="O87" i="3"/>
  <c r="Q87" i="3"/>
  <c r="T87" i="3"/>
  <c r="V87" i="3"/>
  <c r="X87" i="3"/>
  <c r="Z87" i="3"/>
  <c r="AB87" i="3"/>
  <c r="AD87" i="3"/>
  <c r="AJ87" i="3" s="1"/>
  <c r="AG87" i="3"/>
  <c r="AE87" i="3"/>
  <c r="AK87" i="3" s="1"/>
  <c r="AC87" i="3"/>
  <c r="AA87" i="3"/>
  <c r="Y87" i="3"/>
  <c r="W87" i="3"/>
  <c r="U87" i="3"/>
  <c r="R87" i="3"/>
  <c r="P87" i="3"/>
  <c r="N87" i="3"/>
  <c r="O83" i="3"/>
  <c r="Q83" i="3"/>
  <c r="T83" i="3"/>
  <c r="V83" i="3"/>
  <c r="X83" i="3"/>
  <c r="Z83" i="3"/>
  <c r="AB83" i="3"/>
  <c r="AD83" i="3"/>
  <c r="AJ83" i="3" s="1"/>
  <c r="AG83" i="3"/>
  <c r="AE83" i="3"/>
  <c r="AK83" i="3" s="1"/>
  <c r="AC83" i="3"/>
  <c r="AA83" i="3"/>
  <c r="Y83" i="3"/>
  <c r="W83" i="3"/>
  <c r="U83" i="3"/>
  <c r="R83" i="3"/>
  <c r="P83" i="3"/>
  <c r="N83" i="3"/>
  <c r="O79" i="3"/>
  <c r="Q79" i="3"/>
  <c r="T79" i="3"/>
  <c r="V79" i="3"/>
  <c r="X79" i="3"/>
  <c r="Z79" i="3"/>
  <c r="AB79" i="3"/>
  <c r="AD79" i="3"/>
  <c r="AJ79" i="3" s="1"/>
  <c r="AG79" i="3"/>
  <c r="AE79" i="3"/>
  <c r="AK79" i="3" s="1"/>
  <c r="AC79" i="3"/>
  <c r="AA79" i="3"/>
  <c r="Y79" i="3"/>
  <c r="W79" i="3"/>
  <c r="U79" i="3"/>
  <c r="R79" i="3"/>
  <c r="P79" i="3"/>
  <c r="N79" i="3"/>
  <c r="O75" i="3"/>
  <c r="Q75" i="3"/>
  <c r="T75" i="3"/>
  <c r="V75" i="3"/>
  <c r="X75" i="3"/>
  <c r="Z75" i="3"/>
  <c r="AB75" i="3"/>
  <c r="AD75" i="3"/>
  <c r="AJ75" i="3" s="1"/>
  <c r="AG75" i="3"/>
  <c r="AE75" i="3"/>
  <c r="AK75" i="3" s="1"/>
  <c r="AC75" i="3"/>
  <c r="AA75" i="3"/>
  <c r="Y75" i="3"/>
  <c r="W75" i="3"/>
  <c r="U75" i="3"/>
  <c r="R75" i="3"/>
  <c r="P75" i="3"/>
  <c r="N75" i="3"/>
  <c r="O71" i="3"/>
  <c r="Q71" i="3"/>
  <c r="T71" i="3"/>
  <c r="V71" i="3"/>
  <c r="X71" i="3"/>
  <c r="Z71" i="3"/>
  <c r="AB71" i="3"/>
  <c r="AD71" i="3"/>
  <c r="AJ71" i="3" s="1"/>
  <c r="AG71" i="3"/>
  <c r="AE71" i="3"/>
  <c r="AK71" i="3" s="1"/>
  <c r="AC71" i="3"/>
  <c r="AA71" i="3"/>
  <c r="Y71" i="3"/>
  <c r="W71" i="3"/>
  <c r="U71" i="3"/>
  <c r="R71" i="3"/>
  <c r="P71" i="3"/>
  <c r="N71" i="3"/>
  <c r="O67" i="3"/>
  <c r="Q67" i="3"/>
  <c r="T67" i="3"/>
  <c r="V67" i="3"/>
  <c r="X67" i="3"/>
  <c r="Z67" i="3"/>
  <c r="AB67" i="3"/>
  <c r="AD67" i="3"/>
  <c r="AJ67" i="3" s="1"/>
  <c r="AG67" i="3"/>
  <c r="AE67" i="3"/>
  <c r="AK67" i="3" s="1"/>
  <c r="AC67" i="3"/>
  <c r="AA67" i="3"/>
  <c r="Y67" i="3"/>
  <c r="W67" i="3"/>
  <c r="U67" i="3"/>
  <c r="R67" i="3"/>
  <c r="P67" i="3"/>
  <c r="N67" i="3"/>
  <c r="O63" i="3"/>
  <c r="Q63" i="3"/>
  <c r="T63" i="3"/>
  <c r="V63" i="3"/>
  <c r="X63" i="3"/>
  <c r="Z63" i="3"/>
  <c r="AB63" i="3"/>
  <c r="AD63" i="3"/>
  <c r="AJ63" i="3" s="1"/>
  <c r="AG63" i="3"/>
  <c r="AE63" i="3"/>
  <c r="AK63" i="3" s="1"/>
  <c r="AC63" i="3"/>
  <c r="AA63" i="3"/>
  <c r="Y63" i="3"/>
  <c r="W63" i="3"/>
  <c r="U63" i="3"/>
  <c r="R63" i="3"/>
  <c r="P63" i="3"/>
  <c r="N63" i="3"/>
  <c r="O59" i="3"/>
  <c r="Q59" i="3"/>
  <c r="T59" i="3"/>
  <c r="V59" i="3"/>
  <c r="X59" i="3"/>
  <c r="Z59" i="3"/>
  <c r="AB59" i="3"/>
  <c r="AD59" i="3"/>
  <c r="AJ59" i="3" s="1"/>
  <c r="AG59" i="3"/>
  <c r="AE59" i="3"/>
  <c r="AK59" i="3" s="1"/>
  <c r="AC59" i="3"/>
  <c r="AA59" i="3"/>
  <c r="Y59" i="3"/>
  <c r="W59" i="3"/>
  <c r="U59" i="3"/>
  <c r="R59" i="3"/>
  <c r="P59" i="3"/>
  <c r="N59" i="3"/>
  <c r="O55" i="3"/>
  <c r="Q55" i="3"/>
  <c r="T55" i="3"/>
  <c r="V55" i="3"/>
  <c r="X55" i="3"/>
  <c r="Z55" i="3"/>
  <c r="AB55" i="3"/>
  <c r="AD55" i="3"/>
  <c r="AJ55" i="3" s="1"/>
  <c r="AG55" i="3"/>
  <c r="AE55" i="3"/>
  <c r="AK55" i="3" s="1"/>
  <c r="AC55" i="3"/>
  <c r="AA55" i="3"/>
  <c r="Y55" i="3"/>
  <c r="W55" i="3"/>
  <c r="U55" i="3"/>
  <c r="R55" i="3"/>
  <c r="P55" i="3"/>
  <c r="N55" i="3"/>
  <c r="O51" i="3"/>
  <c r="Q51" i="3"/>
  <c r="T51" i="3"/>
  <c r="V51" i="3"/>
  <c r="X51" i="3"/>
  <c r="Z51" i="3"/>
  <c r="AB51" i="3"/>
  <c r="AD51" i="3"/>
  <c r="AJ51" i="3" s="1"/>
  <c r="AG51" i="3"/>
  <c r="AE51" i="3"/>
  <c r="AK51" i="3" s="1"/>
  <c r="AC51" i="3"/>
  <c r="AA51" i="3"/>
  <c r="Y51" i="3"/>
  <c r="W51" i="3"/>
  <c r="U51" i="3"/>
  <c r="R51" i="3"/>
  <c r="P51" i="3"/>
  <c r="N51" i="3"/>
  <c r="O47" i="3"/>
  <c r="Q47" i="3"/>
  <c r="T47" i="3"/>
  <c r="V47" i="3"/>
  <c r="X47" i="3"/>
  <c r="Z47" i="3"/>
  <c r="AB47" i="3"/>
  <c r="AD47" i="3"/>
  <c r="AJ47" i="3" s="1"/>
  <c r="AG47" i="3"/>
  <c r="AE47" i="3"/>
  <c r="AK47" i="3" s="1"/>
  <c r="AC47" i="3"/>
  <c r="AA47" i="3"/>
  <c r="Y47" i="3"/>
  <c r="W47" i="3"/>
  <c r="U47" i="3"/>
  <c r="R47" i="3"/>
  <c r="P47" i="3"/>
  <c r="N47" i="3"/>
  <c r="O43" i="3"/>
  <c r="Q43" i="3"/>
  <c r="T43" i="3"/>
  <c r="V43" i="3"/>
  <c r="X43" i="3"/>
  <c r="Z43" i="3"/>
  <c r="AB43" i="3"/>
  <c r="AD43" i="3"/>
  <c r="AJ43" i="3" s="1"/>
  <c r="AG43" i="3"/>
  <c r="AE43" i="3"/>
  <c r="AK43" i="3" s="1"/>
  <c r="AC43" i="3"/>
  <c r="AA43" i="3"/>
  <c r="Y43" i="3"/>
  <c r="W43" i="3"/>
  <c r="U43" i="3"/>
  <c r="R43" i="3"/>
  <c r="P43" i="3"/>
  <c r="N43" i="3"/>
  <c r="O39" i="3"/>
  <c r="Q39" i="3"/>
  <c r="T39" i="3"/>
  <c r="V39" i="3"/>
  <c r="X39" i="3"/>
  <c r="Z39" i="3"/>
  <c r="AB39" i="3"/>
  <c r="AD39" i="3"/>
  <c r="AJ39" i="3" s="1"/>
  <c r="AG39" i="3"/>
  <c r="AE39" i="3"/>
  <c r="AK39" i="3" s="1"/>
  <c r="AC39" i="3"/>
  <c r="AA39" i="3"/>
  <c r="Y39" i="3"/>
  <c r="W39" i="3"/>
  <c r="U39" i="3"/>
  <c r="R39" i="3"/>
  <c r="P39" i="3"/>
  <c r="N39" i="3"/>
  <c r="O35" i="3"/>
  <c r="Q35" i="3"/>
  <c r="T35" i="3"/>
  <c r="V35" i="3"/>
  <c r="X35" i="3"/>
  <c r="Z35" i="3"/>
  <c r="AB35" i="3"/>
  <c r="AD35" i="3"/>
  <c r="AJ35" i="3" s="1"/>
  <c r="AG35" i="3"/>
  <c r="AE35" i="3"/>
  <c r="AK35" i="3" s="1"/>
  <c r="AC35" i="3"/>
  <c r="AA35" i="3"/>
  <c r="Y35" i="3"/>
  <c r="W35" i="3"/>
  <c r="U35" i="3"/>
  <c r="R35" i="3"/>
  <c r="P35" i="3"/>
  <c r="N35" i="3"/>
  <c r="O31" i="3"/>
  <c r="Q31" i="3"/>
  <c r="T31" i="3"/>
  <c r="V31" i="3"/>
  <c r="X31" i="3"/>
  <c r="Z31" i="3"/>
  <c r="AB31" i="3"/>
  <c r="AD31" i="3"/>
  <c r="AJ31" i="3" s="1"/>
  <c r="AG31" i="3"/>
  <c r="AE31" i="3"/>
  <c r="AK31" i="3" s="1"/>
  <c r="AC31" i="3"/>
  <c r="AA31" i="3"/>
  <c r="Y31" i="3"/>
  <c r="W31" i="3"/>
  <c r="U31" i="3"/>
  <c r="R31" i="3"/>
  <c r="P31" i="3"/>
  <c r="N31" i="3"/>
  <c r="O27" i="3"/>
  <c r="Q27" i="3"/>
  <c r="T27" i="3"/>
  <c r="V27" i="3"/>
  <c r="X27" i="3"/>
  <c r="Z27" i="3"/>
  <c r="AB27" i="3"/>
  <c r="AD27" i="3"/>
  <c r="AJ27" i="3" s="1"/>
  <c r="AG27" i="3"/>
  <c r="AE27" i="3"/>
  <c r="AK27" i="3" s="1"/>
  <c r="AC27" i="3"/>
  <c r="AA27" i="3"/>
  <c r="Y27" i="3"/>
  <c r="W27" i="3"/>
  <c r="U27" i="3"/>
  <c r="R27" i="3"/>
  <c r="P27" i="3"/>
  <c r="N27" i="3"/>
  <c r="O23" i="3"/>
  <c r="Q23" i="3"/>
  <c r="T23" i="3"/>
  <c r="V23" i="3"/>
  <c r="X23" i="3"/>
  <c r="Z23" i="3"/>
  <c r="AB23" i="3"/>
  <c r="AD23" i="3"/>
  <c r="AJ23" i="3" s="1"/>
  <c r="AG23" i="3"/>
  <c r="AE23" i="3"/>
  <c r="AK23" i="3" s="1"/>
  <c r="AC23" i="3"/>
  <c r="AA23" i="3"/>
  <c r="Y23" i="3"/>
  <c r="W23" i="3"/>
  <c r="U23" i="3"/>
  <c r="R23" i="3"/>
  <c r="P23" i="3"/>
  <c r="N23" i="3"/>
  <c r="O19" i="3"/>
  <c r="Q19" i="3"/>
  <c r="T19" i="3"/>
  <c r="V19" i="3"/>
  <c r="X19" i="3"/>
  <c r="Z19" i="3"/>
  <c r="AB19" i="3"/>
  <c r="AD19" i="3"/>
  <c r="AJ19" i="3" s="1"/>
  <c r="AG19" i="3"/>
  <c r="AE19" i="3"/>
  <c r="AK19" i="3" s="1"/>
  <c r="AC19" i="3"/>
  <c r="AA19" i="3"/>
  <c r="Y19" i="3"/>
  <c r="W19" i="3"/>
  <c r="U19" i="3"/>
  <c r="R19" i="3"/>
  <c r="P19" i="3"/>
  <c r="N19" i="3"/>
  <c r="O15" i="3"/>
  <c r="Q15" i="3"/>
  <c r="T15" i="3"/>
  <c r="V15" i="3"/>
  <c r="X15" i="3"/>
  <c r="Z15" i="3"/>
  <c r="AB15" i="3"/>
  <c r="AD15" i="3"/>
  <c r="AJ15" i="3" s="1"/>
  <c r="AG15" i="3"/>
  <c r="AE15" i="3"/>
  <c r="AK15" i="3" s="1"/>
  <c r="AC15" i="3"/>
  <c r="AA15" i="3"/>
  <c r="Y15" i="3"/>
  <c r="W15" i="3"/>
  <c r="U15" i="3"/>
  <c r="R15" i="3"/>
  <c r="P15" i="3"/>
  <c r="N15" i="3"/>
  <c r="O11" i="3"/>
  <c r="Q11" i="3"/>
  <c r="T11" i="3"/>
  <c r="V11" i="3"/>
  <c r="X11" i="3"/>
  <c r="Z11" i="3"/>
  <c r="AB11" i="3"/>
  <c r="AD11" i="3"/>
  <c r="AJ11" i="3" s="1"/>
  <c r="AG11" i="3"/>
  <c r="AE11" i="3"/>
  <c r="AK11" i="3" s="1"/>
  <c r="AC11" i="3"/>
  <c r="AA11" i="3"/>
  <c r="Y11" i="3"/>
  <c r="W11" i="3"/>
  <c r="U11" i="3"/>
  <c r="R11" i="3"/>
  <c r="P11" i="3"/>
  <c r="N11" i="3"/>
  <c r="AT12" i="3"/>
  <c r="AT13" i="3" s="1"/>
  <c r="AT14" i="3" s="1"/>
  <c r="AU11" i="3"/>
  <c r="O7" i="3"/>
  <c r="Q7" i="3"/>
  <c r="T7" i="3"/>
  <c r="V7" i="3"/>
  <c r="X7" i="3"/>
  <c r="Z7" i="3"/>
  <c r="AB7" i="3"/>
  <c r="AD7" i="3"/>
  <c r="AJ7" i="3" s="1"/>
  <c r="AG7" i="3"/>
  <c r="AE7" i="3"/>
  <c r="AK7" i="3" s="1"/>
  <c r="AC7" i="3"/>
  <c r="AA7" i="3"/>
  <c r="Y7" i="3"/>
  <c r="W7" i="3"/>
  <c r="U7" i="3"/>
  <c r="R7" i="3"/>
  <c r="P7" i="3"/>
  <c r="N7" i="3"/>
  <c r="O115" i="2"/>
  <c r="Q115" i="2"/>
  <c r="T115" i="2"/>
  <c r="V115" i="2"/>
  <c r="X115" i="2"/>
  <c r="Z115" i="2"/>
  <c r="AB115" i="2"/>
  <c r="AD115" i="2"/>
  <c r="AJ115" i="2" s="1"/>
  <c r="AG115" i="2"/>
  <c r="AE115" i="2"/>
  <c r="AK115" i="2" s="1"/>
  <c r="AC115" i="2"/>
  <c r="AA115" i="2"/>
  <c r="Y115" i="2"/>
  <c r="W115" i="2"/>
  <c r="U115" i="2"/>
  <c r="R115" i="2"/>
  <c r="P115" i="2"/>
  <c r="N115" i="2"/>
  <c r="O111" i="2"/>
  <c r="Q111" i="2"/>
  <c r="T111" i="2"/>
  <c r="V111" i="2"/>
  <c r="X111" i="2"/>
  <c r="Z111" i="2"/>
  <c r="AB111" i="2"/>
  <c r="AD111" i="2"/>
  <c r="AJ111" i="2" s="1"/>
  <c r="AG111" i="2"/>
  <c r="AE111" i="2"/>
  <c r="AK111" i="2" s="1"/>
  <c r="AC111" i="2"/>
  <c r="AA111" i="2"/>
  <c r="Y111" i="2"/>
  <c r="W111" i="2"/>
  <c r="U111" i="2"/>
  <c r="R111" i="2"/>
  <c r="P111" i="2"/>
  <c r="N111" i="2"/>
  <c r="O107" i="2"/>
  <c r="Q107" i="2"/>
  <c r="T107" i="2"/>
  <c r="V107" i="2"/>
  <c r="X107" i="2"/>
  <c r="Z107" i="2"/>
  <c r="AB107" i="2"/>
  <c r="AD107" i="2"/>
  <c r="AJ107" i="2" s="1"/>
  <c r="AG107" i="2"/>
  <c r="AE107" i="2"/>
  <c r="AK107" i="2" s="1"/>
  <c r="AC107" i="2"/>
  <c r="AA107" i="2"/>
  <c r="Y107" i="2"/>
  <c r="W107" i="2"/>
  <c r="U107" i="2"/>
  <c r="R107" i="2"/>
  <c r="P107" i="2"/>
  <c r="N107" i="2"/>
  <c r="O103" i="2"/>
  <c r="Q103" i="2"/>
  <c r="T103" i="2"/>
  <c r="V103" i="2"/>
  <c r="X103" i="2"/>
  <c r="Z103" i="2"/>
  <c r="AB103" i="2"/>
  <c r="AD103" i="2"/>
  <c r="AJ103" i="2" s="1"/>
  <c r="AG103" i="2"/>
  <c r="AE103" i="2"/>
  <c r="AK103" i="2" s="1"/>
  <c r="AC103" i="2"/>
  <c r="AA103" i="2"/>
  <c r="Y103" i="2"/>
  <c r="W103" i="2"/>
  <c r="U103" i="2"/>
  <c r="R103" i="2"/>
  <c r="P103" i="2"/>
  <c r="N103" i="2"/>
  <c r="O99" i="2"/>
  <c r="Q99" i="2"/>
  <c r="T99" i="2"/>
  <c r="V99" i="2"/>
  <c r="X99" i="2"/>
  <c r="Z99" i="2"/>
  <c r="AB99" i="2"/>
  <c r="AD99" i="2"/>
  <c r="AJ99" i="2" s="1"/>
  <c r="AG99" i="2"/>
  <c r="AE99" i="2"/>
  <c r="AK99" i="2" s="1"/>
  <c r="AC99" i="2"/>
  <c r="AA99" i="2"/>
  <c r="Y99" i="2"/>
  <c r="W99" i="2"/>
  <c r="U99" i="2"/>
  <c r="R99" i="2"/>
  <c r="P99" i="2"/>
  <c r="N99" i="2"/>
  <c r="O95" i="2"/>
  <c r="Q95" i="2"/>
  <c r="T95" i="2"/>
  <c r="V95" i="2"/>
  <c r="X95" i="2"/>
  <c r="Z95" i="2"/>
  <c r="AB95" i="2"/>
  <c r="AD95" i="2"/>
  <c r="AJ95" i="2" s="1"/>
  <c r="AG95" i="2"/>
  <c r="AE95" i="2"/>
  <c r="AK95" i="2" s="1"/>
  <c r="AC95" i="2"/>
  <c r="AA95" i="2"/>
  <c r="Y95" i="2"/>
  <c r="W95" i="2"/>
  <c r="U95" i="2"/>
  <c r="R95" i="2"/>
  <c r="P95" i="2"/>
  <c r="N95" i="2"/>
  <c r="O91" i="2"/>
  <c r="Q91" i="2"/>
  <c r="T91" i="2"/>
  <c r="V91" i="2"/>
  <c r="X91" i="2"/>
  <c r="Z91" i="2"/>
  <c r="AB91" i="2"/>
  <c r="AD91" i="2"/>
  <c r="AJ91" i="2" s="1"/>
  <c r="AG91" i="2"/>
  <c r="AE91" i="2"/>
  <c r="AK91" i="2" s="1"/>
  <c r="AC91" i="2"/>
  <c r="AA91" i="2"/>
  <c r="Y91" i="2"/>
  <c r="W91" i="2"/>
  <c r="U91" i="2"/>
  <c r="R91" i="2"/>
  <c r="P91" i="2"/>
  <c r="N91" i="2"/>
  <c r="O87" i="2"/>
  <c r="Q87" i="2"/>
  <c r="T87" i="2"/>
  <c r="V87" i="2"/>
  <c r="X87" i="2"/>
  <c r="Z87" i="2"/>
  <c r="AB87" i="2"/>
  <c r="AD87" i="2"/>
  <c r="AJ87" i="2" s="1"/>
  <c r="AG87" i="2"/>
  <c r="AE87" i="2"/>
  <c r="AK87" i="2" s="1"/>
  <c r="AC87" i="2"/>
  <c r="AA87" i="2"/>
  <c r="Y87" i="2"/>
  <c r="W87" i="2"/>
  <c r="U87" i="2"/>
  <c r="R87" i="2"/>
  <c r="P87" i="2"/>
  <c r="N87" i="2"/>
  <c r="O83" i="2"/>
  <c r="Q83" i="2"/>
  <c r="T83" i="2"/>
  <c r="V83" i="2"/>
  <c r="X83" i="2"/>
  <c r="Z83" i="2"/>
  <c r="AB83" i="2"/>
  <c r="AD83" i="2"/>
  <c r="AJ83" i="2" s="1"/>
  <c r="AG83" i="2"/>
  <c r="AE83" i="2"/>
  <c r="AK83" i="2" s="1"/>
  <c r="AC83" i="2"/>
  <c r="AA83" i="2"/>
  <c r="Y83" i="2"/>
  <c r="W83" i="2"/>
  <c r="U83" i="2"/>
  <c r="R83" i="2"/>
  <c r="P83" i="2"/>
  <c r="N83" i="2"/>
  <c r="O79" i="2"/>
  <c r="Q79" i="2"/>
  <c r="T79" i="2"/>
  <c r="V79" i="2"/>
  <c r="X79" i="2"/>
  <c r="Z79" i="2"/>
  <c r="AB79" i="2"/>
  <c r="AD79" i="2"/>
  <c r="AJ79" i="2" s="1"/>
  <c r="AG79" i="2"/>
  <c r="AE79" i="2"/>
  <c r="AK79" i="2" s="1"/>
  <c r="AC79" i="2"/>
  <c r="AA79" i="2"/>
  <c r="Y79" i="2"/>
  <c r="W79" i="2"/>
  <c r="U79" i="2"/>
  <c r="R79" i="2"/>
  <c r="P79" i="2"/>
  <c r="N79" i="2"/>
  <c r="O75" i="2"/>
  <c r="Q75" i="2"/>
  <c r="T75" i="2"/>
  <c r="V75" i="2"/>
  <c r="X75" i="2"/>
  <c r="Z75" i="2"/>
  <c r="AB75" i="2"/>
  <c r="AD75" i="2"/>
  <c r="AJ75" i="2" s="1"/>
  <c r="AG75" i="2"/>
  <c r="AE75" i="2"/>
  <c r="AK75" i="2" s="1"/>
  <c r="AC75" i="2"/>
  <c r="AA75" i="2"/>
  <c r="Y75" i="2"/>
  <c r="W75" i="2"/>
  <c r="U75" i="2"/>
  <c r="R75" i="2"/>
  <c r="P75" i="2"/>
  <c r="N75" i="2"/>
  <c r="O71" i="2"/>
  <c r="Q71" i="2"/>
  <c r="T71" i="2"/>
  <c r="V71" i="2"/>
  <c r="X71" i="2"/>
  <c r="Z71" i="2"/>
  <c r="AB71" i="2"/>
  <c r="AD71" i="2"/>
  <c r="AJ71" i="2" s="1"/>
  <c r="AG71" i="2"/>
  <c r="AE71" i="2"/>
  <c r="AK71" i="2" s="1"/>
  <c r="AC71" i="2"/>
  <c r="AA71" i="2"/>
  <c r="Y71" i="2"/>
  <c r="W71" i="2"/>
  <c r="U71" i="2"/>
  <c r="R71" i="2"/>
  <c r="P71" i="2"/>
  <c r="N71" i="2"/>
  <c r="O67" i="2"/>
  <c r="Q67" i="2"/>
  <c r="T67" i="2"/>
  <c r="V67" i="2"/>
  <c r="X67" i="2"/>
  <c r="Z67" i="2"/>
  <c r="AB67" i="2"/>
  <c r="AD67" i="2"/>
  <c r="AJ67" i="2" s="1"/>
  <c r="AG67" i="2"/>
  <c r="AE67" i="2"/>
  <c r="AK67" i="2" s="1"/>
  <c r="AC67" i="2"/>
  <c r="AA67" i="2"/>
  <c r="Y67" i="2"/>
  <c r="W67" i="2"/>
  <c r="U67" i="2"/>
  <c r="R67" i="2"/>
  <c r="P67" i="2"/>
  <c r="N67" i="2"/>
  <c r="O63" i="2"/>
  <c r="Q63" i="2"/>
  <c r="T63" i="2"/>
  <c r="V63" i="2"/>
  <c r="X63" i="2"/>
  <c r="Z63" i="2"/>
  <c r="AB63" i="2"/>
  <c r="AD63" i="2"/>
  <c r="AJ63" i="2" s="1"/>
  <c r="AG63" i="2"/>
  <c r="AE63" i="2"/>
  <c r="AK63" i="2" s="1"/>
  <c r="AC63" i="2"/>
  <c r="AA63" i="2"/>
  <c r="Y63" i="2"/>
  <c r="W63" i="2"/>
  <c r="U63" i="2"/>
  <c r="R63" i="2"/>
  <c r="P63" i="2"/>
  <c r="N63" i="2"/>
  <c r="O59" i="2"/>
  <c r="Q59" i="2"/>
  <c r="T59" i="2"/>
  <c r="V59" i="2"/>
  <c r="X59" i="2"/>
  <c r="Z59" i="2"/>
  <c r="AB59" i="2"/>
  <c r="AD59" i="2"/>
  <c r="AJ59" i="2" s="1"/>
  <c r="AG59" i="2"/>
  <c r="AE59" i="2"/>
  <c r="AK59" i="2" s="1"/>
  <c r="AC59" i="2"/>
  <c r="AA59" i="2"/>
  <c r="Y59" i="2"/>
  <c r="W59" i="2"/>
  <c r="U59" i="2"/>
  <c r="R59" i="2"/>
  <c r="P59" i="2"/>
  <c r="N59" i="2"/>
  <c r="O55" i="2"/>
  <c r="Q55" i="2"/>
  <c r="T55" i="2"/>
  <c r="V55" i="2"/>
  <c r="X55" i="2"/>
  <c r="Z55" i="2"/>
  <c r="AB55" i="2"/>
  <c r="AD55" i="2"/>
  <c r="AJ55" i="2" s="1"/>
  <c r="AG55" i="2"/>
  <c r="AE55" i="2"/>
  <c r="AK55" i="2" s="1"/>
  <c r="AC55" i="2"/>
  <c r="AA55" i="2"/>
  <c r="Y55" i="2"/>
  <c r="W55" i="2"/>
  <c r="U55" i="2"/>
  <c r="R55" i="2"/>
  <c r="P55" i="2"/>
  <c r="N55" i="2"/>
  <c r="O51" i="2"/>
  <c r="Q51" i="2"/>
  <c r="T51" i="2"/>
  <c r="V51" i="2"/>
  <c r="X51" i="2"/>
  <c r="Z51" i="2"/>
  <c r="AB51" i="2"/>
  <c r="AD51" i="2"/>
  <c r="AJ51" i="2" s="1"/>
  <c r="AG51" i="2"/>
  <c r="AE51" i="2"/>
  <c r="AK51" i="2" s="1"/>
  <c r="AC51" i="2"/>
  <c r="AA51" i="2"/>
  <c r="Y51" i="2"/>
  <c r="W51" i="2"/>
  <c r="U51" i="2"/>
  <c r="R51" i="2"/>
  <c r="P51" i="2"/>
  <c r="N51" i="2"/>
  <c r="O47" i="2"/>
  <c r="Q47" i="2"/>
  <c r="T47" i="2"/>
  <c r="V47" i="2"/>
  <c r="X47" i="2"/>
  <c r="Z47" i="2"/>
  <c r="AB47" i="2"/>
  <c r="AD47" i="2"/>
  <c r="AJ47" i="2" s="1"/>
  <c r="AG47" i="2"/>
  <c r="AE47" i="2"/>
  <c r="AK47" i="2" s="1"/>
  <c r="AC47" i="2"/>
  <c r="AA47" i="2"/>
  <c r="Y47" i="2"/>
  <c r="W47" i="2"/>
  <c r="U47" i="2"/>
  <c r="R47" i="2"/>
  <c r="P47" i="2"/>
  <c r="N47" i="2"/>
  <c r="O43" i="2"/>
  <c r="Q43" i="2"/>
  <c r="T43" i="2"/>
  <c r="V43" i="2"/>
  <c r="X43" i="2"/>
  <c r="Z43" i="2"/>
  <c r="AB43" i="2"/>
  <c r="AD43" i="2"/>
  <c r="AJ43" i="2" s="1"/>
  <c r="AG43" i="2"/>
  <c r="AE43" i="2"/>
  <c r="AK43" i="2" s="1"/>
  <c r="AC43" i="2"/>
  <c r="AA43" i="2"/>
  <c r="Y43" i="2"/>
  <c r="W43" i="2"/>
  <c r="U43" i="2"/>
  <c r="R43" i="2"/>
  <c r="P43" i="2"/>
  <c r="N43" i="2"/>
  <c r="O39" i="2"/>
  <c r="Q39" i="2"/>
  <c r="T39" i="2"/>
  <c r="V39" i="2"/>
  <c r="X39" i="2"/>
  <c r="Z39" i="2"/>
  <c r="AB39" i="2"/>
  <c r="AD39" i="2"/>
  <c r="AJ39" i="2" s="1"/>
  <c r="AG39" i="2"/>
  <c r="AE39" i="2"/>
  <c r="AK39" i="2" s="1"/>
  <c r="AC39" i="2"/>
  <c r="AA39" i="2"/>
  <c r="Y39" i="2"/>
  <c r="W39" i="2"/>
  <c r="U39" i="2"/>
  <c r="R39" i="2"/>
  <c r="P39" i="2"/>
  <c r="N39" i="2"/>
  <c r="O35" i="2"/>
  <c r="Q35" i="2"/>
  <c r="T35" i="2"/>
  <c r="V35" i="2"/>
  <c r="X35" i="2"/>
  <c r="Z35" i="2"/>
  <c r="AB35" i="2"/>
  <c r="AD35" i="2"/>
  <c r="AJ35" i="2" s="1"/>
  <c r="AG35" i="2"/>
  <c r="AE35" i="2"/>
  <c r="AK35" i="2" s="1"/>
  <c r="AC35" i="2"/>
  <c r="AA35" i="2"/>
  <c r="Y35" i="2"/>
  <c r="W35" i="2"/>
  <c r="U35" i="2"/>
  <c r="R35" i="2"/>
  <c r="P35" i="2"/>
  <c r="N35" i="2"/>
  <c r="O31" i="2"/>
  <c r="Q31" i="2"/>
  <c r="T31" i="2"/>
  <c r="V31" i="2"/>
  <c r="X31" i="2"/>
  <c r="Z31" i="2"/>
  <c r="AB31" i="2"/>
  <c r="AD31" i="2"/>
  <c r="AJ31" i="2" s="1"/>
  <c r="AG31" i="2"/>
  <c r="AE31" i="2"/>
  <c r="AK31" i="2" s="1"/>
  <c r="AC31" i="2"/>
  <c r="AA31" i="2"/>
  <c r="Y31" i="2"/>
  <c r="W31" i="2"/>
  <c r="U31" i="2"/>
  <c r="R31" i="2"/>
  <c r="P31" i="2"/>
  <c r="N31" i="2"/>
  <c r="O27" i="2"/>
  <c r="Q27" i="2"/>
  <c r="T27" i="2"/>
  <c r="V27" i="2"/>
  <c r="X27" i="2"/>
  <c r="Z27" i="2"/>
  <c r="AB27" i="2"/>
  <c r="AD27" i="2"/>
  <c r="AJ27" i="2" s="1"/>
  <c r="AG27" i="2"/>
  <c r="AE27" i="2"/>
  <c r="AK27" i="2" s="1"/>
  <c r="AC27" i="2"/>
  <c r="AA27" i="2"/>
  <c r="Y27" i="2"/>
  <c r="W27" i="2"/>
  <c r="U27" i="2"/>
  <c r="R27" i="2"/>
  <c r="P27" i="2"/>
  <c r="N27" i="2"/>
  <c r="O23" i="2"/>
  <c r="Q23" i="2"/>
  <c r="T23" i="2"/>
  <c r="V23" i="2"/>
  <c r="X23" i="2"/>
  <c r="Z23" i="2"/>
  <c r="AB23" i="2"/>
  <c r="AD23" i="2"/>
  <c r="AJ23" i="2" s="1"/>
  <c r="AG23" i="2"/>
  <c r="AE23" i="2"/>
  <c r="AK23" i="2" s="1"/>
  <c r="AC23" i="2"/>
  <c r="AA23" i="2"/>
  <c r="Y23" i="2"/>
  <c r="W23" i="2"/>
  <c r="U23" i="2"/>
  <c r="R23" i="2"/>
  <c r="P23" i="2"/>
  <c r="N23" i="2"/>
  <c r="O19" i="2"/>
  <c r="Q19" i="2"/>
  <c r="T19" i="2"/>
  <c r="V19" i="2"/>
  <c r="X19" i="2"/>
  <c r="Z19" i="2"/>
  <c r="AB19" i="2"/>
  <c r="AD19" i="2"/>
  <c r="AJ19" i="2" s="1"/>
  <c r="AG19" i="2"/>
  <c r="AE19" i="2"/>
  <c r="AK19" i="2" s="1"/>
  <c r="AC19" i="2"/>
  <c r="AA19" i="2"/>
  <c r="Y19" i="2"/>
  <c r="W19" i="2"/>
  <c r="U19" i="2"/>
  <c r="R19" i="2"/>
  <c r="P19" i="2"/>
  <c r="N19" i="2"/>
  <c r="O15" i="2"/>
  <c r="Q15" i="2"/>
  <c r="T15" i="2"/>
  <c r="V15" i="2"/>
  <c r="X15" i="2"/>
  <c r="Z15" i="2"/>
  <c r="AB15" i="2"/>
  <c r="AD15" i="2"/>
  <c r="AJ15" i="2" s="1"/>
  <c r="AG15" i="2"/>
  <c r="AE15" i="2"/>
  <c r="AK15" i="2" s="1"/>
  <c r="AC15" i="2"/>
  <c r="AA15" i="2"/>
  <c r="Y15" i="2"/>
  <c r="W15" i="2"/>
  <c r="U15" i="2"/>
  <c r="R15" i="2"/>
  <c r="P15" i="2"/>
  <c r="N15" i="2"/>
  <c r="O11" i="2"/>
  <c r="Q11" i="2"/>
  <c r="T11" i="2"/>
  <c r="V11" i="2"/>
  <c r="X11" i="2"/>
  <c r="Z11" i="2"/>
  <c r="AB11" i="2"/>
  <c r="AD11" i="2"/>
  <c r="AJ11" i="2" s="1"/>
  <c r="AG11" i="2"/>
  <c r="AE11" i="2"/>
  <c r="AK11" i="2" s="1"/>
  <c r="AC11" i="2"/>
  <c r="AA11" i="2"/>
  <c r="Y11" i="2"/>
  <c r="W11" i="2"/>
  <c r="U11" i="2"/>
  <c r="R11" i="2"/>
  <c r="P11" i="2"/>
  <c r="N11" i="2"/>
  <c r="AT12" i="2"/>
  <c r="AT13" i="2" s="1"/>
  <c r="AT14" i="2" s="1"/>
  <c r="AU11" i="2"/>
  <c r="O7" i="2"/>
  <c r="Q7" i="2"/>
  <c r="T7" i="2"/>
  <c r="V7" i="2"/>
  <c r="X7" i="2"/>
  <c r="Z7" i="2"/>
  <c r="AB7" i="2"/>
  <c r="AD7" i="2"/>
  <c r="AJ7" i="2" s="1"/>
  <c r="AG7" i="2"/>
  <c r="AE7" i="2"/>
  <c r="AK7" i="2" s="1"/>
  <c r="AC7" i="2"/>
  <c r="AA7" i="2"/>
  <c r="Y7" i="2"/>
  <c r="W7" i="2"/>
  <c r="U7" i="2"/>
  <c r="R7" i="2"/>
  <c r="P7" i="2"/>
  <c r="N7" i="2"/>
  <c r="O127" i="1"/>
  <c r="Q127" i="1"/>
  <c r="T127" i="1"/>
  <c r="V127" i="1"/>
  <c r="X127" i="1"/>
  <c r="Z127" i="1"/>
  <c r="AB127" i="1"/>
  <c r="AD127" i="1"/>
  <c r="AJ127" i="1" s="1"/>
  <c r="AG127" i="1"/>
  <c r="AE127" i="1"/>
  <c r="AK127" i="1" s="1"/>
  <c r="AC127" i="1"/>
  <c r="AA127" i="1"/>
  <c r="Y127" i="1"/>
  <c r="W127" i="1"/>
  <c r="U127" i="1"/>
  <c r="R127" i="1"/>
  <c r="P127" i="1"/>
  <c r="N127" i="1"/>
  <c r="O123" i="1"/>
  <c r="Q123" i="1"/>
  <c r="T123" i="1"/>
  <c r="V123" i="1"/>
  <c r="X123" i="1"/>
  <c r="Z123" i="1"/>
  <c r="AB123" i="1"/>
  <c r="AD123" i="1"/>
  <c r="AJ123" i="1" s="1"/>
  <c r="AG123" i="1"/>
  <c r="AE123" i="1"/>
  <c r="AK123" i="1" s="1"/>
  <c r="AC123" i="1"/>
  <c r="AA123" i="1"/>
  <c r="Y123" i="1"/>
  <c r="W123" i="1"/>
  <c r="U123" i="1"/>
  <c r="R123" i="1"/>
  <c r="P123" i="1"/>
  <c r="N123" i="1"/>
  <c r="O119" i="1"/>
  <c r="Q119" i="1"/>
  <c r="T119" i="1"/>
  <c r="V119" i="1"/>
  <c r="X119" i="1"/>
  <c r="Z119" i="1"/>
  <c r="AB119" i="1"/>
  <c r="AD119" i="1"/>
  <c r="AJ119" i="1" s="1"/>
  <c r="AG119" i="1"/>
  <c r="AE119" i="1"/>
  <c r="AK119" i="1" s="1"/>
  <c r="AC119" i="1"/>
  <c r="AA119" i="1"/>
  <c r="Y119" i="1"/>
  <c r="W119" i="1"/>
  <c r="U119" i="1"/>
  <c r="R119" i="1"/>
  <c r="P119" i="1"/>
  <c r="N119" i="1"/>
  <c r="O115" i="1"/>
  <c r="Q115" i="1"/>
  <c r="T115" i="1"/>
  <c r="V115" i="1"/>
  <c r="X115" i="1"/>
  <c r="Z115" i="1"/>
  <c r="AB115" i="1"/>
  <c r="AD115" i="1"/>
  <c r="AJ115" i="1" s="1"/>
  <c r="AG115" i="1"/>
  <c r="AE115" i="1"/>
  <c r="AK115" i="1" s="1"/>
  <c r="AC115" i="1"/>
  <c r="AA115" i="1"/>
  <c r="Y115" i="1"/>
  <c r="W115" i="1"/>
  <c r="U115" i="1"/>
  <c r="R115" i="1"/>
  <c r="P115" i="1"/>
  <c r="N115" i="1"/>
  <c r="O111" i="1"/>
  <c r="Q111" i="1"/>
  <c r="T111" i="1"/>
  <c r="V111" i="1"/>
  <c r="X111" i="1"/>
  <c r="Z111" i="1"/>
  <c r="AB111" i="1"/>
  <c r="AD111" i="1"/>
  <c r="AJ111" i="1" s="1"/>
  <c r="AG111" i="1"/>
  <c r="AE111" i="1"/>
  <c r="AK111" i="1" s="1"/>
  <c r="AC111" i="1"/>
  <c r="AA111" i="1"/>
  <c r="Y111" i="1"/>
  <c r="W111" i="1"/>
  <c r="U111" i="1"/>
  <c r="R111" i="1"/>
  <c r="P111" i="1"/>
  <c r="N111" i="1"/>
  <c r="O107" i="1"/>
  <c r="Q107" i="1"/>
  <c r="T107" i="1"/>
  <c r="V107" i="1"/>
  <c r="X107" i="1"/>
  <c r="Z107" i="1"/>
  <c r="AB107" i="1"/>
  <c r="AD107" i="1"/>
  <c r="AJ107" i="1" s="1"/>
  <c r="AG107" i="1"/>
  <c r="AE107" i="1"/>
  <c r="AK107" i="1" s="1"/>
  <c r="AC107" i="1"/>
  <c r="AA107" i="1"/>
  <c r="Y107" i="1"/>
  <c r="W107" i="1"/>
  <c r="U107" i="1"/>
  <c r="R107" i="1"/>
  <c r="P107" i="1"/>
  <c r="N107" i="1"/>
  <c r="O103" i="1"/>
  <c r="Q103" i="1"/>
  <c r="T103" i="1"/>
  <c r="V103" i="1"/>
  <c r="X103" i="1"/>
  <c r="Z103" i="1"/>
  <c r="AB103" i="1"/>
  <c r="AD103" i="1"/>
  <c r="AJ103" i="1" s="1"/>
  <c r="AG103" i="1"/>
  <c r="AE103" i="1"/>
  <c r="AK103" i="1" s="1"/>
  <c r="AC103" i="1"/>
  <c r="AA103" i="1"/>
  <c r="Y103" i="1"/>
  <c r="W103" i="1"/>
  <c r="U103" i="1"/>
  <c r="R103" i="1"/>
  <c r="P103" i="1"/>
  <c r="N103" i="1"/>
  <c r="O99" i="1"/>
  <c r="Q99" i="1"/>
  <c r="T99" i="1"/>
  <c r="V99" i="1"/>
  <c r="X99" i="1"/>
  <c r="Z99" i="1"/>
  <c r="AB99" i="1"/>
  <c r="AD99" i="1"/>
  <c r="AJ99" i="1" s="1"/>
  <c r="AG99" i="1"/>
  <c r="AE99" i="1"/>
  <c r="AK99" i="1" s="1"/>
  <c r="AC99" i="1"/>
  <c r="AA99" i="1"/>
  <c r="Y99" i="1"/>
  <c r="W99" i="1"/>
  <c r="U99" i="1"/>
  <c r="R99" i="1"/>
  <c r="P99" i="1"/>
  <c r="N99" i="1"/>
  <c r="O95" i="1"/>
  <c r="Q95" i="1"/>
  <c r="T95" i="1"/>
  <c r="V95" i="1"/>
  <c r="X95" i="1"/>
  <c r="Z95" i="1"/>
  <c r="AB95" i="1"/>
  <c r="AD95" i="1"/>
  <c r="AJ95" i="1" s="1"/>
  <c r="AG95" i="1"/>
  <c r="AE95" i="1"/>
  <c r="AK95" i="1" s="1"/>
  <c r="AC95" i="1"/>
  <c r="AA95" i="1"/>
  <c r="Y95" i="1"/>
  <c r="W95" i="1"/>
  <c r="U95" i="1"/>
  <c r="R95" i="1"/>
  <c r="P95" i="1"/>
  <c r="N95" i="1"/>
  <c r="O91" i="1"/>
  <c r="Q91" i="1"/>
  <c r="T91" i="1"/>
  <c r="V91" i="1"/>
  <c r="X91" i="1"/>
  <c r="Z91" i="1"/>
  <c r="AB91" i="1"/>
  <c r="AD91" i="1"/>
  <c r="AJ91" i="1" s="1"/>
  <c r="AG91" i="1"/>
  <c r="AE91" i="1"/>
  <c r="AK91" i="1" s="1"/>
  <c r="AC91" i="1"/>
  <c r="AA91" i="1"/>
  <c r="Y91" i="1"/>
  <c r="W91" i="1"/>
  <c r="U91" i="1"/>
  <c r="R91" i="1"/>
  <c r="P91" i="1"/>
  <c r="N91" i="1"/>
  <c r="O87" i="1"/>
  <c r="Q87" i="1"/>
  <c r="T87" i="1"/>
  <c r="V87" i="1"/>
  <c r="X87" i="1"/>
  <c r="Z87" i="1"/>
  <c r="AB87" i="1"/>
  <c r="AD87" i="1"/>
  <c r="AJ87" i="1" s="1"/>
  <c r="AG87" i="1"/>
  <c r="AE87" i="1"/>
  <c r="AK87" i="1" s="1"/>
  <c r="AC87" i="1"/>
  <c r="AA87" i="1"/>
  <c r="Y87" i="1"/>
  <c r="W87" i="1"/>
  <c r="U87" i="1"/>
  <c r="R87" i="1"/>
  <c r="P87" i="1"/>
  <c r="N87" i="1"/>
  <c r="O83" i="1"/>
  <c r="Q83" i="1"/>
  <c r="T83" i="1"/>
  <c r="V83" i="1"/>
  <c r="X83" i="1"/>
  <c r="Z83" i="1"/>
  <c r="AB83" i="1"/>
  <c r="AD83" i="1"/>
  <c r="AJ83" i="1" s="1"/>
  <c r="AG83" i="1"/>
  <c r="AE83" i="1"/>
  <c r="AK83" i="1" s="1"/>
  <c r="AC83" i="1"/>
  <c r="AA83" i="1"/>
  <c r="Y83" i="1"/>
  <c r="W83" i="1"/>
  <c r="U83" i="1"/>
  <c r="R83" i="1"/>
  <c r="P83" i="1"/>
  <c r="N83" i="1"/>
  <c r="O79" i="1"/>
  <c r="Q79" i="1"/>
  <c r="T79" i="1"/>
  <c r="V79" i="1"/>
  <c r="X79" i="1"/>
  <c r="Z79" i="1"/>
  <c r="AB79" i="1"/>
  <c r="AD79" i="1"/>
  <c r="AJ79" i="1" s="1"/>
  <c r="AG79" i="1"/>
  <c r="AE79" i="1"/>
  <c r="AK79" i="1" s="1"/>
  <c r="AC79" i="1"/>
  <c r="AA79" i="1"/>
  <c r="Y79" i="1"/>
  <c r="W79" i="1"/>
  <c r="U79" i="1"/>
  <c r="R79" i="1"/>
  <c r="P79" i="1"/>
  <c r="N79" i="1"/>
  <c r="O75" i="1"/>
  <c r="Q75" i="1"/>
  <c r="T75" i="1"/>
  <c r="V75" i="1"/>
  <c r="X75" i="1"/>
  <c r="Z75" i="1"/>
  <c r="AB75" i="1"/>
  <c r="AD75" i="1"/>
  <c r="AJ75" i="1" s="1"/>
  <c r="AG75" i="1"/>
  <c r="AE75" i="1"/>
  <c r="AK75" i="1" s="1"/>
  <c r="AC75" i="1"/>
  <c r="AA75" i="1"/>
  <c r="Y75" i="1"/>
  <c r="W75" i="1"/>
  <c r="U75" i="1"/>
  <c r="R75" i="1"/>
  <c r="P75" i="1"/>
  <c r="N75" i="1"/>
  <c r="O71" i="1"/>
  <c r="Q71" i="1"/>
  <c r="T71" i="1"/>
  <c r="V71" i="1"/>
  <c r="X71" i="1"/>
  <c r="Z71" i="1"/>
  <c r="AB71" i="1"/>
  <c r="AD71" i="1"/>
  <c r="AJ71" i="1" s="1"/>
  <c r="AG71" i="1"/>
  <c r="AE71" i="1"/>
  <c r="AK71" i="1" s="1"/>
  <c r="AC71" i="1"/>
  <c r="AA71" i="1"/>
  <c r="Y71" i="1"/>
  <c r="W71" i="1"/>
  <c r="U71" i="1"/>
  <c r="R71" i="1"/>
  <c r="P71" i="1"/>
  <c r="N71" i="1"/>
  <c r="O67" i="1"/>
  <c r="Q67" i="1"/>
  <c r="T67" i="1"/>
  <c r="V67" i="1"/>
  <c r="X67" i="1"/>
  <c r="Z67" i="1"/>
  <c r="AB67" i="1"/>
  <c r="AD67" i="1"/>
  <c r="AJ67" i="1" s="1"/>
  <c r="AG67" i="1"/>
  <c r="AE67" i="1"/>
  <c r="AK67" i="1" s="1"/>
  <c r="AC67" i="1"/>
  <c r="AA67" i="1"/>
  <c r="Y67" i="1"/>
  <c r="W67" i="1"/>
  <c r="U67" i="1"/>
  <c r="R67" i="1"/>
  <c r="P67" i="1"/>
  <c r="N67" i="1"/>
  <c r="O63" i="1"/>
  <c r="Q63" i="1"/>
  <c r="T63" i="1"/>
  <c r="V63" i="1"/>
  <c r="X63" i="1"/>
  <c r="Z63" i="1"/>
  <c r="AB63" i="1"/>
  <c r="AD63" i="1"/>
  <c r="AJ63" i="1" s="1"/>
  <c r="AG63" i="1"/>
  <c r="AE63" i="1"/>
  <c r="AK63" i="1" s="1"/>
  <c r="AC63" i="1"/>
  <c r="AA63" i="1"/>
  <c r="Y63" i="1"/>
  <c r="W63" i="1"/>
  <c r="U63" i="1"/>
  <c r="R63" i="1"/>
  <c r="P63" i="1"/>
  <c r="N63" i="1"/>
  <c r="O59" i="1"/>
  <c r="Q59" i="1"/>
  <c r="T59" i="1"/>
  <c r="V59" i="1"/>
  <c r="X59" i="1"/>
  <c r="Z59" i="1"/>
  <c r="AB59" i="1"/>
  <c r="AD59" i="1"/>
  <c r="AJ59" i="1" s="1"/>
  <c r="AG59" i="1"/>
  <c r="AE59" i="1"/>
  <c r="AK59" i="1" s="1"/>
  <c r="AC59" i="1"/>
  <c r="AA59" i="1"/>
  <c r="Y59" i="1"/>
  <c r="W59" i="1"/>
  <c r="U59" i="1"/>
  <c r="R59" i="1"/>
  <c r="P59" i="1"/>
  <c r="N59" i="1"/>
  <c r="O55" i="1"/>
  <c r="Q55" i="1"/>
  <c r="T55" i="1"/>
  <c r="V55" i="1"/>
  <c r="X55" i="1"/>
  <c r="Z55" i="1"/>
  <c r="AB55" i="1"/>
  <c r="AD55" i="1"/>
  <c r="AJ55" i="1" s="1"/>
  <c r="AG55" i="1"/>
  <c r="AE55" i="1"/>
  <c r="AK55" i="1" s="1"/>
  <c r="AC55" i="1"/>
  <c r="AA55" i="1"/>
  <c r="Y55" i="1"/>
  <c r="W55" i="1"/>
  <c r="U55" i="1"/>
  <c r="R55" i="1"/>
  <c r="P55" i="1"/>
  <c r="N55" i="1"/>
  <c r="O51" i="1"/>
  <c r="Q51" i="1"/>
  <c r="T51" i="1"/>
  <c r="V51" i="1"/>
  <c r="X51" i="1"/>
  <c r="Z51" i="1"/>
  <c r="AB51" i="1"/>
  <c r="AD51" i="1"/>
  <c r="AJ51" i="1" s="1"/>
  <c r="AG51" i="1"/>
  <c r="AE51" i="1"/>
  <c r="AK51" i="1" s="1"/>
  <c r="AC51" i="1"/>
  <c r="AA51" i="1"/>
  <c r="Y51" i="1"/>
  <c r="W51" i="1"/>
  <c r="U51" i="1"/>
  <c r="R51" i="1"/>
  <c r="P51" i="1"/>
  <c r="N51" i="1"/>
  <c r="O47" i="1"/>
  <c r="Q47" i="1"/>
  <c r="T47" i="1"/>
  <c r="V47" i="1"/>
  <c r="X47" i="1"/>
  <c r="Z47" i="1"/>
  <c r="AB47" i="1"/>
  <c r="AD47" i="1"/>
  <c r="AJ47" i="1" s="1"/>
  <c r="AG47" i="1"/>
  <c r="AE47" i="1"/>
  <c r="AK47" i="1" s="1"/>
  <c r="AC47" i="1"/>
  <c r="AA47" i="1"/>
  <c r="Y47" i="1"/>
  <c r="W47" i="1"/>
  <c r="U47" i="1"/>
  <c r="R47" i="1"/>
  <c r="P47" i="1"/>
  <c r="N47" i="1"/>
  <c r="O43" i="1"/>
  <c r="Q43" i="1"/>
  <c r="T43" i="1"/>
  <c r="V43" i="1"/>
  <c r="X43" i="1"/>
  <c r="Z43" i="1"/>
  <c r="AB43" i="1"/>
  <c r="AD43" i="1"/>
  <c r="AJ43" i="1" s="1"/>
  <c r="AG43" i="1"/>
  <c r="AE43" i="1"/>
  <c r="AK43" i="1" s="1"/>
  <c r="AC43" i="1"/>
  <c r="AA43" i="1"/>
  <c r="Y43" i="1"/>
  <c r="W43" i="1"/>
  <c r="U43" i="1"/>
  <c r="R43" i="1"/>
  <c r="P43" i="1"/>
  <c r="N43" i="1"/>
  <c r="O39" i="1"/>
  <c r="Q39" i="1"/>
  <c r="T39" i="1"/>
  <c r="V39" i="1"/>
  <c r="X39" i="1"/>
  <c r="Z39" i="1"/>
  <c r="AB39" i="1"/>
  <c r="AD39" i="1"/>
  <c r="AJ39" i="1" s="1"/>
  <c r="AG39" i="1"/>
  <c r="AE39" i="1"/>
  <c r="AK39" i="1" s="1"/>
  <c r="AC39" i="1"/>
  <c r="AA39" i="1"/>
  <c r="Y39" i="1"/>
  <c r="W39" i="1"/>
  <c r="U39" i="1"/>
  <c r="R39" i="1"/>
  <c r="P39" i="1"/>
  <c r="N39" i="1"/>
  <c r="O35" i="1"/>
  <c r="Q35" i="1"/>
  <c r="T35" i="1"/>
  <c r="V35" i="1"/>
  <c r="X35" i="1"/>
  <c r="Z35" i="1"/>
  <c r="AB35" i="1"/>
  <c r="AD35" i="1"/>
  <c r="AJ35" i="1" s="1"/>
  <c r="AG35" i="1"/>
  <c r="AE35" i="1"/>
  <c r="AK35" i="1" s="1"/>
  <c r="AC35" i="1"/>
  <c r="AA35" i="1"/>
  <c r="Y35" i="1"/>
  <c r="W35" i="1"/>
  <c r="U35" i="1"/>
  <c r="R35" i="1"/>
  <c r="P35" i="1"/>
  <c r="N35" i="1"/>
  <c r="O31" i="1"/>
  <c r="Q31" i="1"/>
  <c r="T31" i="1"/>
  <c r="V31" i="1"/>
  <c r="X31" i="1"/>
  <c r="Z31" i="1"/>
  <c r="AB31" i="1"/>
  <c r="AD31" i="1"/>
  <c r="AJ31" i="1" s="1"/>
  <c r="AG31" i="1"/>
  <c r="AE31" i="1"/>
  <c r="AK31" i="1" s="1"/>
  <c r="AC31" i="1"/>
  <c r="AA31" i="1"/>
  <c r="Y31" i="1"/>
  <c r="W31" i="1"/>
  <c r="U31" i="1"/>
  <c r="R31" i="1"/>
  <c r="P31" i="1"/>
  <c r="N31" i="1"/>
  <c r="O27" i="1"/>
  <c r="Q27" i="1"/>
  <c r="T27" i="1"/>
  <c r="V27" i="1"/>
  <c r="X27" i="1"/>
  <c r="Z27" i="1"/>
  <c r="AB27" i="1"/>
  <c r="AD27" i="1"/>
  <c r="AJ27" i="1" s="1"/>
  <c r="AG27" i="1"/>
  <c r="AE27" i="1"/>
  <c r="AK27" i="1" s="1"/>
  <c r="AC27" i="1"/>
  <c r="AA27" i="1"/>
  <c r="Y27" i="1"/>
  <c r="W27" i="1"/>
  <c r="U27" i="1"/>
  <c r="R27" i="1"/>
  <c r="P27" i="1"/>
  <c r="N27" i="1"/>
  <c r="AT28" i="1"/>
  <c r="AT29" i="1" s="1"/>
  <c r="AT30" i="1" s="1"/>
  <c r="AU27" i="1"/>
  <c r="O23" i="1"/>
  <c r="Q23" i="1"/>
  <c r="T23" i="1"/>
  <c r="V23" i="1"/>
  <c r="X23" i="1"/>
  <c r="Z23" i="1"/>
  <c r="AB23" i="1"/>
  <c r="AD23" i="1"/>
  <c r="AJ23" i="1" s="1"/>
  <c r="AG23" i="1"/>
  <c r="AE23" i="1"/>
  <c r="AK23" i="1" s="1"/>
  <c r="AC23" i="1"/>
  <c r="AA23" i="1"/>
  <c r="Y23" i="1"/>
  <c r="W23" i="1"/>
  <c r="U23" i="1"/>
  <c r="R23" i="1"/>
  <c r="P23" i="1"/>
  <c r="N23" i="1"/>
  <c r="AT4" i="1"/>
  <c r="AU15" i="10" l="1"/>
  <c r="AT16" i="10"/>
  <c r="AT17" i="10" s="1"/>
  <c r="AT18" i="10" s="1"/>
  <c r="AU15" i="9"/>
  <c r="AT16" i="9"/>
  <c r="AT17" i="9" s="1"/>
  <c r="AT18" i="9" s="1"/>
  <c r="AU15" i="8"/>
  <c r="AT16" i="8"/>
  <c r="AT17" i="8" s="1"/>
  <c r="AT18" i="8" s="1"/>
  <c r="AU78" i="7"/>
  <c r="AT79" i="7"/>
  <c r="AT80" i="7" s="1"/>
  <c r="AT81" i="7" s="1"/>
  <c r="AT40" i="7"/>
  <c r="AT41" i="7" s="1"/>
  <c r="AT42" i="7" s="1"/>
  <c r="AU39" i="7"/>
  <c r="AT16" i="7"/>
  <c r="AT17" i="7" s="1"/>
  <c r="AT18" i="7" s="1"/>
  <c r="AU15" i="7"/>
  <c r="AT16" i="6"/>
  <c r="AT17" i="6" s="1"/>
  <c r="AT18" i="6" s="1"/>
  <c r="AU15" i="6"/>
  <c r="AT64" i="6"/>
  <c r="AT65" i="6" s="1"/>
  <c r="AT66" i="6" s="1"/>
  <c r="AU63" i="6"/>
  <c r="AT16" i="5"/>
  <c r="AT17" i="5" s="1"/>
  <c r="AT18" i="5" s="1"/>
  <c r="AU15" i="5"/>
  <c r="AT16" i="4"/>
  <c r="AT17" i="4" s="1"/>
  <c r="AT18" i="4" s="1"/>
  <c r="AU15" i="4"/>
  <c r="AT16" i="3"/>
  <c r="AT17" i="3" s="1"/>
  <c r="AT18" i="3" s="1"/>
  <c r="AU15" i="3"/>
  <c r="AT16" i="2"/>
  <c r="AT17" i="2" s="1"/>
  <c r="AT18" i="2" s="1"/>
  <c r="AU15" i="2"/>
  <c r="AT32" i="1"/>
  <c r="AT33" i="1" s="1"/>
  <c r="AT34" i="1" s="1"/>
  <c r="AU31" i="1"/>
  <c r="AV19" i="1"/>
  <c r="AS19" i="1"/>
  <c r="AL19" i="1"/>
  <c r="AM19" i="1" s="1"/>
  <c r="K19" i="1"/>
  <c r="AH19" i="1" s="1"/>
  <c r="I19" i="1"/>
  <c r="F19" i="1"/>
  <c r="D19" i="1"/>
  <c r="AQ18" i="1"/>
  <c r="AP18" i="1"/>
  <c r="AJ18" i="1"/>
  <c r="AI18" i="1"/>
  <c r="AQ17" i="1"/>
  <c r="AP17" i="1"/>
  <c r="AJ17" i="1"/>
  <c r="AI17" i="1"/>
  <c r="M17" i="1"/>
  <c r="AB17" i="1" s="1"/>
  <c r="AQ16" i="1"/>
  <c r="AP16" i="1"/>
  <c r="AJ16" i="1"/>
  <c r="AI16" i="1"/>
  <c r="M16" i="1"/>
  <c r="AB16" i="1" s="1"/>
  <c r="AV15" i="1"/>
  <c r="AS15" i="1"/>
  <c r="AL15" i="1"/>
  <c r="AM15" i="1" s="1"/>
  <c r="K15" i="1"/>
  <c r="I15" i="1"/>
  <c r="F15" i="1"/>
  <c r="D15" i="1"/>
  <c r="AQ14" i="1"/>
  <c r="AP14" i="1"/>
  <c r="AJ14" i="1"/>
  <c r="AI14" i="1"/>
  <c r="M14" i="1"/>
  <c r="AB14" i="1" s="1"/>
  <c r="AQ13" i="1"/>
  <c r="AP13" i="1"/>
  <c r="AJ13" i="1"/>
  <c r="AI13" i="1"/>
  <c r="M13" i="1"/>
  <c r="AB13" i="1" s="1"/>
  <c r="AQ12" i="1"/>
  <c r="AP12" i="1"/>
  <c r="AJ12" i="1"/>
  <c r="AI12" i="1"/>
  <c r="M12" i="1"/>
  <c r="AB12" i="1" s="1"/>
  <c r="AV11" i="1"/>
  <c r="AS11" i="1"/>
  <c r="AL11" i="1"/>
  <c r="AM11" i="1" s="1"/>
  <c r="K11" i="1"/>
  <c r="AH11" i="1" s="1"/>
  <c r="I11" i="1"/>
  <c r="F11" i="1"/>
  <c r="D11" i="1"/>
  <c r="AQ10" i="1"/>
  <c r="AP10" i="1"/>
  <c r="AJ10" i="1"/>
  <c r="AI10" i="1"/>
  <c r="M10" i="1"/>
  <c r="AQ9" i="1"/>
  <c r="AP9" i="1"/>
  <c r="AJ9" i="1"/>
  <c r="AI9" i="1"/>
  <c r="M9" i="1"/>
  <c r="AQ8" i="1"/>
  <c r="AP8" i="1"/>
  <c r="AJ8" i="1"/>
  <c r="AI8" i="1"/>
  <c r="M8" i="1"/>
  <c r="AV7" i="1"/>
  <c r="AS7" i="1"/>
  <c r="AL7" i="1"/>
  <c r="AM7" i="1" s="1"/>
  <c r="K7" i="1"/>
  <c r="I7" i="1"/>
  <c r="F7" i="1"/>
  <c r="D7" i="1"/>
  <c r="AQ6" i="1"/>
  <c r="AP6" i="1"/>
  <c r="AJ6" i="1"/>
  <c r="AI6" i="1"/>
  <c r="M6" i="1"/>
  <c r="AQ5" i="1"/>
  <c r="AP5" i="1"/>
  <c r="AJ5" i="1"/>
  <c r="AI5" i="1"/>
  <c r="M5" i="1"/>
  <c r="AB5" i="1" s="1"/>
  <c r="AT5" i="1"/>
  <c r="AT6" i="1" s="1"/>
  <c r="AQ4" i="1"/>
  <c r="AP4" i="1"/>
  <c r="AJ4" i="1"/>
  <c r="AI4" i="1"/>
  <c r="M4" i="1"/>
  <c r="AU19" i="10" l="1"/>
  <c r="AT20" i="10"/>
  <c r="AT21" i="10" s="1"/>
  <c r="AT22" i="10" s="1"/>
  <c r="AU19" i="9"/>
  <c r="AT20" i="9"/>
  <c r="AT21" i="9" s="1"/>
  <c r="AT22" i="9" s="1"/>
  <c r="AU19" i="8"/>
  <c r="AT20" i="8"/>
  <c r="AT21" i="8" s="1"/>
  <c r="AT22" i="8" s="1"/>
  <c r="AU82" i="7"/>
  <c r="AT83" i="7"/>
  <c r="AT84" i="7" s="1"/>
  <c r="AT85" i="7" s="1"/>
  <c r="AT44" i="7"/>
  <c r="AT45" i="7" s="1"/>
  <c r="AT46" i="7" s="1"/>
  <c r="AU43" i="7"/>
  <c r="AT20" i="7"/>
  <c r="AT21" i="7" s="1"/>
  <c r="AT22" i="7" s="1"/>
  <c r="AU19" i="7"/>
  <c r="AT68" i="6"/>
  <c r="AT69" i="6" s="1"/>
  <c r="AT70" i="6" s="1"/>
  <c r="AU67" i="6"/>
  <c r="AT20" i="6"/>
  <c r="AT21" i="6" s="1"/>
  <c r="AT22" i="6" s="1"/>
  <c r="AU19" i="6"/>
  <c r="AT20" i="5"/>
  <c r="AT21" i="5" s="1"/>
  <c r="AT22" i="5" s="1"/>
  <c r="AU19" i="5"/>
  <c r="AT20" i="4"/>
  <c r="AT21" i="4" s="1"/>
  <c r="AT22" i="4" s="1"/>
  <c r="AU19" i="4"/>
  <c r="AT20" i="3"/>
  <c r="AT21" i="3" s="1"/>
  <c r="AT22" i="3" s="1"/>
  <c r="AU19" i="3"/>
  <c r="AT20" i="2"/>
  <c r="AT21" i="2" s="1"/>
  <c r="AT22" i="2" s="1"/>
  <c r="AU19" i="2"/>
  <c r="AT36" i="1"/>
  <c r="AT37" i="1" s="1"/>
  <c r="AT38" i="1" s="1"/>
  <c r="AU35" i="1"/>
  <c r="AG6" i="1"/>
  <c r="AB6" i="1"/>
  <c r="AD8" i="1"/>
  <c r="AB8" i="1"/>
  <c r="Z4" i="1"/>
  <c r="AB4" i="1"/>
  <c r="Q9" i="1"/>
  <c r="AB9" i="1"/>
  <c r="AG10" i="1"/>
  <c r="AB10" i="1"/>
  <c r="AB15" i="1"/>
  <c r="Z18" i="1"/>
  <c r="AB18" i="1"/>
  <c r="AB19" i="1" s="1"/>
  <c r="O8" i="1"/>
  <c r="T8" i="1"/>
  <c r="X4" i="1"/>
  <c r="O18" i="1"/>
  <c r="AP19" i="1"/>
  <c r="AQ15" i="1"/>
  <c r="AP15" i="1"/>
  <c r="AE10" i="1"/>
  <c r="AK10" i="1" s="1"/>
  <c r="Q10" i="1"/>
  <c r="T10" i="1"/>
  <c r="AI11" i="1"/>
  <c r="Z10" i="1"/>
  <c r="O10" i="1"/>
  <c r="AD10" i="1"/>
  <c r="AP11" i="1"/>
  <c r="O9" i="1"/>
  <c r="AG9" i="1"/>
  <c r="AE9" i="1" s="1"/>
  <c r="AK9" i="1" s="1"/>
  <c r="AD9" i="1"/>
  <c r="AO11" i="1"/>
  <c r="T9" i="1"/>
  <c r="AQ11" i="1"/>
  <c r="Z9" i="1"/>
  <c r="Q8" i="1"/>
  <c r="AG8" i="1"/>
  <c r="Z8" i="1"/>
  <c r="AP7" i="1"/>
  <c r="AI7" i="1"/>
  <c r="Q4" i="1"/>
  <c r="AD5" i="1"/>
  <c r="Q5" i="1"/>
  <c r="Z5" i="1"/>
  <c r="O5" i="1"/>
  <c r="T5" i="1"/>
  <c r="T6" i="1"/>
  <c r="AG4" i="1"/>
  <c r="AE4" i="1" s="1"/>
  <c r="AK4" i="1" s="1"/>
  <c r="T4" i="1"/>
  <c r="M7" i="1"/>
  <c r="O4" i="1"/>
  <c r="AD4" i="1"/>
  <c r="X5" i="1"/>
  <c r="X6" i="1"/>
  <c r="AG5" i="1"/>
  <c r="AE5" i="1" s="1"/>
  <c r="AK5" i="1" s="1"/>
  <c r="AO7" i="1"/>
  <c r="AH7" i="1"/>
  <c r="AE6" i="1"/>
  <c r="AK6" i="1" s="1"/>
  <c r="AD6" i="1"/>
  <c r="Q6" i="1"/>
  <c r="Z6" i="1"/>
  <c r="O6" i="1"/>
  <c r="X12" i="1"/>
  <c r="X13" i="1"/>
  <c r="X14" i="1"/>
  <c r="M15" i="1"/>
  <c r="AA15" i="1" s="1"/>
  <c r="X16" i="1"/>
  <c r="X17" i="1"/>
  <c r="X18" i="1"/>
  <c r="M19" i="1"/>
  <c r="O12" i="1"/>
  <c r="Z12" i="1"/>
  <c r="O13" i="1"/>
  <c r="Z13" i="1"/>
  <c r="O14" i="1"/>
  <c r="Z14" i="1"/>
  <c r="O16" i="1"/>
  <c r="Z16" i="1"/>
  <c r="O17" i="1"/>
  <c r="Z17" i="1"/>
  <c r="X8" i="1"/>
  <c r="X9" i="1"/>
  <c r="X10" i="1"/>
  <c r="M11" i="1"/>
  <c r="Q12" i="1"/>
  <c r="AD12" i="1"/>
  <c r="Q13" i="1"/>
  <c r="AD13" i="1"/>
  <c r="Q14" i="1"/>
  <c r="AD14" i="1"/>
  <c r="Q16" i="1"/>
  <c r="AD16" i="1"/>
  <c r="Q17" i="1"/>
  <c r="AD17" i="1"/>
  <c r="Q18" i="1"/>
  <c r="AD18" i="1"/>
  <c r="T12" i="1"/>
  <c r="AG12" i="1"/>
  <c r="AE12" i="1" s="1"/>
  <c r="AK12" i="1" s="1"/>
  <c r="T13" i="1"/>
  <c r="AG13" i="1"/>
  <c r="AE13" i="1" s="1"/>
  <c r="AK13" i="1" s="1"/>
  <c r="T14" i="1"/>
  <c r="AG14" i="1"/>
  <c r="AE14" i="1" s="1"/>
  <c r="AK14" i="1" s="1"/>
  <c r="T16" i="1"/>
  <c r="AG16" i="1"/>
  <c r="AE16" i="1" s="1"/>
  <c r="AK16" i="1" s="1"/>
  <c r="T17" i="1"/>
  <c r="AG17" i="1"/>
  <c r="AE17" i="1" s="1"/>
  <c r="AK17" i="1" s="1"/>
  <c r="T18" i="1"/>
  <c r="AG18" i="1"/>
  <c r="AE18" i="1" s="1"/>
  <c r="AK18" i="1" s="1"/>
  <c r="AU7" i="1"/>
  <c r="AT8" i="1"/>
  <c r="AT9" i="1" s="1"/>
  <c r="AT10" i="1" s="1"/>
  <c r="AN15" i="1"/>
  <c r="AF15" i="1"/>
  <c r="L15" i="1"/>
  <c r="AN19" i="1"/>
  <c r="AF19" i="1"/>
  <c r="L19" i="1"/>
  <c r="AN7" i="1"/>
  <c r="AF7" i="1"/>
  <c r="L7" i="1"/>
  <c r="AI15" i="1"/>
  <c r="AO15" i="1"/>
  <c r="AQ19" i="1"/>
  <c r="AQ7" i="1"/>
  <c r="AN11" i="1"/>
  <c r="AF11" i="1"/>
  <c r="L11" i="1"/>
  <c r="AH15" i="1"/>
  <c r="AI19" i="1"/>
  <c r="AO19" i="1"/>
  <c r="V4" i="1"/>
  <c r="V5" i="1"/>
  <c r="V6" i="1"/>
  <c r="V8" i="1"/>
  <c r="V9" i="1"/>
  <c r="V10" i="1"/>
  <c r="V12" i="1"/>
  <c r="V13" i="1"/>
  <c r="V14" i="1"/>
  <c r="V16" i="1"/>
  <c r="V17" i="1"/>
  <c r="V18" i="1"/>
  <c r="AU23" i="10" l="1"/>
  <c r="AT24" i="10"/>
  <c r="AT25" i="10" s="1"/>
  <c r="AT26" i="10" s="1"/>
  <c r="AU23" i="9"/>
  <c r="AT24" i="9"/>
  <c r="AT25" i="9" s="1"/>
  <c r="AT26" i="9" s="1"/>
  <c r="AU23" i="8"/>
  <c r="AT24" i="8"/>
  <c r="AT25" i="8" s="1"/>
  <c r="AT26" i="8" s="1"/>
  <c r="AU86" i="7"/>
  <c r="AT87" i="7"/>
  <c r="AT88" i="7" s="1"/>
  <c r="AT89" i="7" s="1"/>
  <c r="AT48" i="7"/>
  <c r="AT49" i="7" s="1"/>
  <c r="AT50" i="7" s="1"/>
  <c r="AU47" i="7"/>
  <c r="AT24" i="7"/>
  <c r="AT25" i="7" s="1"/>
  <c r="AT26" i="7" s="1"/>
  <c r="AU27" i="7" s="1"/>
  <c r="AU23" i="7"/>
  <c r="AT24" i="6"/>
  <c r="AT25" i="6" s="1"/>
  <c r="AT26" i="6" s="1"/>
  <c r="AU23" i="6"/>
  <c r="AT72" i="6"/>
  <c r="AT73" i="6" s="1"/>
  <c r="AT74" i="6" s="1"/>
  <c r="AU71" i="6"/>
  <c r="AT24" i="5"/>
  <c r="AT25" i="5" s="1"/>
  <c r="AT26" i="5" s="1"/>
  <c r="AU23" i="5"/>
  <c r="AT24" i="4"/>
  <c r="AT25" i="4" s="1"/>
  <c r="AT26" i="4" s="1"/>
  <c r="AU23" i="4"/>
  <c r="AT24" i="3"/>
  <c r="AT25" i="3" s="1"/>
  <c r="AT26" i="3" s="1"/>
  <c r="AU23" i="3"/>
  <c r="AT24" i="2"/>
  <c r="AT25" i="2" s="1"/>
  <c r="AT26" i="2" s="1"/>
  <c r="AU23" i="2"/>
  <c r="AT40" i="1"/>
  <c r="AT41" i="1" s="1"/>
  <c r="AT42" i="1" s="1"/>
  <c r="AU39" i="1"/>
  <c r="AB11" i="1"/>
  <c r="AA11" i="1" s="1"/>
  <c r="AB7" i="1"/>
  <c r="AA7" i="1" s="1"/>
  <c r="T11" i="1"/>
  <c r="R11" i="1" s="1"/>
  <c r="O11" i="1"/>
  <c r="N11" i="1" s="1"/>
  <c r="Q11" i="1"/>
  <c r="P11" i="1" s="1"/>
  <c r="AD11" i="1"/>
  <c r="AJ11" i="1" s="1"/>
  <c r="Q7" i="1"/>
  <c r="P7" i="1" s="1"/>
  <c r="Z15" i="1"/>
  <c r="Y15" i="1" s="1"/>
  <c r="AG11" i="1"/>
  <c r="Z11" i="1"/>
  <c r="Y11" i="1" s="1"/>
  <c r="X11" i="1"/>
  <c r="W11" i="1" s="1"/>
  <c r="AE8" i="1"/>
  <c r="AK8" i="1" s="1"/>
  <c r="Z7" i="1"/>
  <c r="Y7" i="1" s="1"/>
  <c r="AD7" i="1"/>
  <c r="AJ7" i="1" s="1"/>
  <c r="X7" i="1"/>
  <c r="T7" i="1"/>
  <c r="R7" i="1" s="1"/>
  <c r="AG7" i="1"/>
  <c r="AG19" i="1"/>
  <c r="Q15" i="1"/>
  <c r="P15" i="1" s="1"/>
  <c r="T19" i="1"/>
  <c r="R19" i="1" s="1"/>
  <c r="AD19" i="1"/>
  <c r="AJ19" i="1" s="1"/>
  <c r="O15" i="1"/>
  <c r="N15" i="1" s="1"/>
  <c r="X19" i="1"/>
  <c r="W19" i="1" s="1"/>
  <c r="X15" i="1"/>
  <c r="W15" i="1" s="1"/>
  <c r="AG15" i="1"/>
  <c r="Q19" i="1"/>
  <c r="P19" i="1" s="1"/>
  <c r="Z19" i="1"/>
  <c r="Y19" i="1" s="1"/>
  <c r="AE19" i="1"/>
  <c r="AK19" i="1" s="1"/>
  <c r="AE15" i="1"/>
  <c r="AK15" i="1" s="1"/>
  <c r="O7" i="1"/>
  <c r="N7" i="1" s="1"/>
  <c r="T15" i="1"/>
  <c r="R15" i="1" s="1"/>
  <c r="AD15" i="1"/>
  <c r="AJ15" i="1" s="1"/>
  <c r="O19" i="1"/>
  <c r="N19" i="1" s="1"/>
  <c r="AE7" i="1"/>
  <c r="AK7" i="1" s="1"/>
  <c r="V15" i="1"/>
  <c r="U15" i="1" s="1"/>
  <c r="V7" i="1"/>
  <c r="U7" i="1" s="1"/>
  <c r="V19" i="1"/>
  <c r="U19" i="1" s="1"/>
  <c r="V11" i="1"/>
  <c r="U11" i="1" s="1"/>
  <c r="AT12" i="1"/>
  <c r="AT13" i="1" s="1"/>
  <c r="AT14" i="1" s="1"/>
  <c r="AU11" i="1"/>
  <c r="AU27" i="10" l="1"/>
  <c r="AT28" i="10"/>
  <c r="AT29" i="10" s="1"/>
  <c r="AT30" i="10" s="1"/>
  <c r="AU27" i="9"/>
  <c r="AT28" i="9"/>
  <c r="AT29" i="9" s="1"/>
  <c r="AT30" i="9" s="1"/>
  <c r="AU27" i="8"/>
  <c r="AT28" i="8"/>
  <c r="AT29" i="8" s="1"/>
  <c r="AT30" i="8" s="1"/>
  <c r="AU90" i="7"/>
  <c r="AT91" i="7"/>
  <c r="AT92" i="7" s="1"/>
  <c r="AT93" i="7" s="1"/>
  <c r="AT52" i="7"/>
  <c r="AT53" i="7" s="1"/>
  <c r="AT54" i="7" s="1"/>
  <c r="AU51" i="7"/>
  <c r="AT76" i="6"/>
  <c r="AT77" i="6" s="1"/>
  <c r="AT78" i="6" s="1"/>
  <c r="AU75" i="6"/>
  <c r="AT28" i="6"/>
  <c r="AT29" i="6" s="1"/>
  <c r="AT30" i="6" s="1"/>
  <c r="AU27" i="6"/>
  <c r="AT28" i="5"/>
  <c r="AT29" i="5" s="1"/>
  <c r="AT30" i="5" s="1"/>
  <c r="AU27" i="5"/>
  <c r="AT28" i="4"/>
  <c r="AT29" i="4" s="1"/>
  <c r="AT30" i="4" s="1"/>
  <c r="AU27" i="4"/>
  <c r="AT28" i="3"/>
  <c r="AT29" i="3" s="1"/>
  <c r="AT30" i="3" s="1"/>
  <c r="AU27" i="3"/>
  <c r="AT28" i="2"/>
  <c r="AT29" i="2" s="1"/>
  <c r="AT30" i="2" s="1"/>
  <c r="AU27" i="2"/>
  <c r="AT44" i="1"/>
  <c r="AT45" i="1" s="1"/>
  <c r="AT46" i="1" s="1"/>
  <c r="AU43" i="1"/>
  <c r="AC11" i="1"/>
  <c r="AC7" i="1"/>
  <c r="AC19" i="1"/>
  <c r="AA19" i="1" s="1"/>
  <c r="AC15" i="1"/>
  <c r="AE11" i="1"/>
  <c r="AK11" i="1" s="1"/>
  <c r="W7" i="1"/>
  <c r="AT16" i="1"/>
  <c r="AT17" i="1" s="1"/>
  <c r="AT18" i="1" s="1"/>
  <c r="AU15" i="1"/>
  <c r="AU31" i="10" l="1"/>
  <c r="AT32" i="10"/>
  <c r="AT33" i="10" s="1"/>
  <c r="AT34" i="10" s="1"/>
  <c r="AU31" i="9"/>
  <c r="AT32" i="9"/>
  <c r="AT33" i="9" s="1"/>
  <c r="AT34" i="9" s="1"/>
  <c r="AU31" i="8"/>
  <c r="AT32" i="8"/>
  <c r="AT33" i="8" s="1"/>
  <c r="AT34" i="8" s="1"/>
  <c r="AU94" i="7"/>
  <c r="AT95" i="7"/>
  <c r="AT96" i="7" s="1"/>
  <c r="AT97" i="7" s="1"/>
  <c r="AT56" i="7"/>
  <c r="AT57" i="7" s="1"/>
  <c r="AT58" i="7" s="1"/>
  <c r="AU55" i="7"/>
  <c r="AT32" i="6"/>
  <c r="AT33" i="6" s="1"/>
  <c r="AT34" i="6" s="1"/>
  <c r="AU31" i="6"/>
  <c r="AT80" i="6"/>
  <c r="AT81" i="6" s="1"/>
  <c r="AT82" i="6" s="1"/>
  <c r="AU79" i="6"/>
  <c r="AT32" i="5"/>
  <c r="AT33" i="5" s="1"/>
  <c r="AT34" i="5" s="1"/>
  <c r="AU31" i="5"/>
  <c r="AT32" i="4"/>
  <c r="AT33" i="4" s="1"/>
  <c r="AT34" i="4" s="1"/>
  <c r="AU31" i="4"/>
  <c r="AT32" i="3"/>
  <c r="AT33" i="3" s="1"/>
  <c r="AT34" i="3" s="1"/>
  <c r="AU31" i="3"/>
  <c r="AT32" i="2"/>
  <c r="AT33" i="2" s="1"/>
  <c r="AT34" i="2" s="1"/>
  <c r="AU31" i="2"/>
  <c r="AT48" i="1"/>
  <c r="AT49" i="1" s="1"/>
  <c r="AT50" i="1" s="1"/>
  <c r="AU47" i="1"/>
  <c r="AU19" i="1"/>
  <c r="AU35" i="10" l="1"/>
  <c r="AT36" i="10"/>
  <c r="AT37" i="10" s="1"/>
  <c r="AT38" i="10" s="1"/>
  <c r="AU35" i="9"/>
  <c r="AT36" i="9"/>
  <c r="AT37" i="9" s="1"/>
  <c r="AT38" i="9" s="1"/>
  <c r="AU35" i="8"/>
  <c r="AT36" i="8"/>
  <c r="AT37" i="8" s="1"/>
  <c r="AT38" i="8" s="1"/>
  <c r="AU98" i="7"/>
  <c r="AT99" i="7"/>
  <c r="AT100" i="7" s="1"/>
  <c r="AT101" i="7" s="1"/>
  <c r="AT60" i="7"/>
  <c r="AT61" i="7" s="1"/>
  <c r="AT62" i="7" s="1"/>
  <c r="AU59" i="7"/>
  <c r="AT84" i="6"/>
  <c r="AT85" i="6" s="1"/>
  <c r="AT86" i="6" s="1"/>
  <c r="AU83" i="6"/>
  <c r="AT36" i="6"/>
  <c r="AT37" i="6" s="1"/>
  <c r="AT38" i="6" s="1"/>
  <c r="AU35" i="6"/>
  <c r="AT36" i="5"/>
  <c r="AT37" i="5" s="1"/>
  <c r="AT38" i="5" s="1"/>
  <c r="AU35" i="5"/>
  <c r="AT36" i="4"/>
  <c r="AT37" i="4" s="1"/>
  <c r="AT38" i="4" s="1"/>
  <c r="AU35" i="4"/>
  <c r="AT36" i="3"/>
  <c r="AT37" i="3" s="1"/>
  <c r="AT38" i="3" s="1"/>
  <c r="AU35" i="3"/>
  <c r="AT36" i="2"/>
  <c r="AT37" i="2" s="1"/>
  <c r="AT38" i="2" s="1"/>
  <c r="AU35" i="2"/>
  <c r="AT52" i="1"/>
  <c r="AT53" i="1" s="1"/>
  <c r="AT54" i="1" s="1"/>
  <c r="AU51" i="1"/>
  <c r="AU39" i="10" l="1"/>
  <c r="AT40" i="10"/>
  <c r="AT41" i="10" s="1"/>
  <c r="AT42" i="10" s="1"/>
  <c r="AU39" i="9"/>
  <c r="AT40" i="9"/>
  <c r="AT41" i="9" s="1"/>
  <c r="AT42" i="9" s="1"/>
  <c r="AU39" i="8"/>
  <c r="AT40" i="8"/>
  <c r="AT41" i="8" s="1"/>
  <c r="AT42" i="8" s="1"/>
  <c r="AU102" i="7"/>
  <c r="AT103" i="7"/>
  <c r="AT104" i="7" s="1"/>
  <c r="AT105" i="7" s="1"/>
  <c r="AT64" i="7"/>
  <c r="AT65" i="7" s="1"/>
  <c r="AT66" i="7" s="1"/>
  <c r="AU63" i="7"/>
  <c r="AT40" i="6"/>
  <c r="AT41" i="6" s="1"/>
  <c r="AT42" i="6" s="1"/>
  <c r="AU39" i="6"/>
  <c r="AT88" i="6"/>
  <c r="AT89" i="6" s="1"/>
  <c r="AT90" i="6" s="1"/>
  <c r="AU87" i="6"/>
  <c r="AT40" i="5"/>
  <c r="AT41" i="5" s="1"/>
  <c r="AT42" i="5" s="1"/>
  <c r="AU39" i="5"/>
  <c r="AT40" i="4"/>
  <c r="AT41" i="4" s="1"/>
  <c r="AT42" i="4" s="1"/>
  <c r="AU39" i="4"/>
  <c r="AT40" i="3"/>
  <c r="AT41" i="3" s="1"/>
  <c r="AT42" i="3" s="1"/>
  <c r="AU39" i="3"/>
  <c r="AT40" i="2"/>
  <c r="AT41" i="2" s="1"/>
  <c r="AT42" i="2" s="1"/>
  <c r="AU39" i="2"/>
  <c r="AT56" i="1"/>
  <c r="AT57" i="1" s="1"/>
  <c r="AT58" i="1" s="1"/>
  <c r="AU55" i="1"/>
  <c r="AU43" i="10" l="1"/>
  <c r="AT44" i="10"/>
  <c r="AT45" i="10" s="1"/>
  <c r="AT46" i="10" s="1"/>
  <c r="AU43" i="9"/>
  <c r="AT44" i="9"/>
  <c r="AT45" i="9" s="1"/>
  <c r="AT46" i="9" s="1"/>
  <c r="AU43" i="8"/>
  <c r="AT44" i="8"/>
  <c r="AT45" i="8" s="1"/>
  <c r="AT46" i="8" s="1"/>
  <c r="AU106" i="7"/>
  <c r="AT107" i="7"/>
  <c r="AT108" i="7" s="1"/>
  <c r="AT109" i="7" s="1"/>
  <c r="AT92" i="6"/>
  <c r="AT93" i="6" s="1"/>
  <c r="AT94" i="6" s="1"/>
  <c r="AU91" i="6"/>
  <c r="AT44" i="6"/>
  <c r="AT45" i="6" s="1"/>
  <c r="AT46" i="6" s="1"/>
  <c r="AU43" i="6"/>
  <c r="AT44" i="5"/>
  <c r="AT45" i="5" s="1"/>
  <c r="AT46" i="5" s="1"/>
  <c r="AU43" i="5"/>
  <c r="AT44" i="4"/>
  <c r="AT45" i="4" s="1"/>
  <c r="AT46" i="4" s="1"/>
  <c r="AU43" i="4"/>
  <c r="AT44" i="3"/>
  <c r="AT45" i="3" s="1"/>
  <c r="AT46" i="3" s="1"/>
  <c r="AU43" i="3"/>
  <c r="AT44" i="2"/>
  <c r="AT45" i="2" s="1"/>
  <c r="AT46" i="2" s="1"/>
  <c r="AU43" i="2"/>
  <c r="AT60" i="1"/>
  <c r="AT61" i="1" s="1"/>
  <c r="AT62" i="1" s="1"/>
  <c r="AU59" i="1"/>
  <c r="AU47" i="10" l="1"/>
  <c r="AT48" i="10"/>
  <c r="AT49" i="10" s="1"/>
  <c r="AT50" i="10" s="1"/>
  <c r="AU47" i="9"/>
  <c r="AT48" i="9"/>
  <c r="AT49" i="9" s="1"/>
  <c r="AT50" i="9" s="1"/>
  <c r="AU47" i="8"/>
  <c r="AT48" i="8"/>
  <c r="AT49" i="8" s="1"/>
  <c r="AT50" i="8" s="1"/>
  <c r="AU110" i="7"/>
  <c r="AT111" i="7"/>
  <c r="AT112" i="7" s="1"/>
  <c r="AT113" i="7" s="1"/>
  <c r="AT48" i="6"/>
  <c r="AT49" i="6" s="1"/>
  <c r="AT50" i="6" s="1"/>
  <c r="AU51" i="6" s="1"/>
  <c r="AU47" i="6"/>
  <c r="AT96" i="6"/>
  <c r="AT97" i="6" s="1"/>
  <c r="AT98" i="6" s="1"/>
  <c r="AU95" i="6"/>
  <c r="AT48" i="5"/>
  <c r="AT49" i="5" s="1"/>
  <c r="AT50" i="5" s="1"/>
  <c r="AU47" i="5"/>
  <c r="AT48" i="4"/>
  <c r="AT49" i="4" s="1"/>
  <c r="AT50" i="4" s="1"/>
  <c r="AU47" i="4"/>
  <c r="AT48" i="3"/>
  <c r="AT49" i="3" s="1"/>
  <c r="AT50" i="3" s="1"/>
  <c r="AU47" i="3"/>
  <c r="AT48" i="2"/>
  <c r="AT49" i="2" s="1"/>
  <c r="AT50" i="2" s="1"/>
  <c r="AU47" i="2"/>
  <c r="AT64" i="1"/>
  <c r="AT65" i="1" s="1"/>
  <c r="AT66" i="1" s="1"/>
  <c r="AU63" i="1"/>
  <c r="AU51" i="10" l="1"/>
  <c r="AT52" i="10"/>
  <c r="AT53" i="10" s="1"/>
  <c r="AT54" i="10" s="1"/>
  <c r="AU51" i="9"/>
  <c r="AT52" i="9"/>
  <c r="AT53" i="9" s="1"/>
  <c r="AT54" i="9" s="1"/>
  <c r="AU51" i="8"/>
  <c r="AT52" i="8"/>
  <c r="AT53" i="8" s="1"/>
  <c r="AT54" i="8" s="1"/>
  <c r="AU114" i="7"/>
  <c r="AT115" i="7"/>
  <c r="AT116" i="7" s="1"/>
  <c r="AT117" i="7" s="1"/>
  <c r="AT100" i="6"/>
  <c r="AT101" i="6" s="1"/>
  <c r="AT102" i="6" s="1"/>
  <c r="AU99" i="6"/>
  <c r="AT52" i="5"/>
  <c r="AT53" i="5" s="1"/>
  <c r="AT54" i="5" s="1"/>
  <c r="AU51" i="5"/>
  <c r="AT52" i="4"/>
  <c r="AT53" i="4" s="1"/>
  <c r="AT54" i="4" s="1"/>
  <c r="AU51" i="4"/>
  <c r="AT52" i="3"/>
  <c r="AT53" i="3" s="1"/>
  <c r="AT54" i="3" s="1"/>
  <c r="AU51" i="3"/>
  <c r="AT52" i="2"/>
  <c r="AT53" i="2" s="1"/>
  <c r="AT54" i="2" s="1"/>
  <c r="AU51" i="2"/>
  <c r="AT68" i="1"/>
  <c r="AT69" i="1" s="1"/>
  <c r="AT70" i="1" s="1"/>
  <c r="AU67" i="1"/>
  <c r="AU55" i="10" l="1"/>
  <c r="AT56" i="10"/>
  <c r="AT57" i="10" s="1"/>
  <c r="AT58" i="10" s="1"/>
  <c r="AU55" i="9"/>
  <c r="AT56" i="9"/>
  <c r="AT57" i="9" s="1"/>
  <c r="AT58" i="9" s="1"/>
  <c r="AU55" i="8"/>
  <c r="AT56" i="8"/>
  <c r="AT57" i="8" s="1"/>
  <c r="AT58" i="8" s="1"/>
  <c r="AU118" i="7"/>
  <c r="AT119" i="7"/>
  <c r="AT120" i="7" s="1"/>
  <c r="AT121" i="7" s="1"/>
  <c r="AT104" i="6"/>
  <c r="AT105" i="6" s="1"/>
  <c r="AT106" i="6" s="1"/>
  <c r="AU103" i="6"/>
  <c r="AT56" i="5"/>
  <c r="AT57" i="5" s="1"/>
  <c r="AT58" i="5" s="1"/>
  <c r="AU55" i="5"/>
  <c r="AT56" i="4"/>
  <c r="AT57" i="4" s="1"/>
  <c r="AT58" i="4" s="1"/>
  <c r="AU55" i="4"/>
  <c r="AT56" i="3"/>
  <c r="AT57" i="3" s="1"/>
  <c r="AT58" i="3" s="1"/>
  <c r="AU55" i="3"/>
  <c r="AT56" i="2"/>
  <c r="AT57" i="2" s="1"/>
  <c r="AT58" i="2" s="1"/>
  <c r="AU55" i="2"/>
  <c r="AT72" i="1"/>
  <c r="AT73" i="1" s="1"/>
  <c r="AT74" i="1" s="1"/>
  <c r="AU71" i="1"/>
  <c r="AU59" i="10" l="1"/>
  <c r="AT60" i="10"/>
  <c r="AT61" i="10" s="1"/>
  <c r="AT62" i="10" s="1"/>
  <c r="AU59" i="9"/>
  <c r="AT60" i="9"/>
  <c r="AT61" i="9" s="1"/>
  <c r="AT62" i="9" s="1"/>
  <c r="AU59" i="8"/>
  <c r="AT60" i="8"/>
  <c r="AT61" i="8" s="1"/>
  <c r="AT62" i="8" s="1"/>
  <c r="AU122" i="7"/>
  <c r="AT123" i="7"/>
  <c r="AT124" i="7" s="1"/>
  <c r="AT125" i="7" s="1"/>
  <c r="AU126" i="7" s="1"/>
  <c r="AT108" i="6"/>
  <c r="AT109" i="6" s="1"/>
  <c r="AT110" i="6" s="1"/>
  <c r="AU107" i="6"/>
  <c r="AT60" i="5"/>
  <c r="AT61" i="5" s="1"/>
  <c r="AT62" i="5" s="1"/>
  <c r="AU59" i="5"/>
  <c r="AT60" i="4"/>
  <c r="AT61" i="4" s="1"/>
  <c r="AT62" i="4" s="1"/>
  <c r="AU59" i="4"/>
  <c r="AT60" i="3"/>
  <c r="AT61" i="3" s="1"/>
  <c r="AT62" i="3" s="1"/>
  <c r="AU59" i="3"/>
  <c r="AT60" i="2"/>
  <c r="AT61" i="2" s="1"/>
  <c r="AT62" i="2" s="1"/>
  <c r="AU59" i="2"/>
  <c r="AT76" i="1"/>
  <c r="AT77" i="1" s="1"/>
  <c r="AT78" i="1" s="1"/>
  <c r="AU75" i="1"/>
  <c r="AU63" i="10" l="1"/>
  <c r="AT64" i="10"/>
  <c r="AT65" i="10" s="1"/>
  <c r="AT66" i="10" s="1"/>
  <c r="AU63" i="9"/>
  <c r="AT64" i="9"/>
  <c r="AT65" i="9" s="1"/>
  <c r="AT66" i="9" s="1"/>
  <c r="AU63" i="8"/>
  <c r="AT64" i="8"/>
  <c r="AT65" i="8" s="1"/>
  <c r="AT66" i="8" s="1"/>
  <c r="AT112" i="6"/>
  <c r="AT113" i="6" s="1"/>
  <c r="AT114" i="6" s="1"/>
  <c r="AU111" i="6"/>
  <c r="AT64" i="5"/>
  <c r="AT65" i="5" s="1"/>
  <c r="AT66" i="5" s="1"/>
  <c r="AU63" i="5"/>
  <c r="AT64" i="4"/>
  <c r="AT65" i="4" s="1"/>
  <c r="AT66" i="4" s="1"/>
  <c r="AU63" i="4"/>
  <c r="AT64" i="3"/>
  <c r="AT65" i="3" s="1"/>
  <c r="AT66" i="3" s="1"/>
  <c r="AU63" i="3"/>
  <c r="AT64" i="2"/>
  <c r="AT65" i="2" s="1"/>
  <c r="AT66" i="2" s="1"/>
  <c r="AU63" i="2"/>
  <c r="AT80" i="1"/>
  <c r="AT81" i="1" s="1"/>
  <c r="AT82" i="1" s="1"/>
  <c r="AU79" i="1"/>
  <c r="AU67" i="10" l="1"/>
  <c r="AT68" i="10"/>
  <c r="AT69" i="10" s="1"/>
  <c r="AT70" i="10" s="1"/>
  <c r="AU67" i="9"/>
  <c r="AT68" i="9"/>
  <c r="AT69" i="9" s="1"/>
  <c r="AT70" i="9" s="1"/>
  <c r="AU67" i="8"/>
  <c r="AT68" i="8"/>
  <c r="AT69" i="8" s="1"/>
  <c r="AT70" i="8" s="1"/>
  <c r="AT116" i="6"/>
  <c r="AT117" i="6" s="1"/>
  <c r="AT118" i="6" s="1"/>
  <c r="AU115" i="6"/>
  <c r="AT68" i="5"/>
  <c r="AT69" i="5" s="1"/>
  <c r="AT70" i="5" s="1"/>
  <c r="AU67" i="5"/>
  <c r="AT68" i="4"/>
  <c r="AT69" i="4" s="1"/>
  <c r="AT70" i="4" s="1"/>
  <c r="AU67" i="4"/>
  <c r="AT68" i="3"/>
  <c r="AT69" i="3" s="1"/>
  <c r="AT70" i="3" s="1"/>
  <c r="AU67" i="3"/>
  <c r="AT68" i="2"/>
  <c r="AT69" i="2" s="1"/>
  <c r="AT70" i="2" s="1"/>
  <c r="AU67" i="2"/>
  <c r="AT84" i="1"/>
  <c r="AT85" i="1" s="1"/>
  <c r="AT86" i="1" s="1"/>
  <c r="AU83" i="1"/>
  <c r="AU71" i="10" l="1"/>
  <c r="AT72" i="10"/>
  <c r="AT73" i="10" s="1"/>
  <c r="AT74" i="10" s="1"/>
  <c r="AU71" i="9"/>
  <c r="AT72" i="9"/>
  <c r="AT73" i="9" s="1"/>
  <c r="AT74" i="9" s="1"/>
  <c r="AU71" i="8"/>
  <c r="AT72" i="8"/>
  <c r="AT73" i="8" s="1"/>
  <c r="AT74" i="8" s="1"/>
  <c r="AT120" i="6"/>
  <c r="AT121" i="6" s="1"/>
  <c r="AT122" i="6" s="1"/>
  <c r="AU123" i="6" s="1"/>
  <c r="AU119" i="6"/>
  <c r="AT72" i="5"/>
  <c r="AT73" i="5" s="1"/>
  <c r="AT74" i="5" s="1"/>
  <c r="AU71" i="5"/>
  <c r="AT72" i="4"/>
  <c r="AT73" i="4" s="1"/>
  <c r="AT74" i="4" s="1"/>
  <c r="AU71" i="4"/>
  <c r="AT72" i="3"/>
  <c r="AT73" i="3" s="1"/>
  <c r="AT74" i="3" s="1"/>
  <c r="AU71" i="3"/>
  <c r="AT72" i="2"/>
  <c r="AT73" i="2" s="1"/>
  <c r="AT74" i="2" s="1"/>
  <c r="AU71" i="2"/>
  <c r="AT88" i="1"/>
  <c r="AT89" i="1" s="1"/>
  <c r="AT90" i="1" s="1"/>
  <c r="AU87" i="1"/>
  <c r="AU75" i="10" l="1"/>
  <c r="AT76" i="10"/>
  <c r="AT77" i="10" s="1"/>
  <c r="AT78" i="10" s="1"/>
  <c r="AU75" i="9"/>
  <c r="AT76" i="9"/>
  <c r="AT77" i="9" s="1"/>
  <c r="AT78" i="9" s="1"/>
  <c r="AU75" i="8"/>
  <c r="AT76" i="8"/>
  <c r="AT77" i="8" s="1"/>
  <c r="AT78" i="8" s="1"/>
  <c r="AT76" i="5"/>
  <c r="AT77" i="5" s="1"/>
  <c r="AT78" i="5" s="1"/>
  <c r="AU75" i="5"/>
  <c r="AT76" i="4"/>
  <c r="AT77" i="4" s="1"/>
  <c r="AT78" i="4" s="1"/>
  <c r="AU75" i="4"/>
  <c r="AT76" i="3"/>
  <c r="AT77" i="3" s="1"/>
  <c r="AT78" i="3" s="1"/>
  <c r="AU75" i="3"/>
  <c r="AT76" i="2"/>
  <c r="AT77" i="2" s="1"/>
  <c r="AT78" i="2" s="1"/>
  <c r="AU75" i="2"/>
  <c r="AT92" i="1"/>
  <c r="AT93" i="1" s="1"/>
  <c r="AT94" i="1" s="1"/>
  <c r="AU91" i="1"/>
  <c r="AU79" i="10" l="1"/>
  <c r="AT80" i="10"/>
  <c r="AT81" i="10" s="1"/>
  <c r="AT82" i="10" s="1"/>
  <c r="AU79" i="9"/>
  <c r="AT80" i="9"/>
  <c r="AT81" i="9" s="1"/>
  <c r="AT82" i="9" s="1"/>
  <c r="AU79" i="8"/>
  <c r="AT80" i="8"/>
  <c r="AT81" i="8" s="1"/>
  <c r="AT82" i="8" s="1"/>
  <c r="AT80" i="5"/>
  <c r="AT81" i="5" s="1"/>
  <c r="AT82" i="5" s="1"/>
  <c r="AU79" i="5"/>
  <c r="AT80" i="4"/>
  <c r="AT81" i="4" s="1"/>
  <c r="AT82" i="4" s="1"/>
  <c r="AU79" i="4"/>
  <c r="AT80" i="3"/>
  <c r="AT81" i="3" s="1"/>
  <c r="AT82" i="3" s="1"/>
  <c r="AU79" i="3"/>
  <c r="AT80" i="2"/>
  <c r="AT81" i="2" s="1"/>
  <c r="AT82" i="2" s="1"/>
  <c r="AU79" i="2"/>
  <c r="AT96" i="1"/>
  <c r="AT97" i="1" s="1"/>
  <c r="AT98" i="1" s="1"/>
  <c r="AU95" i="1"/>
  <c r="AU83" i="10" l="1"/>
  <c r="AT84" i="10"/>
  <c r="AT85" i="10" s="1"/>
  <c r="AT86" i="10" s="1"/>
  <c r="AU83" i="9"/>
  <c r="AT84" i="9"/>
  <c r="AT85" i="9" s="1"/>
  <c r="AT86" i="9" s="1"/>
  <c r="AU83" i="8"/>
  <c r="AT84" i="8"/>
  <c r="AT85" i="8" s="1"/>
  <c r="AT86" i="8" s="1"/>
  <c r="AT84" i="5"/>
  <c r="AT85" i="5" s="1"/>
  <c r="AT86" i="5" s="1"/>
  <c r="AU83" i="5"/>
  <c r="AT84" i="4"/>
  <c r="AT85" i="4" s="1"/>
  <c r="AT86" i="4" s="1"/>
  <c r="AU83" i="4"/>
  <c r="AT84" i="3"/>
  <c r="AT85" i="3" s="1"/>
  <c r="AT86" i="3" s="1"/>
  <c r="AU83" i="3"/>
  <c r="AT84" i="2"/>
  <c r="AT85" i="2" s="1"/>
  <c r="AT86" i="2" s="1"/>
  <c r="AU83" i="2"/>
  <c r="AT100" i="1"/>
  <c r="AT101" i="1" s="1"/>
  <c r="AT102" i="1" s="1"/>
  <c r="AU99" i="1"/>
  <c r="AU87" i="10" l="1"/>
  <c r="AT88" i="10"/>
  <c r="AT89" i="10" s="1"/>
  <c r="AT90" i="10" s="1"/>
  <c r="AU91" i="10" s="1"/>
  <c r="AU87" i="9"/>
  <c r="AT88" i="9"/>
  <c r="AT89" i="9" s="1"/>
  <c r="AT90" i="9" s="1"/>
  <c r="AU87" i="8"/>
  <c r="AT88" i="8"/>
  <c r="AT89" i="8" s="1"/>
  <c r="AT90" i="8" s="1"/>
  <c r="AT88" i="5"/>
  <c r="AT89" i="5" s="1"/>
  <c r="AT90" i="5" s="1"/>
  <c r="AU87" i="5"/>
  <c r="AT88" i="4"/>
  <c r="AT89" i="4" s="1"/>
  <c r="AT90" i="4" s="1"/>
  <c r="AU87" i="4"/>
  <c r="AT88" i="3"/>
  <c r="AT89" i="3" s="1"/>
  <c r="AT90" i="3" s="1"/>
  <c r="AU87" i="3"/>
  <c r="AT88" i="2"/>
  <c r="AT89" i="2" s="1"/>
  <c r="AT90" i="2" s="1"/>
  <c r="AU87" i="2"/>
  <c r="AT104" i="1"/>
  <c r="AT105" i="1" s="1"/>
  <c r="AT106" i="1" s="1"/>
  <c r="AU103" i="1"/>
  <c r="AU91" i="9" l="1"/>
  <c r="AT92" i="9"/>
  <c r="AT93" i="9" s="1"/>
  <c r="AT94" i="9" s="1"/>
  <c r="AU91" i="8"/>
  <c r="AT92" i="8"/>
  <c r="AT93" i="8" s="1"/>
  <c r="AT94" i="8" s="1"/>
  <c r="AT92" i="5"/>
  <c r="AT93" i="5" s="1"/>
  <c r="AT94" i="5" s="1"/>
  <c r="AU91" i="5"/>
  <c r="AT92" i="4"/>
  <c r="AT93" i="4" s="1"/>
  <c r="AT94" i="4" s="1"/>
  <c r="AU91" i="4"/>
  <c r="AT92" i="3"/>
  <c r="AT93" i="3" s="1"/>
  <c r="AT94" i="3" s="1"/>
  <c r="AU91" i="3"/>
  <c r="AT92" i="2"/>
  <c r="AT93" i="2" s="1"/>
  <c r="AT94" i="2" s="1"/>
  <c r="AU91" i="2"/>
  <c r="AT108" i="1"/>
  <c r="AT109" i="1" s="1"/>
  <c r="AT110" i="1" s="1"/>
  <c r="AU107" i="1"/>
  <c r="AU95" i="9" l="1"/>
  <c r="AT96" i="9"/>
  <c r="AT97" i="9" s="1"/>
  <c r="AT98" i="9" s="1"/>
  <c r="AU95" i="8"/>
  <c r="AT96" i="8"/>
  <c r="AT97" i="8" s="1"/>
  <c r="AT98" i="8" s="1"/>
  <c r="AT96" i="5"/>
  <c r="AT97" i="5" s="1"/>
  <c r="AT98" i="5" s="1"/>
  <c r="AU95" i="5"/>
  <c r="AT96" i="4"/>
  <c r="AT97" i="4" s="1"/>
  <c r="AT98" i="4" s="1"/>
  <c r="AU95" i="4"/>
  <c r="AT96" i="3"/>
  <c r="AT97" i="3" s="1"/>
  <c r="AT98" i="3" s="1"/>
  <c r="AU95" i="3"/>
  <c r="AT96" i="2"/>
  <c r="AT97" i="2" s="1"/>
  <c r="AT98" i="2" s="1"/>
  <c r="AU95" i="2"/>
  <c r="AT112" i="1"/>
  <c r="AT113" i="1" s="1"/>
  <c r="AT114" i="1" s="1"/>
  <c r="AU111" i="1"/>
  <c r="AU99" i="9" l="1"/>
  <c r="AT100" i="9"/>
  <c r="AT101" i="9" s="1"/>
  <c r="AT102" i="9" s="1"/>
  <c r="AU99" i="8"/>
  <c r="AT100" i="8"/>
  <c r="AT101" i="8" s="1"/>
  <c r="AT102" i="8" s="1"/>
  <c r="AT100" i="5"/>
  <c r="AT101" i="5" s="1"/>
  <c r="AT102" i="5" s="1"/>
  <c r="AU99" i="5"/>
  <c r="AT100" i="4"/>
  <c r="AT101" i="4" s="1"/>
  <c r="AT102" i="4" s="1"/>
  <c r="AU99" i="4"/>
  <c r="AT100" i="3"/>
  <c r="AT101" i="3" s="1"/>
  <c r="AT102" i="3" s="1"/>
  <c r="AU99" i="3"/>
  <c r="AT100" i="2"/>
  <c r="AT101" i="2" s="1"/>
  <c r="AT102" i="2" s="1"/>
  <c r="AU99" i="2"/>
  <c r="AT116" i="1"/>
  <c r="AT117" i="1" s="1"/>
  <c r="AT118" i="1" s="1"/>
  <c r="AU115" i="1"/>
  <c r="AU103" i="9" l="1"/>
  <c r="AT104" i="9"/>
  <c r="AT105" i="9" s="1"/>
  <c r="AT106" i="9" s="1"/>
  <c r="AU103" i="8"/>
  <c r="AT104" i="8"/>
  <c r="AT105" i="8" s="1"/>
  <c r="AT106" i="8" s="1"/>
  <c r="AT104" i="5"/>
  <c r="AT105" i="5" s="1"/>
  <c r="AT106" i="5" s="1"/>
  <c r="AU103" i="5"/>
  <c r="AT104" i="4"/>
  <c r="AT105" i="4" s="1"/>
  <c r="AT106" i="4" s="1"/>
  <c r="AU103" i="4"/>
  <c r="AT104" i="3"/>
  <c r="AT105" i="3" s="1"/>
  <c r="AT106" i="3" s="1"/>
  <c r="AU103" i="3"/>
  <c r="AT104" i="2"/>
  <c r="AT105" i="2" s="1"/>
  <c r="AT106" i="2" s="1"/>
  <c r="AU103" i="2"/>
  <c r="AT120" i="1"/>
  <c r="AT121" i="1" s="1"/>
  <c r="AT122" i="1" s="1"/>
  <c r="AU119" i="1"/>
  <c r="AU107" i="9" l="1"/>
  <c r="AT108" i="9"/>
  <c r="AT109" i="9" s="1"/>
  <c r="AT110" i="9" s="1"/>
  <c r="AU107" i="8"/>
  <c r="AT108" i="8"/>
  <c r="AT109" i="8" s="1"/>
  <c r="AT110" i="8" s="1"/>
  <c r="AT108" i="5"/>
  <c r="AT109" i="5" s="1"/>
  <c r="AT110" i="5" s="1"/>
  <c r="AU107" i="5"/>
  <c r="AT108" i="4"/>
  <c r="AT109" i="4" s="1"/>
  <c r="AT110" i="4" s="1"/>
  <c r="AU107" i="4"/>
  <c r="AT108" i="3"/>
  <c r="AT109" i="3" s="1"/>
  <c r="AT110" i="3" s="1"/>
  <c r="AU107" i="3"/>
  <c r="AT108" i="2"/>
  <c r="AT109" i="2" s="1"/>
  <c r="AT110" i="2" s="1"/>
  <c r="AU107" i="2"/>
  <c r="AT124" i="1"/>
  <c r="AT125" i="1" s="1"/>
  <c r="AT126" i="1" s="1"/>
  <c r="AU127" i="1" s="1"/>
  <c r="AU123" i="1"/>
  <c r="AU111" i="9" l="1"/>
  <c r="AT112" i="9"/>
  <c r="AT113" i="9" s="1"/>
  <c r="AT114" i="9" s="1"/>
  <c r="AU111" i="8"/>
  <c r="AT112" i="8"/>
  <c r="AT113" i="8" s="1"/>
  <c r="AT114" i="8" s="1"/>
  <c r="AT112" i="5"/>
  <c r="AT113" i="5" s="1"/>
  <c r="AT114" i="5" s="1"/>
  <c r="AU111" i="5"/>
  <c r="AT112" i="4"/>
  <c r="AT113" i="4" s="1"/>
  <c r="AT114" i="4" s="1"/>
  <c r="AU111" i="4"/>
  <c r="AT112" i="3"/>
  <c r="AT113" i="3" s="1"/>
  <c r="AT114" i="3" s="1"/>
  <c r="AU111" i="3"/>
  <c r="AT112" i="2"/>
  <c r="AT113" i="2" s="1"/>
  <c r="AT114" i="2" s="1"/>
  <c r="AU115" i="2" s="1"/>
  <c r="AU111" i="2"/>
  <c r="AU115" i="9" l="1"/>
  <c r="AT116" i="9"/>
  <c r="AT117" i="9" s="1"/>
  <c r="AT118" i="9" s="1"/>
  <c r="AU115" i="8"/>
  <c r="AT116" i="8"/>
  <c r="AT117" i="8" s="1"/>
  <c r="AT118" i="8" s="1"/>
  <c r="AT116" i="5"/>
  <c r="AT117" i="5" s="1"/>
  <c r="AT118" i="5" s="1"/>
  <c r="AU115" i="5"/>
  <c r="AT116" i="4"/>
  <c r="AT117" i="4" s="1"/>
  <c r="AT118" i="4" s="1"/>
  <c r="AU115" i="4"/>
  <c r="AT116" i="3"/>
  <c r="AT117" i="3" s="1"/>
  <c r="AT118" i="3" s="1"/>
  <c r="AU119" i="3" s="1"/>
  <c r="AU115" i="3"/>
  <c r="AU119" i="9" l="1"/>
  <c r="AT120" i="9"/>
  <c r="AT121" i="9" s="1"/>
  <c r="AT122" i="9" s="1"/>
  <c r="AU123" i="9" s="1"/>
  <c r="AU119" i="8"/>
  <c r="AT120" i="8"/>
  <c r="AT121" i="8" s="1"/>
  <c r="AT122" i="8" s="1"/>
  <c r="AT120" i="5"/>
  <c r="AT121" i="5" s="1"/>
  <c r="AT122" i="5" s="1"/>
  <c r="AU119" i="5"/>
  <c r="AT120" i="4"/>
  <c r="AT121" i="4" s="1"/>
  <c r="AT122" i="4" s="1"/>
  <c r="AU123" i="4" s="1"/>
  <c r="AU119" i="4"/>
  <c r="AU123" i="8" l="1"/>
  <c r="AT124" i="8"/>
  <c r="AT125" i="8" s="1"/>
  <c r="AT126" i="8" s="1"/>
  <c r="AU127" i="8" s="1"/>
  <c r="AT124" i="5"/>
  <c r="AT125" i="5" s="1"/>
  <c r="AT126" i="5" s="1"/>
  <c r="AU127" i="5" s="1"/>
  <c r="AU123" i="5"/>
</calcChain>
</file>

<file path=xl/sharedStrings.xml><?xml version="1.0" encoding="utf-8"?>
<sst xmlns="http://schemas.openxmlformats.org/spreadsheetml/2006/main" count="2033" uniqueCount="62">
  <si>
    <t>Дата</t>
  </si>
  <si>
    <t>Смяна</t>
  </si>
  <si>
    <t>Диспечер</t>
  </si>
  <si>
    <t xml:space="preserve">Подадена руда
 от МГТЛ 
за денонощието </t>
  </si>
  <si>
    <t>Състояние 
на склад №2</t>
  </si>
  <si>
    <t xml:space="preserve">Натрошена 
руда от 
Цех ССТ </t>
  </si>
  <si>
    <t>Класа 
 +15,0мм.</t>
  </si>
  <si>
    <t>Класа     +12,5мм.</t>
  </si>
  <si>
    <t>Превозена руда
 до междинни бункери</t>
  </si>
  <si>
    <t>Състояние на междинни бункери</t>
  </si>
  <si>
    <t xml:space="preserve">Преработена
 руда
 в цех МФЦ </t>
  </si>
  <si>
    <t>Влага на преработената руда</t>
  </si>
  <si>
    <t>Суха преработена руда</t>
  </si>
  <si>
    <t xml:space="preserve">Грано
диорити </t>
  </si>
  <si>
    <t>Дайки</t>
  </si>
  <si>
    <t>Шисти</t>
  </si>
  <si>
    <t>Показания на Гранулометър PSI500i руда, +0,20мм</t>
  </si>
  <si>
    <t>Смилане 
 класа     + 0,20мм</t>
  </si>
  <si>
    <t>Смилане 
 класа       -0,08мм</t>
  </si>
  <si>
    <t>Плътност на пулпа</t>
  </si>
  <si>
    <t>Съдържание 
на мед в рудите по Химия</t>
  </si>
  <si>
    <t>Метал  мед в рудите по Химия</t>
  </si>
  <si>
    <t xml:space="preserve">Съдържание 
на мед в рудите по Куриер </t>
  </si>
  <si>
    <t xml:space="preserve">Метал  мед в рудите по Куриер </t>
  </si>
  <si>
    <t>Коригирана съдържание 
на мед в рудите</t>
  </si>
  <si>
    <t xml:space="preserve">Съдържание
 на мед в отпадъка по Куриер </t>
  </si>
  <si>
    <t>Метал мед в отпадъка по Куриер</t>
  </si>
  <si>
    <t>Съдържание
 на мед
в медния к-т Куриер</t>
  </si>
  <si>
    <t>Метал мед в концентрата по Куриер</t>
  </si>
  <si>
    <t>Технологично 
извличане по Куриер</t>
  </si>
  <si>
    <t xml:space="preserve">Товарно 
извличане </t>
  </si>
  <si>
    <t>Добит
 меден 
концентрат</t>
  </si>
  <si>
    <t>Влага на медния концентрат</t>
  </si>
  <si>
    <t>Съдържание
 на мед
в медния к-т</t>
  </si>
  <si>
    <t>Съдържание
 на мед
в медния к-т  /химия-товарен/</t>
  </si>
  <si>
    <t xml:space="preserve">Метал мед
 в медния концентрат </t>
  </si>
  <si>
    <t>Метал мед
 в медния концентрат /химия/</t>
  </si>
  <si>
    <t>Литрово
 тегло 
в сгъстителя</t>
  </si>
  <si>
    <t>Меден 
концентрат, автомобилна везна</t>
  </si>
  <si>
    <t>Меден концентрат в склад</t>
  </si>
  <si>
    <t>Добит
 молибденов
 концентрат</t>
  </si>
  <si>
    <t>Съдържание
 на Мо в молибденовия к-т</t>
  </si>
  <si>
    <t>последни данни за 
съдържания в 
8-ма пречистка</t>
  </si>
  <si>
    <t>последни данни за 
съдържания във 
2-ра пречистка</t>
  </si>
  <si>
    <t>тона</t>
  </si>
  <si>
    <t xml:space="preserve">метра </t>
  </si>
  <si>
    <t>%</t>
  </si>
  <si>
    <t xml:space="preserve">% </t>
  </si>
  <si>
    <t>кг/литър</t>
  </si>
  <si>
    <t>тон</t>
  </si>
  <si>
    <t>кг.</t>
  </si>
  <si>
    <t>Мо %</t>
  </si>
  <si>
    <t>Cu %</t>
  </si>
  <si>
    <t>Мария Лачева</t>
  </si>
  <si>
    <t>Николинка Мутафова</t>
  </si>
  <si>
    <t>Димитър Цончев</t>
  </si>
  <si>
    <t>Общо</t>
  </si>
  <si>
    <t>Цвета Владова</t>
  </si>
  <si>
    <t>Георги Томов</t>
  </si>
  <si>
    <t>Иванка Копаранска</t>
  </si>
  <si>
    <t>Юлияна Цветкова</t>
  </si>
  <si>
    <t>Гергана Колева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</si>
</sst>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%"/>
    <numFmt numFmtId="167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0" tint="-0.499984740745262"/>
      <name val="Times New Roman"/>
      <family val="1"/>
      <charset val="204"/>
    </font>
    <font>
      <b/>
      <sz val="10"/>
      <color theme="6" tint="-0.499984740745262"/>
      <name val="Times New Roman"/>
      <family val="1"/>
      <charset val="204"/>
    </font>
    <font>
      <sz val="10"/>
      <color theme="0" tint="-0.499984740745262"/>
      <name val="Times New Roman"/>
      <family val="1"/>
      <charset val="204"/>
    </font>
    <font>
      <sz val="10"/>
      <color theme="6" tint="-0.499984740745262"/>
      <name val="Times New Roman"/>
      <family val="1"/>
      <charset val="204"/>
    </font>
    <font>
      <sz val="10"/>
      <color theme="0" tint="-0.499984740745262"/>
      <name val="Calibri"/>
      <family val="2"/>
      <charset val="204"/>
      <scheme val="minor"/>
    </font>
    <font>
      <sz val="10"/>
      <color theme="6" tint="-0.49998474074526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FF0000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2" fillId="0" borderId="0" applyFont="0" applyFill="0" applyBorder="0" applyAlignment="0" applyProtection="0"/>
  </cellStyleXfs>
  <cellXfs count="159">
    <xf numFmtId="0" fontId="0" fillId="0" borderId="0" xfId="0"/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1" fontId="3" fillId="0" borderId="3" xfId="0" applyNumberFormat="1" applyFont="1" applyBorder="1"/>
    <xf numFmtId="164" fontId="3" fillId="0" borderId="3" xfId="0" applyNumberFormat="1" applyFont="1" applyBorder="1"/>
    <xf numFmtId="165" fontId="3" fillId="0" borderId="3" xfId="0" applyNumberFormat="1" applyFont="1" applyBorder="1"/>
    <xf numFmtId="10" fontId="3" fillId="0" borderId="3" xfId="0" applyNumberFormat="1" applyFont="1" applyBorder="1"/>
    <xf numFmtId="165" fontId="3" fillId="0" borderId="2" xfId="0" applyNumberFormat="1" applyFont="1" applyBorder="1"/>
    <xf numFmtId="166" fontId="3" fillId="0" borderId="3" xfId="0" applyNumberFormat="1" applyFont="1" applyBorder="1"/>
    <xf numFmtId="167" fontId="3" fillId="0" borderId="9" xfId="0" applyNumberFormat="1" applyFont="1" applyBorder="1"/>
    <xf numFmtId="167" fontId="3" fillId="0" borderId="3" xfId="0" applyNumberFormat="1" applyFont="1" applyBorder="1"/>
    <xf numFmtId="2" fontId="3" fillId="0" borderId="3" xfId="0" applyNumberFormat="1" applyFont="1" applyBorder="1"/>
    <xf numFmtId="165" fontId="2" fillId="3" borderId="5" xfId="0" applyNumberFormat="1" applyFont="1" applyFill="1" applyBorder="1"/>
    <xf numFmtId="0" fontId="4" fillId="0" borderId="0" xfId="0" applyFont="1"/>
    <xf numFmtId="0" fontId="2" fillId="0" borderId="3" xfId="0" applyFont="1" applyBorder="1" applyAlignment="1">
      <alignment horizontal="center"/>
    </xf>
    <xf numFmtId="164" fontId="3" fillId="0" borderId="2" xfId="0" applyNumberFormat="1" applyFont="1" applyBorder="1"/>
    <xf numFmtId="3" fontId="3" fillId="0" borderId="9" xfId="0" applyNumberFormat="1" applyFont="1" applyBorder="1"/>
    <xf numFmtId="10" fontId="3" fillId="0" borderId="0" xfId="0" applyNumberFormat="1" applyFont="1"/>
    <xf numFmtId="166" fontId="3" fillId="0" borderId="10" xfId="0" applyNumberFormat="1" applyFont="1" applyBorder="1" applyAlignment="1">
      <alignment horizontal="right"/>
    </xf>
    <xf numFmtId="10" fontId="3" fillId="0" borderId="9" xfId="0" applyNumberFormat="1" applyFont="1" applyBorder="1"/>
    <xf numFmtId="10" fontId="3" fillId="2" borderId="9" xfId="0" applyNumberFormat="1" applyFont="1" applyFill="1" applyBorder="1"/>
    <xf numFmtId="2" fontId="3" fillId="0" borderId="2" xfId="0" applyNumberFormat="1" applyFont="1" applyBorder="1"/>
    <xf numFmtId="4" fontId="3" fillId="0" borderId="3" xfId="0" applyNumberFormat="1" applyFont="1" applyBorder="1"/>
    <xf numFmtId="0" fontId="5" fillId="0" borderId="0" xfId="0" applyFont="1"/>
    <xf numFmtId="0" fontId="2" fillId="0" borderId="10" xfId="0" applyFont="1" applyBorder="1" applyAlignment="1">
      <alignment horizontal="center"/>
    </xf>
    <xf numFmtId="1" fontId="3" fillId="0" borderId="7" xfId="0" applyNumberFormat="1" applyFont="1" applyBorder="1"/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9" xfId="0" applyNumberFormat="1" applyFont="1" applyBorder="1"/>
    <xf numFmtId="10" fontId="3" fillId="0" borderId="7" xfId="0" applyNumberFormat="1" applyFont="1" applyBorder="1"/>
    <xf numFmtId="165" fontId="3" fillId="0" borderId="9" xfId="0" applyNumberFormat="1" applyFont="1" applyBorder="1"/>
    <xf numFmtId="166" fontId="3" fillId="0" borderId="7" xfId="0" applyNumberFormat="1" applyFont="1" applyBorder="1"/>
    <xf numFmtId="2" fontId="3" fillId="0" borderId="9" xfId="0" applyNumberFormat="1" applyFont="1" applyBorder="1"/>
    <xf numFmtId="167" fontId="3" fillId="0" borderId="7" xfId="0" applyNumberFormat="1" applyFont="1" applyBorder="1"/>
    <xf numFmtId="1" fontId="3" fillId="0" borderId="9" xfId="0" applyNumberFormat="1" applyFont="1" applyBorder="1"/>
    <xf numFmtId="4" fontId="3" fillId="0" borderId="7" xfId="0" applyNumberFormat="1" applyFont="1" applyBorder="1"/>
    <xf numFmtId="2" fontId="3" fillId="0" borderId="7" xfId="0" applyNumberFormat="1" applyFont="1" applyBorder="1"/>
    <xf numFmtId="166" fontId="3" fillId="0" borderId="9" xfId="0" applyNumberFormat="1" applyFont="1" applyBorder="1"/>
    <xf numFmtId="4" fontId="3" fillId="0" borderId="9" xfId="0" applyNumberFormat="1" applyFont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1" fontId="2" fillId="3" borderId="5" xfId="0" applyNumberFormat="1" applyFont="1" applyFill="1" applyBorder="1"/>
    <xf numFmtId="164" fontId="2" fillId="3" borderId="5" xfId="0" applyNumberFormat="1" applyFont="1" applyFill="1" applyBorder="1"/>
    <xf numFmtId="10" fontId="2" fillId="3" borderId="5" xfId="0" applyNumberFormat="1" applyFont="1" applyFill="1" applyBorder="1"/>
    <xf numFmtId="3" fontId="2" fillId="3" borderId="5" xfId="0" applyNumberFormat="1" applyFont="1" applyFill="1" applyBorder="1"/>
    <xf numFmtId="166" fontId="2" fillId="3" borderId="5" xfId="0" applyNumberFormat="1" applyFont="1" applyFill="1" applyBorder="1"/>
    <xf numFmtId="167" fontId="2" fillId="3" borderId="5" xfId="0" applyNumberFormat="1" applyFont="1" applyFill="1" applyBorder="1"/>
    <xf numFmtId="10" fontId="2" fillId="3" borderId="6" xfId="0" applyNumberFormat="1" applyFont="1" applyFill="1" applyBorder="1"/>
    <xf numFmtId="2" fontId="2" fillId="3" borderId="5" xfId="0" applyNumberFormat="1" applyFont="1" applyFill="1" applyBorder="1"/>
    <xf numFmtId="4" fontId="2" fillId="3" borderId="5" xfId="0" applyNumberFormat="1" applyFont="1" applyFill="1" applyBorder="1"/>
    <xf numFmtId="10" fontId="3" fillId="2" borderId="10" xfId="0" applyNumberFormat="1" applyFont="1" applyFill="1" applyBorder="1"/>
    <xf numFmtId="0" fontId="4" fillId="0" borderId="0" xfId="0" applyFont="1" applyAlignment="1">
      <alignment horizontal="center" vertical="center"/>
    </xf>
    <xf numFmtId="10" fontId="5" fillId="0" borderId="0" xfId="0" applyNumberFormat="1" applyFont="1"/>
    <xf numFmtId="164" fontId="5" fillId="0" borderId="0" xfId="0" applyNumberFormat="1" applyFont="1"/>
    <xf numFmtId="2" fontId="5" fillId="0" borderId="0" xfId="0" applyNumberFormat="1" applyFont="1"/>
    <xf numFmtId="1" fontId="5" fillId="0" borderId="0" xfId="0" applyNumberFormat="1" applyFont="1"/>
    <xf numFmtId="0" fontId="2" fillId="0" borderId="11" xfId="0" applyFont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7" fontId="2" fillId="0" borderId="3" xfId="0" applyNumberFormat="1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center" vertical="center" wrapText="1"/>
    </xf>
    <xf numFmtId="167" fontId="2" fillId="0" borderId="6" xfId="0" applyNumberFormat="1" applyFont="1" applyBorder="1" applyAlignment="1">
      <alignment horizontal="center" vertical="center"/>
    </xf>
    <xf numFmtId="167" fontId="6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7" fillId="0" borderId="13" xfId="0" applyNumberFormat="1" applyFont="1" applyBorder="1" applyAlignment="1">
      <alignment horizontal="center" vertical="center"/>
    </xf>
    <xf numFmtId="167" fontId="8" fillId="0" borderId="3" xfId="0" applyNumberFormat="1" applyFont="1" applyBorder="1"/>
    <xf numFmtId="167" fontId="9" fillId="0" borderId="3" xfId="0" applyNumberFormat="1" applyFont="1" applyBorder="1"/>
    <xf numFmtId="167" fontId="9" fillId="0" borderId="7" xfId="0" applyNumberFormat="1" applyFont="1" applyBorder="1"/>
    <xf numFmtId="167" fontId="9" fillId="0" borderId="9" xfId="0" applyNumberFormat="1" applyFont="1" applyBorder="1"/>
    <xf numFmtId="167" fontId="6" fillId="3" borderId="5" xfId="0" applyNumberFormat="1" applyFont="1" applyFill="1" applyBorder="1"/>
    <xf numFmtId="167" fontId="7" fillId="3" borderId="5" xfId="0" applyNumberFormat="1" applyFont="1" applyFill="1" applyBorder="1"/>
    <xf numFmtId="167" fontId="5" fillId="0" borderId="0" xfId="0" applyNumberFormat="1" applyFont="1"/>
    <xf numFmtId="167" fontId="10" fillId="0" borderId="0" xfId="0" applyNumberFormat="1" applyFont="1"/>
    <xf numFmtId="167" fontId="11" fillId="0" borderId="0" xfId="0" applyNumberFormat="1" applyFont="1"/>
    <xf numFmtId="167" fontId="8" fillId="0" borderId="10" xfId="0" applyNumberFormat="1" applyFont="1" applyBorder="1"/>
    <xf numFmtId="10" fontId="2" fillId="0" borderId="3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10" fontId="2" fillId="0" borderId="14" xfId="0" applyNumberFormat="1" applyFont="1" applyBorder="1" applyAlignment="1">
      <alignment horizontal="center" vertical="center"/>
    </xf>
    <xf numFmtId="10" fontId="3" fillId="0" borderId="13" xfId="0" applyNumberFormat="1" applyFont="1" applyBorder="1"/>
    <xf numFmtId="2" fontId="2" fillId="0" borderId="14" xfId="0" applyNumberFormat="1" applyFont="1" applyBorder="1" applyAlignment="1">
      <alignment horizontal="center" vertical="center"/>
    </xf>
    <xf numFmtId="167" fontId="6" fillId="0" borderId="14" xfId="0" applyNumberFormat="1" applyFont="1" applyBorder="1" applyAlignment="1">
      <alignment horizontal="center" vertical="center"/>
    </xf>
    <xf numFmtId="164" fontId="2" fillId="0" borderId="3" xfId="2" applyNumberFormat="1" applyFont="1" applyBorder="1" applyAlignment="1">
      <alignment horizontal="center" vertical="center" wrapText="1"/>
    </xf>
    <xf numFmtId="3" fontId="3" fillId="0" borderId="10" xfId="0" applyNumberFormat="1" applyFont="1" applyBorder="1"/>
    <xf numFmtId="0" fontId="2" fillId="0" borderId="3" xfId="0" applyFont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10" fontId="14" fillId="0" borderId="2" xfId="0" applyNumberFormat="1" applyFont="1" applyBorder="1"/>
    <xf numFmtId="2" fontId="14" fillId="0" borderId="2" xfId="0" applyNumberFormat="1" applyFont="1" applyBorder="1"/>
    <xf numFmtId="10" fontId="14" fillId="0" borderId="7" xfId="0" applyNumberFormat="1" applyFont="1" applyBorder="1"/>
    <xf numFmtId="2" fontId="14" fillId="0" borderId="7" xfId="0" applyNumberFormat="1" applyFont="1" applyBorder="1"/>
    <xf numFmtId="10" fontId="14" fillId="0" borderId="9" xfId="0" applyNumberFormat="1" applyFont="1" applyBorder="1"/>
    <xf numFmtId="2" fontId="14" fillId="0" borderId="9" xfId="0" applyNumberFormat="1" applyFont="1" applyBorder="1"/>
    <xf numFmtId="10" fontId="13" fillId="3" borderId="5" xfId="0" applyNumberFormat="1" applyFont="1" applyFill="1" applyBorder="1"/>
    <xf numFmtId="2" fontId="13" fillId="3" borderId="5" xfId="0" applyNumberFormat="1" applyFont="1" applyFill="1" applyBorder="1"/>
    <xf numFmtId="0" fontId="15" fillId="0" borderId="0" xfId="0" applyFont="1"/>
    <xf numFmtId="165" fontId="2" fillId="0" borderId="13" xfId="0" applyNumberFormat="1" applyFont="1" applyBorder="1" applyAlignment="1">
      <alignment horizontal="center" vertical="center"/>
    </xf>
    <xf numFmtId="10" fontId="14" fillId="0" borderId="3" xfId="0" applyNumberFormat="1" applyFont="1" applyBorder="1"/>
    <xf numFmtId="10" fontId="14" fillId="0" borderId="13" xfId="0" applyNumberFormat="1" applyFont="1" applyBorder="1"/>
    <xf numFmtId="166" fontId="13" fillId="0" borderId="3" xfId="0" applyNumberFormat="1" applyFont="1" applyBorder="1" applyAlignment="1">
      <alignment horizontal="center" vertical="center" wrapText="1"/>
    </xf>
    <xf numFmtId="166" fontId="13" fillId="0" borderId="6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/>
    </xf>
    <xf numFmtId="166" fontId="14" fillId="0" borderId="3" xfId="0" applyNumberFormat="1" applyFont="1" applyBorder="1"/>
    <xf numFmtId="166" fontId="14" fillId="0" borderId="7" xfId="0" applyNumberFormat="1" applyFont="1" applyBorder="1"/>
    <xf numFmtId="166" fontId="14" fillId="0" borderId="9" xfId="0" applyNumberFormat="1" applyFont="1" applyBorder="1"/>
    <xf numFmtId="166" fontId="13" fillId="3" borderId="5" xfId="0" applyNumberFormat="1" applyFont="1" applyFill="1" applyBorder="1"/>
    <xf numFmtId="166" fontId="15" fillId="0" borderId="0" xfId="0" applyNumberFormat="1" applyFont="1"/>
    <xf numFmtId="167" fontId="3" fillId="0" borderId="10" xfId="0" applyNumberFormat="1" applyFont="1" applyBorder="1"/>
    <xf numFmtId="0" fontId="2" fillId="0" borderId="1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7" fontId="16" fillId="0" borderId="3" xfId="0" applyNumberFormat="1" applyFont="1" applyBorder="1"/>
    <xf numFmtId="167" fontId="8" fillId="0" borderId="9" xfId="0" applyNumberFormat="1" applyFont="1" applyBorder="1"/>
    <xf numFmtId="167" fontId="14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167" fontId="9" fillId="0" borderId="10" xfId="0" applyNumberFormat="1" applyFont="1" applyBorder="1"/>
    <xf numFmtId="0" fontId="2" fillId="3" borderId="13" xfId="0" applyFont="1" applyFill="1" applyBorder="1" applyAlignment="1">
      <alignment horizontal="center"/>
    </xf>
    <xf numFmtId="167" fontId="6" fillId="3" borderId="13" xfId="0" applyNumberFormat="1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167" fontId="2" fillId="3" borderId="6" xfId="0" applyNumberFormat="1" applyFont="1" applyFill="1" applyBorder="1"/>
    <xf numFmtId="4" fontId="2" fillId="3" borderId="6" xfId="0" applyNumberFormat="1" applyFont="1" applyFill="1" applyBorder="1"/>
    <xf numFmtId="2" fontId="2" fillId="3" borderId="6" xfId="0" applyNumberFormat="1" applyFont="1" applyFill="1" applyBorder="1"/>
    <xf numFmtId="0" fontId="1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1" fontId="16" fillId="0" borderId="3" xfId="0" applyNumberFormat="1" applyFont="1" applyBorder="1"/>
    <xf numFmtId="167" fontId="14" fillId="0" borderId="10" xfId="0" applyNumberFormat="1" applyFont="1" applyBorder="1"/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3" fillId="0" borderId="2" xfId="0" applyNumberFormat="1" applyFont="1" applyBorder="1"/>
    <xf numFmtId="165" fontId="3" fillId="0" borderId="10" xfId="0" applyNumberFormat="1" applyFont="1" applyBorder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ULSE_Reports/MFC/Dispecheri/2025/Doklad_Dispecheri_2025.xlsx" TargetMode="External"/><Relationship Id="rId2" Type="http://schemas.openxmlformats.org/officeDocument/2006/relationships/externalLinkPath" Target="file:///W:\PULSE_Reports\MFC\Dispecheri\2025\Doklad_Dispecheri_2025.xlsx" TargetMode="External"/><Relationship Id="rId1" Type="http://schemas.openxmlformats.org/officeDocument/2006/relationships/externalLinkPath" Target="/PULSE_Reports/MFC/Dispecheri/2025/Doklad_Dispecheri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Януари "/>
      <sheetName val="Февруари"/>
      <sheetName val="Март"/>
      <sheetName val="Април"/>
      <sheetName val="Май"/>
      <sheetName val="Юни"/>
      <sheetName val="Юли"/>
      <sheetName val="Август"/>
      <sheetName val="Септември"/>
      <sheetName val="Октомври"/>
      <sheetName val="Ноември"/>
      <sheetName val="Декемвр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27">
          <cell r="AU127">
            <v>1441.6199999999994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7"/>
  <sheetViews>
    <sheetView zoomScale="110" zoomScaleNormal="110" workbookViewId="0">
      <pane xSplit="3" ySplit="2" topLeftCell="D113" activePane="bottomRight" state="frozen"/>
      <selection pane="bottomRight" sqref="A1:XFD127"/>
      <selection pane="bottomLeft" activeCell="A3" sqref="A3"/>
      <selection pane="topRight" activeCell="D1" sqref="D1"/>
    </sheetView>
  </sheetViews>
  <sheetFormatPr defaultColWidth="9.140625" defaultRowHeight="12.75"/>
  <cols>
    <col min="1" max="1" width="3.28515625" style="59" bestFit="1" customWidth="1"/>
    <col min="2" max="2" width="5.85546875" style="21" customWidth="1"/>
    <col min="3" max="3" width="16" style="31" customWidth="1"/>
    <col min="4" max="4" width="13.140625" style="31" customWidth="1"/>
    <col min="5" max="5" width="10.7109375" style="31" customWidth="1"/>
    <col min="6" max="6" width="11.28515625" style="31" customWidth="1"/>
    <col min="7" max="7" width="9.42578125" style="61" customWidth="1"/>
    <col min="8" max="8" width="8.85546875" style="31" customWidth="1"/>
    <col min="9" max="9" width="12.7109375" style="31" customWidth="1"/>
    <col min="10" max="10" width="10.85546875" style="61" customWidth="1"/>
    <col min="11" max="11" width="11.28515625" style="31" customWidth="1"/>
    <col min="12" max="12" width="10.42578125" style="31" customWidth="1"/>
    <col min="13" max="13" width="12.5703125" style="31" customWidth="1"/>
    <col min="14" max="14" width="8.5703125" style="31" bestFit="1" customWidth="1"/>
    <col min="15" max="15" width="10.7109375" style="31" hidden="1" customWidth="1"/>
    <col min="16" max="16" width="8.5703125" style="31" customWidth="1"/>
    <col min="17" max="17" width="0.7109375" style="31" hidden="1" customWidth="1"/>
    <col min="18" max="18" width="7.7109375" style="31" bestFit="1" customWidth="1"/>
    <col min="19" max="19" width="13.5703125" style="31" customWidth="1"/>
    <col min="20" max="20" width="8.42578125" style="31" hidden="1" customWidth="1"/>
    <col min="21" max="21" width="9" style="31" customWidth="1"/>
    <col min="22" max="22" width="6.7109375" style="31" hidden="1" customWidth="1"/>
    <col min="23" max="23" width="9" style="31" customWidth="1"/>
    <col min="24" max="24" width="7.42578125" style="31" hidden="1" customWidth="1"/>
    <col min="25" max="25" width="9.85546875" style="31" customWidth="1"/>
    <col min="26" max="26" width="14.42578125" style="31" hidden="1" customWidth="1"/>
    <col min="27" max="27" width="12.140625" style="120" customWidth="1"/>
    <col min="28" max="28" width="0.42578125" style="31" hidden="1" customWidth="1"/>
    <col min="29" max="29" width="12.28515625" style="31" customWidth="1"/>
    <col min="30" max="30" width="7.5703125" style="31" hidden="1" customWidth="1"/>
    <col min="31" max="31" width="11.7109375" style="31" hidden="1" customWidth="1"/>
    <col min="32" max="32" width="12.28515625" style="31" customWidth="1"/>
    <col min="33" max="33" width="0.42578125" style="31" hidden="1" customWidth="1"/>
    <col min="34" max="34" width="12.85546875" style="60" customWidth="1"/>
    <col min="35" max="35" width="15" style="62" hidden="1" customWidth="1"/>
    <col min="36" max="36" width="11" style="31" customWidth="1"/>
    <col min="37" max="37" width="10" style="31" customWidth="1"/>
    <col min="38" max="38" width="12" style="31" customWidth="1"/>
    <col min="39" max="39" width="8.85546875" style="61" customWidth="1"/>
    <col min="40" max="40" width="12.5703125" style="62" customWidth="1"/>
    <col min="41" max="41" width="12.28515625" style="62" customWidth="1"/>
    <col min="42" max="42" width="8.5703125" style="31" customWidth="1"/>
    <col min="43" max="43" width="11.7109375" style="109" customWidth="1"/>
    <col min="44" max="44" width="11.85546875" style="31" customWidth="1"/>
    <col min="45" max="45" width="12.7109375" style="85" customWidth="1"/>
    <col min="46" max="46" width="11.5703125" style="86" customWidth="1"/>
    <col min="47" max="47" width="11.5703125" style="87" customWidth="1"/>
    <col min="48" max="48" width="12.140625" style="63" customWidth="1"/>
    <col min="49" max="49" width="14.85546875" style="31" customWidth="1"/>
    <col min="50" max="50" width="6.42578125" style="31" bestFit="1" customWidth="1"/>
    <col min="51" max="51" width="10.42578125" style="31" customWidth="1"/>
    <col min="52" max="52" width="6.42578125" style="31" bestFit="1" customWidth="1"/>
    <col min="53" max="53" width="11.140625" style="31" customWidth="1"/>
    <col min="54" max="16384" width="9.140625" style="31"/>
  </cols>
  <sheetData>
    <row r="1" spans="1:53" s="21" customFormat="1" ht="66" customHeight="1">
      <c r="A1" s="151" t="s">
        <v>0</v>
      </c>
      <c r="B1" s="153" t="s">
        <v>1</v>
      </c>
      <c r="C1" s="155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3" s="21" customFormat="1" ht="13.5" thickBot="1">
      <c r="A2" s="152"/>
      <c r="B2" s="154"/>
      <c r="C2" s="156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5" t="s">
        <v>45</v>
      </c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 t="s">
        <v>46</v>
      </c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5" t="s">
        <v>46</v>
      </c>
      <c r="AP2" s="5" t="s">
        <v>44</v>
      </c>
      <c r="AQ2" s="5" t="s">
        <v>44</v>
      </c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</row>
    <row r="3" spans="1:53" s="21" customFormat="1" ht="13.5" thickBot="1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f>[1]Декември!AU127</f>
        <v>1441.6199999999994</v>
      </c>
      <c r="AU3" s="78"/>
      <c r="AV3" s="69"/>
      <c r="AW3" s="66"/>
      <c r="AX3" s="66"/>
      <c r="AY3" s="66"/>
      <c r="AZ3" s="66"/>
      <c r="BA3" s="66"/>
    </row>
    <row r="4" spans="1:53" ht="13.5" thickBot="1">
      <c r="A4" s="146">
        <v>1</v>
      </c>
      <c r="B4" s="22">
        <v>1</v>
      </c>
      <c r="C4" s="10" t="s">
        <v>53</v>
      </c>
      <c r="D4" s="11">
        <v>10200</v>
      </c>
      <c r="E4" s="11">
        <v>5</v>
      </c>
      <c r="F4" s="11">
        <v>14204</v>
      </c>
      <c r="G4" s="12">
        <v>0.9</v>
      </c>
      <c r="H4" s="12">
        <v>7.3</v>
      </c>
      <c r="I4" s="11">
        <v>13837</v>
      </c>
      <c r="J4" s="12">
        <v>3</v>
      </c>
      <c r="K4" s="11">
        <v>16058</v>
      </c>
      <c r="L4" s="13">
        <v>4.8000000000000001E-2</v>
      </c>
      <c r="M4" s="23">
        <f>ROUND(K4*(1-L4),0)</f>
        <v>15287</v>
      </c>
      <c r="N4" s="14">
        <v>0.70199999999999996</v>
      </c>
      <c r="O4" s="24">
        <f t="shared" ref="O4:O6" si="0">M4*N4</f>
        <v>10731.474</v>
      </c>
      <c r="P4" s="13">
        <v>0.19800000000000001</v>
      </c>
      <c r="Q4" s="24">
        <f t="shared" ref="Q4:Q6" si="1">M4*P4</f>
        <v>3026.826</v>
      </c>
      <c r="R4" s="15">
        <v>0.1</v>
      </c>
      <c r="S4" s="111"/>
      <c r="T4" s="24">
        <f t="shared" ref="T4:T6" si="2">M4*R4</f>
        <v>1528.7</v>
      </c>
      <c r="U4" s="25">
        <v>0.24199999999999999</v>
      </c>
      <c r="V4" s="24">
        <f t="shared" ref="V4:V6" si="3">M4*U4</f>
        <v>3699.4539999999997</v>
      </c>
      <c r="W4" s="15">
        <v>0.49199999999999999</v>
      </c>
      <c r="X4" s="24">
        <f>M4*W4</f>
        <v>7521.2039999999997</v>
      </c>
      <c r="Y4" s="15">
        <v>0.41</v>
      </c>
      <c r="Z4" s="96">
        <f t="shared" ref="Z4:Z6" si="4">Y4*M4</f>
        <v>6267.67</v>
      </c>
      <c r="AA4" s="116">
        <v>2.7200000000000002E-3</v>
      </c>
      <c r="AB4" s="18">
        <f>M4*AA4</f>
        <v>41.580640000000002</v>
      </c>
      <c r="AC4" s="16">
        <v>2.47E-3</v>
      </c>
      <c r="AD4" s="18">
        <f>M4*AC4</f>
        <v>37.758890000000001</v>
      </c>
      <c r="AE4" s="26">
        <f>IF(M4&gt;0,(AG4+AP4)/M4,0)</f>
        <v>2.5474268136324988E-3</v>
      </c>
      <c r="AF4" s="16">
        <v>2.9999999999999997E-4</v>
      </c>
      <c r="AG4" s="23">
        <f t="shared" ref="AG4:AG6" si="5">AF4*M4</f>
        <v>4.5860999999999992</v>
      </c>
      <c r="AH4" s="92">
        <v>0.21049999999999999</v>
      </c>
      <c r="AI4" s="29">
        <f>AL4*(1-AM4)*AH4</f>
        <v>33.007873500000002</v>
      </c>
      <c r="AJ4" s="27">
        <f>IF(AND(AH4&gt;0,AF4&gt;0,AC4&gt;0),((AC4-AF4)*AH4)/((AH4-AF4)*AC4),0)</f>
        <v>0.8797963766915643</v>
      </c>
      <c r="AK4" s="58">
        <f t="shared" ref="AK4:AK67" si="6">IF(AND(AE4&gt;0,AN4&gt;0,AF4&gt;0),((AN4*(AE4-AF4))/(AE4*(AN4-AF4))),0)</f>
        <v>0.88344374903916667</v>
      </c>
      <c r="AL4" s="11">
        <v>171</v>
      </c>
      <c r="AM4" s="13">
        <v>8.3000000000000004E-2</v>
      </c>
      <c r="AN4" s="14">
        <v>0.21909999999999999</v>
      </c>
      <c r="AO4" s="101">
        <v>0.22889999999999999</v>
      </c>
      <c r="AP4" s="29">
        <f>AL4*(1-AM4)*AN4</f>
        <v>34.356413700000004</v>
      </c>
      <c r="AQ4" s="102">
        <f>AL4*(1-AM4)*AO4</f>
        <v>35.893122300000002</v>
      </c>
      <c r="AR4" s="18">
        <v>1.66</v>
      </c>
      <c r="AS4" s="18"/>
      <c r="AT4" s="88">
        <f>AT3+AL4-AS4</f>
        <v>1612.6199999999994</v>
      </c>
      <c r="AU4" s="80"/>
      <c r="AV4" s="11"/>
      <c r="AW4" s="30"/>
      <c r="AX4" s="19"/>
      <c r="AY4" s="19"/>
      <c r="AZ4" s="19"/>
      <c r="BA4" s="19"/>
    </row>
    <row r="5" spans="1:53">
      <c r="A5" s="147"/>
      <c r="B5" s="32">
        <v>2</v>
      </c>
      <c r="C5" s="10" t="s">
        <v>54</v>
      </c>
      <c r="D5" s="33">
        <v>17500</v>
      </c>
      <c r="E5" s="33">
        <v>8</v>
      </c>
      <c r="F5" s="33">
        <v>16708</v>
      </c>
      <c r="G5" s="34">
        <v>0.6</v>
      </c>
      <c r="H5" s="34">
        <v>6.5</v>
      </c>
      <c r="I5" s="33">
        <v>16484</v>
      </c>
      <c r="J5" s="34">
        <v>3.3</v>
      </c>
      <c r="K5" s="33">
        <v>16154</v>
      </c>
      <c r="L5" s="35">
        <v>4.9000000000000002E-2</v>
      </c>
      <c r="M5" s="36">
        <f>ROUND(K5*(1-L5),0)</f>
        <v>15362</v>
      </c>
      <c r="N5" s="37">
        <v>0.59</v>
      </c>
      <c r="O5" s="24">
        <f t="shared" si="0"/>
        <v>9063.58</v>
      </c>
      <c r="P5" s="35">
        <v>0.33900000000000002</v>
      </c>
      <c r="Q5" s="24">
        <f t="shared" si="1"/>
        <v>5207.7180000000008</v>
      </c>
      <c r="R5" s="38">
        <v>7.0999999999999994E-2</v>
      </c>
      <c r="S5" s="105"/>
      <c r="T5" s="24">
        <f t="shared" si="2"/>
        <v>1090.702</v>
      </c>
      <c r="U5" s="27">
        <v>0.27600000000000002</v>
      </c>
      <c r="V5" s="24">
        <f t="shared" si="3"/>
        <v>4239.9120000000003</v>
      </c>
      <c r="W5" s="38">
        <v>0.46500000000000002</v>
      </c>
      <c r="X5" s="24">
        <f>M5*W5</f>
        <v>7143.33</v>
      </c>
      <c r="Y5" s="38">
        <v>0.4</v>
      </c>
      <c r="Z5" s="24">
        <f t="shared" si="4"/>
        <v>6144.8</v>
      </c>
      <c r="AA5" s="117">
        <v>2.4499999999999999E-3</v>
      </c>
      <c r="AB5" s="18">
        <f t="shared" ref="AB5:AB6" si="7">M5*AA5</f>
        <v>37.636899999999997</v>
      </c>
      <c r="AC5" s="39">
        <v>2.3400000000000001E-3</v>
      </c>
      <c r="AD5" s="17">
        <f>M5*AC5</f>
        <v>35.94708</v>
      </c>
      <c r="AE5" s="26">
        <f>IF(M5&gt;0,(AG5+AP5)/M5,0)</f>
        <v>2.6066588920713456E-3</v>
      </c>
      <c r="AF5" s="39">
        <v>2.9999999999999997E-4</v>
      </c>
      <c r="AG5" s="36">
        <f t="shared" si="5"/>
        <v>4.6086</v>
      </c>
      <c r="AH5" s="27">
        <v>0.20979999999999999</v>
      </c>
      <c r="AI5" s="40">
        <f>AL5*(1-AM5)*AH5</f>
        <v>35.283534600000003</v>
      </c>
      <c r="AJ5" s="27">
        <f>IF(AND(AH5&gt;0,AF5&gt;0,AC5&gt;0),((AC5-AF5)*AH5)/((AH5-AF5)*AC5),0)</f>
        <v>0.87304326540603383</v>
      </c>
      <c r="AK5" s="28">
        <f t="shared" si="6"/>
        <v>0.88617189667435092</v>
      </c>
      <c r="AL5" s="33">
        <v>183</v>
      </c>
      <c r="AM5" s="35">
        <v>8.1000000000000003E-2</v>
      </c>
      <c r="AN5" s="37">
        <v>0.2107</v>
      </c>
      <c r="AO5" s="103">
        <v>0.2213</v>
      </c>
      <c r="AP5" s="40">
        <f>AL5*(1-AM5)*AN5</f>
        <v>35.434893900000006</v>
      </c>
      <c r="AQ5" s="104">
        <f t="shared" ref="AQ5:AQ6" si="8">AL5*(1-AM5)*AO5</f>
        <v>37.217570100000003</v>
      </c>
      <c r="AR5" s="41">
        <v>1.65</v>
      </c>
      <c r="AS5" s="41"/>
      <c r="AT5" s="88">
        <f>AT4+AL5-AS5</f>
        <v>1795.6199999999994</v>
      </c>
      <c r="AU5" s="81"/>
      <c r="AV5" s="42"/>
      <c r="AW5" s="43"/>
      <c r="AX5" s="44"/>
      <c r="AY5" s="44"/>
      <c r="AZ5" s="44"/>
      <c r="BA5" s="44"/>
    </row>
    <row r="6" spans="1:53">
      <c r="A6" s="147"/>
      <c r="B6" s="32">
        <v>3</v>
      </c>
      <c r="C6" s="10" t="s">
        <v>55</v>
      </c>
      <c r="D6" s="42">
        <v>14570</v>
      </c>
      <c r="E6" s="42">
        <v>8</v>
      </c>
      <c r="F6" s="42">
        <v>17413</v>
      </c>
      <c r="G6" s="36">
        <v>0.8</v>
      </c>
      <c r="H6" s="36">
        <v>6.5</v>
      </c>
      <c r="I6" s="42">
        <v>16908</v>
      </c>
      <c r="J6" s="36">
        <v>2.5</v>
      </c>
      <c r="K6" s="42">
        <v>16221</v>
      </c>
      <c r="L6" s="38">
        <v>5.3999999999999999E-2</v>
      </c>
      <c r="M6" s="36">
        <f>ROUND(K6*(1-L6),0)</f>
        <v>15345</v>
      </c>
      <c r="N6" s="27">
        <v>0.54800000000000004</v>
      </c>
      <c r="O6" s="24">
        <f t="shared" si="0"/>
        <v>8409.0600000000013</v>
      </c>
      <c r="P6" s="38">
        <v>0.40100000000000002</v>
      </c>
      <c r="Q6" s="24">
        <f t="shared" si="1"/>
        <v>6153.3450000000003</v>
      </c>
      <c r="R6" s="38">
        <v>5.0999999999999997E-2</v>
      </c>
      <c r="S6" s="105"/>
      <c r="T6" s="24">
        <f t="shared" si="2"/>
        <v>782.59499999999991</v>
      </c>
      <c r="U6" s="27">
        <v>0.26900000000000002</v>
      </c>
      <c r="V6" s="24">
        <f t="shared" si="3"/>
        <v>4127.8050000000003</v>
      </c>
      <c r="W6" s="38">
        <v>0.45800000000000002</v>
      </c>
      <c r="X6" s="24">
        <f>M6*W6</f>
        <v>7028.01</v>
      </c>
      <c r="Y6" s="38">
        <v>0.43</v>
      </c>
      <c r="Z6" s="24">
        <f t="shared" si="4"/>
        <v>6598.3499999999995</v>
      </c>
      <c r="AA6" s="118">
        <v>2.4499999999999999E-3</v>
      </c>
      <c r="AB6" s="121">
        <f t="shared" si="7"/>
        <v>37.59525</v>
      </c>
      <c r="AC6" s="45">
        <v>2.4399999999999999E-3</v>
      </c>
      <c r="AD6" s="17">
        <f>M6*AC6</f>
        <v>37.441800000000001</v>
      </c>
      <c r="AE6" s="26">
        <f>IF(M6&gt;0,(AG6+AP6)/M6,0)</f>
        <v>2.812501661779081E-3</v>
      </c>
      <c r="AF6" s="45">
        <v>2.9E-4</v>
      </c>
      <c r="AG6" s="36">
        <f t="shared" si="5"/>
        <v>4.4500500000000001</v>
      </c>
      <c r="AH6" s="27">
        <v>0.2102</v>
      </c>
      <c r="AI6" s="40">
        <f>AL6*(1-AM6)*AH6</f>
        <v>36.782898000000003</v>
      </c>
      <c r="AJ6" s="27">
        <f>IF(AND(AH6&gt;0,AF6&gt;0,AC6&gt;0),((AC6-AF6)*AH6)/((AH6-AF6)*AC6),0)</f>
        <v>0.88236488549737568</v>
      </c>
      <c r="AK6" s="28">
        <f t="shared" si="6"/>
        <v>0.89806634239525251</v>
      </c>
      <c r="AL6" s="42">
        <v>190</v>
      </c>
      <c r="AM6" s="38">
        <v>7.9000000000000001E-2</v>
      </c>
      <c r="AN6" s="27">
        <v>0.22120000000000001</v>
      </c>
      <c r="AO6" s="105">
        <v>0.23119999999999999</v>
      </c>
      <c r="AP6" s="40">
        <f>AL6*(1-AM6)*AN6</f>
        <v>38.707788000000001</v>
      </c>
      <c r="AQ6" s="106">
        <f t="shared" si="8"/>
        <v>40.457687999999997</v>
      </c>
      <c r="AR6" s="17">
        <v>1.6</v>
      </c>
      <c r="AS6" s="17"/>
      <c r="AT6" s="88">
        <f>AT5+AL6-AS6</f>
        <v>1985.6199999999994</v>
      </c>
      <c r="AU6" s="82"/>
      <c r="AV6" s="42"/>
      <c r="AW6" s="46"/>
      <c r="AX6" s="40"/>
      <c r="AY6" s="40"/>
      <c r="AZ6" s="40"/>
      <c r="BA6" s="40"/>
    </row>
    <row r="7" spans="1:53" s="21" customFormat="1" ht="13.5" thickBot="1">
      <c r="A7" s="148"/>
      <c r="B7" s="47" t="s">
        <v>56</v>
      </c>
      <c r="C7" s="48"/>
      <c r="D7" s="49">
        <f>SUM(D4:D6)</f>
        <v>42270</v>
      </c>
      <c r="E7" s="49"/>
      <c r="F7" s="49">
        <f>SUM(F4:F6)</f>
        <v>48325</v>
      </c>
      <c r="G7" s="50"/>
      <c r="H7" s="50"/>
      <c r="I7" s="49">
        <f>SUM(I4:I6)</f>
        <v>47229</v>
      </c>
      <c r="J7" s="50"/>
      <c r="K7" s="49">
        <f>SUM(K4:K6)</f>
        <v>48433</v>
      </c>
      <c r="L7" s="20">
        <f>IF(K7&gt;0,(K4*L4+K5*L5+K6*L6)/K7,0)</f>
        <v>5.0343030578324698E-2</v>
      </c>
      <c r="M7" s="50">
        <f>M4+M5+M6</f>
        <v>45994</v>
      </c>
      <c r="N7" s="51">
        <f>IF(M7&gt;0,O7/M7,0)</f>
        <v>0.61321289733443496</v>
      </c>
      <c r="O7" s="52">
        <f>O4+O5+O6</f>
        <v>28204.114000000001</v>
      </c>
      <c r="P7" s="20">
        <f>IF(M7&gt;0,Q7/M7,0)</f>
        <v>0.31282099839109456</v>
      </c>
      <c r="Q7" s="52">
        <f>Q4+Q5+Q6</f>
        <v>14387.889000000003</v>
      </c>
      <c r="R7" s="20">
        <f>IF(M7&gt;0,T7/M7,0)</f>
        <v>7.3966104274470576E-2</v>
      </c>
      <c r="S7" s="107"/>
      <c r="T7" s="52">
        <f>T4+T5+T6</f>
        <v>3401.9969999999998</v>
      </c>
      <c r="U7" s="20">
        <f>IF(M7&gt;0,V7/M7,0)</f>
        <v>0.26236402574248818</v>
      </c>
      <c r="V7" s="52">
        <f>V4+V5+V6</f>
        <v>12067.171</v>
      </c>
      <c r="W7" s="20">
        <f>IF(M7&gt;0,X7/M7,0)</f>
        <v>0.47163856155150674</v>
      </c>
      <c r="X7" s="52">
        <f>X4+X5+X6</f>
        <v>21692.544000000002</v>
      </c>
      <c r="Y7" s="20">
        <f>IF(M7&gt;0,Z7/M7,0)</f>
        <v>0.41333260860112186</v>
      </c>
      <c r="Z7" s="52">
        <f>Z4+Z5+Z6</f>
        <v>19010.82</v>
      </c>
      <c r="AA7" s="119">
        <f>IF(M7&gt;0,AB7/M7,0)</f>
        <v>2.5397397486628692E-3</v>
      </c>
      <c r="AB7" s="54">
        <f t="shared" ref="AB7" si="9">SUM(AB4:AB6)</f>
        <v>116.81279000000001</v>
      </c>
      <c r="AC7" s="53">
        <f>IF(M7&gt;0,AD7/M7,0)</f>
        <v>2.4165710744879767E-3</v>
      </c>
      <c r="AD7" s="54">
        <f>SUM(AD4:AD6)</f>
        <v>111.14777000000001</v>
      </c>
      <c r="AE7" s="53">
        <f>IF(M7&gt;0,(AE4*M4+AE5*M5+AE6*M6)/M7,0)</f>
        <v>2.6556473800930561E-3</v>
      </c>
      <c r="AF7" s="53">
        <f>IF(K7&gt;0,(K4*AF4+K5*AF5+K6*AF6)/K7,0)</f>
        <v>2.9665083723907253E-4</v>
      </c>
      <c r="AG7" s="50">
        <f>SUM(AG4:AG6)</f>
        <v>13.644749999999998</v>
      </c>
      <c r="AH7" s="51">
        <f>IF(K7&gt;0,(K4*AH4+K5*AH5+K6*AH6)/K7,0)</f>
        <v>0.21016605207193439</v>
      </c>
      <c r="AI7" s="56">
        <f>SUM(AI4:AI6)</f>
        <v>105.07430610000002</v>
      </c>
      <c r="AJ7" s="51">
        <f>IF(AND(AD7&gt;0),((AD4*AJ4+AD5*AJ5+AD6*AJ6)/AD7),0)</f>
        <v>0.87847754646560072</v>
      </c>
      <c r="AK7" s="55">
        <f t="shared" si="6"/>
        <v>0.88951034221732794</v>
      </c>
      <c r="AL7" s="49">
        <f>SUM(AL4:AL6)</f>
        <v>544</v>
      </c>
      <c r="AM7" s="20">
        <f>IF(AL7&gt;0,(AM4*AL4+AM5*AL5+AM6*AL6)/AL7,0)</f>
        <v>8.0930147058823537E-2</v>
      </c>
      <c r="AN7" s="51">
        <f>IF(K7&gt;0,(AN4*K4+AN5*K5+AN6*K6)/K7,0)</f>
        <v>0.21700164763694177</v>
      </c>
      <c r="AO7" s="107">
        <f>IF(K7&gt;0,(AO4*K4+AO5*K5+AO6*K6)/K7,0)</f>
        <v>0.22713545722957487</v>
      </c>
      <c r="AP7" s="56">
        <f>SUM(AP4:AP6)</f>
        <v>108.4990956</v>
      </c>
      <c r="AQ7" s="108">
        <f t="shared" ref="AQ7" si="10">SUM(AQ4:AQ6)</f>
        <v>113.5683804</v>
      </c>
      <c r="AR7" s="54"/>
      <c r="AS7" s="54">
        <f>SUM(AS4:AS6)</f>
        <v>0</v>
      </c>
      <c r="AT7" s="83"/>
      <c r="AU7" s="84">
        <f>AT6</f>
        <v>1985.6199999999994</v>
      </c>
      <c r="AV7" s="49">
        <f>SUM(AV4:AV6)</f>
        <v>0</v>
      </c>
      <c r="AW7" s="57"/>
      <c r="AX7" s="56"/>
      <c r="AY7" s="56"/>
      <c r="AZ7" s="56"/>
      <c r="BA7" s="56"/>
    </row>
    <row r="8" spans="1:53" ht="13.5" thickBot="1">
      <c r="A8" s="146">
        <v>2</v>
      </c>
      <c r="B8" s="22">
        <v>1</v>
      </c>
      <c r="C8" s="10" t="s">
        <v>57</v>
      </c>
      <c r="D8" s="11">
        <v>11300</v>
      </c>
      <c r="E8" s="11">
        <v>5</v>
      </c>
      <c r="F8" s="11">
        <v>12057</v>
      </c>
      <c r="G8" s="12">
        <v>0.7</v>
      </c>
      <c r="H8" s="12">
        <v>4.5999999999999996</v>
      </c>
      <c r="I8" s="11">
        <v>11914</v>
      </c>
      <c r="J8" s="12">
        <v>4.0999999999999996</v>
      </c>
      <c r="K8" s="11">
        <v>16337</v>
      </c>
      <c r="L8" s="13">
        <v>0.05</v>
      </c>
      <c r="M8" s="23">
        <f>ROUND(K8*(1-L8),0)</f>
        <v>15520</v>
      </c>
      <c r="N8" s="14">
        <v>0.49099999999999999</v>
      </c>
      <c r="O8" s="24">
        <f t="shared" ref="O8:O10" si="11">M8*N8</f>
        <v>7620.32</v>
      </c>
      <c r="P8" s="13">
        <v>0.42799999999999999</v>
      </c>
      <c r="Q8" s="24">
        <f t="shared" ref="Q8:Q10" si="12">M8*P8</f>
        <v>6642.5599999999995</v>
      </c>
      <c r="R8" s="15">
        <v>8.1000000000000003E-2</v>
      </c>
      <c r="S8" s="112"/>
      <c r="T8" s="24">
        <f t="shared" ref="T8:T10" si="13">M8*R8</f>
        <v>1257.1200000000001</v>
      </c>
      <c r="U8" s="25">
        <v>0.255</v>
      </c>
      <c r="V8" s="24">
        <f t="shared" ref="V8:V10" si="14">M8*U8</f>
        <v>3957.6</v>
      </c>
      <c r="W8" s="15">
        <v>0.502</v>
      </c>
      <c r="X8" s="24">
        <f t="shared" ref="X8:X10" si="15">M8*W8</f>
        <v>7791.04</v>
      </c>
      <c r="Y8" s="15">
        <v>0.43</v>
      </c>
      <c r="Z8" s="24">
        <f t="shared" ref="Z8:Z10" si="16">Y8*M8</f>
        <v>6673.5999999999995</v>
      </c>
      <c r="AA8" s="116">
        <v>2.4299999999999999E-3</v>
      </c>
      <c r="AB8" s="18">
        <f>M8*AA8</f>
        <v>37.7136</v>
      </c>
      <c r="AC8" s="16">
        <v>2.4199999999999998E-3</v>
      </c>
      <c r="AD8" s="17">
        <f t="shared" ref="AD8:AD10" si="17">M8*AC8</f>
        <v>37.558399999999999</v>
      </c>
      <c r="AE8" s="26">
        <f>IF(M8&gt;0,(AG8+AP8)/M8,0)</f>
        <v>2.5911870360824743E-3</v>
      </c>
      <c r="AF8" s="16">
        <v>2.9E-4</v>
      </c>
      <c r="AG8" s="23">
        <f t="shared" ref="AG8:AG10" si="18">AF8*M8</f>
        <v>4.5007999999999999</v>
      </c>
      <c r="AH8" s="92">
        <v>0.21249999999999999</v>
      </c>
      <c r="AI8" s="29">
        <f t="shared" ref="AI8:AI10" si="19">AL8*(1-AM8)*AH8</f>
        <v>34.528275000000001</v>
      </c>
      <c r="AJ8" s="27">
        <f t="shared" ref="AJ8:AJ10" si="20">IF(AND(AH8&gt;0,AF8&gt;0,AC8&gt;0),((AC8-AF8)*AH8)/((AH8-AF8)*AC8),0)</f>
        <v>0.88136809748335221</v>
      </c>
      <c r="AK8" s="58">
        <f t="shared" si="6"/>
        <v>0.88925544862628314</v>
      </c>
      <c r="AL8" s="11">
        <v>177</v>
      </c>
      <c r="AM8" s="13">
        <v>8.2000000000000003E-2</v>
      </c>
      <c r="AN8" s="14">
        <v>0.2198</v>
      </c>
      <c r="AO8" s="101">
        <v>0.2203</v>
      </c>
      <c r="AP8" s="29">
        <f>AL8*(1-AM8)*AN8</f>
        <v>35.714422800000001</v>
      </c>
      <c r="AQ8" s="102">
        <f t="shared" ref="AQ8:AQ18" si="21">AL8*(1-AM8)*AO8</f>
        <v>35.795665800000002</v>
      </c>
      <c r="AR8" s="18">
        <v>1.55</v>
      </c>
      <c r="AS8" s="18"/>
      <c r="AT8" s="79">
        <f>AT6+AL8-AS8</f>
        <v>2162.6199999999994</v>
      </c>
      <c r="AU8" s="80"/>
      <c r="AV8" s="11"/>
      <c r="AW8" s="30"/>
      <c r="AX8" s="19"/>
      <c r="AY8" s="19"/>
      <c r="AZ8" s="19"/>
      <c r="BA8" s="19"/>
    </row>
    <row r="9" spans="1:53">
      <c r="A9" s="147"/>
      <c r="B9" s="32">
        <v>2</v>
      </c>
      <c r="C9" s="10" t="s">
        <v>54</v>
      </c>
      <c r="D9" s="33">
        <v>20400</v>
      </c>
      <c r="E9" s="33">
        <v>7</v>
      </c>
      <c r="F9" s="33">
        <v>16122</v>
      </c>
      <c r="G9" s="34">
        <v>1</v>
      </c>
      <c r="H9" s="34">
        <v>6.3</v>
      </c>
      <c r="I9" s="33">
        <v>16059</v>
      </c>
      <c r="J9" s="34">
        <v>4</v>
      </c>
      <c r="K9" s="33">
        <v>16152</v>
      </c>
      <c r="L9" s="35">
        <v>4.2000000000000003E-2</v>
      </c>
      <c r="M9" s="36">
        <f>ROUND(K9*(1-L9),0)</f>
        <v>15474</v>
      </c>
      <c r="N9" s="37">
        <v>0.623</v>
      </c>
      <c r="O9" s="24">
        <f t="shared" si="11"/>
        <v>9640.3019999999997</v>
      </c>
      <c r="P9" s="35">
        <v>0.28399999999999997</v>
      </c>
      <c r="Q9" s="24">
        <f t="shared" si="12"/>
        <v>4394.616</v>
      </c>
      <c r="R9" s="38">
        <v>9.2999999999999999E-2</v>
      </c>
      <c r="S9" s="105"/>
      <c r="T9" s="24">
        <f t="shared" si="13"/>
        <v>1439.0819999999999</v>
      </c>
      <c r="U9" s="27">
        <v>0.26900000000000002</v>
      </c>
      <c r="V9" s="24">
        <f t="shared" si="14"/>
        <v>4162.5060000000003</v>
      </c>
      <c r="W9" s="38">
        <v>0.47099999999999997</v>
      </c>
      <c r="X9" s="24">
        <f t="shared" si="15"/>
        <v>7288.2539999999999</v>
      </c>
      <c r="Y9" s="38">
        <v>0.42</v>
      </c>
      <c r="Z9" s="24">
        <f t="shared" si="16"/>
        <v>6499.08</v>
      </c>
      <c r="AA9" s="117">
        <v>2.64E-3</v>
      </c>
      <c r="AB9" s="18">
        <f t="shared" ref="AB9:AB10" si="22">M9*AA9</f>
        <v>40.85136</v>
      </c>
      <c r="AC9" s="39">
        <v>2.4099999999999998E-3</v>
      </c>
      <c r="AD9" s="17">
        <f t="shared" si="17"/>
        <v>37.292339999999996</v>
      </c>
      <c r="AE9" s="26">
        <f>IF(M9&gt;0,(AG9+AP9)/M9,0)</f>
        <v>2.6842749903063204E-3</v>
      </c>
      <c r="AF9" s="39">
        <v>2.9E-4</v>
      </c>
      <c r="AG9" s="36">
        <f t="shared" si="18"/>
        <v>4.4874600000000004</v>
      </c>
      <c r="AH9" s="27">
        <v>0.2019</v>
      </c>
      <c r="AI9" s="40">
        <f t="shared" si="19"/>
        <v>35.586086399999999</v>
      </c>
      <c r="AJ9" s="27">
        <f t="shared" si="20"/>
        <v>0.88093338253614439</v>
      </c>
      <c r="AK9" s="28">
        <f t="shared" si="6"/>
        <v>0.89319566599571143</v>
      </c>
      <c r="AL9" s="33">
        <v>192</v>
      </c>
      <c r="AM9" s="35">
        <v>8.2000000000000003E-2</v>
      </c>
      <c r="AN9" s="37">
        <v>0.2102</v>
      </c>
      <c r="AO9" s="103">
        <v>0.21920000000000001</v>
      </c>
      <c r="AP9" s="40">
        <f>AL9*(1-AM9)*AN9</f>
        <v>37.049011200000002</v>
      </c>
      <c r="AQ9" s="104">
        <f t="shared" si="21"/>
        <v>38.635315200000001</v>
      </c>
      <c r="AR9" s="41">
        <v>1.55</v>
      </c>
      <c r="AS9" s="41"/>
      <c r="AT9" s="88">
        <f>AT8+AL9-AS9</f>
        <v>2354.6199999999994</v>
      </c>
      <c r="AU9" s="82"/>
      <c r="AV9" s="42"/>
      <c r="AW9" s="43"/>
      <c r="AX9" s="44"/>
      <c r="AY9" s="44"/>
      <c r="AZ9" s="44"/>
      <c r="BA9" s="44"/>
    </row>
    <row r="10" spans="1:53">
      <c r="A10" s="147"/>
      <c r="B10" s="32">
        <v>3</v>
      </c>
      <c r="C10" s="10" t="s">
        <v>55</v>
      </c>
      <c r="D10" s="42">
        <v>19105</v>
      </c>
      <c r="E10" s="42">
        <v>3</v>
      </c>
      <c r="F10" s="42">
        <v>17830</v>
      </c>
      <c r="G10" s="36">
        <v>0.5</v>
      </c>
      <c r="H10" s="36">
        <v>5.5</v>
      </c>
      <c r="I10" s="42">
        <v>18111</v>
      </c>
      <c r="J10" s="36">
        <v>3.3</v>
      </c>
      <c r="K10" s="42">
        <v>16199</v>
      </c>
      <c r="L10" s="38">
        <v>5.0999999999999997E-2</v>
      </c>
      <c r="M10" s="36">
        <f>ROUND(K10*(1-L10),0)</f>
        <v>15373</v>
      </c>
      <c r="N10" s="27">
        <v>0.55200000000000005</v>
      </c>
      <c r="O10" s="24">
        <f t="shared" si="11"/>
        <v>8485.8960000000006</v>
      </c>
      <c r="P10" s="38">
        <v>0.372</v>
      </c>
      <c r="Q10" s="24">
        <f t="shared" si="12"/>
        <v>5718.7560000000003</v>
      </c>
      <c r="R10" s="38">
        <v>7.5999999999999998E-2</v>
      </c>
      <c r="S10" s="105"/>
      <c r="T10" s="24">
        <f t="shared" si="13"/>
        <v>1168.348</v>
      </c>
      <c r="U10" s="27">
        <v>0.27300000000000002</v>
      </c>
      <c r="V10" s="24">
        <f t="shared" si="14"/>
        <v>4196.8290000000006</v>
      </c>
      <c r="W10" s="38">
        <v>0.46800000000000003</v>
      </c>
      <c r="X10" s="24">
        <f t="shared" si="15"/>
        <v>7194.5640000000003</v>
      </c>
      <c r="Y10" s="38">
        <v>0.43</v>
      </c>
      <c r="Z10" s="24">
        <f t="shared" si="16"/>
        <v>6610.39</v>
      </c>
      <c r="AA10" s="118">
        <v>2.5699999999999998E-3</v>
      </c>
      <c r="AB10" s="121">
        <f t="shared" si="22"/>
        <v>39.508609999999997</v>
      </c>
      <c r="AC10" s="45">
        <v>2.4499999999999999E-3</v>
      </c>
      <c r="AD10" s="17">
        <f t="shared" si="17"/>
        <v>37.663849999999996</v>
      </c>
      <c r="AE10" s="26">
        <f>IF(M10&gt;0,(AG10+AP10)/M10,0)</f>
        <v>2.5024279450985491E-3</v>
      </c>
      <c r="AF10" s="45">
        <v>2.9999999999999997E-4</v>
      </c>
      <c r="AG10" s="36">
        <f t="shared" si="18"/>
        <v>4.6118999999999994</v>
      </c>
      <c r="AH10" s="27">
        <v>0.21049999999999999</v>
      </c>
      <c r="AI10" s="40">
        <f t="shared" si="19"/>
        <v>33.164695999999999</v>
      </c>
      <c r="AJ10" s="27">
        <f t="shared" si="20"/>
        <v>0.87880347191207597</v>
      </c>
      <c r="AK10" s="28">
        <f t="shared" si="6"/>
        <v>0.88134678676597722</v>
      </c>
      <c r="AL10" s="42">
        <v>172</v>
      </c>
      <c r="AM10" s="38">
        <v>8.4000000000000005E-2</v>
      </c>
      <c r="AN10" s="27">
        <v>0.21490000000000001</v>
      </c>
      <c r="AO10" s="105">
        <v>0.22720000000000001</v>
      </c>
      <c r="AP10" s="40">
        <f>AL10*(1-AM10)*AN10</f>
        <v>33.857924799999999</v>
      </c>
      <c r="AQ10" s="106">
        <f t="shared" si="21"/>
        <v>35.795814399999998</v>
      </c>
      <c r="AR10" s="17">
        <v>1.55</v>
      </c>
      <c r="AS10" s="17"/>
      <c r="AT10" s="88">
        <f>AT9+AL10-AS10</f>
        <v>2526.6199999999994</v>
      </c>
      <c r="AU10" s="82"/>
      <c r="AV10" s="42"/>
      <c r="AW10" s="46"/>
      <c r="AX10" s="40"/>
      <c r="AY10" s="40"/>
      <c r="AZ10" s="40"/>
      <c r="BA10" s="40"/>
    </row>
    <row r="11" spans="1:53" s="21" customFormat="1" ht="13.5" thickBot="1">
      <c r="A11" s="148"/>
      <c r="B11" s="47" t="s">
        <v>56</v>
      </c>
      <c r="C11" s="48"/>
      <c r="D11" s="49">
        <f t="shared" ref="D11" si="23">SUM(D8:D10)</f>
        <v>50805</v>
      </c>
      <c r="E11" s="49"/>
      <c r="F11" s="49">
        <f t="shared" ref="F11" si="24">SUM(F8:F10)</f>
        <v>46009</v>
      </c>
      <c r="G11" s="50"/>
      <c r="H11" s="50"/>
      <c r="I11" s="49">
        <f t="shared" ref="I11:K11" si="25">SUM(I8:I10)</f>
        <v>46084</v>
      </c>
      <c r="J11" s="50"/>
      <c r="K11" s="49">
        <f t="shared" si="25"/>
        <v>48688</v>
      </c>
      <c r="L11" s="20">
        <f t="shared" ref="L11" si="26">IF(K11&gt;0,(K8*L8+K9*L9+K10*L10)/K11,0)</f>
        <v>4.7678750410778833E-2</v>
      </c>
      <c r="M11" s="50">
        <f t="shared" ref="M11" si="27">M8+M9+M10</f>
        <v>46367</v>
      </c>
      <c r="N11" s="51">
        <f t="shared" ref="N11" si="28">IF(M11&gt;0,O11/M11,0)</f>
        <v>0.55527677011667786</v>
      </c>
      <c r="O11" s="52">
        <f t="shared" ref="O11" si="29">O8+O9+O10</f>
        <v>25746.518</v>
      </c>
      <c r="P11" s="20">
        <f t="shared" ref="P11" si="30">IF(M11&gt;0,Q11/M11,0)</f>
        <v>0.36137623741022712</v>
      </c>
      <c r="Q11" s="52">
        <f t="shared" ref="Q11" si="31">Q8+Q9+Q10</f>
        <v>16755.932000000001</v>
      </c>
      <c r="R11" s="20">
        <f t="shared" ref="R11" si="32">IF(M11&gt;0,T11/M11,0)</f>
        <v>8.33469924730951E-2</v>
      </c>
      <c r="S11" s="107"/>
      <c r="T11" s="52">
        <f t="shared" ref="T11" si="33">T8+T9+T10</f>
        <v>3864.55</v>
      </c>
      <c r="U11" s="20">
        <f t="shared" ref="U11" si="34">IF(M11&gt;0,V11/M11,0)</f>
        <v>0.2656401104233615</v>
      </c>
      <c r="V11" s="52">
        <f t="shared" ref="V11" si="35">V8+V9+V10</f>
        <v>12316.935000000001</v>
      </c>
      <c r="W11" s="20">
        <f t="shared" ref="W11" si="36">IF(M11&gt;0,X11/M11,0)</f>
        <v>0.48038169387711088</v>
      </c>
      <c r="X11" s="52">
        <f t="shared" ref="X11" si="37">X8+X9+X10</f>
        <v>22273.858</v>
      </c>
      <c r="Y11" s="20">
        <f t="shared" ref="Y11" si="38">IF(M11&gt;0,Z11/M11,0)</f>
        <v>0.42666271270515665</v>
      </c>
      <c r="Z11" s="52">
        <f t="shared" ref="Z11" si="39">Z8+Z9+Z10</f>
        <v>19783.07</v>
      </c>
      <c r="AA11" s="119">
        <f>IF(M11&gt;0,AB11/M11,0)</f>
        <v>2.5465000970517821E-3</v>
      </c>
      <c r="AB11" s="54">
        <f t="shared" ref="AB11" si="40">SUM(AB8:AB10)</f>
        <v>118.07356999999999</v>
      </c>
      <c r="AC11" s="53">
        <f t="shared" ref="AC11" si="41">IF(M11&gt;0,AD11/M11,0)</f>
        <v>2.4266092263894581E-3</v>
      </c>
      <c r="AD11" s="54">
        <f t="shared" ref="AD11" si="42">SUM(AD8:AD10)</f>
        <v>112.51459</v>
      </c>
      <c r="AE11" s="53">
        <f t="shared" ref="AE11" si="43">IF(M11&gt;0,(AE8*M8+AE9*M9+AE10*M10)/M11,0)</f>
        <v>2.5928250436733019E-3</v>
      </c>
      <c r="AF11" s="53">
        <f t="shared" ref="AF11" si="44">IF(K11&gt;0,(K8*AF8+K9*AF9+K10*AF10)/K11,0)</f>
        <v>2.9332710318764378E-4</v>
      </c>
      <c r="AG11" s="50">
        <f t="shared" ref="AG11" si="45">SUM(AG8:AG10)</f>
        <v>13.600159999999999</v>
      </c>
      <c r="AH11" s="51">
        <f t="shared" ref="AH11" si="46">IF(K11&gt;0,(K8*AH8+K9*AH9+K10*AH10)/K11,0)</f>
        <v>0.2083180824843904</v>
      </c>
      <c r="AI11" s="56">
        <f t="shared" ref="AI11" si="47">SUM(AI8:AI10)</f>
        <v>103.2790574</v>
      </c>
      <c r="AJ11" s="51">
        <f t="shared" ref="AJ11" si="48">IF(AND(AD11&gt;0),((AD8*AJ8+AD9*AJ9+AD10*AJ10)/AD11),0)</f>
        <v>0.88036551452555911</v>
      </c>
      <c r="AK11" s="55">
        <f t="shared" si="6"/>
        <v>0.88808139406247855</v>
      </c>
      <c r="AL11" s="49">
        <f t="shared" ref="AL11" si="49">SUM(AL8:AL10)</f>
        <v>541</v>
      </c>
      <c r="AM11" s="20">
        <f t="shared" ref="AM11" si="50">IF(AL11&gt;0,(AM8*AL8+AM9*AL9+AM10*AL10)/AL11,0)</f>
        <v>8.2635859519408508E-2</v>
      </c>
      <c r="AN11" s="51">
        <f>IF(K11&gt;0,(AN8*K8+AN9*K9+AN10*K10)/K11,0)</f>
        <v>0.21498496754847188</v>
      </c>
      <c r="AO11" s="107">
        <f>IF(K11&gt;0,(AO8*K8+AO9*K9+AO10*K10)/K11,0)</f>
        <v>0.22223078171212618</v>
      </c>
      <c r="AP11" s="56">
        <f t="shared" ref="AP11" si="51">SUM(AP8:AP10)</f>
        <v>106.6213588</v>
      </c>
      <c r="AQ11" s="108">
        <f t="shared" ref="AQ11:AQ19" si="52">SUM(AQ8:AQ10)</f>
        <v>110.2267954</v>
      </c>
      <c r="AR11" s="54"/>
      <c r="AS11" s="54">
        <f t="shared" ref="AS11" si="53">SUM(AS8:AS10)</f>
        <v>0</v>
      </c>
      <c r="AT11" s="83"/>
      <c r="AU11" s="84">
        <f>AT10</f>
        <v>2526.6199999999994</v>
      </c>
      <c r="AV11" s="49">
        <f t="shared" ref="AV11" si="54">SUM(AV8:AV10)</f>
        <v>0</v>
      </c>
      <c r="AW11" s="57"/>
      <c r="AX11" s="56"/>
      <c r="AY11" s="56"/>
      <c r="AZ11" s="56"/>
      <c r="BA11" s="56"/>
    </row>
    <row r="12" spans="1:53" ht="13.5" thickBot="1">
      <c r="A12" s="146">
        <v>3</v>
      </c>
      <c r="B12" s="22">
        <v>1</v>
      </c>
      <c r="C12" s="10" t="s">
        <v>57</v>
      </c>
      <c r="D12" s="11">
        <v>11759</v>
      </c>
      <c r="E12" s="11">
        <v>2</v>
      </c>
      <c r="F12" s="11">
        <v>13799</v>
      </c>
      <c r="G12" s="12">
        <v>0.5</v>
      </c>
      <c r="H12" s="12">
        <v>5.8</v>
      </c>
      <c r="I12" s="11">
        <v>13119</v>
      </c>
      <c r="J12" s="12">
        <v>4.9000000000000004</v>
      </c>
      <c r="K12" s="11">
        <v>16298</v>
      </c>
      <c r="L12" s="13">
        <v>4.3999999999999997E-2</v>
      </c>
      <c r="M12" s="23">
        <f>ROUND(K12*(1-L12),0)</f>
        <v>15581</v>
      </c>
      <c r="N12" s="14">
        <v>0.64</v>
      </c>
      <c r="O12" s="24">
        <f t="shared" ref="O12:O14" si="55">M12*N12</f>
        <v>9971.84</v>
      </c>
      <c r="P12" s="13">
        <v>0.317</v>
      </c>
      <c r="Q12" s="24">
        <f t="shared" ref="Q12:Q14" si="56">M12*P12</f>
        <v>4939.1769999999997</v>
      </c>
      <c r="R12" s="15">
        <v>4.2999999999999997E-2</v>
      </c>
      <c r="S12" s="112"/>
      <c r="T12" s="24">
        <f t="shared" ref="T12:T14" si="57">M12*R12</f>
        <v>669.98299999999995</v>
      </c>
      <c r="U12" s="25">
        <v>0.28399999999999997</v>
      </c>
      <c r="V12" s="24">
        <f t="shared" ref="V12:V14" si="58">M12*U12</f>
        <v>4425.0039999999999</v>
      </c>
      <c r="W12" s="15">
        <v>0.45900000000000002</v>
      </c>
      <c r="X12" s="24">
        <f t="shared" ref="X12:X14" si="59">M12*W12</f>
        <v>7151.6790000000001</v>
      </c>
      <c r="Y12" s="15">
        <v>0.43</v>
      </c>
      <c r="Z12" s="24">
        <f t="shared" ref="Z12:Z14" si="60">Y12*M12</f>
        <v>6699.83</v>
      </c>
      <c r="AA12" s="116">
        <v>2.65E-3</v>
      </c>
      <c r="AB12" s="18">
        <f t="shared" ref="AB12:AB18" si="61">M12*AA12</f>
        <v>41.289650000000002</v>
      </c>
      <c r="AC12" s="16">
        <v>2.4399999999999999E-3</v>
      </c>
      <c r="AD12" s="17">
        <f t="shared" ref="AD12:AD14" si="62">M12*AC12</f>
        <v>38.01764</v>
      </c>
      <c r="AE12" s="26">
        <f>IF(M12&gt;0,(AG12+AP12)/M12,0)</f>
        <v>2.6140800975547143E-3</v>
      </c>
      <c r="AF12" s="16">
        <v>3.1E-4</v>
      </c>
      <c r="AG12" s="23">
        <f t="shared" ref="AG12:AG14" si="63">AF12*M12</f>
        <v>4.8301100000000003</v>
      </c>
      <c r="AH12" s="92">
        <v>0.20799999999999999</v>
      </c>
      <c r="AI12" s="29">
        <f t="shared" ref="AI12:AI14" si="64">AL12*(1-AM12)*AH12</f>
        <v>35.057152000000002</v>
      </c>
      <c r="AJ12" s="27">
        <f t="shared" ref="AJ12:AJ14" si="65">IF(AND(AH12&gt;0,AF12&gt;0,AC12&gt;0),((AC12-AF12)*AH12)/((AH12-AF12)*AC12),0)</f>
        <v>0.87425379407676485</v>
      </c>
      <c r="AK12" s="58">
        <f t="shared" si="6"/>
        <v>0.88269611298760853</v>
      </c>
      <c r="AL12" s="11">
        <v>184</v>
      </c>
      <c r="AM12" s="13">
        <v>8.4000000000000005E-2</v>
      </c>
      <c r="AN12" s="14">
        <v>0.21299999999999999</v>
      </c>
      <c r="AO12" s="101">
        <v>0.22450000000000001</v>
      </c>
      <c r="AP12" s="29">
        <f>AL12*(1-AM12)*AN12</f>
        <v>35.899872000000002</v>
      </c>
      <c r="AQ12" s="102">
        <f t="shared" ref="AQ12" si="66">AL12*(1-AM12)*AO12</f>
        <v>37.838128000000005</v>
      </c>
      <c r="AR12" s="18">
        <v>1.55</v>
      </c>
      <c r="AS12" s="18"/>
      <c r="AT12" s="79">
        <f>AT10+AL12-AS12</f>
        <v>2710.6199999999994</v>
      </c>
      <c r="AU12" s="80"/>
      <c r="AV12" s="11"/>
      <c r="AW12" s="30"/>
      <c r="AX12" s="19"/>
      <c r="AY12" s="19"/>
      <c r="AZ12" s="19"/>
      <c r="BA12" s="19"/>
    </row>
    <row r="13" spans="1:53">
      <c r="A13" s="147"/>
      <c r="B13" s="32">
        <v>2</v>
      </c>
      <c r="C13" s="10" t="s">
        <v>58</v>
      </c>
      <c r="D13" s="33">
        <v>18500</v>
      </c>
      <c r="E13" s="33">
        <v>5</v>
      </c>
      <c r="F13" s="33">
        <v>16383</v>
      </c>
      <c r="G13" s="34">
        <v>0.9</v>
      </c>
      <c r="H13" s="34">
        <v>6.2</v>
      </c>
      <c r="I13" s="33">
        <v>16756</v>
      </c>
      <c r="J13" s="34">
        <v>3.7</v>
      </c>
      <c r="K13" s="33">
        <v>15982</v>
      </c>
      <c r="L13" s="35">
        <v>0.05</v>
      </c>
      <c r="M13" s="36">
        <f>ROUND(K13*(1-L13),0)</f>
        <v>15183</v>
      </c>
      <c r="N13" s="37">
        <v>0.66300000000000003</v>
      </c>
      <c r="O13" s="24">
        <f t="shared" si="55"/>
        <v>10066.329</v>
      </c>
      <c r="P13" s="35">
        <v>0.17199999999999999</v>
      </c>
      <c r="Q13" s="24">
        <f t="shared" si="56"/>
        <v>2611.4759999999997</v>
      </c>
      <c r="R13" s="38">
        <v>0.16500000000000001</v>
      </c>
      <c r="S13" s="105"/>
      <c r="T13" s="24">
        <f t="shared" si="57"/>
        <v>2505.1950000000002</v>
      </c>
      <c r="U13" s="27">
        <v>0.26200000000000001</v>
      </c>
      <c r="V13" s="24">
        <f t="shared" si="58"/>
        <v>3977.9460000000004</v>
      </c>
      <c r="W13" s="38">
        <v>0.48299999999999998</v>
      </c>
      <c r="X13" s="24">
        <f t="shared" si="59"/>
        <v>7333.3890000000001</v>
      </c>
      <c r="Y13" s="38">
        <v>0.45</v>
      </c>
      <c r="Z13" s="24">
        <f t="shared" si="60"/>
        <v>6832.35</v>
      </c>
      <c r="AA13" s="117">
        <v>2.64E-3</v>
      </c>
      <c r="AB13" s="18">
        <f t="shared" si="61"/>
        <v>40.083120000000001</v>
      </c>
      <c r="AC13" s="39">
        <v>2.4099999999999998E-3</v>
      </c>
      <c r="AD13" s="17">
        <f t="shared" si="62"/>
        <v>36.591029999999996</v>
      </c>
      <c r="AE13" s="26">
        <f>IF(M13&gt;0,(AG13+AP13)/M13,0)</f>
        <v>2.6328500296384115E-3</v>
      </c>
      <c r="AF13" s="39">
        <v>3.1E-4</v>
      </c>
      <c r="AG13" s="36">
        <f t="shared" si="63"/>
        <v>4.7067300000000003</v>
      </c>
      <c r="AH13" s="27">
        <v>0.20349999999999999</v>
      </c>
      <c r="AI13" s="40">
        <f t="shared" si="64"/>
        <v>33.553079999999994</v>
      </c>
      <c r="AJ13" s="27">
        <f t="shared" si="65"/>
        <v>0.87269871279237254</v>
      </c>
      <c r="AK13" s="28">
        <f t="shared" si="6"/>
        <v>0.88353736018508067</v>
      </c>
      <c r="AL13" s="33">
        <v>180</v>
      </c>
      <c r="AM13" s="35">
        <v>8.4000000000000005E-2</v>
      </c>
      <c r="AN13" s="37">
        <v>0.21390000000000001</v>
      </c>
      <c r="AO13" s="103">
        <v>0.2263</v>
      </c>
      <c r="AP13" s="40">
        <f>AL13*(1-AM13)*AN13</f>
        <v>35.267831999999999</v>
      </c>
      <c r="AQ13" s="104">
        <f t="shared" si="21"/>
        <v>37.312343999999996</v>
      </c>
      <c r="AR13" s="41">
        <v>1.5</v>
      </c>
      <c r="AS13" s="41"/>
      <c r="AT13" s="88">
        <f>AT12+AL13-AS13</f>
        <v>2890.6199999999994</v>
      </c>
      <c r="AU13" s="82"/>
      <c r="AV13" s="42"/>
      <c r="AW13" s="43"/>
      <c r="AX13" s="44"/>
      <c r="AY13" s="44"/>
      <c r="AZ13" s="44"/>
      <c r="BA13" s="44"/>
    </row>
    <row r="14" spans="1:53">
      <c r="A14" s="147"/>
      <c r="B14" s="32">
        <v>3</v>
      </c>
      <c r="C14" s="10" t="s">
        <v>55</v>
      </c>
      <c r="D14" s="42">
        <v>19616</v>
      </c>
      <c r="E14" s="42">
        <v>2</v>
      </c>
      <c r="F14" s="42">
        <v>19304</v>
      </c>
      <c r="G14" s="36">
        <v>0.6</v>
      </c>
      <c r="H14" s="36">
        <v>7.1</v>
      </c>
      <c r="I14" s="42">
        <v>18785</v>
      </c>
      <c r="J14" s="36">
        <v>3.2</v>
      </c>
      <c r="K14" s="42">
        <v>15916</v>
      </c>
      <c r="L14" s="38">
        <v>4.9000000000000002E-2</v>
      </c>
      <c r="M14" s="36">
        <f>ROUND(K14*(1-L14),0)</f>
        <v>15136</v>
      </c>
      <c r="N14" s="27">
        <v>0.628</v>
      </c>
      <c r="O14" s="24">
        <f t="shared" si="55"/>
        <v>9505.4079999999994</v>
      </c>
      <c r="P14" s="38">
        <v>0.29299999999999998</v>
      </c>
      <c r="Q14" s="24">
        <f t="shared" si="56"/>
        <v>4434.848</v>
      </c>
      <c r="R14" s="38">
        <v>7.9000000000000001E-2</v>
      </c>
      <c r="S14" s="105"/>
      <c r="T14" s="24">
        <f t="shared" si="57"/>
        <v>1195.7439999999999</v>
      </c>
      <c r="U14" s="27">
        <v>0.27500000000000002</v>
      </c>
      <c r="V14" s="24">
        <f t="shared" si="58"/>
        <v>4162.4000000000005</v>
      </c>
      <c r="W14" s="38">
        <v>0.47099999999999997</v>
      </c>
      <c r="X14" s="24">
        <f t="shared" si="59"/>
        <v>7129.0559999999996</v>
      </c>
      <c r="Y14" s="38">
        <v>0.43</v>
      </c>
      <c r="Z14" s="24">
        <f t="shared" si="60"/>
        <v>6508.48</v>
      </c>
      <c r="AA14" s="118">
        <v>2.47E-3</v>
      </c>
      <c r="AB14" s="121">
        <f t="shared" si="61"/>
        <v>37.385919999999999</v>
      </c>
      <c r="AC14" s="45">
        <v>2.3700000000000001E-3</v>
      </c>
      <c r="AD14" s="17">
        <f t="shared" si="62"/>
        <v>35.872320000000002</v>
      </c>
      <c r="AE14" s="26">
        <f>IF(M14&gt;0,(AG14+AP14)/M14,0)</f>
        <v>2.3157769556025371E-3</v>
      </c>
      <c r="AF14" s="45">
        <v>2.9999999999999997E-4</v>
      </c>
      <c r="AG14" s="36">
        <f t="shared" si="63"/>
        <v>4.5407999999999999</v>
      </c>
      <c r="AH14" s="27">
        <v>0.2064</v>
      </c>
      <c r="AI14" s="40">
        <f t="shared" si="64"/>
        <v>30.349056000000004</v>
      </c>
      <c r="AJ14" s="27">
        <f t="shared" si="65"/>
        <v>0.87468907191421141</v>
      </c>
      <c r="AK14" s="28">
        <f t="shared" si="6"/>
        <v>0.87171415480964831</v>
      </c>
      <c r="AL14" s="42">
        <v>160</v>
      </c>
      <c r="AM14" s="38">
        <v>8.1000000000000003E-2</v>
      </c>
      <c r="AN14" s="27">
        <v>0.20749999999999999</v>
      </c>
      <c r="AO14" s="105">
        <v>0.21460000000000001</v>
      </c>
      <c r="AP14" s="40">
        <f>AL14*(1-AM14)*AN14</f>
        <v>30.510800000000003</v>
      </c>
      <c r="AQ14" s="106">
        <f t="shared" si="21"/>
        <v>31.554784000000005</v>
      </c>
      <c r="AR14" s="17">
        <v>1.5</v>
      </c>
      <c r="AS14" s="17"/>
      <c r="AT14" s="88">
        <f>AT13+AL14-AS14</f>
        <v>3050.6199999999994</v>
      </c>
      <c r="AU14" s="82"/>
      <c r="AV14" s="42"/>
      <c r="AW14" s="46"/>
      <c r="AX14" s="40"/>
      <c r="AY14" s="40"/>
      <c r="AZ14" s="40"/>
      <c r="BA14" s="40"/>
    </row>
    <row r="15" spans="1:53" s="21" customFormat="1" ht="13.5" thickBot="1">
      <c r="A15" s="148"/>
      <c r="B15" s="47" t="s">
        <v>56</v>
      </c>
      <c r="C15" s="48"/>
      <c r="D15" s="49">
        <f t="shared" ref="D15" si="67">SUM(D12:D14)</f>
        <v>49875</v>
      </c>
      <c r="E15" s="49"/>
      <c r="F15" s="49">
        <f t="shared" ref="F15" si="68">SUM(F12:F14)</f>
        <v>49486</v>
      </c>
      <c r="G15" s="50"/>
      <c r="H15" s="50"/>
      <c r="I15" s="49">
        <f t="shared" ref="I15:K15" si="69">SUM(I12:I14)</f>
        <v>48660</v>
      </c>
      <c r="J15" s="50"/>
      <c r="K15" s="49">
        <f t="shared" si="69"/>
        <v>48196</v>
      </c>
      <c r="L15" s="20">
        <f t="shared" ref="L15" si="70">IF(K15&gt;0,(K12*L12+K13*L13+K14*L14)/K15,0)</f>
        <v>4.7640800066395553E-2</v>
      </c>
      <c r="M15" s="50">
        <f t="shared" ref="M15" si="71">M12+M13+M14</f>
        <v>45900</v>
      </c>
      <c r="N15" s="51">
        <f t="shared" ref="N15" si="72">IF(M15&gt;0,O15/M15,0)</f>
        <v>0.64365091503267979</v>
      </c>
      <c r="O15" s="52">
        <f t="shared" ref="O15" si="73">O12+O13+O14</f>
        <v>29543.577000000001</v>
      </c>
      <c r="P15" s="20">
        <f t="shared" ref="P15" si="74">IF(M15&gt;0,Q15/M15,0)</f>
        <v>0.26112202614379088</v>
      </c>
      <c r="Q15" s="52">
        <f t="shared" ref="Q15" si="75">Q12+Q13+Q14</f>
        <v>11985.501</v>
      </c>
      <c r="R15" s="20">
        <f t="shared" ref="R15" si="76">IF(M15&gt;0,T15/M15,0)</f>
        <v>9.5227058823529401E-2</v>
      </c>
      <c r="S15" s="107"/>
      <c r="T15" s="52">
        <f t="shared" ref="T15" si="77">T12+T13+T14</f>
        <v>4370.9219999999996</v>
      </c>
      <c r="U15" s="20">
        <f t="shared" ref="U15" si="78">IF(M15&gt;0,V15/M15,0)</f>
        <v>0.27375490196078434</v>
      </c>
      <c r="V15" s="52">
        <f t="shared" ref="V15" si="79">V12+V13+V14</f>
        <v>12565.350000000002</v>
      </c>
      <c r="W15" s="20">
        <f t="shared" ref="W15" si="80">IF(M15&gt;0,X15/M15,0)</f>
        <v>0.47089594771241827</v>
      </c>
      <c r="X15" s="52">
        <f t="shared" ref="X15" si="81">X12+X13+X14</f>
        <v>21614.124</v>
      </c>
      <c r="Y15" s="20">
        <f t="shared" ref="Y15" si="82">IF(M15&gt;0,Z15/M15,0)</f>
        <v>0.43661568627450981</v>
      </c>
      <c r="Z15" s="52">
        <f t="shared" ref="Z15" si="83">Z12+Z13+Z14</f>
        <v>20040.66</v>
      </c>
      <c r="AA15" s="119">
        <f>IF(M15&gt;0,AB15/M15,0)</f>
        <v>2.587335294117647E-3</v>
      </c>
      <c r="AB15" s="54">
        <f t="shared" ref="AB15" si="84">SUM(AB12:AB14)</f>
        <v>118.75869</v>
      </c>
      <c r="AC15" s="53">
        <f t="shared" ref="AC15" si="85">IF(M15&gt;0,AD15/M15,0)</f>
        <v>2.4069932461873635E-3</v>
      </c>
      <c r="AD15" s="54">
        <f t="shared" ref="AD15" si="86">SUM(AD12:AD14)</f>
        <v>110.48098999999999</v>
      </c>
      <c r="AE15" s="53">
        <f t="shared" ref="AE15" si="87">IF(M15&gt;0,(AE12*M12+AE13*M13+AE14*M14)/M15,0)</f>
        <v>2.5219203485838783E-3</v>
      </c>
      <c r="AF15" s="53">
        <f t="shared" ref="AF15" si="88">IF(K15&gt;0,(K12*AF12+K13*AF13+K14*AF14)/K15,0)</f>
        <v>3.0669765125736578E-4</v>
      </c>
      <c r="AG15" s="50">
        <f t="shared" ref="AG15" si="89">SUM(AG12:AG14)</f>
        <v>14.077640000000002</v>
      </c>
      <c r="AH15" s="51">
        <f t="shared" ref="AH15" si="90">IF(K15&gt;0,(K12*AH12+K13*AH13+K14*AH14)/K15,0)</f>
        <v>0.20597940492986969</v>
      </c>
      <c r="AI15" s="56">
        <f t="shared" ref="AI15" si="91">SUM(AI12:AI14)</f>
        <v>98.959288000000001</v>
      </c>
      <c r="AJ15" s="51">
        <f t="shared" ref="AJ15" si="92">IF(AND(AD15&gt;0),((AD12*AJ12+AD13*AJ13+AD14*AJ14)/AD15),0)</f>
        <v>0.87388008634608783</v>
      </c>
      <c r="AK15" s="55">
        <f t="shared" si="6"/>
        <v>0.87966297015593853</v>
      </c>
      <c r="AL15" s="49">
        <f t="shared" ref="AL15" si="93">SUM(AL12:AL14)</f>
        <v>524</v>
      </c>
      <c r="AM15" s="20">
        <f t="shared" ref="AM15" si="94">IF(AL15&gt;0,(AM12*AL12+AM13*AL13+AM14*AL14)/AL15,0)</f>
        <v>8.308396946564886E-2</v>
      </c>
      <c r="AN15" s="51">
        <f>IF(K15&gt;0,(AN12*K12+AN13*K13+AN14*K14)/K15,0)</f>
        <v>0.21148215204581292</v>
      </c>
      <c r="AO15" s="107">
        <f>IF(K15&gt;0,(AO12*K12+AO13*K13+AO14*K14)/K15,0)</f>
        <v>0.22182756245331561</v>
      </c>
      <c r="AP15" s="56">
        <f t="shared" ref="AP15" si="95">SUM(AP12:AP14)</f>
        <v>101.678504</v>
      </c>
      <c r="AQ15" s="108">
        <f t="shared" si="52"/>
        <v>106.70525600000002</v>
      </c>
      <c r="AR15" s="54"/>
      <c r="AS15" s="54">
        <f t="shared" ref="AS15" si="96">SUM(AS12:AS14)</f>
        <v>0</v>
      </c>
      <c r="AT15" s="83"/>
      <c r="AU15" s="84">
        <f>AT14</f>
        <v>3050.6199999999994</v>
      </c>
      <c r="AV15" s="49">
        <f t="shared" ref="AV15" si="97">SUM(AV12:AV14)</f>
        <v>0</v>
      </c>
      <c r="AW15" s="57"/>
      <c r="AX15" s="56"/>
      <c r="AY15" s="56"/>
      <c r="AZ15" s="56"/>
      <c r="BA15" s="56"/>
    </row>
    <row r="16" spans="1:53" ht="13.5" thickBot="1">
      <c r="A16" s="146">
        <v>4</v>
      </c>
      <c r="B16" s="22">
        <v>1</v>
      </c>
      <c r="C16" s="10" t="s">
        <v>57</v>
      </c>
      <c r="D16" s="11">
        <v>11570</v>
      </c>
      <c r="E16" s="11">
        <v>4</v>
      </c>
      <c r="F16" s="11">
        <v>19230</v>
      </c>
      <c r="G16" s="12">
        <v>0.5</v>
      </c>
      <c r="H16" s="12">
        <v>4.8</v>
      </c>
      <c r="I16" s="11">
        <v>19611</v>
      </c>
      <c r="J16" s="12">
        <v>1.9</v>
      </c>
      <c r="K16" s="11">
        <v>16403</v>
      </c>
      <c r="L16" s="13">
        <v>5.0999999999999997E-2</v>
      </c>
      <c r="M16" s="23">
        <f>ROUND(K16*(1-L16),0)</f>
        <v>15566</v>
      </c>
      <c r="N16" s="14">
        <v>0.63800000000000001</v>
      </c>
      <c r="O16" s="24">
        <f t="shared" ref="O16:O18" si="98">M16*N16</f>
        <v>9931.1080000000002</v>
      </c>
      <c r="P16" s="13">
        <v>0.30599999999999999</v>
      </c>
      <c r="Q16" s="24">
        <f t="shared" ref="Q16:Q18" si="99">M16*P16</f>
        <v>4763.1959999999999</v>
      </c>
      <c r="R16" s="15">
        <v>5.6000000000000001E-2</v>
      </c>
      <c r="S16" s="112"/>
      <c r="T16" s="24">
        <f t="shared" ref="T16:T18" si="100">M16*R16</f>
        <v>871.69600000000003</v>
      </c>
      <c r="U16" s="25">
        <v>0.27200000000000002</v>
      </c>
      <c r="V16" s="24">
        <f t="shared" ref="V16:V18" si="101">M16*U16</f>
        <v>4233.9520000000002</v>
      </c>
      <c r="W16" s="15">
        <v>0.46</v>
      </c>
      <c r="X16" s="24">
        <f t="shared" ref="X16:X18" si="102">M16*W16</f>
        <v>7160.3600000000006</v>
      </c>
      <c r="Y16" s="15">
        <v>0.44</v>
      </c>
      <c r="Z16" s="24">
        <f t="shared" ref="Z16:Z18" si="103">Y16*M16</f>
        <v>6849.04</v>
      </c>
      <c r="AA16" s="116">
        <v>2.5899999999999999E-3</v>
      </c>
      <c r="AB16" s="18">
        <f t="shared" ref="AB16" si="104">M16*AA16</f>
        <v>40.315939999999998</v>
      </c>
      <c r="AC16" s="16">
        <v>2.5899999999999999E-3</v>
      </c>
      <c r="AD16" s="17">
        <f t="shared" ref="AD16:AD18" si="105">M16*AC16</f>
        <v>40.315939999999998</v>
      </c>
      <c r="AE16" s="26">
        <f>IF(M16&gt;0,(AG16+AP16)/M16,0)</f>
        <v>2.4307580110497239E-3</v>
      </c>
      <c r="AF16" s="16">
        <v>2.9E-4</v>
      </c>
      <c r="AG16" s="23">
        <f t="shared" ref="AG16:AG18" si="106">AF16*M16</f>
        <v>4.5141400000000003</v>
      </c>
      <c r="AH16" s="92">
        <v>0.20860000000000001</v>
      </c>
      <c r="AI16" s="29">
        <f t="shared" ref="AI16:AI18" si="107">AL16*(1-AM16)*AH16</f>
        <v>32.757709599999998</v>
      </c>
      <c r="AJ16" s="27">
        <f t="shared" ref="AJ16:AJ18" si="108">IF(AND(AH16&gt;0,AF16&gt;0,AC16&gt;0),((AC16-AF16)*AH16)/((AH16-AF16)*AC16),0)</f>
        <v>0.88926716549010254</v>
      </c>
      <c r="AK16" s="58">
        <f t="shared" si="6"/>
        <v>0.88190088869897854</v>
      </c>
      <c r="AL16" s="11">
        <v>172</v>
      </c>
      <c r="AM16" s="13">
        <v>8.6999999999999994E-2</v>
      </c>
      <c r="AN16" s="14">
        <v>0.2122</v>
      </c>
      <c r="AO16" s="101">
        <v>0.22450000000000001</v>
      </c>
      <c r="AP16" s="29">
        <f>AL16*(1-AM16)*AN16</f>
        <v>33.323039200000004</v>
      </c>
      <c r="AQ16" s="102">
        <f t="shared" ref="AQ16" si="109">AL16*(1-AM16)*AO16</f>
        <v>35.254581999999999</v>
      </c>
      <c r="AR16" s="18">
        <v>1.5</v>
      </c>
      <c r="AS16" s="18"/>
      <c r="AT16" s="79">
        <f>AT14+AL16-AS16</f>
        <v>3222.6199999999994</v>
      </c>
      <c r="AU16" s="80"/>
      <c r="AV16" s="11"/>
      <c r="AW16" s="30"/>
      <c r="AX16" s="19"/>
      <c r="AY16" s="19"/>
      <c r="AZ16" s="19"/>
      <c r="BA16" s="19"/>
    </row>
    <row r="17" spans="1:54">
      <c r="A17" s="147"/>
      <c r="B17" s="32">
        <v>2</v>
      </c>
      <c r="C17" s="10" t="s">
        <v>59</v>
      </c>
      <c r="D17" s="33">
        <v>18800</v>
      </c>
      <c r="E17" s="33">
        <v>7</v>
      </c>
      <c r="F17" s="33">
        <v>17316</v>
      </c>
      <c r="G17" s="34">
        <v>0.3</v>
      </c>
      <c r="H17" s="34">
        <v>5.4</v>
      </c>
      <c r="I17" s="33">
        <v>16910</v>
      </c>
      <c r="J17" s="34">
        <v>2.2999999999999998</v>
      </c>
      <c r="K17" s="33">
        <v>16423</v>
      </c>
      <c r="L17" s="35">
        <v>4.5999999999999999E-2</v>
      </c>
      <c r="M17" s="36">
        <f>ROUND(K17*(1-L17),0)</f>
        <v>15668</v>
      </c>
      <c r="N17" s="37">
        <v>0.66500000000000004</v>
      </c>
      <c r="O17" s="24">
        <f t="shared" si="98"/>
        <v>10419.220000000001</v>
      </c>
      <c r="P17" s="35">
        <v>0.21299999999999999</v>
      </c>
      <c r="Q17" s="24">
        <f t="shared" si="99"/>
        <v>3337.2840000000001</v>
      </c>
      <c r="R17" s="38">
        <v>0.122</v>
      </c>
      <c r="S17" s="105"/>
      <c r="T17" s="24">
        <f t="shared" si="100"/>
        <v>1911.4959999999999</v>
      </c>
      <c r="U17" s="27">
        <v>0.27</v>
      </c>
      <c r="V17" s="24">
        <f t="shared" si="101"/>
        <v>4230.3600000000006</v>
      </c>
      <c r="W17" s="38">
        <v>0.46100000000000002</v>
      </c>
      <c r="X17" s="24">
        <f t="shared" si="102"/>
        <v>7222.9480000000003</v>
      </c>
      <c r="Y17" s="38">
        <v>0.44</v>
      </c>
      <c r="Z17" s="24">
        <f t="shared" si="103"/>
        <v>6893.92</v>
      </c>
      <c r="AA17" s="117">
        <v>2.5699999999999998E-3</v>
      </c>
      <c r="AB17" s="18">
        <f t="shared" si="61"/>
        <v>40.266759999999998</v>
      </c>
      <c r="AC17" s="39">
        <v>2.5300000000000001E-3</v>
      </c>
      <c r="AD17" s="17">
        <f t="shared" si="105"/>
        <v>39.640039999999999</v>
      </c>
      <c r="AE17" s="26">
        <f>IF(M17&gt;0,(AG17+AP17)/M17,0)</f>
        <v>2.6391452706152666E-3</v>
      </c>
      <c r="AF17" s="39">
        <v>2.9E-4</v>
      </c>
      <c r="AG17" s="36">
        <f t="shared" si="106"/>
        <v>4.5437200000000004</v>
      </c>
      <c r="AH17" s="27">
        <v>0.20519999999999999</v>
      </c>
      <c r="AI17" s="40">
        <f t="shared" si="107"/>
        <v>35.408696400000004</v>
      </c>
      <c r="AJ17" s="27">
        <f t="shared" si="108"/>
        <v>0.88662852658923064</v>
      </c>
      <c r="AK17" s="28">
        <f t="shared" si="6"/>
        <v>0.89132777701024946</v>
      </c>
      <c r="AL17" s="33">
        <v>189</v>
      </c>
      <c r="AM17" s="35">
        <v>8.6999999999999994E-2</v>
      </c>
      <c r="AN17" s="37">
        <v>0.21329999999999999</v>
      </c>
      <c r="AO17" s="103">
        <v>0.2261</v>
      </c>
      <c r="AP17" s="40">
        <f>AL17*(1-AM17)*AN17</f>
        <v>36.806408099999999</v>
      </c>
      <c r="AQ17" s="104">
        <f t="shared" si="21"/>
        <v>39.015137700000004</v>
      </c>
      <c r="AR17" s="41">
        <v>1.6</v>
      </c>
      <c r="AS17" s="41"/>
      <c r="AT17" s="88">
        <f>AT16+AL17-AS17</f>
        <v>3411.6199999999994</v>
      </c>
      <c r="AU17" s="82"/>
      <c r="AV17" s="42"/>
      <c r="AW17" s="43"/>
      <c r="AX17" s="44"/>
      <c r="AY17" s="44"/>
      <c r="AZ17" s="44"/>
      <c r="BA17" s="44"/>
    </row>
    <row r="18" spans="1:54">
      <c r="A18" s="147"/>
      <c r="B18" s="32">
        <v>3</v>
      </c>
      <c r="C18" s="10" t="s">
        <v>53</v>
      </c>
      <c r="D18" s="42">
        <v>19820</v>
      </c>
      <c r="E18" s="42">
        <v>3</v>
      </c>
      <c r="F18" s="42">
        <v>18274</v>
      </c>
      <c r="G18" s="36">
        <v>0.5</v>
      </c>
      <c r="H18" s="36">
        <v>4</v>
      </c>
      <c r="I18" s="42">
        <v>18257</v>
      </c>
      <c r="J18" s="36">
        <v>1.6</v>
      </c>
      <c r="K18" s="42">
        <v>16319</v>
      </c>
      <c r="L18" s="38">
        <v>4.4999999999999998E-2</v>
      </c>
      <c r="M18" s="36">
        <f>ROUND(K18*(1-L18),0)</f>
        <v>15585</v>
      </c>
      <c r="N18" s="27">
        <v>0.627</v>
      </c>
      <c r="O18" s="24">
        <f t="shared" si="98"/>
        <v>9771.7950000000001</v>
      </c>
      <c r="P18" s="38">
        <v>0.28799999999999998</v>
      </c>
      <c r="Q18" s="24">
        <f t="shared" si="99"/>
        <v>4488.4799999999996</v>
      </c>
      <c r="R18" s="38">
        <v>8.5000000000000006E-2</v>
      </c>
      <c r="S18" s="105"/>
      <c r="T18" s="24">
        <f t="shared" si="100"/>
        <v>1324.7250000000001</v>
      </c>
      <c r="U18" s="27">
        <v>0.27</v>
      </c>
      <c r="V18" s="24">
        <f t="shared" si="101"/>
        <v>4207.9500000000007</v>
      </c>
      <c r="W18" s="38">
        <v>0.46700000000000003</v>
      </c>
      <c r="X18" s="24">
        <f t="shared" si="102"/>
        <v>7278.1950000000006</v>
      </c>
      <c r="Y18" s="38">
        <v>0.43</v>
      </c>
      <c r="Z18" s="24">
        <f t="shared" si="103"/>
        <v>6701.55</v>
      </c>
      <c r="AA18" s="118">
        <v>2.5300000000000001E-3</v>
      </c>
      <c r="AB18" s="121">
        <f t="shared" si="61"/>
        <v>39.430050000000001</v>
      </c>
      <c r="AC18" s="45">
        <v>2.5500000000000002E-3</v>
      </c>
      <c r="AD18" s="17">
        <f t="shared" si="105"/>
        <v>39.741750000000003</v>
      </c>
      <c r="AE18" s="26">
        <f>IF(M18&gt;0,(AG18+AP18)/M18,0)</f>
        <v>2.5825644658325313E-3</v>
      </c>
      <c r="AF18" s="45">
        <v>2.9E-4</v>
      </c>
      <c r="AG18" s="36">
        <f t="shared" si="106"/>
        <v>4.5196500000000004</v>
      </c>
      <c r="AH18" s="27">
        <v>0.20799999999999999</v>
      </c>
      <c r="AI18" s="40">
        <f t="shared" si="107"/>
        <v>34.598511999999999</v>
      </c>
      <c r="AJ18" s="27">
        <f t="shared" si="108"/>
        <v>0.88751190621162057</v>
      </c>
      <c r="AK18" s="28">
        <f t="shared" si="6"/>
        <v>0.8889086240122972</v>
      </c>
      <c r="AL18" s="42">
        <v>181</v>
      </c>
      <c r="AM18" s="38">
        <v>8.1000000000000003E-2</v>
      </c>
      <c r="AN18" s="27">
        <v>0.21479999999999999</v>
      </c>
      <c r="AO18" s="105">
        <v>0.2238</v>
      </c>
      <c r="AP18" s="40">
        <f>AL18*(1-AM18)*AN18</f>
        <v>35.7296172</v>
      </c>
      <c r="AQ18" s="106">
        <f t="shared" si="21"/>
        <v>37.226668199999999</v>
      </c>
      <c r="AR18" s="17">
        <v>1.6</v>
      </c>
      <c r="AS18" s="17"/>
      <c r="AT18" s="88">
        <f>AT17+AL18-AS18</f>
        <v>3592.6199999999994</v>
      </c>
      <c r="AU18" s="82"/>
      <c r="AV18" s="42"/>
      <c r="AW18" s="46"/>
      <c r="AX18" s="40"/>
      <c r="AY18" s="40"/>
      <c r="AZ18" s="40"/>
      <c r="BA18" s="40"/>
    </row>
    <row r="19" spans="1:54" s="21" customFormat="1">
      <c r="A19" s="148"/>
      <c r="B19" s="47" t="s">
        <v>56</v>
      </c>
      <c r="C19" s="48"/>
      <c r="D19" s="49">
        <f t="shared" ref="D19" si="110">SUM(D16:D18)</f>
        <v>50190</v>
      </c>
      <c r="E19" s="49"/>
      <c r="F19" s="49">
        <f t="shared" ref="F19" si="111">SUM(F16:F18)</f>
        <v>54820</v>
      </c>
      <c r="G19" s="50"/>
      <c r="H19" s="50"/>
      <c r="I19" s="49">
        <f t="shared" ref="I19:K19" si="112">SUM(I16:I18)</f>
        <v>54778</v>
      </c>
      <c r="J19" s="50"/>
      <c r="K19" s="49">
        <f t="shared" si="112"/>
        <v>49145</v>
      </c>
      <c r="L19" s="20">
        <f t="shared" ref="L19" si="113">IF(K19&gt;0,(K16*L16+K17*L17+K18*L18)/K19,0)</f>
        <v>4.7336778919523856E-2</v>
      </c>
      <c r="M19" s="50">
        <f t="shared" ref="M19" si="114">M16+M17+M18</f>
        <v>46819</v>
      </c>
      <c r="N19" s="51">
        <f t="shared" ref="N19" si="115">IF(M19&gt;0,O19/M19,0)</f>
        <v>0.64337390802879169</v>
      </c>
      <c r="O19" s="52">
        <f t="shared" ref="O19" si="116">O16+O17+O18</f>
        <v>30122.123</v>
      </c>
      <c r="P19" s="20">
        <f t="shared" ref="P19" si="117">IF(M19&gt;0,Q19/M19,0)</f>
        <v>0.26888570879343854</v>
      </c>
      <c r="Q19" s="52">
        <f t="shared" ref="Q19" si="118">Q16+Q17+Q18</f>
        <v>12588.96</v>
      </c>
      <c r="R19" s="20">
        <f t="shared" ref="R19" si="119">IF(M19&gt;0,T19/M19,0)</f>
        <v>8.7740383177769721E-2</v>
      </c>
      <c r="S19" s="107"/>
      <c r="T19" s="52">
        <f t="shared" ref="T19" si="120">T16+T17+T18</f>
        <v>4107.9170000000004</v>
      </c>
      <c r="U19" s="20">
        <f t="shared" ref="U19" si="121">IF(M19&gt;0,V19/M19,0)</f>
        <v>0.27066494371943017</v>
      </c>
      <c r="V19" s="52">
        <f t="shared" ref="V19" si="122">V16+V17+V18</f>
        <v>12672.262000000002</v>
      </c>
      <c r="W19" s="20">
        <f t="shared" ref="W19" si="123">IF(M19&gt;0,X19/M19,0)</f>
        <v>0.46266479420747986</v>
      </c>
      <c r="X19" s="52">
        <f t="shared" ref="X19" si="124">X16+X17+X18</f>
        <v>21661.503000000001</v>
      </c>
      <c r="Y19" s="20">
        <f t="shared" ref="Y19" si="125">IF(M19&gt;0,Z19/M19,0)</f>
        <v>0.43667122322134172</v>
      </c>
      <c r="Z19" s="52">
        <f t="shared" ref="Z19" si="126">Z16+Z17+Z18</f>
        <v>20444.509999999998</v>
      </c>
      <c r="AA19" s="119">
        <f>IF(M19&gt;0,AC19/M19,0)</f>
        <v>5.4606161283671613E-8</v>
      </c>
      <c r="AB19" s="54">
        <f t="shared" ref="AB19" si="127">SUM(AB16:AB18)</f>
        <v>120.01274999999998</v>
      </c>
      <c r="AC19" s="53">
        <f t="shared" ref="AC19" si="128">IF(M19&gt;0,AD19/M19,0)</f>
        <v>2.5566058651402212E-3</v>
      </c>
      <c r="AD19" s="54">
        <f t="shared" ref="AD19" si="129">SUM(AD16:AD18)</f>
        <v>119.69773000000001</v>
      </c>
      <c r="AE19" s="53">
        <f t="shared" ref="AE19" si="130">IF(M19&gt;0,(AE16*M16+AE17*M17+AE18*M18)/M19,0)</f>
        <v>2.5510278839787266E-3</v>
      </c>
      <c r="AF19" s="53">
        <f t="shared" ref="AF19" si="131">IF(K19&gt;0,(K16*AF16+K17*AF17+K18*AF18)/K19,0)</f>
        <v>2.9E-4</v>
      </c>
      <c r="AG19" s="50">
        <f t="shared" ref="AG19" si="132">SUM(AG16:AG18)</f>
        <v>13.577510000000002</v>
      </c>
      <c r="AH19" s="51">
        <f t="shared" ref="AH19" si="133">IF(K19&gt;0,(K16*AH16+K17*AH17+K18*AH18)/K19,0)</f>
        <v>0.20726457218435243</v>
      </c>
      <c r="AI19" s="56">
        <f t="shared" ref="AI19" si="134">SUM(AI16:AI18)</f>
        <v>102.76491799999999</v>
      </c>
      <c r="AJ19" s="51">
        <f t="shared" ref="AJ19" si="135">IF(AND(AD19&gt;0),((AD16*AJ16+AD17*AJ17+AD18*AJ18)/AD19),0)</f>
        <v>0.88781055618759752</v>
      </c>
      <c r="AK19" s="55">
        <f t="shared" si="6"/>
        <v>0.88752626238543531</v>
      </c>
      <c r="AL19" s="49">
        <f t="shared" ref="AL19" si="136">SUM(AL16:AL18)</f>
        <v>542</v>
      </c>
      <c r="AM19" s="20">
        <f t="shared" ref="AM19" si="137">IF(AL19&gt;0,(AM16*AL16+AM17*AL17+AM18*AL18)/AL19,0)</f>
        <v>8.4996309963099634E-2</v>
      </c>
      <c r="AN19" s="51">
        <f>IF(K19&gt;0,(AN16*K16+AN17*K17+AN18*K18)/K19,0)</f>
        <v>0.21343094312747993</v>
      </c>
      <c r="AO19" s="107">
        <f>IF(K19&gt;0,(AO16*K16+AO17*K17+AO18*K18)/K19,0)</f>
        <v>0.22480223827449383</v>
      </c>
      <c r="AP19" s="56">
        <f t="shared" ref="AP19" si="138">SUM(AP16:AP18)</f>
        <v>105.85906450000002</v>
      </c>
      <c r="AQ19" s="108">
        <f t="shared" si="52"/>
        <v>111.4963879</v>
      </c>
      <c r="AR19" s="54"/>
      <c r="AS19" s="54">
        <f t="shared" ref="AS19" si="139">SUM(AS16:AS18)</f>
        <v>0</v>
      </c>
      <c r="AT19" s="83"/>
      <c r="AU19" s="84">
        <f>AT18</f>
        <v>3592.6199999999994</v>
      </c>
      <c r="AV19" s="49">
        <f t="shared" ref="AV19" si="140">SUM(AV16:AV18)</f>
        <v>0</v>
      </c>
      <c r="AW19" s="57"/>
      <c r="AX19" s="56"/>
      <c r="AY19" s="56"/>
      <c r="AZ19" s="56"/>
      <c r="BA19" s="56"/>
    </row>
    <row r="20" spans="1:54">
      <c r="A20" s="146">
        <v>5</v>
      </c>
      <c r="B20" s="22">
        <v>1</v>
      </c>
      <c r="C20" s="10" t="s">
        <v>54</v>
      </c>
      <c r="D20" s="11">
        <v>6081</v>
      </c>
      <c r="E20" s="11">
        <v>3</v>
      </c>
      <c r="F20" s="11">
        <v>10483</v>
      </c>
      <c r="G20" s="12">
        <v>0.6</v>
      </c>
      <c r="H20" s="12">
        <v>6.5</v>
      </c>
      <c r="I20" s="11">
        <v>10656</v>
      </c>
      <c r="J20" s="12">
        <v>3.5</v>
      </c>
      <c r="K20" s="11">
        <v>16160</v>
      </c>
      <c r="L20" s="13">
        <v>3.9E-2</v>
      </c>
      <c r="M20" s="23">
        <f>ROUND(K20*(1-L20),0)</f>
        <v>15530</v>
      </c>
      <c r="N20" s="14">
        <v>0.623</v>
      </c>
      <c r="O20" s="24">
        <f t="shared" ref="O20:O22" si="141">M20*N20</f>
        <v>9675.19</v>
      </c>
      <c r="P20" s="13">
        <v>0.30299999999999999</v>
      </c>
      <c r="Q20" s="24">
        <f t="shared" ref="Q20:Q22" si="142">M20*P20</f>
        <v>4705.59</v>
      </c>
      <c r="R20" s="15">
        <v>7.3999999999999996E-2</v>
      </c>
      <c r="S20" s="112"/>
      <c r="T20" s="24">
        <f t="shared" ref="T20:T22" si="143">M20*R20</f>
        <v>1149.22</v>
      </c>
      <c r="U20" s="25">
        <v>0.26300000000000001</v>
      </c>
      <c r="V20" s="24">
        <f t="shared" ref="V20:V22" si="144">M20*U20</f>
        <v>4084.3900000000003</v>
      </c>
      <c r="W20" s="15">
        <v>0.46899999999999997</v>
      </c>
      <c r="X20" s="24">
        <f t="shared" ref="X20:X22" si="145">M20*W20</f>
        <v>7283.57</v>
      </c>
      <c r="Y20" s="15">
        <v>0.42</v>
      </c>
      <c r="Z20" s="24">
        <f t="shared" ref="Z20:Z22" si="146">Y20*M20</f>
        <v>6522.5999999999995</v>
      </c>
      <c r="AA20" s="116">
        <v>2.8700000000000002E-3</v>
      </c>
      <c r="AB20" s="18">
        <f t="shared" ref="AB20:AB74" si="147">M20*AA20</f>
        <v>44.571100000000001</v>
      </c>
      <c r="AC20" s="16">
        <v>2.8E-3</v>
      </c>
      <c r="AD20" s="17">
        <f t="shared" ref="AD20:AD22" si="148">M20*AC20</f>
        <v>43.484000000000002</v>
      </c>
      <c r="AE20" s="26">
        <f>IF(M20&gt;0,(AG20+AP20)/M20,0)</f>
        <v>2.7418179137153895E-3</v>
      </c>
      <c r="AF20" s="16">
        <v>2.9999999999999997E-4</v>
      </c>
      <c r="AG20" s="23">
        <f t="shared" ref="AG20:AG22" si="149">AF20*M20</f>
        <v>4.6589999999999998</v>
      </c>
      <c r="AH20" s="92">
        <v>0.20699999999999999</v>
      </c>
      <c r="AI20" s="29">
        <f t="shared" ref="AI20:AI22" si="150">AL20*(1-AM20)*AH20</f>
        <v>36.905201999999996</v>
      </c>
      <c r="AJ20" s="27">
        <f t="shared" ref="AJ20:AJ22" si="151">IF(AND(AH20&gt;0,AF20&gt;0,AC20&gt;0),((AC20-AF20)*AH20)/((AH20-AF20)*AC20),0)</f>
        <v>0.89415301679452619</v>
      </c>
      <c r="AK20" s="58">
        <f t="shared" si="6"/>
        <v>0.89184143003873162</v>
      </c>
      <c r="AL20" s="11">
        <v>194</v>
      </c>
      <c r="AM20" s="13">
        <v>8.1000000000000003E-2</v>
      </c>
      <c r="AN20" s="14">
        <v>0.2127</v>
      </c>
      <c r="AO20" s="101">
        <v>0.21529999999999999</v>
      </c>
      <c r="AP20" s="29">
        <f>AL20*(1-AM20)*AN20</f>
        <v>37.921432199999998</v>
      </c>
      <c r="AQ20" s="102">
        <f t="shared" ref="AQ20:AQ70" si="152">AL20*(1-AM20)*AO20</f>
        <v>38.384975799999999</v>
      </c>
      <c r="AR20" s="18">
        <v>1.55</v>
      </c>
      <c r="AS20" s="18">
        <v>1006.42</v>
      </c>
      <c r="AT20" s="79">
        <f>AT18+AL20-AS20-AU20+AU20+AU20</f>
        <v>2780.1999999999994</v>
      </c>
      <c r="AU20" s="128"/>
      <c r="AV20" s="11"/>
      <c r="AW20" s="30"/>
      <c r="AX20" s="19"/>
      <c r="AY20" s="19"/>
      <c r="AZ20" s="19"/>
      <c r="BA20" s="19"/>
    </row>
    <row r="21" spans="1:54">
      <c r="A21" s="147"/>
      <c r="B21" s="32">
        <v>2</v>
      </c>
      <c r="C21" s="10" t="s">
        <v>59</v>
      </c>
      <c r="D21" s="33">
        <v>18800</v>
      </c>
      <c r="E21" s="33">
        <v>6</v>
      </c>
      <c r="F21" s="33">
        <v>18007</v>
      </c>
      <c r="G21" s="34">
        <v>0.5</v>
      </c>
      <c r="H21" s="34">
        <v>4.9000000000000004</v>
      </c>
      <c r="I21" s="33">
        <v>17671</v>
      </c>
      <c r="J21" s="34">
        <v>3.5</v>
      </c>
      <c r="K21" s="33">
        <v>16181</v>
      </c>
      <c r="L21" s="35">
        <v>4.7E-2</v>
      </c>
      <c r="M21" s="36">
        <f>ROUND(K21*(1-L21),0)</f>
        <v>15420</v>
      </c>
      <c r="N21" s="37">
        <v>0.71</v>
      </c>
      <c r="O21" s="24">
        <f t="shared" si="141"/>
        <v>10948.199999999999</v>
      </c>
      <c r="P21" s="35">
        <v>0.188</v>
      </c>
      <c r="Q21" s="24">
        <f t="shared" si="142"/>
        <v>2898.96</v>
      </c>
      <c r="R21" s="38">
        <v>0.10199999999999999</v>
      </c>
      <c r="S21" s="105"/>
      <c r="T21" s="24">
        <f t="shared" si="143"/>
        <v>1572.84</v>
      </c>
      <c r="U21" s="27">
        <v>0.26100000000000001</v>
      </c>
      <c r="V21" s="24">
        <f t="shared" si="144"/>
        <v>4024.6200000000003</v>
      </c>
      <c r="W21" s="38">
        <v>0.47299999999999998</v>
      </c>
      <c r="X21" s="24">
        <f t="shared" si="145"/>
        <v>7293.66</v>
      </c>
      <c r="Y21" s="38">
        <v>0.43</v>
      </c>
      <c r="Z21" s="24">
        <f t="shared" si="146"/>
        <v>6630.5999999999995</v>
      </c>
      <c r="AA21" s="117">
        <v>2.66E-3</v>
      </c>
      <c r="AB21" s="18">
        <f t="shared" si="147"/>
        <v>41.017200000000003</v>
      </c>
      <c r="AC21" s="39">
        <v>2.5600000000000002E-3</v>
      </c>
      <c r="AD21" s="17">
        <f t="shared" si="148"/>
        <v>39.475200000000001</v>
      </c>
      <c r="AE21" s="26">
        <f>IF(M21&gt;0,(AG21+AP21)/M21,0)</f>
        <v>2.5390493190661479E-3</v>
      </c>
      <c r="AF21" s="39">
        <v>2.9E-4</v>
      </c>
      <c r="AG21" s="36">
        <f t="shared" si="149"/>
        <v>4.4718</v>
      </c>
      <c r="AH21" s="27">
        <v>0.2009</v>
      </c>
      <c r="AI21" s="40">
        <f t="shared" si="150"/>
        <v>34.304679499999999</v>
      </c>
      <c r="AJ21" s="27">
        <f t="shared" si="151"/>
        <v>0.8880005825980759</v>
      </c>
      <c r="AK21" s="28">
        <f t="shared" si="6"/>
        <v>0.88705061368561178</v>
      </c>
      <c r="AL21" s="33">
        <v>185</v>
      </c>
      <c r="AM21" s="35">
        <v>7.6999999999999999E-2</v>
      </c>
      <c r="AN21" s="37">
        <v>0.2031</v>
      </c>
      <c r="AO21" s="103">
        <v>0.2162</v>
      </c>
      <c r="AP21" s="40">
        <f>AL21*(1-AM21)*AN21</f>
        <v>34.6803405</v>
      </c>
      <c r="AQ21" s="104">
        <f t="shared" si="152"/>
        <v>36.917231000000001</v>
      </c>
      <c r="AR21" s="41">
        <v>1.65</v>
      </c>
      <c r="AS21" s="41"/>
      <c r="AT21" s="129">
        <f>AT20+AL21-AS21</f>
        <v>2965.1999999999994</v>
      </c>
      <c r="AU21" s="82"/>
      <c r="AV21" s="42"/>
      <c r="AW21" s="43"/>
      <c r="AX21" s="44"/>
      <c r="AY21" s="44"/>
      <c r="AZ21" s="44"/>
      <c r="BA21" s="44"/>
    </row>
    <row r="22" spans="1:54">
      <c r="A22" s="147"/>
      <c r="B22" s="32">
        <v>3</v>
      </c>
      <c r="C22" s="10" t="s">
        <v>53</v>
      </c>
      <c r="D22" s="42">
        <v>23700</v>
      </c>
      <c r="E22" s="42">
        <v>3</v>
      </c>
      <c r="F22" s="42">
        <v>19076</v>
      </c>
      <c r="G22" s="36">
        <v>0.4</v>
      </c>
      <c r="H22" s="36">
        <v>6.6</v>
      </c>
      <c r="I22" s="42">
        <v>19481</v>
      </c>
      <c r="J22" s="36">
        <v>2.2000000000000002</v>
      </c>
      <c r="K22" s="42">
        <v>15887</v>
      </c>
      <c r="L22" s="38">
        <v>3.6999999999999998E-2</v>
      </c>
      <c r="M22" s="36">
        <f>ROUND(K22*(1-L22),0)</f>
        <v>15299</v>
      </c>
      <c r="N22" s="27">
        <v>0.70499999999999996</v>
      </c>
      <c r="O22" s="24">
        <f t="shared" si="141"/>
        <v>10785.795</v>
      </c>
      <c r="P22" s="38">
        <v>0.224</v>
      </c>
      <c r="Q22" s="24">
        <f t="shared" si="142"/>
        <v>3426.9760000000001</v>
      </c>
      <c r="R22" s="38">
        <v>7.0999999999999994E-2</v>
      </c>
      <c r="S22" s="105"/>
      <c r="T22" s="24">
        <f t="shared" si="143"/>
        <v>1086.2289999999998</v>
      </c>
      <c r="U22" s="27">
        <v>0.25900000000000001</v>
      </c>
      <c r="V22" s="24">
        <f t="shared" si="144"/>
        <v>3962.4410000000003</v>
      </c>
      <c r="W22" s="38">
        <v>0.46400000000000002</v>
      </c>
      <c r="X22" s="24">
        <f t="shared" si="145"/>
        <v>7098.7360000000008</v>
      </c>
      <c r="Y22" s="38">
        <v>0.44</v>
      </c>
      <c r="Z22" s="24">
        <f t="shared" si="146"/>
        <v>6731.56</v>
      </c>
      <c r="AA22" s="118">
        <v>2.3999999999999998E-3</v>
      </c>
      <c r="AB22" s="121">
        <f t="shared" si="147"/>
        <v>36.717599999999997</v>
      </c>
      <c r="AC22" s="45">
        <v>2.4499999999999999E-3</v>
      </c>
      <c r="AD22" s="17">
        <f t="shared" si="148"/>
        <v>37.482549999999996</v>
      </c>
      <c r="AE22" s="26">
        <f>IF(M22&gt;0,(AG22+AP22)/M22,0)</f>
        <v>2.3182654421857636E-3</v>
      </c>
      <c r="AF22" s="45">
        <v>2.7999999999999998E-4</v>
      </c>
      <c r="AG22" s="36">
        <f t="shared" si="149"/>
        <v>4.2837199999999998</v>
      </c>
      <c r="AH22" s="27">
        <v>0.19719999999999999</v>
      </c>
      <c r="AI22" s="40">
        <f t="shared" si="150"/>
        <v>31.454583199999998</v>
      </c>
      <c r="AJ22" s="27">
        <f t="shared" si="151"/>
        <v>0.8869736803923276</v>
      </c>
      <c r="AK22" s="28">
        <f t="shared" si="6"/>
        <v>0.88048109026774435</v>
      </c>
      <c r="AL22" s="42">
        <v>173</v>
      </c>
      <c r="AM22" s="38">
        <v>7.8E-2</v>
      </c>
      <c r="AN22" s="27">
        <v>0.19550000000000001</v>
      </c>
      <c r="AO22" s="105">
        <v>0.21279999999999999</v>
      </c>
      <c r="AP22" s="40">
        <f>AL22*(1-AM22)*AN22</f>
        <v>31.183423000000001</v>
      </c>
      <c r="AQ22" s="106">
        <f t="shared" si="152"/>
        <v>33.942876800000001</v>
      </c>
      <c r="AR22" s="17">
        <v>1.6</v>
      </c>
      <c r="AS22" s="17"/>
      <c r="AT22" s="129">
        <f>AT21+AL22-AS22</f>
        <v>3138.1999999999994</v>
      </c>
      <c r="AU22" s="82"/>
      <c r="AV22" s="42"/>
      <c r="AW22" s="46"/>
      <c r="AX22" s="40"/>
      <c r="AY22" s="40"/>
      <c r="AZ22" s="40"/>
      <c r="BA22" s="40"/>
    </row>
    <row r="23" spans="1:54">
      <c r="A23" s="148"/>
      <c r="B23" s="47" t="s">
        <v>56</v>
      </c>
      <c r="C23" s="48"/>
      <c r="D23" s="49">
        <f t="shared" ref="D23" si="153">SUM(D20:D22)</f>
        <v>48581</v>
      </c>
      <c r="E23" s="49"/>
      <c r="F23" s="49">
        <f t="shared" ref="F23" si="154">SUM(F20:F22)</f>
        <v>47566</v>
      </c>
      <c r="G23" s="50"/>
      <c r="H23" s="50"/>
      <c r="I23" s="49">
        <f t="shared" ref="I23:K23" si="155">SUM(I20:I22)</f>
        <v>47808</v>
      </c>
      <c r="J23" s="50"/>
      <c r="K23" s="49">
        <f t="shared" si="155"/>
        <v>48228</v>
      </c>
      <c r="L23" s="20">
        <f t="shared" ref="L23" si="156">IF(K23&gt;0,(K20*L20+K21*L21+K22*L22)/K23,0)</f>
        <v>4.1025255038566806E-2</v>
      </c>
      <c r="M23" s="50">
        <f t="shared" ref="M23" si="157">M20+M21+M22</f>
        <v>46249</v>
      </c>
      <c r="N23" s="51">
        <f t="shared" ref="N23" si="158">IF(M23&gt;0,O23/M23,0)</f>
        <v>0.67913219745291786</v>
      </c>
      <c r="O23" s="52">
        <f t="shared" ref="O23" si="159">O20+O21+O22</f>
        <v>31409.184999999998</v>
      </c>
      <c r="P23" s="20">
        <f t="shared" ref="P23" si="160">IF(M23&gt;0,Q23/M23,0)</f>
        <v>0.23852463837055937</v>
      </c>
      <c r="Q23" s="52">
        <f t="shared" ref="Q23" si="161">Q20+Q21+Q22</f>
        <v>11031.526</v>
      </c>
      <c r="R23" s="20">
        <f t="shared" ref="R23" si="162">IF(M23&gt;0,T23/M23,0)</f>
        <v>8.2343164176522737E-2</v>
      </c>
      <c r="S23" s="107"/>
      <c r="T23" s="52">
        <f t="shared" ref="T23" si="163">T20+T21+T22</f>
        <v>3808.2889999999998</v>
      </c>
      <c r="U23" s="20">
        <f t="shared" ref="U23" si="164">IF(M23&gt;0,V23/M23,0)</f>
        <v>0.26100998940517633</v>
      </c>
      <c r="V23" s="52">
        <f t="shared" ref="V23" si="165">V20+V21+V22</f>
        <v>12071.451000000001</v>
      </c>
      <c r="W23" s="20">
        <f t="shared" ref="W23" si="166">IF(M23&gt;0,X23/M23,0)</f>
        <v>0.4686796687495946</v>
      </c>
      <c r="X23" s="52">
        <f t="shared" ref="X23" si="167">X20+X21+X22</f>
        <v>21675.966</v>
      </c>
      <c r="Y23" s="20">
        <f t="shared" ref="Y23" si="168">IF(M23&gt;0,Z23/M23,0)</f>
        <v>0.42995005297411831</v>
      </c>
      <c r="Z23" s="52">
        <f t="shared" ref="Z23" si="169">Z20+Z21+Z22</f>
        <v>19884.759999999998</v>
      </c>
      <c r="AA23" s="119">
        <f>IF(M23&gt;0,AB23/M23,0)</f>
        <v>2.6445090704663885E-3</v>
      </c>
      <c r="AB23" s="54">
        <f t="shared" ref="AB23" si="170">SUM(AB20:AB22)</f>
        <v>122.30590000000001</v>
      </c>
      <c r="AC23" s="53">
        <f t="shared" ref="AC23" si="171">IF(M23&gt;0,AD23/M23,0)</f>
        <v>2.6042022530216873E-3</v>
      </c>
      <c r="AD23" s="54">
        <f t="shared" ref="AD23" si="172">SUM(AD20:AD22)</f>
        <v>120.44175000000001</v>
      </c>
      <c r="AE23" s="53">
        <f t="shared" ref="AE23" si="173">IF(M23&gt;0,(AE20*M20+AE21*M21+AE22*M22)/M23,0)</f>
        <v>2.5341026984367228E-3</v>
      </c>
      <c r="AF23" s="53">
        <f t="shared" ref="AF23" si="174">IF(K23&gt;0,(K20*AF20+K21*AF21+K22*AF22)/K23,0)</f>
        <v>2.900566061209256E-4</v>
      </c>
      <c r="AG23" s="50">
        <f t="shared" ref="AG23" si="175">SUM(AG20:AG22)</f>
        <v>13.41452</v>
      </c>
      <c r="AH23" s="51">
        <f t="shared" ref="AH23" si="176">IF(K23&gt;0,(K20*AH20+K21*AH21+K22*AH22)/K23,0)</f>
        <v>0.20172512440905696</v>
      </c>
      <c r="AI23" s="56">
        <f t="shared" ref="AI23" si="177">SUM(AI20:AI22)</f>
        <v>102.6644647</v>
      </c>
      <c r="AJ23" s="51">
        <f t="shared" ref="AJ23" si="178">IF(AND(AD23&gt;0),((AD20*AJ20+AD21*AJ21+AD22*AJ22)/AD23),0)</f>
        <v>0.88990226150365781</v>
      </c>
      <c r="AK23" s="55">
        <f t="shared" si="6"/>
        <v>0.88680078284785435</v>
      </c>
      <c r="AL23" s="49">
        <f t="shared" ref="AL23" si="179">SUM(AL20:AL22)</f>
        <v>552</v>
      </c>
      <c r="AM23" s="20">
        <f t="shared" ref="AM23" si="180">IF(AL23&gt;0,(AM20*AL20+AM21*AL21+AM22*AL22)/AL23,0)</f>
        <v>7.8719202898550736E-2</v>
      </c>
      <c r="AN23" s="51">
        <f>IF(K23&gt;0,(AN20*K20+AN21*K21+AN22*K22)/K23,0)</f>
        <v>0.20381317077216554</v>
      </c>
      <c r="AO23" s="107">
        <f>IF(K23&gt;0,(AO20*K20+AO21*K21+AO22*K22)/K23,0)</f>
        <v>0.21477842332255123</v>
      </c>
      <c r="AP23" s="56">
        <f t="shared" ref="AP23:AQ35" si="181">SUM(AP20:AP22)</f>
        <v>103.7851957</v>
      </c>
      <c r="AQ23" s="108">
        <f t="shared" si="181"/>
        <v>109.24508359999999</v>
      </c>
      <c r="AR23" s="54"/>
      <c r="AS23" s="54">
        <f t="shared" ref="AS23" si="182">SUM(AS20:AS22)</f>
        <v>1006.42</v>
      </c>
      <c r="AT23" s="83"/>
      <c r="AU23" s="84">
        <f>AT22</f>
        <v>3138.1999999999994</v>
      </c>
      <c r="AV23" s="49">
        <f t="shared" ref="AV23" si="183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54</v>
      </c>
      <c r="D24" s="11">
        <v>5117</v>
      </c>
      <c r="E24" s="11">
        <v>2</v>
      </c>
      <c r="F24" s="11">
        <v>12179</v>
      </c>
      <c r="G24" s="12">
        <v>0.7</v>
      </c>
      <c r="H24" s="12">
        <v>7.2</v>
      </c>
      <c r="I24" s="11">
        <v>12557</v>
      </c>
      <c r="J24" s="12">
        <v>3.5</v>
      </c>
      <c r="K24" s="11">
        <v>14740</v>
      </c>
      <c r="L24" s="13">
        <v>3.9E-2</v>
      </c>
      <c r="M24" s="23">
        <f>ROUND(K24*(1-L24),0)</f>
        <v>14165</v>
      </c>
      <c r="N24" s="14">
        <v>0.68300000000000005</v>
      </c>
      <c r="O24" s="24">
        <f t="shared" ref="O24:O26" si="184">M24*N24</f>
        <v>9674.6950000000015</v>
      </c>
      <c r="P24" s="13">
        <v>0.25700000000000001</v>
      </c>
      <c r="Q24" s="24">
        <f t="shared" ref="Q24:Q26" si="185">M24*P24</f>
        <v>3640.4050000000002</v>
      </c>
      <c r="R24" s="15">
        <v>0.06</v>
      </c>
      <c r="S24" s="112"/>
      <c r="T24" s="24">
        <f t="shared" ref="T24:T26" si="186">M24*R24</f>
        <v>849.9</v>
      </c>
      <c r="U24" s="25">
        <v>0.248</v>
      </c>
      <c r="V24" s="24">
        <f t="shared" ref="V24:V26" si="187">M24*U24</f>
        <v>3512.92</v>
      </c>
      <c r="W24" s="15">
        <v>0.48499999999999999</v>
      </c>
      <c r="X24" s="24">
        <f t="shared" ref="X24:X26" si="188">M24*W24</f>
        <v>6870.0249999999996</v>
      </c>
      <c r="Y24" s="15">
        <v>0.42</v>
      </c>
      <c r="Z24" s="24">
        <f t="shared" ref="Z24:Z26" si="189">Y24*M24</f>
        <v>5949.3</v>
      </c>
      <c r="AA24" s="116">
        <v>2.7299999999999998E-3</v>
      </c>
      <c r="AB24" s="18">
        <f t="shared" ref="AB24" si="190">M24*AA24</f>
        <v>38.670449999999995</v>
      </c>
      <c r="AC24" s="16">
        <v>2.7200000000000002E-3</v>
      </c>
      <c r="AD24" s="17">
        <f t="shared" ref="AD24:AD26" si="191">M24*AC24</f>
        <v>38.528800000000004</v>
      </c>
      <c r="AE24" s="26">
        <f>IF(M24&gt;0,(AG24+AP24)/M24,0)</f>
        <v>2.6141820261207198E-3</v>
      </c>
      <c r="AF24" s="16">
        <v>2.9E-4</v>
      </c>
      <c r="AG24" s="23">
        <f t="shared" ref="AG24:AG26" si="192">AF24*M24</f>
        <v>4.10785</v>
      </c>
      <c r="AH24" s="92">
        <v>0.20669999999999999</v>
      </c>
      <c r="AI24" s="29">
        <f t="shared" ref="AI24:AI26" si="193">AL24*(1-AM24)*AH24</f>
        <v>32.969890200000002</v>
      </c>
      <c r="AJ24" s="27">
        <f t="shared" ref="AJ24:AJ26" si="194">IF(AND(AH24&gt;0,AF24&gt;0,AC24&gt;0),((AC24-AF24)*AH24)/((AH24-AF24)*AC24),0)</f>
        <v>0.89463752896149029</v>
      </c>
      <c r="AK24" s="58">
        <f t="shared" si="6"/>
        <v>0.89031756908989457</v>
      </c>
      <c r="AL24" s="11">
        <v>173</v>
      </c>
      <c r="AM24" s="13">
        <v>7.8E-2</v>
      </c>
      <c r="AN24" s="14">
        <v>0.2064</v>
      </c>
      <c r="AO24" s="101">
        <v>0.21779999999999999</v>
      </c>
      <c r="AP24" s="29">
        <f>AL24*(1-AM24)*AN24</f>
        <v>32.922038399999998</v>
      </c>
      <c r="AQ24" s="102">
        <f t="shared" ref="AQ24" si="195">AL24*(1-AM24)*AO24</f>
        <v>34.740406800000002</v>
      </c>
      <c r="AR24" s="18">
        <v>1.5</v>
      </c>
      <c r="AS24" s="18">
        <v>1010.02</v>
      </c>
      <c r="AT24" s="79">
        <f>AT22+AL24-AS24</f>
        <v>2301.1799999999994</v>
      </c>
      <c r="AU24" s="80"/>
      <c r="AV24" s="11"/>
      <c r="AW24" s="30"/>
      <c r="AX24" s="19"/>
      <c r="AY24" s="19"/>
      <c r="AZ24" s="19"/>
      <c r="BA24" s="19"/>
    </row>
    <row r="25" spans="1:54">
      <c r="A25" s="147"/>
      <c r="B25" s="32">
        <v>2</v>
      </c>
      <c r="C25" s="10" t="s">
        <v>55</v>
      </c>
      <c r="D25" s="33">
        <v>19492</v>
      </c>
      <c r="E25" s="33">
        <v>7</v>
      </c>
      <c r="F25" s="33">
        <v>20638</v>
      </c>
      <c r="G25" s="34">
        <v>0.8</v>
      </c>
      <c r="H25" s="34">
        <v>5.5</v>
      </c>
      <c r="I25" s="33">
        <v>20189</v>
      </c>
      <c r="J25" s="34">
        <v>2</v>
      </c>
      <c r="K25" s="33">
        <v>14738</v>
      </c>
      <c r="L25" s="35">
        <v>5.0999999999999997E-2</v>
      </c>
      <c r="M25" s="36">
        <f>ROUND(K25*(1-L25),0)</f>
        <v>13986</v>
      </c>
      <c r="N25" s="37">
        <v>0.60399999999999998</v>
      </c>
      <c r="O25" s="24">
        <f t="shared" si="184"/>
        <v>8447.5439999999999</v>
      </c>
      <c r="P25" s="35">
        <v>0.309</v>
      </c>
      <c r="Q25" s="24">
        <f t="shared" si="185"/>
        <v>4321.674</v>
      </c>
      <c r="R25" s="38">
        <v>8.6999999999999994E-2</v>
      </c>
      <c r="S25" s="105"/>
      <c r="T25" s="24">
        <f t="shared" si="186"/>
        <v>1216.7819999999999</v>
      </c>
      <c r="U25" s="27">
        <v>0.22800000000000001</v>
      </c>
      <c r="V25" s="24">
        <f t="shared" si="187"/>
        <v>3188.808</v>
      </c>
      <c r="W25" s="38">
        <v>0.48899999999999999</v>
      </c>
      <c r="X25" s="24">
        <f t="shared" si="188"/>
        <v>6839.1539999999995</v>
      </c>
      <c r="Y25" s="38">
        <v>0.42</v>
      </c>
      <c r="Z25" s="24">
        <f t="shared" si="189"/>
        <v>5874.12</v>
      </c>
      <c r="AA25" s="117">
        <v>2.8E-3</v>
      </c>
      <c r="AB25" s="18">
        <f t="shared" si="147"/>
        <v>39.160800000000002</v>
      </c>
      <c r="AC25" s="39">
        <v>2.7299999999999998E-3</v>
      </c>
      <c r="AD25" s="17">
        <f t="shared" si="191"/>
        <v>38.181779999999996</v>
      </c>
      <c r="AE25" s="26">
        <f>IF(M25&gt;0,(AG25+AP25)/M25,0)</f>
        <v>2.418241305591306E-3</v>
      </c>
      <c r="AF25" s="39">
        <v>2.9E-4</v>
      </c>
      <c r="AG25" s="36">
        <f t="shared" si="192"/>
        <v>4.0559399999999997</v>
      </c>
      <c r="AH25" s="27">
        <v>0.2046</v>
      </c>
      <c r="AI25" s="40">
        <f t="shared" si="193"/>
        <v>29.520301800000002</v>
      </c>
      <c r="AJ25" s="27">
        <f t="shared" si="194"/>
        <v>0.89504152545609161</v>
      </c>
      <c r="AK25" s="28">
        <f t="shared" si="6"/>
        <v>0.8813170228661017</v>
      </c>
      <c r="AL25" s="33">
        <v>157</v>
      </c>
      <c r="AM25" s="35">
        <v>8.1000000000000003E-2</v>
      </c>
      <c r="AN25" s="37">
        <v>0.20630000000000001</v>
      </c>
      <c r="AO25" s="103">
        <v>0.22539999999999999</v>
      </c>
      <c r="AP25" s="40">
        <f>AL25*(1-AM25)*AN25</f>
        <v>29.765582900000005</v>
      </c>
      <c r="AQ25" s="104">
        <f t="shared" si="152"/>
        <v>32.521388200000004</v>
      </c>
      <c r="AR25" s="41">
        <v>1.5</v>
      </c>
      <c r="AS25" s="41"/>
      <c r="AT25" s="129">
        <f>AT24+AL25-AS25</f>
        <v>2458.1799999999994</v>
      </c>
      <c r="AU25" s="82"/>
      <c r="AV25" s="42"/>
      <c r="AW25" s="43"/>
      <c r="AX25" s="44"/>
      <c r="AY25" s="44"/>
      <c r="AZ25" s="44"/>
      <c r="BA25" s="44"/>
    </row>
    <row r="26" spans="1:54">
      <c r="A26" s="147"/>
      <c r="B26" s="32">
        <v>3</v>
      </c>
      <c r="C26" s="10" t="s">
        <v>53</v>
      </c>
      <c r="D26" s="42">
        <v>22100</v>
      </c>
      <c r="E26" s="42">
        <v>3</v>
      </c>
      <c r="F26" s="42">
        <v>16093</v>
      </c>
      <c r="G26" s="36">
        <v>0.4</v>
      </c>
      <c r="H26" s="36">
        <v>4.5</v>
      </c>
      <c r="I26" s="42">
        <v>16592</v>
      </c>
      <c r="J26" s="36">
        <v>1</v>
      </c>
      <c r="K26" s="42">
        <v>14723</v>
      </c>
      <c r="L26" s="38">
        <v>5.1999999999999998E-2</v>
      </c>
      <c r="M26" s="36">
        <f>ROUND(K26*(1-L26),0)</f>
        <v>13957</v>
      </c>
      <c r="N26" s="27">
        <v>0.72599999999999998</v>
      </c>
      <c r="O26" s="24">
        <f t="shared" si="184"/>
        <v>10132.781999999999</v>
      </c>
      <c r="P26" s="38">
        <v>0.20599999999999999</v>
      </c>
      <c r="Q26" s="24">
        <f t="shared" si="185"/>
        <v>2875.1419999999998</v>
      </c>
      <c r="R26" s="38">
        <v>6.8000000000000005E-2</v>
      </c>
      <c r="S26" s="105"/>
      <c r="T26" s="24">
        <f t="shared" si="186"/>
        <v>949.07600000000002</v>
      </c>
      <c r="U26" s="27">
        <v>0.23899999999999999</v>
      </c>
      <c r="V26" s="24">
        <f t="shared" si="187"/>
        <v>3335.723</v>
      </c>
      <c r="W26" s="38">
        <v>0.47</v>
      </c>
      <c r="X26" s="24">
        <f t="shared" si="188"/>
        <v>6559.79</v>
      </c>
      <c r="Y26" s="38">
        <v>0.4</v>
      </c>
      <c r="Z26" s="24">
        <f t="shared" si="189"/>
        <v>5582.8</v>
      </c>
      <c r="AA26" s="118">
        <v>2.5799999999999998E-3</v>
      </c>
      <c r="AB26" s="121">
        <f t="shared" si="147"/>
        <v>36.009059999999998</v>
      </c>
      <c r="AC26" s="45">
        <v>2.66E-3</v>
      </c>
      <c r="AD26" s="17">
        <f t="shared" si="191"/>
        <v>37.125619999999998</v>
      </c>
      <c r="AE26" s="26">
        <f>IF(M26&gt;0,(AG26+AP26)/M26,0)</f>
        <v>2.3574937880633377E-3</v>
      </c>
      <c r="AF26" s="45">
        <v>2.7999999999999998E-4</v>
      </c>
      <c r="AG26" s="36">
        <f t="shared" si="192"/>
        <v>3.9079599999999997</v>
      </c>
      <c r="AH26" s="27">
        <v>0.2044</v>
      </c>
      <c r="AI26" s="40">
        <f t="shared" si="193"/>
        <v>28.521158400000001</v>
      </c>
      <c r="AJ26" s="27">
        <f t="shared" si="194"/>
        <v>0.89596419031116892</v>
      </c>
      <c r="AK26" s="28">
        <f t="shared" si="6"/>
        <v>0.88241881846317127</v>
      </c>
      <c r="AL26" s="42">
        <v>152</v>
      </c>
      <c r="AM26" s="38">
        <v>8.2000000000000003E-2</v>
      </c>
      <c r="AN26" s="27">
        <v>0.20780000000000001</v>
      </c>
      <c r="AO26" s="105">
        <v>0.2203</v>
      </c>
      <c r="AP26" s="40">
        <f>AL26*(1-AM26)*AN26</f>
        <v>28.995580800000003</v>
      </c>
      <c r="AQ26" s="106">
        <f t="shared" si="152"/>
        <v>30.739780799999998</v>
      </c>
      <c r="AR26" s="17">
        <v>1.55</v>
      </c>
      <c r="AS26" s="17"/>
      <c r="AT26" s="129">
        <f>AT25+AL26-AS26</f>
        <v>2610.1799999999994</v>
      </c>
      <c r="AU26" s="82"/>
      <c r="AV26" s="42"/>
      <c r="AW26" s="46"/>
      <c r="AX26" s="40"/>
      <c r="AY26" s="40"/>
      <c r="AZ26" s="40"/>
      <c r="BA26" s="40"/>
    </row>
    <row r="27" spans="1:54">
      <c r="A27" s="148"/>
      <c r="B27" s="47" t="s">
        <v>56</v>
      </c>
      <c r="C27" s="48"/>
      <c r="D27" s="49">
        <f t="shared" ref="D27" si="196">SUM(D24:D26)</f>
        <v>46709</v>
      </c>
      <c r="E27" s="49"/>
      <c r="F27" s="49">
        <f t="shared" ref="F27" si="197">SUM(F24:F26)</f>
        <v>48910</v>
      </c>
      <c r="G27" s="50"/>
      <c r="H27" s="50"/>
      <c r="I27" s="49">
        <f t="shared" ref="I27:K27" si="198">SUM(I24:I26)</f>
        <v>49338</v>
      </c>
      <c r="J27" s="50"/>
      <c r="K27" s="49">
        <f t="shared" si="198"/>
        <v>44201</v>
      </c>
      <c r="L27" s="20">
        <f t="shared" ref="L27" si="199">IF(K27&gt;0,(K24*L24+K25*L25+K26*L26)/K27,0)</f>
        <v>4.7331372593380244E-2</v>
      </c>
      <c r="M27" s="50">
        <f t="shared" ref="M27" si="200">M24+M25+M26</f>
        <v>42108</v>
      </c>
      <c r="N27" s="51">
        <f t="shared" ref="N27" si="201">IF(M27&gt;0,O27/M27,0)</f>
        <v>0.67101313289636177</v>
      </c>
      <c r="O27" s="52">
        <f t="shared" ref="O27" si="202">O24+O25+O26</f>
        <v>28255.021000000001</v>
      </c>
      <c r="P27" s="20">
        <f t="shared" ref="P27" si="203">IF(M27&gt;0,Q27/M27,0)</f>
        <v>0.25736726987745795</v>
      </c>
      <c r="Q27" s="52">
        <f t="shared" ref="Q27" si="204">Q24+Q25+Q26</f>
        <v>10837.221</v>
      </c>
      <c r="R27" s="20">
        <f t="shared" ref="R27" si="205">IF(M27&gt;0,T27/M27,0)</f>
        <v>7.161959722618029E-2</v>
      </c>
      <c r="S27" s="107"/>
      <c r="T27" s="52">
        <f t="shared" ref="T27" si="206">T24+T25+T26</f>
        <v>3015.7579999999998</v>
      </c>
      <c r="U27" s="20">
        <f t="shared" ref="U27" si="207">IF(M27&gt;0,V27/M27,0)</f>
        <v>0.2383739669421488</v>
      </c>
      <c r="V27" s="52">
        <f t="shared" ref="V27" si="208">V24+V25+V26</f>
        <v>10037.451000000001</v>
      </c>
      <c r="W27" s="20">
        <f t="shared" ref="W27" si="209">IF(M27&gt;0,X27/M27,0)</f>
        <v>0.48135672556283843</v>
      </c>
      <c r="X27" s="52">
        <f t="shared" ref="X27" si="210">X24+X25+X26</f>
        <v>20268.969000000001</v>
      </c>
      <c r="Y27" s="20">
        <f t="shared" ref="Y27" si="211">IF(M27&gt;0,Z27/M27,0)</f>
        <v>0.4133708558943669</v>
      </c>
      <c r="Z27" s="52">
        <f t="shared" ref="Z27" si="212">Z24+Z25+Z26</f>
        <v>17406.22</v>
      </c>
      <c r="AA27" s="119">
        <f>IF(M27&gt;0,AB27/M27,0)</f>
        <v>2.7035316329438583E-3</v>
      </c>
      <c r="AB27" s="54">
        <f t="shared" ref="AB27" si="213">SUM(AB24:AB26)</f>
        <v>113.84030999999999</v>
      </c>
      <c r="AC27" s="53">
        <f t="shared" ref="AC27" si="214">IF(M27&gt;0,AD27/M27,0)</f>
        <v>2.7034340267882585E-3</v>
      </c>
      <c r="AD27" s="54">
        <f t="shared" ref="AD27" si="215">SUM(AD24:AD26)</f>
        <v>113.83619999999999</v>
      </c>
      <c r="AE27" s="53">
        <f t="shared" ref="AE27" si="216">IF(M27&gt;0,(AE24*M24+AE25*M25+AE26*M26)/M27,0)</f>
        <v>2.4640199510781798E-3</v>
      </c>
      <c r="AF27" s="53">
        <f t="shared" ref="AF27" si="217">IF(K27&gt;0,(K24*AF24+K25*AF25+K26*AF26)/K27,0)</f>
        <v>2.8666907988507043E-4</v>
      </c>
      <c r="AG27" s="50">
        <f t="shared" ref="AG27" si="218">SUM(AG24:AG26)</f>
        <v>12.071749999999998</v>
      </c>
      <c r="AH27" s="51">
        <f t="shared" ref="AH27" si="219">IF(K27&gt;0,(K24*AH24+K25*AH25+K26*AH26)/K27,0)</f>
        <v>0.20523368249587112</v>
      </c>
      <c r="AI27" s="56">
        <f t="shared" ref="AI27" si="220">SUM(AI24:AI26)</f>
        <v>91.011350400000012</v>
      </c>
      <c r="AJ27" s="51">
        <f t="shared" ref="AJ27" si="221">IF(AND(AD27&gt;0),((AD24*AJ24+AD25*AJ25+AD26*AJ26)/AD27),0)</f>
        <v>0.89520569998630051</v>
      </c>
      <c r="AK27" s="55">
        <f t="shared" si="6"/>
        <v>0.88488441493797643</v>
      </c>
      <c r="AL27" s="49">
        <f t="shared" ref="AL27" si="222">SUM(AL24:AL26)</f>
        <v>482</v>
      </c>
      <c r="AM27" s="20">
        <f t="shared" ref="AM27" si="223">IF(AL27&gt;0,(AM24*AL24+AM25*AL25+AM26*AL26)/AL27,0)</f>
        <v>8.023858921161825E-2</v>
      </c>
      <c r="AN27" s="51">
        <f>IF(K27&gt;0,(AN24*K24+AN25*K25+AN26*K26)/K27,0)</f>
        <v>0.20683298567905703</v>
      </c>
      <c r="AO27" s="107">
        <f>IF(K27&gt;0,(AO24*K24+AO25*K25+AO26*K26)/K27,0)</f>
        <v>0.22116680844324788</v>
      </c>
      <c r="AP27" s="56">
        <f t="shared" ref="AP27" si="224">SUM(AP24:AP26)</f>
        <v>91.683202100000003</v>
      </c>
      <c r="AQ27" s="108">
        <f t="shared" si="181"/>
        <v>98.001575800000012</v>
      </c>
      <c r="AR27" s="54"/>
      <c r="AS27" s="54">
        <f t="shared" ref="AS27" si="225">SUM(AS24:AS26)</f>
        <v>1010.02</v>
      </c>
      <c r="AT27" s="83"/>
      <c r="AU27" s="84">
        <f>AT26</f>
        <v>2610.1799999999994</v>
      </c>
      <c r="AV27" s="49">
        <f t="shared" ref="AV27" si="226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54</v>
      </c>
      <c r="D28" s="11">
        <v>1331</v>
      </c>
      <c r="E28" s="11">
        <v>5</v>
      </c>
      <c r="F28" s="11">
        <v>5724</v>
      </c>
      <c r="G28" s="12">
        <v>0.8</v>
      </c>
      <c r="H28" s="12">
        <v>7.2</v>
      </c>
      <c r="I28" s="11">
        <v>6257</v>
      </c>
      <c r="J28" s="12">
        <v>5.2</v>
      </c>
      <c r="K28" s="11">
        <v>14681</v>
      </c>
      <c r="L28" s="13">
        <v>5.0999999999999997E-2</v>
      </c>
      <c r="M28" s="23">
        <f>ROUND(K28*(1-L28),0)</f>
        <v>13932</v>
      </c>
      <c r="N28" s="14">
        <v>0.73899999999999999</v>
      </c>
      <c r="O28" s="24">
        <f t="shared" ref="O28:O30" si="227">M28*N28</f>
        <v>10295.748</v>
      </c>
      <c r="P28" s="13">
        <v>0.20599999999999999</v>
      </c>
      <c r="Q28" s="24">
        <f t="shared" ref="Q28:Q30" si="228">M28*P28</f>
        <v>2869.9919999999997</v>
      </c>
      <c r="R28" s="15">
        <v>5.5E-2</v>
      </c>
      <c r="S28" s="112"/>
      <c r="T28" s="24">
        <f t="shared" ref="T28:T30" si="229">M28*R28</f>
        <v>766.26</v>
      </c>
      <c r="U28" s="25">
        <v>0.22900000000000001</v>
      </c>
      <c r="V28" s="24">
        <f t="shared" ref="V28:V30" si="230">M28*U28</f>
        <v>3190.4280000000003</v>
      </c>
      <c r="W28" s="15">
        <v>0.48899999999999999</v>
      </c>
      <c r="X28" s="24">
        <f t="shared" ref="X28:X30" si="231">M28*W28</f>
        <v>6812.7479999999996</v>
      </c>
      <c r="Y28" s="15">
        <v>0.4</v>
      </c>
      <c r="Z28" s="24">
        <f t="shared" ref="Z28:Z30" si="232">Y28*M28</f>
        <v>5572.8</v>
      </c>
      <c r="AA28" s="116">
        <v>2.7399999999999998E-3</v>
      </c>
      <c r="AB28" s="18">
        <f t="shared" ref="AB28" si="233">M28*AA28</f>
        <v>38.173679999999997</v>
      </c>
      <c r="AC28" s="16">
        <v>2.7899999999999999E-3</v>
      </c>
      <c r="AD28" s="17">
        <f t="shared" ref="AD28:AD30" si="234">M28*AC28</f>
        <v>38.870280000000001</v>
      </c>
      <c r="AE28" s="26">
        <f>IF(M28&gt;0,(AG28+AP28)/M28,0)</f>
        <v>2.672817075796727E-3</v>
      </c>
      <c r="AF28" s="16">
        <v>2.7E-4</v>
      </c>
      <c r="AG28" s="23">
        <f t="shared" ref="AG28:AG30" si="235">AF28*M28</f>
        <v>3.7616399999999999</v>
      </c>
      <c r="AH28" s="92">
        <v>0.2046</v>
      </c>
      <c r="AI28" s="29">
        <f t="shared" ref="AI28:AI30" si="236">AL28*(1-AM28)*AH28</f>
        <v>32.976405</v>
      </c>
      <c r="AJ28" s="27">
        <f t="shared" ref="AJ28:AJ30" si="237">IF(AND(AH28&gt;0,AF28&gt;0,AC28&gt;0),((AC28-AF28)*AH28)/((AH28-AF28)*AC28),0)</f>
        <v>0.90441932168550876</v>
      </c>
      <c r="AK28" s="58">
        <f t="shared" si="6"/>
        <v>0.9001531417321289</v>
      </c>
      <c r="AL28" s="11">
        <v>175</v>
      </c>
      <c r="AM28" s="13">
        <v>7.9000000000000001E-2</v>
      </c>
      <c r="AN28" s="14">
        <v>0.2077</v>
      </c>
      <c r="AO28" s="101">
        <v>0.21870000000000001</v>
      </c>
      <c r="AP28" s="29">
        <f>AL28*(1-AM28)*AN28</f>
        <v>33.4760475</v>
      </c>
      <c r="AQ28" s="102">
        <f t="shared" ref="AQ28" si="238">AL28*(1-AM28)*AO28</f>
        <v>35.248972500000001</v>
      </c>
      <c r="AR28" s="18">
        <v>1.55</v>
      </c>
      <c r="AS28" s="18">
        <v>1004.08</v>
      </c>
      <c r="AT28" s="79">
        <f>AT26+AL28-AS28</f>
        <v>1781.0999999999995</v>
      </c>
      <c r="AU28" s="80"/>
      <c r="AV28" s="11"/>
      <c r="AW28" s="30"/>
      <c r="AX28" s="19"/>
      <c r="AY28" s="19"/>
      <c r="AZ28" s="19"/>
      <c r="BA28" s="19"/>
    </row>
    <row r="29" spans="1:54">
      <c r="A29" s="147"/>
      <c r="B29" s="32">
        <v>2</v>
      </c>
      <c r="C29" s="10" t="s">
        <v>55</v>
      </c>
      <c r="D29" s="33">
        <v>23799</v>
      </c>
      <c r="E29" s="33">
        <v>3</v>
      </c>
      <c r="F29" s="33">
        <v>19596</v>
      </c>
      <c r="G29" s="34">
        <v>0.8</v>
      </c>
      <c r="H29" s="34">
        <v>6.1</v>
      </c>
      <c r="I29" s="33">
        <v>19250</v>
      </c>
      <c r="J29" s="34">
        <v>2.5</v>
      </c>
      <c r="K29" s="33">
        <v>14579</v>
      </c>
      <c r="L29" s="35">
        <v>5.1999999999999998E-2</v>
      </c>
      <c r="M29" s="36">
        <f>ROUND(K29*(1-L29),0)</f>
        <v>13821</v>
      </c>
      <c r="N29" s="37">
        <v>0.49</v>
      </c>
      <c r="O29" s="24">
        <f t="shared" si="227"/>
        <v>6772.29</v>
      </c>
      <c r="P29" s="35">
        <v>0.49</v>
      </c>
      <c r="Q29" s="24">
        <f t="shared" si="228"/>
        <v>6772.29</v>
      </c>
      <c r="R29" s="38">
        <v>0.02</v>
      </c>
      <c r="S29" s="105"/>
      <c r="T29" s="24">
        <f t="shared" si="229"/>
        <v>276.42</v>
      </c>
      <c r="U29" s="27">
        <v>0.21099999999999999</v>
      </c>
      <c r="V29" s="24">
        <f t="shared" si="230"/>
        <v>2916.2309999999998</v>
      </c>
      <c r="W29" s="38">
        <v>0.51900000000000002</v>
      </c>
      <c r="X29" s="24">
        <f t="shared" si="231"/>
        <v>7173.0990000000002</v>
      </c>
      <c r="Y29" s="38">
        <v>0.37</v>
      </c>
      <c r="Z29" s="24">
        <f t="shared" si="232"/>
        <v>5113.7699999999995</v>
      </c>
      <c r="AA29" s="117">
        <v>2.96E-3</v>
      </c>
      <c r="AB29" s="18">
        <f t="shared" si="147"/>
        <v>40.910159999999998</v>
      </c>
      <c r="AC29" s="39">
        <v>2.8E-3</v>
      </c>
      <c r="AD29" s="17">
        <f t="shared" si="234"/>
        <v>38.698799999999999</v>
      </c>
      <c r="AE29" s="26">
        <f>IF(M29&gt;0,(AG29+AP29)/M29,0)</f>
        <v>2.345552420230085E-3</v>
      </c>
      <c r="AF29" s="39">
        <v>2.7999999999999998E-4</v>
      </c>
      <c r="AG29" s="36">
        <f t="shared" si="235"/>
        <v>3.8698799999999998</v>
      </c>
      <c r="AH29" s="27">
        <v>0.19819999999999999</v>
      </c>
      <c r="AI29" s="40">
        <f t="shared" si="236"/>
        <v>28.291067999999999</v>
      </c>
      <c r="AJ29" s="27">
        <f t="shared" si="237"/>
        <v>0.90127324171382384</v>
      </c>
      <c r="AK29" s="28">
        <f t="shared" si="6"/>
        <v>0.88185974013493595</v>
      </c>
      <c r="AL29" s="33">
        <v>156</v>
      </c>
      <c r="AM29" s="35">
        <v>8.5000000000000006E-2</v>
      </c>
      <c r="AN29" s="37">
        <v>0.2</v>
      </c>
      <c r="AO29" s="103">
        <v>0.21210000000000001</v>
      </c>
      <c r="AP29" s="40">
        <f>AL29*(1-AM29)*AN29</f>
        <v>28.548000000000002</v>
      </c>
      <c r="AQ29" s="104">
        <f t="shared" si="152"/>
        <v>30.275154000000004</v>
      </c>
      <c r="AR29" s="41">
        <v>1.55</v>
      </c>
      <c r="AS29" s="41"/>
      <c r="AT29" s="129">
        <f>AT28+AL29-AS29</f>
        <v>1937.0999999999995</v>
      </c>
      <c r="AU29" s="82"/>
      <c r="AV29" s="42"/>
      <c r="AW29" s="43"/>
      <c r="AX29" s="44"/>
      <c r="AY29" s="44"/>
      <c r="AZ29" s="44"/>
      <c r="BA29" s="44"/>
    </row>
    <row r="30" spans="1:54">
      <c r="A30" s="147"/>
      <c r="B30" s="32">
        <v>3</v>
      </c>
      <c r="C30" s="10" t="s">
        <v>57</v>
      </c>
      <c r="D30" s="42">
        <v>13300</v>
      </c>
      <c r="E30" s="42">
        <v>2</v>
      </c>
      <c r="F30" s="42">
        <v>17114</v>
      </c>
      <c r="G30" s="36">
        <v>0.7</v>
      </c>
      <c r="H30" s="36">
        <v>6.9</v>
      </c>
      <c r="I30" s="42">
        <v>17355</v>
      </c>
      <c r="J30" s="36">
        <v>1.6</v>
      </c>
      <c r="K30" s="42">
        <v>14921</v>
      </c>
      <c r="L30" s="38">
        <v>5.0999999999999997E-2</v>
      </c>
      <c r="M30" s="36">
        <f>ROUND(K30*(1-L30),0)</f>
        <v>14160</v>
      </c>
      <c r="N30" s="27">
        <v>0.56399999999999995</v>
      </c>
      <c r="O30" s="24">
        <f t="shared" si="227"/>
        <v>7986.2399999999989</v>
      </c>
      <c r="P30" s="38">
        <v>0.4</v>
      </c>
      <c r="Q30" s="24">
        <f t="shared" si="228"/>
        <v>5664</v>
      </c>
      <c r="R30" s="38">
        <v>3.5999999999999997E-2</v>
      </c>
      <c r="S30" s="105"/>
      <c r="T30" s="24">
        <f t="shared" si="229"/>
        <v>509.75999999999993</v>
      </c>
      <c r="U30" s="27">
        <v>0.223</v>
      </c>
      <c r="V30" s="24">
        <f t="shared" si="230"/>
        <v>3157.68</v>
      </c>
      <c r="W30" s="38">
        <v>0.49299999999999999</v>
      </c>
      <c r="X30" s="24">
        <f t="shared" si="231"/>
        <v>6980.88</v>
      </c>
      <c r="Y30" s="38">
        <v>0.41</v>
      </c>
      <c r="Z30" s="24">
        <f t="shared" si="232"/>
        <v>5805.5999999999995</v>
      </c>
      <c r="AA30" s="118">
        <v>2.5999999999999999E-3</v>
      </c>
      <c r="AB30" s="121">
        <f t="shared" si="147"/>
        <v>36.815999999999995</v>
      </c>
      <c r="AC30" s="45">
        <v>2.5000000000000001E-3</v>
      </c>
      <c r="AD30" s="17">
        <f t="shared" si="234"/>
        <v>35.4</v>
      </c>
      <c r="AE30" s="26">
        <f>IF(M30&gt;0,(AG30+AP30)/M30,0)</f>
        <v>2.3845932203389827E-3</v>
      </c>
      <c r="AF30" s="45">
        <v>2.7E-4</v>
      </c>
      <c r="AG30" s="36">
        <f t="shared" si="235"/>
        <v>3.8231999999999999</v>
      </c>
      <c r="AH30" s="27">
        <v>0.2084</v>
      </c>
      <c r="AI30" s="40">
        <f t="shared" si="236"/>
        <v>29.714505600000003</v>
      </c>
      <c r="AJ30" s="27">
        <f t="shared" si="237"/>
        <v>0.89315716138951606</v>
      </c>
      <c r="AK30" s="28">
        <f t="shared" si="6"/>
        <v>0.88791474581227936</v>
      </c>
      <c r="AL30" s="42">
        <v>156</v>
      </c>
      <c r="AM30" s="38">
        <v>8.5999999999999993E-2</v>
      </c>
      <c r="AN30" s="27">
        <v>0.21</v>
      </c>
      <c r="AO30" s="105">
        <v>0.22409999999999999</v>
      </c>
      <c r="AP30" s="40">
        <f>AL30*(1-AM30)*AN30</f>
        <v>29.942640000000001</v>
      </c>
      <c r="AQ30" s="106">
        <f t="shared" si="152"/>
        <v>31.953074399999998</v>
      </c>
      <c r="AR30" s="17">
        <v>1.55</v>
      </c>
      <c r="AS30" s="17"/>
      <c r="AT30" s="129">
        <f>AT29+AL30-AS30</f>
        <v>2093.0999999999995</v>
      </c>
      <c r="AU30" s="82"/>
      <c r="AV30" s="42"/>
      <c r="AW30" s="46"/>
      <c r="AX30" s="40"/>
      <c r="AY30" s="40"/>
      <c r="AZ30" s="40"/>
      <c r="BA30" s="40"/>
    </row>
    <row r="31" spans="1:54">
      <c r="A31" s="148"/>
      <c r="B31" s="47" t="s">
        <v>56</v>
      </c>
      <c r="C31" s="48"/>
      <c r="D31" s="49">
        <f t="shared" ref="D31" si="239">SUM(D28:D30)</f>
        <v>38430</v>
      </c>
      <c r="E31" s="49"/>
      <c r="F31" s="49">
        <f t="shared" ref="F31" si="240">SUM(F28:F30)</f>
        <v>42434</v>
      </c>
      <c r="G31" s="50"/>
      <c r="H31" s="50"/>
      <c r="I31" s="49">
        <f t="shared" ref="I31:K31" si="241">SUM(I28:I30)</f>
        <v>42862</v>
      </c>
      <c r="J31" s="50"/>
      <c r="K31" s="49">
        <f t="shared" si="241"/>
        <v>44181</v>
      </c>
      <c r="L31" s="20">
        <f t="shared" ref="L31" si="242">IF(K31&gt;0,(K28*L28+K29*L29+K30*L30)/K31,0)</f>
        <v>5.1329983477060276E-2</v>
      </c>
      <c r="M31" s="50">
        <f t="shared" ref="M31" si="243">M28+M29+M30</f>
        <v>41913</v>
      </c>
      <c r="N31" s="51">
        <f t="shared" ref="N31" si="244">IF(M31&gt;0,O31/M31,0)</f>
        <v>0.59776866366043946</v>
      </c>
      <c r="O31" s="52">
        <f t="shared" ref="O31" si="245">O28+O29+O30</f>
        <v>25054.277999999998</v>
      </c>
      <c r="P31" s="20">
        <f t="shared" ref="P31" si="246">IF(M31&gt;0,Q31/M31,0)</f>
        <v>0.36519175434829287</v>
      </c>
      <c r="Q31" s="52">
        <f t="shared" ref="Q31" si="247">Q28+Q29+Q30</f>
        <v>15306.281999999999</v>
      </c>
      <c r="R31" s="20">
        <f t="shared" ref="R31" si="248">IF(M31&gt;0,T31/M31,0)</f>
        <v>3.7039581991267626E-2</v>
      </c>
      <c r="S31" s="107"/>
      <c r="T31" s="52">
        <f t="shared" ref="T31" si="249">T28+T29+T30</f>
        <v>1552.44</v>
      </c>
      <c r="U31" s="20">
        <f t="shared" ref="U31" si="250">IF(M31&gt;0,V31/M31,0)</f>
        <v>0.22103736310929784</v>
      </c>
      <c r="V31" s="52">
        <f t="shared" ref="V31" si="251">V28+V29+V30</f>
        <v>9264.3389999999999</v>
      </c>
      <c r="W31" s="20">
        <f t="shared" ref="W31" si="252">IF(M31&gt;0,X31/M31,0)</f>
        <v>0.5002440054398396</v>
      </c>
      <c r="X31" s="52">
        <f t="shared" ref="X31" si="253">X28+X29+X30</f>
        <v>20966.726999999999</v>
      </c>
      <c r="Y31" s="20">
        <f t="shared" ref="Y31" si="254">IF(M31&gt;0,Z31/M31,0)</f>
        <v>0.3934857919977095</v>
      </c>
      <c r="Z31" s="52">
        <f t="shared" ref="Z31" si="255">Z28+Z29+Z30</f>
        <v>16492.169999999998</v>
      </c>
      <c r="AA31" s="119">
        <f>IF(M31&gt;0,AB31/M31,0)</f>
        <v>2.7652480137427523E-3</v>
      </c>
      <c r="AB31" s="54">
        <f t="shared" ref="AB31" si="256">SUM(AB28:AB30)</f>
        <v>115.89983999999998</v>
      </c>
      <c r="AC31" s="53">
        <f t="shared" ref="AC31" si="257">IF(M31&gt;0,AD31/M31,0)</f>
        <v>2.6953231694223749E-3</v>
      </c>
      <c r="AD31" s="54">
        <f t="shared" ref="AD31" si="258">SUM(AD28:AD30)</f>
        <v>112.96907999999999</v>
      </c>
      <c r="AE31" s="53">
        <f t="shared" ref="AE31" si="259">IF(M31&gt;0,(AE28*M28+AE29*M29+AE30*M30)/M31,0)</f>
        <v>2.4675257676615848E-3</v>
      </c>
      <c r="AF31" s="53">
        <f t="shared" ref="AF31" si="260">IF(K31&gt;0,(K28*AF28+K29*AF29+K30*AF30)/K31,0)</f>
        <v>2.7329983477060275E-4</v>
      </c>
      <c r="AG31" s="50">
        <f t="shared" ref="AG31" si="261">SUM(AG28:AG30)</f>
        <v>11.45472</v>
      </c>
      <c r="AH31" s="51">
        <f t="shared" ref="AH31" si="262">IF(K31&gt;0,(K28*AH28+K29*AH29+K30*AH30)/K31,0)</f>
        <v>0.20377145831918694</v>
      </c>
      <c r="AI31" s="56">
        <f t="shared" ref="AI31" si="263">SUM(AI28:AI30)</f>
        <v>90.981978599999991</v>
      </c>
      <c r="AJ31" s="51">
        <f t="shared" ref="AJ31" si="264">IF(AND(AD31&gt;0),((AD28*AJ28+AD29*AJ29+AD30*AJ30)/AD31),0)</f>
        <v>0.89981248595588814</v>
      </c>
      <c r="AK31" s="55">
        <f t="shared" si="6"/>
        <v>0.89042303557770452</v>
      </c>
      <c r="AL31" s="49">
        <f t="shared" ref="AL31" si="265">SUM(AL28:AL30)</f>
        <v>487</v>
      </c>
      <c r="AM31" s="20">
        <f t="shared" ref="AM31" si="266">IF(AL31&gt;0,(AM28*AL28+AM29*AL29+AM30*AL30)/AL31,0)</f>
        <v>8.3164271047227928E-2</v>
      </c>
      <c r="AN31" s="51">
        <f>IF(K31&gt;0,(AN28*K28+AN29*K29+AN30*K30)/K31,0)</f>
        <v>0.20593589325728254</v>
      </c>
      <c r="AO31" s="107">
        <f>IF(L31&gt;0,(AO28*K28+AO29*K29+AO30*K30)/K31,0)</f>
        <v>0.21834582060161606</v>
      </c>
      <c r="AP31" s="56">
        <f t="shared" ref="AP31" si="267">SUM(AP28:AP30)</f>
        <v>91.966687500000006</v>
      </c>
      <c r="AQ31" s="108">
        <f t="shared" si="181"/>
        <v>97.477200900000014</v>
      </c>
      <c r="AR31" s="54"/>
      <c r="AS31" s="54">
        <f t="shared" ref="AS31" si="268">SUM(AS28:AS30)</f>
        <v>1004.08</v>
      </c>
      <c r="AT31" s="83"/>
      <c r="AU31" s="84">
        <f>AT30</f>
        <v>2093.0999999999995</v>
      </c>
      <c r="AV31" s="49">
        <f t="shared" ref="AV31" si="269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58</v>
      </c>
      <c r="D32" s="11">
        <v>3366</v>
      </c>
      <c r="E32" s="11">
        <v>4</v>
      </c>
      <c r="F32" s="11">
        <v>11322</v>
      </c>
      <c r="G32" s="12">
        <v>0.1</v>
      </c>
      <c r="H32" s="12">
        <v>5.4</v>
      </c>
      <c r="I32" s="11">
        <v>11154</v>
      </c>
      <c r="J32" s="12">
        <v>3.7</v>
      </c>
      <c r="K32" s="11">
        <v>15437</v>
      </c>
      <c r="L32" s="13">
        <v>5.1999999999999998E-2</v>
      </c>
      <c r="M32" s="23">
        <f>ROUND(K32*(1-L32),0)</f>
        <v>14634</v>
      </c>
      <c r="N32" s="14">
        <v>0.71299999999999997</v>
      </c>
      <c r="O32" s="24">
        <f t="shared" ref="O32:O34" si="270">M32*N32</f>
        <v>10434.041999999999</v>
      </c>
      <c r="P32" s="13">
        <v>0.24399999999999999</v>
      </c>
      <c r="Q32" s="24">
        <f t="shared" ref="Q32:Q34" si="271">M32*P32</f>
        <v>3570.6959999999999</v>
      </c>
      <c r="R32" s="15">
        <v>4.2999999999999997E-2</v>
      </c>
      <c r="S32" s="112"/>
      <c r="T32" s="24">
        <f t="shared" ref="T32:T34" si="272">M32*R32</f>
        <v>629.26199999999994</v>
      </c>
      <c r="U32" s="25">
        <v>0.217</v>
      </c>
      <c r="V32" s="24">
        <f t="shared" ref="V32:V34" si="273">M32*U32</f>
        <v>3175.578</v>
      </c>
      <c r="W32" s="15">
        <v>0.498</v>
      </c>
      <c r="X32" s="24">
        <f t="shared" ref="X32:X34" si="274">M32*W32</f>
        <v>7287.732</v>
      </c>
      <c r="Y32" s="15">
        <v>0.4</v>
      </c>
      <c r="Z32" s="24">
        <f t="shared" ref="Z32:Z34" si="275">Y32*M32</f>
        <v>5853.6</v>
      </c>
      <c r="AA32" s="116">
        <v>2.6700000000000001E-3</v>
      </c>
      <c r="AB32" s="18">
        <f t="shared" ref="AB32" si="276">M32*AA32</f>
        <v>39.072780000000002</v>
      </c>
      <c r="AC32" s="16">
        <v>2.49E-3</v>
      </c>
      <c r="AD32" s="17">
        <f t="shared" ref="AD32:AD34" si="277">M32*AC32</f>
        <v>36.438659999999999</v>
      </c>
      <c r="AE32" s="26">
        <f>IF(M32&gt;0,(AG32+AP32)/M32,0)</f>
        <v>2.5285110701107009E-3</v>
      </c>
      <c r="AF32" s="16">
        <v>2.7999999999999998E-4</v>
      </c>
      <c r="AG32" s="23">
        <f t="shared" ref="AG32:AG34" si="278">AF32*M32</f>
        <v>4.0975199999999994</v>
      </c>
      <c r="AH32" s="92">
        <v>0.20899999999999999</v>
      </c>
      <c r="AI32" s="29">
        <f t="shared" ref="AI32:AI34" si="279">AL32*(1-AM32)*AH32</f>
        <v>31.047785999999999</v>
      </c>
      <c r="AJ32" s="27">
        <f t="shared" ref="AJ32:AJ34" si="280">IF(AND(AH32&gt;0,AF32&gt;0,AC32&gt;0),((AC32-AF32)*AH32)/((AH32-AF32)*AC32),0)</f>
        <v>0.88874085841256933</v>
      </c>
      <c r="AK32" s="58">
        <f t="shared" si="6"/>
        <v>0.89038844082916202</v>
      </c>
      <c r="AL32" s="11">
        <v>162</v>
      </c>
      <c r="AM32" s="13">
        <v>8.3000000000000004E-2</v>
      </c>
      <c r="AN32" s="14">
        <v>0.2215</v>
      </c>
      <c r="AO32" s="101">
        <v>0.23</v>
      </c>
      <c r="AP32" s="29">
        <f>AL32*(1-AM32)*AN32</f>
        <v>32.904710999999999</v>
      </c>
      <c r="AQ32" s="102">
        <f t="shared" ref="AQ32" si="281">AL32*(1-AM32)*AO32</f>
        <v>34.16742</v>
      </c>
      <c r="AR32" s="18">
        <v>1.55</v>
      </c>
      <c r="AS32" s="18">
        <v>1004.22</v>
      </c>
      <c r="AT32" s="79">
        <f>AT30+AL32-AS32</f>
        <v>1250.8799999999994</v>
      </c>
      <c r="AU32" s="80"/>
      <c r="AV32" s="11"/>
      <c r="AW32" s="30"/>
      <c r="AX32" s="19"/>
      <c r="AY32" s="19"/>
      <c r="AZ32" s="19"/>
      <c r="BA32" s="19"/>
    </row>
    <row r="33" spans="1:54">
      <c r="A33" s="147"/>
      <c r="B33" s="32">
        <v>2</v>
      </c>
      <c r="C33" s="10" t="s">
        <v>55</v>
      </c>
      <c r="D33" s="33">
        <v>17574</v>
      </c>
      <c r="E33" s="33">
        <v>9</v>
      </c>
      <c r="F33" s="33">
        <v>16818</v>
      </c>
      <c r="G33" s="34">
        <v>1.1000000000000001</v>
      </c>
      <c r="H33" s="34">
        <v>7.9</v>
      </c>
      <c r="I33" s="33">
        <v>16853</v>
      </c>
      <c r="J33" s="34">
        <v>3</v>
      </c>
      <c r="K33" s="33">
        <v>16091</v>
      </c>
      <c r="L33" s="35">
        <v>5.0999999999999997E-2</v>
      </c>
      <c r="M33" s="36">
        <f>ROUND(K33*(1-L33),0)</f>
        <v>15270</v>
      </c>
      <c r="N33" s="37">
        <v>0.66100000000000003</v>
      </c>
      <c r="O33" s="24">
        <f t="shared" si="270"/>
        <v>10093.470000000001</v>
      </c>
      <c r="P33" s="35">
        <v>0.313</v>
      </c>
      <c r="Q33" s="24">
        <f t="shared" si="271"/>
        <v>4779.51</v>
      </c>
      <c r="R33" s="38">
        <v>2.5999999999999999E-2</v>
      </c>
      <c r="S33" s="105"/>
      <c r="T33" s="24">
        <f t="shared" si="272"/>
        <v>397.02</v>
      </c>
      <c r="U33" s="27">
        <v>0.222</v>
      </c>
      <c r="V33" s="24">
        <f t="shared" si="273"/>
        <v>3389.94</v>
      </c>
      <c r="W33" s="38">
        <v>0.48</v>
      </c>
      <c r="X33" s="24">
        <f t="shared" si="274"/>
        <v>7329.5999999999995</v>
      </c>
      <c r="Y33" s="38">
        <v>0.39</v>
      </c>
      <c r="Z33" s="24">
        <f t="shared" si="275"/>
        <v>5955.3</v>
      </c>
      <c r="AA33" s="117">
        <v>2.8500000000000001E-3</v>
      </c>
      <c r="AB33" s="18">
        <f t="shared" si="147"/>
        <v>43.519500000000001</v>
      </c>
      <c r="AC33" s="39">
        <v>2.5400000000000002E-3</v>
      </c>
      <c r="AD33" s="17">
        <f t="shared" si="277"/>
        <v>38.785800000000002</v>
      </c>
      <c r="AE33" s="26">
        <f>IF(M33&gt;0,(AG33+AP33)/M33,0)</f>
        <v>2.3651391748526519E-3</v>
      </c>
      <c r="AF33" s="39">
        <v>2.7999999999999998E-4</v>
      </c>
      <c r="AG33" s="36">
        <f t="shared" si="278"/>
        <v>4.2755999999999998</v>
      </c>
      <c r="AH33" s="27">
        <v>0.20330000000000001</v>
      </c>
      <c r="AI33" s="40">
        <f t="shared" si="279"/>
        <v>30.707245200000003</v>
      </c>
      <c r="AJ33" s="27">
        <f t="shared" si="280"/>
        <v>0.89099091901267258</v>
      </c>
      <c r="AK33" s="28">
        <f t="shared" si="6"/>
        <v>0.88278631353050574</v>
      </c>
      <c r="AL33" s="33">
        <v>164</v>
      </c>
      <c r="AM33" s="35">
        <v>7.9000000000000001E-2</v>
      </c>
      <c r="AN33" s="37">
        <v>0.21079999999999999</v>
      </c>
      <c r="AO33" s="103">
        <v>0.21829999999999999</v>
      </c>
      <c r="AP33" s="40">
        <f>AL33*(1-AM33)*AN33</f>
        <v>31.840075200000001</v>
      </c>
      <c r="AQ33" s="104">
        <f t="shared" si="152"/>
        <v>32.9729052</v>
      </c>
      <c r="AR33" s="41">
        <v>1.55</v>
      </c>
      <c r="AS33" s="41"/>
      <c r="AT33" s="129">
        <f>AT32+AL33-AS33</f>
        <v>1414.8799999999994</v>
      </c>
      <c r="AU33" s="82"/>
      <c r="AV33" s="42"/>
      <c r="AW33" s="43"/>
      <c r="AX33" s="44"/>
      <c r="AY33" s="44"/>
      <c r="AZ33" s="44"/>
      <c r="BA33" s="44"/>
    </row>
    <row r="34" spans="1:54">
      <c r="A34" s="147"/>
      <c r="B34" s="32">
        <v>3</v>
      </c>
      <c r="C34" s="10" t="s">
        <v>57</v>
      </c>
      <c r="D34" s="42">
        <v>19400</v>
      </c>
      <c r="E34" s="42">
        <v>5</v>
      </c>
      <c r="F34" s="42">
        <v>18213</v>
      </c>
      <c r="G34" s="36">
        <v>1.1000000000000001</v>
      </c>
      <c r="H34" s="36">
        <v>6.7</v>
      </c>
      <c r="I34" s="42">
        <v>18472</v>
      </c>
      <c r="J34" s="36">
        <v>1.6</v>
      </c>
      <c r="K34" s="42">
        <v>16098</v>
      </c>
      <c r="L34" s="38">
        <v>6.2E-2</v>
      </c>
      <c r="M34" s="36">
        <f>ROUND(K34*(1-L34),0)</f>
        <v>15100</v>
      </c>
      <c r="N34" s="27">
        <v>0.67500000000000004</v>
      </c>
      <c r="O34" s="24">
        <f t="shared" si="270"/>
        <v>10192.5</v>
      </c>
      <c r="P34" s="38">
        <v>0.27200000000000002</v>
      </c>
      <c r="Q34" s="24">
        <f t="shared" si="271"/>
        <v>4107.2000000000007</v>
      </c>
      <c r="R34" s="38">
        <v>5.2999999999999999E-2</v>
      </c>
      <c r="S34" s="105"/>
      <c r="T34" s="24">
        <f t="shared" si="272"/>
        <v>800.3</v>
      </c>
      <c r="U34" s="27">
        <v>0.23499999999999999</v>
      </c>
      <c r="V34" s="24">
        <f t="shared" si="273"/>
        <v>3548.5</v>
      </c>
      <c r="W34" s="38">
        <v>0.47699999999999998</v>
      </c>
      <c r="X34" s="24">
        <f t="shared" si="274"/>
        <v>7202.7</v>
      </c>
      <c r="Y34" s="38">
        <v>0.41</v>
      </c>
      <c r="Z34" s="24">
        <f t="shared" si="275"/>
        <v>6191</v>
      </c>
      <c r="AA34" s="118">
        <v>2.31E-3</v>
      </c>
      <c r="AB34" s="121">
        <f t="shared" si="147"/>
        <v>34.881</v>
      </c>
      <c r="AC34" s="45">
        <v>2.4199999999999998E-3</v>
      </c>
      <c r="AD34" s="17">
        <f t="shared" si="277"/>
        <v>36.541999999999994</v>
      </c>
      <c r="AE34" s="26">
        <f>IF(M34&gt;0,(AG34+AP34)/M34,0)</f>
        <v>2.4304014900662254E-3</v>
      </c>
      <c r="AF34" s="45">
        <v>2.7999999999999998E-4</v>
      </c>
      <c r="AG34" s="36">
        <f t="shared" si="278"/>
        <v>4.2279999999999998</v>
      </c>
      <c r="AH34" s="27">
        <v>0.20599999999999999</v>
      </c>
      <c r="AI34" s="40">
        <f t="shared" si="279"/>
        <v>31.477830000000001</v>
      </c>
      <c r="AJ34" s="27">
        <f t="shared" si="280"/>
        <v>0.88550111440889745</v>
      </c>
      <c r="AK34" s="28">
        <f t="shared" si="6"/>
        <v>0.88596008005485782</v>
      </c>
      <c r="AL34" s="42">
        <v>167</v>
      </c>
      <c r="AM34" s="38">
        <v>8.5000000000000006E-2</v>
      </c>
      <c r="AN34" s="27">
        <v>0.21249999999999999</v>
      </c>
      <c r="AO34" s="105">
        <v>0.2208</v>
      </c>
      <c r="AP34" s="40">
        <f>AL34*(1-AM34)*AN34</f>
        <v>32.471062500000002</v>
      </c>
      <c r="AQ34" s="106">
        <f t="shared" si="152"/>
        <v>33.739344000000003</v>
      </c>
      <c r="AR34" s="17">
        <v>1.55</v>
      </c>
      <c r="AS34" s="17"/>
      <c r="AT34" s="129">
        <f>AT33+AL34-AS34</f>
        <v>1581.8799999999994</v>
      </c>
      <c r="AU34" s="82"/>
      <c r="AV34" s="42"/>
      <c r="AW34" s="46"/>
      <c r="AX34" s="40"/>
      <c r="AY34" s="40"/>
      <c r="AZ34" s="40"/>
      <c r="BA34" s="40"/>
    </row>
    <row r="35" spans="1:54">
      <c r="A35" s="148"/>
      <c r="B35" s="47" t="s">
        <v>56</v>
      </c>
      <c r="C35" s="48"/>
      <c r="D35" s="49">
        <f t="shared" ref="D35" si="282">SUM(D32:D34)</f>
        <v>40340</v>
      </c>
      <c r="E35" s="49"/>
      <c r="F35" s="49">
        <f t="shared" ref="F35" si="283">SUM(F32:F34)</f>
        <v>46353</v>
      </c>
      <c r="G35" s="50"/>
      <c r="H35" s="50"/>
      <c r="I35" s="49">
        <f t="shared" ref="I35:K35" si="284">SUM(I32:I34)</f>
        <v>46479</v>
      </c>
      <c r="J35" s="50"/>
      <c r="K35" s="49">
        <f t="shared" si="284"/>
        <v>47626</v>
      </c>
      <c r="L35" s="20">
        <f t="shared" ref="L35" si="285">IF(K35&gt;0,(K32*L32+K33*L33+K34*L34)/K35,0)</f>
        <v>5.5042224835174063E-2</v>
      </c>
      <c r="M35" s="50">
        <f t="shared" ref="M35" si="286">M32+M33+M34</f>
        <v>45004</v>
      </c>
      <c r="N35" s="51">
        <f t="shared" ref="N35" si="287">IF(M35&gt;0,O35/M35,0)</f>
        <v>0.6826062572215803</v>
      </c>
      <c r="O35" s="52">
        <f t="shared" ref="O35" si="288">O32+O33+O34</f>
        <v>30720.012000000002</v>
      </c>
      <c r="P35" s="20">
        <f t="shared" ref="P35" si="289">IF(M35&gt;0,Q35/M35,0)</f>
        <v>0.27680663940983025</v>
      </c>
      <c r="Q35" s="52">
        <f t="shared" ref="Q35" si="290">Q32+Q33+Q34</f>
        <v>12457.406000000001</v>
      </c>
      <c r="R35" s="20">
        <f t="shared" ref="R35" si="291">IF(M35&gt;0,T35/M35,0)</f>
        <v>4.0587103368589457E-2</v>
      </c>
      <c r="S35" s="107"/>
      <c r="T35" s="52">
        <f t="shared" ref="T35" si="292">T32+T33+T34</f>
        <v>1826.5819999999999</v>
      </c>
      <c r="U35" s="20">
        <f t="shared" ref="U35" si="293">IF(M35&gt;0,V35/M35,0)</f>
        <v>0.22473597902408673</v>
      </c>
      <c r="V35" s="52">
        <f t="shared" ref="V35" si="294">V32+V33+V34</f>
        <v>10114.018</v>
      </c>
      <c r="W35" s="20">
        <f t="shared" ref="W35" si="295">IF(M35&gt;0,X35/M35,0)</f>
        <v>0.48484650253310813</v>
      </c>
      <c r="X35" s="52">
        <f t="shared" ref="X35" si="296">X32+X33+X34</f>
        <v>21820.031999999999</v>
      </c>
      <c r="Y35" s="20">
        <f t="shared" ref="Y35" si="297">IF(M35&gt;0,Z35/M35,0)</f>
        <v>0.39996222557994848</v>
      </c>
      <c r="Z35" s="52">
        <f t="shared" ref="Z35" si="298">Z32+Z33+Z34</f>
        <v>17999.900000000001</v>
      </c>
      <c r="AA35" s="119">
        <f>IF(M35&gt;0,AB35/M35,0)</f>
        <v>2.6102853079726248E-3</v>
      </c>
      <c r="AB35" s="54">
        <f t="shared" ref="AB35" si="299">SUM(AB32:AB34)</f>
        <v>117.47328</v>
      </c>
      <c r="AC35" s="53">
        <f t="shared" ref="AC35" si="300">IF(M35&gt;0,AD35/M35,0)</f>
        <v>2.4834783574793351E-3</v>
      </c>
      <c r="AD35" s="54">
        <f t="shared" ref="AD35" si="301">SUM(AD32:AD34)</f>
        <v>111.76646</v>
      </c>
      <c r="AE35" s="53">
        <f t="shared" ref="AE35" si="302">IF(M35&gt;0,(AE32*M32+AE33*M33+AE34*M34)/M35,0)</f>
        <v>2.4401601790951912E-3</v>
      </c>
      <c r="AF35" s="53">
        <f t="shared" ref="AF35" si="303">IF(K35&gt;0,(K32*AF32+K33*AF33+K34*AF34)/K35,0)</f>
        <v>2.7999999999999992E-4</v>
      </c>
      <c r="AG35" s="50">
        <f t="shared" ref="AG35" si="304">SUM(AG32:AG34)</f>
        <v>12.60112</v>
      </c>
      <c r="AH35" s="51">
        <f t="shared" ref="AH35" si="305">IF(K35&gt;0,(K32*AH32+K33*AH33+K34*AH34)/K35,0)</f>
        <v>0.20606016251627263</v>
      </c>
      <c r="AI35" s="56">
        <f t="shared" ref="AI35" si="306">SUM(AI32:AI34)</f>
        <v>93.232861200000002</v>
      </c>
      <c r="AJ35" s="51">
        <f t="shared" ref="AJ35" si="307">IF(AND(AD35&gt;0),((AD32*AJ32+AD33*AJ33+AD34*AJ34)/AD35),0)</f>
        <v>0.88846245355874565</v>
      </c>
      <c r="AK35" s="55">
        <f t="shared" si="6"/>
        <v>0.88640867176994198</v>
      </c>
      <c r="AL35" s="49">
        <f t="shared" ref="AL35" si="308">SUM(AL32:AL34)</f>
        <v>493</v>
      </c>
      <c r="AM35" s="20">
        <f t="shared" ref="AM35" si="309">IF(AL35&gt;0,(AM32*AL32+AM33*AL33+AM34*AL34)/AL35,0)</f>
        <v>8.2346855983772824E-2</v>
      </c>
      <c r="AN35" s="51">
        <f>IF(K35&gt;0,(AN32*K32+AN33*K33+AN34*K34)/K35,0)</f>
        <v>0.21484280225087135</v>
      </c>
      <c r="AO35" s="107">
        <f>IF(L35&gt;0,(AO32*K32+AO33*K33+AO34*K34)/K35,0)</f>
        <v>0.22293733884852815</v>
      </c>
      <c r="AP35" s="56">
        <f t="shared" ref="AP35" si="310">SUM(AP32:AP34)</f>
        <v>97.215848699999995</v>
      </c>
      <c r="AQ35" s="108">
        <f t="shared" si="181"/>
        <v>100.87966920000001</v>
      </c>
      <c r="AR35" s="54"/>
      <c r="AS35" s="54">
        <f t="shared" ref="AS35" si="311">SUM(AS32:AS34)</f>
        <v>1004.22</v>
      </c>
      <c r="AT35" s="83"/>
      <c r="AU35" s="84">
        <f>AT34</f>
        <v>1581.8799999999994</v>
      </c>
      <c r="AV35" s="49">
        <f t="shared" ref="AV35" si="312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58</v>
      </c>
      <c r="D36" s="11">
        <v>5892</v>
      </c>
      <c r="E36" s="11">
        <v>5</v>
      </c>
      <c r="F36" s="11">
        <v>11337</v>
      </c>
      <c r="G36" s="12">
        <v>0.6</v>
      </c>
      <c r="H36" s="12">
        <v>5.7</v>
      </c>
      <c r="I36" s="11">
        <v>10951</v>
      </c>
      <c r="J36" s="12">
        <v>3.8</v>
      </c>
      <c r="K36" s="11">
        <v>16065</v>
      </c>
      <c r="L36" s="13">
        <v>0.05</v>
      </c>
      <c r="M36" s="23">
        <f>ROUND(K36*(1-L36),0)</f>
        <v>15262</v>
      </c>
      <c r="N36" s="14">
        <v>0.71099999999999997</v>
      </c>
      <c r="O36" s="24">
        <f t="shared" ref="O36:O38" si="313">M36*N36</f>
        <v>10851.281999999999</v>
      </c>
      <c r="P36" s="13">
        <v>0.19600000000000001</v>
      </c>
      <c r="Q36" s="24">
        <f t="shared" ref="Q36:Q38" si="314">M36*P36</f>
        <v>2991.3520000000003</v>
      </c>
      <c r="R36" s="15">
        <v>9.2999999999999999E-2</v>
      </c>
      <c r="S36" s="112"/>
      <c r="T36" s="24">
        <f t="shared" ref="T36:T38" si="315">M36*R36</f>
        <v>1419.366</v>
      </c>
      <c r="U36" s="25">
        <v>0.22800000000000001</v>
      </c>
      <c r="V36" s="24">
        <f t="shared" ref="V36:V38" si="316">M36*U36</f>
        <v>3479.7360000000003</v>
      </c>
      <c r="W36" s="15">
        <v>0.49</v>
      </c>
      <c r="X36" s="24">
        <f t="shared" ref="X36:X38" si="317">M36*W36</f>
        <v>7478.38</v>
      </c>
      <c r="Y36" s="15">
        <v>0.42</v>
      </c>
      <c r="Z36" s="24">
        <f t="shared" ref="Z36:Z38" si="318">Y36*M36</f>
        <v>6410.04</v>
      </c>
      <c r="AA36" s="116">
        <v>2.7799999999999999E-3</v>
      </c>
      <c r="AB36" s="18">
        <f t="shared" ref="AB36" si="319">M36*AA36</f>
        <v>42.428359999999998</v>
      </c>
      <c r="AC36" s="16">
        <v>2.6800000000000001E-3</v>
      </c>
      <c r="AD36" s="17">
        <f t="shared" ref="AD36:AD38" si="320">M36*AC36</f>
        <v>40.902160000000002</v>
      </c>
      <c r="AE36" s="26">
        <f>IF(M36&gt;0,(AG36+AP36)/M36,0)</f>
        <v>2.634563097890185E-3</v>
      </c>
      <c r="AF36" s="16">
        <v>2.9E-4</v>
      </c>
      <c r="AG36" s="23">
        <f t="shared" ref="AG36:AG38" si="321">AF36*M36</f>
        <v>4.42598</v>
      </c>
      <c r="AH36" s="92">
        <v>0.20649999999999999</v>
      </c>
      <c r="AI36" s="29">
        <f t="shared" ref="AI36:AI38" si="322">AL36*(1-AM36)*AH36</f>
        <v>34.690760999999995</v>
      </c>
      <c r="AJ36" s="27">
        <f t="shared" ref="AJ36:AJ38" si="323">IF(AND(AH36&gt;0,AF36&gt;0,AC36&gt;0),((AC36-AF36)*AH36)/((AH36-AF36)*AC36),0)</f>
        <v>0.89304520026317191</v>
      </c>
      <c r="AK36" s="58">
        <f t="shared" si="6"/>
        <v>0.89113810936888649</v>
      </c>
      <c r="AL36" s="11">
        <v>183</v>
      </c>
      <c r="AM36" s="13">
        <v>8.2000000000000003E-2</v>
      </c>
      <c r="AN36" s="14">
        <v>0.21299999999999999</v>
      </c>
      <c r="AO36" s="101">
        <v>0.2213</v>
      </c>
      <c r="AP36" s="29">
        <f>AL36*(1-AM36)*AN36</f>
        <v>35.782722</v>
      </c>
      <c r="AQ36" s="102">
        <f t="shared" ref="AQ36" si="324">AL36*(1-AM36)*AO36</f>
        <v>37.177072199999998</v>
      </c>
      <c r="AR36" s="18">
        <v>1.6</v>
      </c>
      <c r="AS36" s="18">
        <v>1002.14</v>
      </c>
      <c r="AT36" s="79">
        <f>AT34+AL36-AS36+AU36</f>
        <v>911.89999999999941</v>
      </c>
      <c r="AU36" s="80">
        <v>149.16</v>
      </c>
      <c r="AV36" s="11"/>
      <c r="AW36" s="30"/>
      <c r="AX36" s="19"/>
      <c r="AY36" s="19"/>
      <c r="AZ36" s="19"/>
      <c r="BA36" s="19"/>
    </row>
    <row r="37" spans="1:54">
      <c r="A37" s="147"/>
      <c r="B37" s="32">
        <v>2</v>
      </c>
      <c r="C37" s="10" t="s">
        <v>53</v>
      </c>
      <c r="D37" s="33">
        <v>21848</v>
      </c>
      <c r="E37" s="33">
        <v>8</v>
      </c>
      <c r="F37" s="33">
        <v>18986</v>
      </c>
      <c r="G37" s="34">
        <v>0.8</v>
      </c>
      <c r="H37" s="34">
        <v>8.3000000000000007</v>
      </c>
      <c r="I37" s="33">
        <v>18704</v>
      </c>
      <c r="J37" s="34">
        <v>2.4</v>
      </c>
      <c r="K37" s="33">
        <v>15827</v>
      </c>
      <c r="L37" s="35">
        <v>5.1999999999999998E-2</v>
      </c>
      <c r="M37" s="36">
        <f>ROUND(K37*(1-L37),0)</f>
        <v>15004</v>
      </c>
      <c r="N37" s="37">
        <v>0.77300000000000002</v>
      </c>
      <c r="O37" s="24">
        <f t="shared" si="313"/>
        <v>11598.092000000001</v>
      </c>
      <c r="P37" s="35">
        <v>0.13300000000000001</v>
      </c>
      <c r="Q37" s="24">
        <f t="shared" si="314"/>
        <v>1995.5320000000002</v>
      </c>
      <c r="R37" s="38">
        <v>9.4E-2</v>
      </c>
      <c r="S37" s="105"/>
      <c r="T37" s="24">
        <f t="shared" si="315"/>
        <v>1410.376</v>
      </c>
      <c r="U37" s="27">
        <v>0.22600000000000001</v>
      </c>
      <c r="V37" s="24">
        <f t="shared" si="316"/>
        <v>3390.904</v>
      </c>
      <c r="W37" s="38">
        <v>0.49</v>
      </c>
      <c r="X37" s="24">
        <f t="shared" si="317"/>
        <v>7351.96</v>
      </c>
      <c r="Y37" s="38">
        <v>0.4</v>
      </c>
      <c r="Z37" s="24">
        <f t="shared" si="318"/>
        <v>6001.6</v>
      </c>
      <c r="AA37" s="117">
        <v>2.4099999999999998E-3</v>
      </c>
      <c r="AB37" s="18">
        <f t="shared" si="147"/>
        <v>36.159639999999996</v>
      </c>
      <c r="AC37" s="39">
        <v>2.4299999999999999E-3</v>
      </c>
      <c r="AD37" s="17">
        <f t="shared" si="320"/>
        <v>36.459719999999997</v>
      </c>
      <c r="AE37" s="26">
        <f>IF(M37&gt;0,(AG37+AP37)/M37,0)</f>
        <v>2.4442871234337509E-3</v>
      </c>
      <c r="AF37" s="39">
        <v>2.9E-4</v>
      </c>
      <c r="AG37" s="36">
        <f t="shared" si="321"/>
        <v>4.3511600000000001</v>
      </c>
      <c r="AH37" s="27">
        <v>0.2029</v>
      </c>
      <c r="AI37" s="40">
        <f t="shared" si="322"/>
        <v>30.447174</v>
      </c>
      <c r="AJ37" s="27">
        <f t="shared" si="323"/>
        <v>0.88191894135441962</v>
      </c>
      <c r="AK37" s="28">
        <f t="shared" si="6"/>
        <v>0.88254419845557031</v>
      </c>
      <c r="AL37" s="33">
        <v>164</v>
      </c>
      <c r="AM37" s="35">
        <v>8.5000000000000006E-2</v>
      </c>
      <c r="AN37" s="37">
        <v>0.21540000000000001</v>
      </c>
      <c r="AO37" s="103">
        <v>0.22450000000000001</v>
      </c>
      <c r="AP37" s="40">
        <f>AL37*(1-AM37)*AN37</f>
        <v>32.322924</v>
      </c>
      <c r="AQ37" s="104">
        <f t="shared" si="152"/>
        <v>33.688470000000002</v>
      </c>
      <c r="AR37" s="41">
        <v>1.63</v>
      </c>
      <c r="AS37" s="41"/>
      <c r="AT37" s="129">
        <f>AT36+AL37-AS37</f>
        <v>1075.8999999999994</v>
      </c>
      <c r="AU37" s="82"/>
      <c r="AV37" s="42"/>
      <c r="AW37" s="43"/>
      <c r="AX37" s="44"/>
      <c r="AY37" s="44"/>
      <c r="AZ37" s="44"/>
      <c r="BA37" s="44"/>
    </row>
    <row r="38" spans="1:54">
      <c r="A38" s="147"/>
      <c r="B38" s="32">
        <v>3</v>
      </c>
      <c r="C38" s="10" t="s">
        <v>57</v>
      </c>
      <c r="D38" s="42">
        <v>16471</v>
      </c>
      <c r="E38" s="42">
        <v>7</v>
      </c>
      <c r="F38" s="42">
        <v>19001</v>
      </c>
      <c r="G38" s="36">
        <v>1</v>
      </c>
      <c r="H38" s="36">
        <v>6.3</v>
      </c>
      <c r="I38" s="42">
        <v>19235</v>
      </c>
      <c r="J38" s="36">
        <v>1.3</v>
      </c>
      <c r="K38" s="42">
        <v>15741</v>
      </c>
      <c r="L38" s="38">
        <v>6.0999999999999999E-2</v>
      </c>
      <c r="M38" s="36">
        <f>ROUND(K38*(1-L38),0)</f>
        <v>14781</v>
      </c>
      <c r="N38" s="27">
        <v>0.69099999999999995</v>
      </c>
      <c r="O38" s="24">
        <f t="shared" si="313"/>
        <v>10213.670999999998</v>
      </c>
      <c r="P38" s="38">
        <v>0.27</v>
      </c>
      <c r="Q38" s="24">
        <f t="shared" si="314"/>
        <v>3990.8700000000003</v>
      </c>
      <c r="R38" s="38">
        <v>3.9E-2</v>
      </c>
      <c r="S38" s="105"/>
      <c r="T38" s="24">
        <f t="shared" si="315"/>
        <v>576.45899999999995</v>
      </c>
      <c r="U38" s="27">
        <v>0.23100000000000001</v>
      </c>
      <c r="V38" s="24">
        <f t="shared" si="316"/>
        <v>3414.4110000000001</v>
      </c>
      <c r="W38" s="38">
        <v>0.48499999999999999</v>
      </c>
      <c r="X38" s="24">
        <f t="shared" si="317"/>
        <v>7168.7849999999999</v>
      </c>
      <c r="Y38" s="38">
        <v>0.43</v>
      </c>
      <c r="Z38" s="24">
        <f t="shared" si="318"/>
        <v>6355.83</v>
      </c>
      <c r="AA38" s="118">
        <v>2.5799999999999998E-3</v>
      </c>
      <c r="AB38" s="121">
        <f t="shared" si="147"/>
        <v>38.134979999999999</v>
      </c>
      <c r="AC38" s="45">
        <v>2.5200000000000001E-3</v>
      </c>
      <c r="AD38" s="17">
        <f t="shared" si="320"/>
        <v>37.24812</v>
      </c>
      <c r="AE38" s="26">
        <f>IF(M38&gt;0,(AG38+AP38)/M38,0)</f>
        <v>2.7973864826466412E-3</v>
      </c>
      <c r="AF38" s="45">
        <v>2.9E-4</v>
      </c>
      <c r="AG38" s="36">
        <f t="shared" si="321"/>
        <v>4.2864899999999997</v>
      </c>
      <c r="AH38" s="27">
        <v>0.19850000000000001</v>
      </c>
      <c r="AI38" s="40">
        <f t="shared" si="322"/>
        <v>36.080154</v>
      </c>
      <c r="AJ38" s="27">
        <f t="shared" si="323"/>
        <v>0.88621535760933379</v>
      </c>
      <c r="AK38" s="28">
        <f t="shared" si="6"/>
        <v>0.89760844544443519</v>
      </c>
      <c r="AL38" s="42">
        <v>198</v>
      </c>
      <c r="AM38" s="38">
        <v>8.2000000000000003E-2</v>
      </c>
      <c r="AN38" s="27">
        <v>0.2039</v>
      </c>
      <c r="AO38" s="105">
        <v>0.21410000000000001</v>
      </c>
      <c r="AP38" s="40">
        <f>AL38*(1-AM38)*AN38</f>
        <v>37.061679600000005</v>
      </c>
      <c r="AQ38" s="106">
        <f t="shared" si="152"/>
        <v>38.915672400000005</v>
      </c>
      <c r="AR38" s="17">
        <v>1.7</v>
      </c>
      <c r="AS38" s="17"/>
      <c r="AT38" s="129">
        <f>AT37+AL38-AS38</f>
        <v>1273.8999999999994</v>
      </c>
      <c r="AU38" s="82"/>
      <c r="AV38" s="42"/>
      <c r="AW38" s="46"/>
      <c r="AX38" s="40"/>
      <c r="AY38" s="40"/>
      <c r="AZ38" s="40"/>
      <c r="BA38" s="40"/>
    </row>
    <row r="39" spans="1:54">
      <c r="A39" s="148"/>
      <c r="B39" s="47" t="s">
        <v>56</v>
      </c>
      <c r="C39" s="48"/>
      <c r="D39" s="49">
        <f t="shared" ref="D39" si="325">SUM(D36:D38)</f>
        <v>44211</v>
      </c>
      <c r="E39" s="49"/>
      <c r="F39" s="49">
        <f t="shared" ref="F39" si="326">SUM(F36:F38)</f>
        <v>49324</v>
      </c>
      <c r="G39" s="50"/>
      <c r="H39" s="50"/>
      <c r="I39" s="49">
        <f t="shared" ref="I39:K39" si="327">SUM(I36:I38)</f>
        <v>48890</v>
      </c>
      <c r="J39" s="50"/>
      <c r="K39" s="49">
        <f t="shared" si="327"/>
        <v>47633</v>
      </c>
      <c r="L39" s="20">
        <f t="shared" ref="L39" si="328">IF(K39&gt;0,(K36*L36+K37*L37+K38*L38)/K39,0)</f>
        <v>5.4299645203955242E-2</v>
      </c>
      <c r="M39" s="50">
        <f t="shared" ref="M39" si="329">M36+M37+M38</f>
        <v>45047</v>
      </c>
      <c r="N39" s="51">
        <f t="shared" ref="N39" si="330">IF(M39&gt;0,O39/M39,0)</f>
        <v>0.72508813017515039</v>
      </c>
      <c r="O39" s="52">
        <f t="shared" ref="O39" si="331">O36+O37+O38</f>
        <v>32663.044999999998</v>
      </c>
      <c r="P39" s="20">
        <f t="shared" ref="P39" si="332">IF(M39&gt;0,Q39/M39,0)</f>
        <v>0.19929748928896487</v>
      </c>
      <c r="Q39" s="52">
        <f t="shared" ref="Q39" si="333">Q36+Q37+Q38</f>
        <v>8977.7540000000008</v>
      </c>
      <c r="R39" s="20">
        <f t="shared" ref="R39" si="334">IF(M39&gt;0,T39/M39,0)</f>
        <v>7.5614380535884748E-2</v>
      </c>
      <c r="S39" s="107"/>
      <c r="T39" s="52">
        <f t="shared" ref="T39" si="335">T36+T37+T38</f>
        <v>3406.201</v>
      </c>
      <c r="U39" s="20">
        <f t="shared" ref="U39" si="336">IF(M39&gt;0,V39/M39,0)</f>
        <v>0.22831822318911357</v>
      </c>
      <c r="V39" s="52">
        <f t="shared" ref="V39" si="337">V36+V37+V38</f>
        <v>10285.050999999999</v>
      </c>
      <c r="W39" s="20">
        <f t="shared" ref="W39" si="338">IF(M39&gt;0,X39/M39,0)</f>
        <v>0.48835938020289921</v>
      </c>
      <c r="X39" s="52">
        <f t="shared" ref="X39" si="339">X36+X37+X38</f>
        <v>21999.125</v>
      </c>
      <c r="Y39" s="20">
        <f t="shared" ref="Y39" si="340">IF(M39&gt;0,Z39/M39,0)</f>
        <v>0.41661975270273272</v>
      </c>
      <c r="Z39" s="52">
        <f t="shared" ref="Z39" si="341">Z36+Z37+Z38</f>
        <v>18767.47</v>
      </c>
      <c r="AA39" s="119">
        <f>IF(M39&gt;0,AB39/M39,0)</f>
        <v>2.5911377006237928E-3</v>
      </c>
      <c r="AB39" s="54">
        <f t="shared" ref="AB39" si="342">SUM(AB36:AB38)</f>
        <v>116.72297999999999</v>
      </c>
      <c r="AC39" s="53">
        <f t="shared" ref="AC39" si="343">IF(M39&gt;0,AD39/M39,0)</f>
        <v>2.5442315803494127E-3</v>
      </c>
      <c r="AD39" s="54">
        <f t="shared" ref="AD39" si="344">SUM(AD36:AD38)</f>
        <v>114.61</v>
      </c>
      <c r="AE39" s="53">
        <f t="shared" ref="AE39" si="345">IF(M39&gt;0,(AE36*M36+AE37*M37+AE38*M38)/M39,0)</f>
        <v>2.6246133061025153E-3</v>
      </c>
      <c r="AF39" s="53">
        <f t="shared" ref="AF39" si="346">IF(K39&gt;0,(K36*AF36+K37*AF37+K38*AF38)/K39,0)</f>
        <v>2.9E-4</v>
      </c>
      <c r="AG39" s="50">
        <f t="shared" ref="AG39" si="347">SUM(AG36:AG38)</f>
        <v>13.06363</v>
      </c>
      <c r="AH39" s="51">
        <f t="shared" ref="AH39" si="348">IF(K39&gt;0,(K36*AH36+K37*AH37+K38*AH38)/K39,0)</f>
        <v>0.20266011588604538</v>
      </c>
      <c r="AI39" s="56">
        <f t="shared" ref="AI39" si="349">SUM(AI36:AI38)</f>
        <v>101.21808899999999</v>
      </c>
      <c r="AJ39" s="51">
        <f t="shared" ref="AJ39" si="350">IF(AND(AD39&gt;0),((AD36*AJ36+AD37*AJ37+AD38*AJ38)/AD39),0)</f>
        <v>0.88728602494503306</v>
      </c>
      <c r="AK39" s="55">
        <f t="shared" si="6"/>
        <v>0.89073298117006672</v>
      </c>
      <c r="AL39" s="49">
        <f t="shared" ref="AL39" si="351">SUM(AL36:AL38)</f>
        <v>545</v>
      </c>
      <c r="AM39" s="20">
        <f t="shared" ref="AM39" si="352">IF(AL39&gt;0,(AM36*AL36+AM37*AL37+AM38*AL38)/AL39,0)</f>
        <v>8.2902752293577991E-2</v>
      </c>
      <c r="AN39" s="51">
        <f>IF(K39&gt;0,(AN36*K36+AN37*K37+AN38*K38)/K39,0)</f>
        <v>0.21079022316461277</v>
      </c>
      <c r="AO39" s="107">
        <f>IF(L39&gt;0,(AO36*K36+AO37*K37+AO38*K38)/K39,0)</f>
        <v>0.21998392081120233</v>
      </c>
      <c r="AP39" s="56">
        <f t="shared" ref="AP39:AQ51" si="353">SUM(AP36:AP38)</f>
        <v>105.16732560000001</v>
      </c>
      <c r="AQ39" s="108">
        <f t="shared" si="353"/>
        <v>109.7812146</v>
      </c>
      <c r="AR39" s="54"/>
      <c r="AS39" s="54">
        <f t="shared" ref="AS39" si="354">SUM(AS36:AS38)</f>
        <v>1002.14</v>
      </c>
      <c r="AT39" s="83"/>
      <c r="AU39" s="84">
        <f>AT38</f>
        <v>1273.8999999999994</v>
      </c>
      <c r="AV39" s="49">
        <f t="shared" ref="AV39" si="355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59</v>
      </c>
      <c r="D40" s="11">
        <v>12500</v>
      </c>
      <c r="E40" s="11">
        <v>5</v>
      </c>
      <c r="F40" s="11">
        <v>14800</v>
      </c>
      <c r="G40" s="12">
        <v>0.6</v>
      </c>
      <c r="H40" s="12">
        <v>5.3</v>
      </c>
      <c r="I40" s="11">
        <v>14168</v>
      </c>
      <c r="J40" s="12">
        <v>2.8</v>
      </c>
      <c r="K40" s="11">
        <v>15615</v>
      </c>
      <c r="L40" s="13">
        <v>0.06</v>
      </c>
      <c r="M40" s="23">
        <f>ROUND(K40*(1-L40),0)</f>
        <v>14678</v>
      </c>
      <c r="N40" s="14">
        <v>0.77900000000000003</v>
      </c>
      <c r="O40" s="24">
        <f t="shared" ref="O40:O42" si="356">M40*N40</f>
        <v>11434.162</v>
      </c>
      <c r="P40" s="13">
        <v>0.17899999999999999</v>
      </c>
      <c r="Q40" s="24">
        <f t="shared" ref="Q40:Q42" si="357">M40*P40</f>
        <v>2627.3620000000001</v>
      </c>
      <c r="R40" s="15">
        <v>4.2000000000000003E-2</v>
      </c>
      <c r="S40" s="112"/>
      <c r="T40" s="24">
        <f t="shared" ref="T40:T42" si="358">M40*R40</f>
        <v>616.476</v>
      </c>
      <c r="U40" s="25">
        <v>0.23</v>
      </c>
      <c r="V40" s="24">
        <f t="shared" ref="V40:V42" si="359">M40*U40</f>
        <v>3375.94</v>
      </c>
      <c r="W40" s="15">
        <v>0.47399999999999998</v>
      </c>
      <c r="X40" s="24">
        <f t="shared" ref="X40:X42" si="360">M40*W40</f>
        <v>6957.3719999999994</v>
      </c>
      <c r="Y40" s="15">
        <v>0.42</v>
      </c>
      <c r="Z40" s="24">
        <f t="shared" ref="Z40:Z42" si="361">Y40*M40</f>
        <v>6164.76</v>
      </c>
      <c r="AA40" s="116">
        <v>2.7299999999999998E-3</v>
      </c>
      <c r="AB40" s="18">
        <f t="shared" ref="AB40" si="362">M40*AA40</f>
        <v>40.07094</v>
      </c>
      <c r="AC40" s="16">
        <v>2.5500000000000002E-3</v>
      </c>
      <c r="AD40" s="17">
        <f t="shared" ref="AD40:AD42" si="363">M40*AC40</f>
        <v>37.428900000000006</v>
      </c>
      <c r="AE40" s="26">
        <f>IF(M40&gt;0,(AG40+AP40)/M40,0)</f>
        <v>2.447068742335468E-3</v>
      </c>
      <c r="AF40" s="16">
        <v>2.9E-4</v>
      </c>
      <c r="AG40" s="23">
        <f t="shared" ref="AG40:AG42" si="364">AF40*M40</f>
        <v>4.2566199999999998</v>
      </c>
      <c r="AH40" s="92">
        <v>0.20180000000000001</v>
      </c>
      <c r="AI40" s="29">
        <f t="shared" ref="AI40:AI42" si="365">AL40*(1-AM40)*AH40</f>
        <v>30.053065000000004</v>
      </c>
      <c r="AJ40" s="27">
        <f t="shared" ref="AJ40:AJ42" si="366">IF(AND(AH40&gt;0,AF40&gt;0,AC40&gt;0),((AC40-AF40)*AH40)/((AH40-AF40)*AC40),0)</f>
        <v>0.88754997805782043</v>
      </c>
      <c r="AK40" s="58">
        <f t="shared" si="6"/>
        <v>0.88269491730847538</v>
      </c>
      <c r="AL40" s="11">
        <v>161</v>
      </c>
      <c r="AM40" s="13">
        <v>7.4999999999999997E-2</v>
      </c>
      <c r="AN40" s="14">
        <v>0.21260000000000001</v>
      </c>
      <c r="AO40" s="101">
        <v>0.22450000000000001</v>
      </c>
      <c r="AP40" s="29">
        <f>AL40*(1-AM40)*AN40</f>
        <v>31.661455000000004</v>
      </c>
      <c r="AQ40" s="102">
        <f t="shared" ref="AQ40" si="367">AL40*(1-AM40)*AO40</f>
        <v>33.433662500000004</v>
      </c>
      <c r="AR40" s="18">
        <v>1.55</v>
      </c>
      <c r="AS40" s="18"/>
      <c r="AT40" s="79">
        <f>AT38+AL40-AS40</f>
        <v>1434.8999999999994</v>
      </c>
      <c r="AU40" s="80"/>
      <c r="AV40" s="11"/>
      <c r="AW40" s="30"/>
      <c r="AX40" s="19"/>
      <c r="AY40" s="19"/>
      <c r="AZ40" s="19"/>
      <c r="BA40" s="19"/>
    </row>
    <row r="41" spans="1:54">
      <c r="A41" s="147"/>
      <c r="B41" s="32">
        <v>2</v>
      </c>
      <c r="C41" s="10" t="s">
        <v>53</v>
      </c>
      <c r="D41" s="33">
        <v>19069</v>
      </c>
      <c r="E41" s="33">
        <v>8</v>
      </c>
      <c r="F41" s="33">
        <v>17279</v>
      </c>
      <c r="G41" s="34">
        <v>0.8</v>
      </c>
      <c r="H41" s="34">
        <v>5.6</v>
      </c>
      <c r="I41" s="33">
        <v>17578</v>
      </c>
      <c r="J41" s="34">
        <v>1.8</v>
      </c>
      <c r="K41" s="33">
        <v>15578</v>
      </c>
      <c r="L41" s="35">
        <v>6.6000000000000003E-2</v>
      </c>
      <c r="M41" s="36">
        <f>ROUND(K41*(1-L41),0)</f>
        <v>14550</v>
      </c>
      <c r="N41" s="37">
        <v>0.73499999999999999</v>
      </c>
      <c r="O41" s="24">
        <f t="shared" si="356"/>
        <v>10694.25</v>
      </c>
      <c r="P41" s="35">
        <v>0.215</v>
      </c>
      <c r="Q41" s="24">
        <f t="shared" si="357"/>
        <v>3128.25</v>
      </c>
      <c r="R41" s="38">
        <v>0.05</v>
      </c>
      <c r="S41" s="105"/>
      <c r="T41" s="24">
        <f t="shared" si="358"/>
        <v>727.5</v>
      </c>
      <c r="U41" s="27">
        <v>0.23699999999999999</v>
      </c>
      <c r="V41" s="24">
        <f t="shared" si="359"/>
        <v>3448.35</v>
      </c>
      <c r="W41" s="38">
        <v>0.48399999999999999</v>
      </c>
      <c r="X41" s="24">
        <f t="shared" si="360"/>
        <v>7042.2</v>
      </c>
      <c r="Y41" s="38">
        <v>0.4</v>
      </c>
      <c r="Z41" s="24">
        <f t="shared" si="361"/>
        <v>5820</v>
      </c>
      <c r="AA41" s="117">
        <v>2.4299999999999999E-3</v>
      </c>
      <c r="AB41" s="18">
        <f t="shared" si="147"/>
        <v>35.356499999999997</v>
      </c>
      <c r="AC41" s="39">
        <v>2.4099999999999998E-3</v>
      </c>
      <c r="AD41" s="17">
        <f t="shared" si="363"/>
        <v>35.0655</v>
      </c>
      <c r="AE41" s="26">
        <f>IF(M41&gt;0,(AG41+AP41)/M41,0)</f>
        <v>2.565525360824742E-3</v>
      </c>
      <c r="AF41" s="39">
        <v>2.7999999999999998E-4</v>
      </c>
      <c r="AG41" s="36">
        <f t="shared" si="364"/>
        <v>4.0739999999999998</v>
      </c>
      <c r="AH41" s="27">
        <v>0.20519999999999999</v>
      </c>
      <c r="AI41" s="40">
        <f t="shared" si="365"/>
        <v>32.294376</v>
      </c>
      <c r="AJ41" s="27">
        <f t="shared" si="366"/>
        <v>0.88502506392536151</v>
      </c>
      <c r="AK41" s="28">
        <f t="shared" si="6"/>
        <v>0.89204263304756815</v>
      </c>
      <c r="AL41" s="33">
        <v>172</v>
      </c>
      <c r="AM41" s="35">
        <v>8.5000000000000006E-2</v>
      </c>
      <c r="AN41" s="37">
        <v>0.21129999999999999</v>
      </c>
      <c r="AO41" s="103">
        <v>0.2213</v>
      </c>
      <c r="AP41" s="40">
        <f>AL41*(1-AM41)*AN41</f>
        <v>33.254393999999998</v>
      </c>
      <c r="AQ41" s="104">
        <f t="shared" si="152"/>
        <v>34.828193999999996</v>
      </c>
      <c r="AR41" s="41">
        <v>1.6</v>
      </c>
      <c r="AS41" s="41"/>
      <c r="AT41" s="129">
        <f>AT40+AL41-AS41</f>
        <v>1606.8999999999994</v>
      </c>
      <c r="AU41" s="82"/>
      <c r="AV41" s="42"/>
      <c r="AW41" s="43"/>
      <c r="AX41" s="44"/>
      <c r="AY41" s="44"/>
      <c r="AZ41" s="44"/>
      <c r="BA41" s="44"/>
    </row>
    <row r="42" spans="1:54">
      <c r="A42" s="147"/>
      <c r="B42" s="32">
        <v>3</v>
      </c>
      <c r="C42" s="10" t="s">
        <v>54</v>
      </c>
      <c r="D42" s="42">
        <v>17612</v>
      </c>
      <c r="E42" s="42">
        <v>6</v>
      </c>
      <c r="F42" s="42">
        <v>15799</v>
      </c>
      <c r="G42" s="36">
        <v>0.7</v>
      </c>
      <c r="H42" s="36">
        <v>6</v>
      </c>
      <c r="I42" s="42">
        <v>16016</v>
      </c>
      <c r="J42" s="36">
        <v>1.9</v>
      </c>
      <c r="K42" s="42">
        <v>15557</v>
      </c>
      <c r="L42" s="38">
        <v>6.8000000000000005E-2</v>
      </c>
      <c r="M42" s="36">
        <f>ROUND(K42*(1-L42),0)</f>
        <v>14499</v>
      </c>
      <c r="N42" s="27">
        <v>0.72699999999999998</v>
      </c>
      <c r="O42" s="24">
        <f t="shared" si="356"/>
        <v>10540.772999999999</v>
      </c>
      <c r="P42" s="38">
        <v>0.22900000000000001</v>
      </c>
      <c r="Q42" s="24">
        <f t="shared" si="357"/>
        <v>3320.2710000000002</v>
      </c>
      <c r="R42" s="38">
        <v>4.3999999999999997E-2</v>
      </c>
      <c r="S42" s="105"/>
      <c r="T42" s="24">
        <f t="shared" si="358"/>
        <v>637.95600000000002</v>
      </c>
      <c r="U42" s="27">
        <v>0.24099999999999999</v>
      </c>
      <c r="V42" s="24">
        <f t="shared" si="359"/>
        <v>3494.259</v>
      </c>
      <c r="W42" s="38">
        <v>0.48</v>
      </c>
      <c r="X42" s="24">
        <f t="shared" si="360"/>
        <v>6959.5199999999995</v>
      </c>
      <c r="Y42" s="38">
        <v>0.41</v>
      </c>
      <c r="Z42" s="24">
        <f t="shared" si="361"/>
        <v>5944.5899999999992</v>
      </c>
      <c r="AA42" s="118">
        <v>2.3999999999999998E-3</v>
      </c>
      <c r="AB42" s="121">
        <f t="shared" si="147"/>
        <v>34.797599999999996</v>
      </c>
      <c r="AC42" s="45">
        <v>2.4299999999999999E-3</v>
      </c>
      <c r="AD42" s="17">
        <f t="shared" si="363"/>
        <v>35.232569999999996</v>
      </c>
      <c r="AE42" s="26">
        <f>IF(M42&gt;0,(AG42+AP42)/M42,0)</f>
        <v>2.6023128491620114E-3</v>
      </c>
      <c r="AF42" s="45">
        <v>2.7E-4</v>
      </c>
      <c r="AG42" s="36">
        <f t="shared" si="364"/>
        <v>3.91473</v>
      </c>
      <c r="AH42" s="27">
        <v>0.20499999999999999</v>
      </c>
      <c r="AI42" s="40">
        <f t="shared" si="365"/>
        <v>33.200775</v>
      </c>
      <c r="AJ42" s="27">
        <f t="shared" si="366"/>
        <v>0.89006116456905293</v>
      </c>
      <c r="AK42" s="28">
        <f t="shared" si="6"/>
        <v>0.89740658070765889</v>
      </c>
      <c r="AL42" s="42">
        <v>177</v>
      </c>
      <c r="AM42" s="38">
        <v>8.5000000000000006E-2</v>
      </c>
      <c r="AN42" s="27">
        <v>0.20880000000000001</v>
      </c>
      <c r="AO42" s="105">
        <v>0.21440000000000001</v>
      </c>
      <c r="AP42" s="40">
        <f>AL42*(1-AM42)*AN42</f>
        <v>33.816204000000006</v>
      </c>
      <c r="AQ42" s="106">
        <f t="shared" si="152"/>
        <v>34.723152000000006</v>
      </c>
      <c r="AR42" s="17">
        <v>1.55</v>
      </c>
      <c r="AS42" s="17"/>
      <c r="AT42" s="129">
        <f>AT41+AL42-AS42</f>
        <v>1783.8999999999994</v>
      </c>
      <c r="AU42" s="82"/>
      <c r="AV42" s="42"/>
      <c r="AW42" s="46"/>
      <c r="AX42" s="40"/>
      <c r="AY42" s="40"/>
      <c r="AZ42" s="40"/>
      <c r="BA42" s="40"/>
    </row>
    <row r="43" spans="1:54">
      <c r="A43" s="148"/>
      <c r="B43" s="47" t="s">
        <v>56</v>
      </c>
      <c r="C43" s="48"/>
      <c r="D43" s="49">
        <f t="shared" ref="D43" si="368">SUM(D40:D42)</f>
        <v>49181</v>
      </c>
      <c r="E43" s="49"/>
      <c r="F43" s="49">
        <f t="shared" ref="F43" si="369">SUM(F40:F42)</f>
        <v>47878</v>
      </c>
      <c r="G43" s="50"/>
      <c r="H43" s="50"/>
      <c r="I43" s="49">
        <f t="shared" ref="I43:K43" si="370">SUM(I40:I42)</f>
        <v>47762</v>
      </c>
      <c r="J43" s="50"/>
      <c r="K43" s="49">
        <f t="shared" si="370"/>
        <v>46750</v>
      </c>
      <c r="L43" s="20">
        <f t="shared" ref="L43" si="371">IF(K43&gt;0,(K40*L40+K41*L41+K42*L42)/K43,0)</f>
        <v>6.4661475935828883E-2</v>
      </c>
      <c r="M43" s="50">
        <f t="shared" ref="M43" si="372">M40+M41+M42</f>
        <v>43727</v>
      </c>
      <c r="N43" s="51">
        <f t="shared" ref="N43" si="373">IF(M43&gt;0,O43/M43,0)</f>
        <v>0.74711699865071923</v>
      </c>
      <c r="O43" s="52">
        <f t="shared" ref="O43" si="374">O40+O41+O42</f>
        <v>32669.184999999998</v>
      </c>
      <c r="P43" s="20">
        <f t="shared" ref="P43" si="375">IF(M43&gt;0,Q43/M43,0)</f>
        <v>0.20755787042330825</v>
      </c>
      <c r="Q43" s="52">
        <f t="shared" ref="Q43" si="376">Q40+Q41+Q42</f>
        <v>9075.8829999999998</v>
      </c>
      <c r="R43" s="20">
        <f t="shared" ref="R43" si="377">IF(M43&gt;0,T43/M43,0)</f>
        <v>4.5325130925972519E-2</v>
      </c>
      <c r="S43" s="107"/>
      <c r="T43" s="52">
        <f t="shared" ref="T43" si="378">T40+T41+T42</f>
        <v>1981.9320000000002</v>
      </c>
      <c r="U43" s="20">
        <f t="shared" ref="U43" si="379">IF(M43&gt;0,V43/M43,0)</f>
        <v>0.23597660484368924</v>
      </c>
      <c r="V43" s="52">
        <f t="shared" ref="V43" si="380">V40+V41+V42</f>
        <v>10318.548999999999</v>
      </c>
      <c r="W43" s="20">
        <f t="shared" ref="W43" si="381">IF(M43&gt;0,X43/M43,0)</f>
        <v>0.47931694376472206</v>
      </c>
      <c r="X43" s="52">
        <f t="shared" ref="X43" si="382">X40+X41+X42</f>
        <v>20959.092000000001</v>
      </c>
      <c r="Y43" s="20">
        <f t="shared" ref="Y43" si="383">IF(M43&gt;0,Z43/M43,0)</f>
        <v>0.41002927253184529</v>
      </c>
      <c r="Z43" s="52">
        <f t="shared" ref="Z43" si="384">Z40+Z41+Z42</f>
        <v>17929.349999999999</v>
      </c>
      <c r="AA43" s="119">
        <f>IF(M43&gt;0,AB43/M43,0)</f>
        <v>2.5207546824616363E-3</v>
      </c>
      <c r="AB43" s="54">
        <f t="shared" ref="AB43" si="385">SUM(AB40:AB42)</f>
        <v>110.22503999999998</v>
      </c>
      <c r="AC43" s="53">
        <f t="shared" ref="AC43" si="386">IF(M43&gt;0,AD43/M43,0)</f>
        <v>2.4636259061906834E-3</v>
      </c>
      <c r="AD43" s="54">
        <f t="shared" ref="AD43" si="387">SUM(AD40:AD42)</f>
        <v>107.72697000000001</v>
      </c>
      <c r="AE43" s="53">
        <f t="shared" ref="AE43" si="388">IF(M43&gt;0,(AE40*M40+AE41*M41+AE42*M42)/M43,0)</f>
        <v>2.5379605964278361E-3</v>
      </c>
      <c r="AF43" s="53">
        <f t="shared" ref="AF43" si="389">IF(K43&gt;0,(K40*AF40+K41*AF41+K42*AF42)/K43,0)</f>
        <v>2.8001240641711226E-4</v>
      </c>
      <c r="AG43" s="50">
        <f t="shared" ref="AG43" si="390">SUM(AG40:AG42)</f>
        <v>12.24535</v>
      </c>
      <c r="AH43" s="51">
        <f t="shared" ref="AH43" si="391">IF(K43&gt;0,(K40*AH40+K41*AH41+K42*AH42)/K43,0)</f>
        <v>0.20399780962566846</v>
      </c>
      <c r="AI43" s="56">
        <f t="shared" ref="AI43" si="392">SUM(AI40:AI42)</f>
        <v>95.548215999999996</v>
      </c>
      <c r="AJ43" s="51">
        <f t="shared" ref="AJ43" si="393">IF(AND(AD43&gt;0),((AD40*AJ40+AD41*AJ41+AD42*AJ42)/AD43),0)</f>
        <v>0.88754940418136496</v>
      </c>
      <c r="AK43" s="55">
        <f t="shared" si="6"/>
        <v>0.89085308458795054</v>
      </c>
      <c r="AL43" s="49">
        <f t="shared" ref="AL43" si="394">SUM(AL40:AL42)</f>
        <v>510</v>
      </c>
      <c r="AM43" s="20">
        <f t="shared" ref="AM43" si="395">IF(AL43&gt;0,(AM40*AL40+AM41*AL41+AM42*AL42)/AL43,0)</f>
        <v>8.1843137254901971E-2</v>
      </c>
      <c r="AN43" s="51">
        <f>IF(K43&gt;0,(AN40*K40+AN41*K41+AN42*K42)/K43,0)</f>
        <v>0.21090228877005349</v>
      </c>
      <c r="AO43" s="107">
        <f>IF(L43&gt;0,(AO40*K40+AO41*K41+AO42*K42)/K43,0)</f>
        <v>0.22007272085561497</v>
      </c>
      <c r="AP43" s="56">
        <f t="shared" ref="AP43" si="396">SUM(AP40:AP42)</f>
        <v>98.732053000000008</v>
      </c>
      <c r="AQ43" s="108">
        <f t="shared" si="353"/>
        <v>102.98500849999999</v>
      </c>
      <c r="AR43" s="54"/>
      <c r="AS43" s="54">
        <f t="shared" ref="AS43" si="397">SUM(AS40:AS42)</f>
        <v>0</v>
      </c>
      <c r="AT43" s="83"/>
      <c r="AU43" s="84">
        <f>AT42</f>
        <v>1783.8999999999994</v>
      </c>
      <c r="AV43" s="49">
        <f t="shared" ref="AV43" si="398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17444</v>
      </c>
      <c r="E44" s="11">
        <v>1</v>
      </c>
      <c r="F44" s="11">
        <v>15302</v>
      </c>
      <c r="G44" s="12">
        <v>0.5</v>
      </c>
      <c r="H44" s="12">
        <v>5.9</v>
      </c>
      <c r="I44" s="11">
        <v>14605</v>
      </c>
      <c r="J44" s="12">
        <v>1.7</v>
      </c>
      <c r="K44" s="11">
        <v>15544</v>
      </c>
      <c r="L44" s="13">
        <v>6.7000000000000004E-2</v>
      </c>
      <c r="M44" s="23">
        <f>ROUND(K44*(1-L44),0)</f>
        <v>14503</v>
      </c>
      <c r="N44" s="14">
        <v>0.64700000000000002</v>
      </c>
      <c r="O44" s="24">
        <f t="shared" ref="O44:O46" si="399">M44*N44</f>
        <v>9383.4410000000007</v>
      </c>
      <c r="P44" s="13">
        <v>0.28100000000000003</v>
      </c>
      <c r="Q44" s="24">
        <f t="shared" ref="Q44:Q46" si="400">M44*P44</f>
        <v>4075.3430000000003</v>
      </c>
      <c r="R44" s="15">
        <v>7.1999999999999995E-2</v>
      </c>
      <c r="S44" s="112"/>
      <c r="T44" s="24">
        <f t="shared" ref="T44:T46" si="401">M44*R44</f>
        <v>1044.2159999999999</v>
      </c>
      <c r="U44" s="25">
        <v>0.24099999999999999</v>
      </c>
      <c r="V44" s="24">
        <f t="shared" ref="V44:V46" si="402">M44*U44</f>
        <v>3495.223</v>
      </c>
      <c r="W44" s="15">
        <v>0.47299999999999998</v>
      </c>
      <c r="X44" s="24">
        <f t="shared" ref="X44:X46" si="403">M44*W44</f>
        <v>6859.9189999999999</v>
      </c>
      <c r="Y44" s="15">
        <v>0.38</v>
      </c>
      <c r="Z44" s="24">
        <f t="shared" ref="Z44:Z46" si="404">Y44*M44</f>
        <v>5511.14</v>
      </c>
      <c r="AA44" s="116">
        <v>2.4399999999999999E-3</v>
      </c>
      <c r="AB44" s="18">
        <f t="shared" ref="AB44" si="405">M44*AA44</f>
        <v>35.387319999999995</v>
      </c>
      <c r="AC44" s="16">
        <v>2.48E-3</v>
      </c>
      <c r="AD44" s="17">
        <f t="shared" ref="AD44:AD46" si="406">M44*AC44</f>
        <v>35.967440000000003</v>
      </c>
      <c r="AE44" s="26">
        <f>IF(M44&gt;0,(AG44+AP44)/M44,0)</f>
        <v>2.4098530786733777E-3</v>
      </c>
      <c r="AF44" s="16">
        <v>2.5999999999999998E-4</v>
      </c>
      <c r="AG44" s="23">
        <f t="shared" ref="AG44:AG46" si="407">AF44*M44</f>
        <v>3.7707799999999998</v>
      </c>
      <c r="AH44" s="92">
        <v>0.20130000000000001</v>
      </c>
      <c r="AI44" s="29">
        <f t="shared" ref="AI44:AI46" si="408">AL44*(1-AM44)*AH44</f>
        <v>30.3061176</v>
      </c>
      <c r="AJ44" s="27">
        <f t="shared" ref="AJ44:AJ46" si="409">IF(AND(AH44&gt;0,AF44&gt;0,AC44&gt;0),((AC44-AF44)*AH44)/((AH44-AF44)*AC44),0)</f>
        <v>0.89631898001360677</v>
      </c>
      <c r="AK44" s="58">
        <f t="shared" si="6"/>
        <v>0.89323099614566603</v>
      </c>
      <c r="AL44" s="11">
        <v>164</v>
      </c>
      <c r="AM44" s="13">
        <v>8.2000000000000003E-2</v>
      </c>
      <c r="AN44" s="14">
        <v>0.20710000000000001</v>
      </c>
      <c r="AO44" s="101">
        <v>0.21709999999999999</v>
      </c>
      <c r="AP44" s="29">
        <f>AL44*(1-AM44)*AN44</f>
        <v>31.179319199999998</v>
      </c>
      <c r="AQ44" s="102">
        <f t="shared" ref="AQ44" si="410">AL44*(1-AM44)*AO44</f>
        <v>32.684839199999999</v>
      </c>
      <c r="AR44" s="18">
        <v>1.55</v>
      </c>
      <c r="AS44" s="18"/>
      <c r="AT44" s="79">
        <f>AT42+AL44-AS44</f>
        <v>1947.8999999999994</v>
      </c>
      <c r="AU44" s="80"/>
      <c r="AV44" s="11"/>
      <c r="AW44" s="30"/>
      <c r="AX44" s="19"/>
      <c r="AY44" s="19"/>
      <c r="AZ44" s="19"/>
      <c r="BA44" s="19"/>
    </row>
    <row r="45" spans="1:54">
      <c r="A45" s="147"/>
      <c r="B45" s="32">
        <v>2</v>
      </c>
      <c r="C45" s="10" t="s">
        <v>53</v>
      </c>
      <c r="D45" s="33">
        <v>19700</v>
      </c>
      <c r="E45" s="33">
        <v>6</v>
      </c>
      <c r="F45" s="33">
        <v>18108</v>
      </c>
      <c r="G45" s="34">
        <v>0.6</v>
      </c>
      <c r="H45" s="34">
        <v>5.3</v>
      </c>
      <c r="I45" s="33">
        <v>17395</v>
      </c>
      <c r="J45" s="34">
        <v>1.4</v>
      </c>
      <c r="K45" s="33">
        <v>16298</v>
      </c>
      <c r="L45" s="35">
        <v>6.2E-2</v>
      </c>
      <c r="M45" s="36">
        <f>ROUND(K45*(1-L45),0)</f>
        <v>15288</v>
      </c>
      <c r="N45" s="37">
        <v>0.77</v>
      </c>
      <c r="O45" s="24">
        <f t="shared" si="399"/>
        <v>11771.76</v>
      </c>
      <c r="P45" s="35">
        <v>0.182</v>
      </c>
      <c r="Q45" s="24">
        <f t="shared" si="400"/>
        <v>2782.4159999999997</v>
      </c>
      <c r="R45" s="38">
        <v>4.8000000000000001E-2</v>
      </c>
      <c r="S45" s="105"/>
      <c r="T45" s="24">
        <f t="shared" si="401"/>
        <v>733.82400000000007</v>
      </c>
      <c r="U45" s="27">
        <v>0.249</v>
      </c>
      <c r="V45" s="24">
        <f t="shared" si="402"/>
        <v>3806.712</v>
      </c>
      <c r="W45" s="38">
        <v>0.46800000000000003</v>
      </c>
      <c r="X45" s="24">
        <f t="shared" si="403"/>
        <v>7154.7840000000006</v>
      </c>
      <c r="Y45" s="38">
        <v>0.4</v>
      </c>
      <c r="Z45" s="24">
        <f t="shared" si="404"/>
        <v>6115.2000000000007</v>
      </c>
      <c r="AA45" s="117">
        <v>2.5400000000000002E-3</v>
      </c>
      <c r="AB45" s="18">
        <f t="shared" si="147"/>
        <v>38.831520000000005</v>
      </c>
      <c r="AC45" s="39">
        <v>2.7299999999999998E-3</v>
      </c>
      <c r="AD45" s="17">
        <f t="shared" si="406"/>
        <v>41.736239999999995</v>
      </c>
      <c r="AE45" s="26">
        <f>IF(M45&gt;0,(AG45+AP45)/M45,0)</f>
        <v>2.57419001177394E-3</v>
      </c>
      <c r="AF45" s="39">
        <v>2.7E-4</v>
      </c>
      <c r="AG45" s="36">
        <f t="shared" si="407"/>
        <v>4.1277600000000003</v>
      </c>
      <c r="AH45" s="27">
        <v>0.20200000000000001</v>
      </c>
      <c r="AI45" s="40">
        <f t="shared" si="408"/>
        <v>33.676026</v>
      </c>
      <c r="AJ45" s="27">
        <f t="shared" si="409"/>
        <v>0.902304952272731</v>
      </c>
      <c r="AK45" s="28">
        <f t="shared" si="6"/>
        <v>0.8962578798196893</v>
      </c>
      <c r="AL45" s="33">
        <v>183</v>
      </c>
      <c r="AM45" s="35">
        <v>8.8999999999999996E-2</v>
      </c>
      <c r="AN45" s="37">
        <v>0.21129999999999999</v>
      </c>
      <c r="AO45" s="103">
        <v>0.21210000000000001</v>
      </c>
      <c r="AP45" s="40">
        <f>AL45*(1-AM45)*AN45</f>
        <v>35.226456899999995</v>
      </c>
      <c r="AQ45" s="104">
        <f t="shared" si="152"/>
        <v>35.359827299999999</v>
      </c>
      <c r="AR45" s="41">
        <v>1.6</v>
      </c>
      <c r="AS45" s="41"/>
      <c r="AT45" s="129">
        <f>AT44+AL45-AS45</f>
        <v>2130.8999999999996</v>
      </c>
      <c r="AU45" s="82"/>
      <c r="AV45" s="42"/>
      <c r="AW45" s="43"/>
      <c r="AX45" s="44"/>
      <c r="AY45" s="44"/>
      <c r="AZ45" s="44"/>
      <c r="BA45" s="44"/>
    </row>
    <row r="46" spans="1:54">
      <c r="A46" s="147"/>
      <c r="B46" s="32">
        <v>3</v>
      </c>
      <c r="C46" s="10" t="s">
        <v>54</v>
      </c>
      <c r="D46" s="42">
        <v>12064</v>
      </c>
      <c r="E46" s="42">
        <v>6</v>
      </c>
      <c r="F46" s="42">
        <v>16288</v>
      </c>
      <c r="G46" s="36">
        <v>0.9</v>
      </c>
      <c r="H46" s="36">
        <v>6.1</v>
      </c>
      <c r="I46" s="42">
        <v>16150</v>
      </c>
      <c r="J46" s="36">
        <v>1.9</v>
      </c>
      <c r="K46" s="42">
        <v>16351</v>
      </c>
      <c r="L46" s="38">
        <v>5.6000000000000001E-2</v>
      </c>
      <c r="M46" s="36">
        <f>ROUND(K46*(1-L46),0)</f>
        <v>15435</v>
      </c>
      <c r="N46" s="27">
        <v>0.50600000000000001</v>
      </c>
      <c r="O46" s="24">
        <f t="shared" si="399"/>
        <v>7810.11</v>
      </c>
      <c r="P46" s="38">
        <v>0.438</v>
      </c>
      <c r="Q46" s="24">
        <f t="shared" si="400"/>
        <v>6760.53</v>
      </c>
      <c r="R46" s="38">
        <v>5.6000000000000001E-2</v>
      </c>
      <c r="S46" s="105"/>
      <c r="T46" s="24">
        <f t="shared" si="401"/>
        <v>864.36</v>
      </c>
      <c r="U46" s="27">
        <v>0.251</v>
      </c>
      <c r="V46" s="24">
        <f t="shared" si="402"/>
        <v>3874.1849999999999</v>
      </c>
      <c r="W46" s="38">
        <v>0.47599999999999998</v>
      </c>
      <c r="X46" s="24">
        <f t="shared" si="403"/>
        <v>7347.0599999999995</v>
      </c>
      <c r="Y46" s="38">
        <v>0.4</v>
      </c>
      <c r="Z46" s="24">
        <f t="shared" si="404"/>
        <v>6174</v>
      </c>
      <c r="AA46" s="118">
        <v>2.5400000000000002E-3</v>
      </c>
      <c r="AB46" s="121">
        <f t="shared" si="147"/>
        <v>39.204900000000002</v>
      </c>
      <c r="AC46" s="45">
        <v>2.63E-3</v>
      </c>
      <c r="AD46" s="17">
        <f t="shared" si="406"/>
        <v>40.594050000000003</v>
      </c>
      <c r="AE46" s="26">
        <f>IF(M46&gt;0,(AG46+AP46)/M46,0)</f>
        <v>2.5067380758017495E-3</v>
      </c>
      <c r="AF46" s="45">
        <v>2.7E-4</v>
      </c>
      <c r="AG46" s="36">
        <f t="shared" si="407"/>
        <v>4.1674499999999997</v>
      </c>
      <c r="AH46" s="27">
        <v>0.20100000000000001</v>
      </c>
      <c r="AI46" s="40">
        <f t="shared" si="408"/>
        <v>33.028722000000002</v>
      </c>
      <c r="AJ46" s="27">
        <f t="shared" si="409"/>
        <v>0.89854540433122532</v>
      </c>
      <c r="AK46" s="28">
        <f t="shared" si="6"/>
        <v>0.89343846229428192</v>
      </c>
      <c r="AL46" s="42">
        <v>179</v>
      </c>
      <c r="AM46" s="38">
        <v>8.2000000000000003E-2</v>
      </c>
      <c r="AN46" s="27">
        <v>0.21010000000000001</v>
      </c>
      <c r="AO46" s="105">
        <v>0.21759999999999999</v>
      </c>
      <c r="AP46" s="40">
        <f>AL46*(1-AM46)*AN46</f>
        <v>34.5240522</v>
      </c>
      <c r="AQ46" s="106">
        <f t="shared" si="152"/>
        <v>35.756467199999996</v>
      </c>
      <c r="AR46" s="17">
        <v>1.6</v>
      </c>
      <c r="AS46" s="17"/>
      <c r="AT46" s="129">
        <f>AT45+AL46-AS46</f>
        <v>2309.8999999999996</v>
      </c>
      <c r="AU46" s="82"/>
      <c r="AV46" s="42"/>
      <c r="AW46" s="46"/>
      <c r="AX46" s="40"/>
      <c r="AY46" s="40"/>
      <c r="AZ46" s="40"/>
      <c r="BA46" s="40"/>
    </row>
    <row r="47" spans="1:54">
      <c r="A47" s="148"/>
      <c r="B47" s="47" t="s">
        <v>56</v>
      </c>
      <c r="C47" s="48"/>
      <c r="D47" s="49">
        <f t="shared" ref="D47" si="411">SUM(D44:D46)</f>
        <v>49208</v>
      </c>
      <c r="E47" s="49"/>
      <c r="F47" s="49">
        <f t="shared" ref="F47" si="412">SUM(F44:F46)</f>
        <v>49698</v>
      </c>
      <c r="G47" s="50"/>
      <c r="H47" s="50"/>
      <c r="I47" s="49">
        <f t="shared" ref="I47:K47" si="413">SUM(I44:I46)</f>
        <v>48150</v>
      </c>
      <c r="J47" s="50"/>
      <c r="K47" s="49">
        <f t="shared" si="413"/>
        <v>48193</v>
      </c>
      <c r="L47" s="20">
        <f t="shared" ref="L47" si="414">IF(K47&gt;0,(K44*L44+K45*L45+K46*L46)/K47,0)</f>
        <v>6.1576992509285576E-2</v>
      </c>
      <c r="M47" s="50">
        <f t="shared" ref="M47" si="415">M44+M45+M46</f>
        <v>45226</v>
      </c>
      <c r="N47" s="51">
        <f t="shared" ref="N47" si="416">IF(M47&gt;0,O47/M47,0)</f>
        <v>0.6404570600981736</v>
      </c>
      <c r="O47" s="52">
        <f t="shared" ref="O47" si="417">O44+O45+O46</f>
        <v>28965.311000000002</v>
      </c>
      <c r="P47" s="20">
        <f t="shared" ref="P47" si="418">IF(M47&gt;0,Q47/M47,0)</f>
        <v>0.301116371113961</v>
      </c>
      <c r="Q47" s="52">
        <f t="shared" ref="Q47" si="419">Q44+Q45+Q46</f>
        <v>13618.289000000001</v>
      </c>
      <c r="R47" s="20">
        <f t="shared" ref="R47" si="420">IF(M47&gt;0,T47/M47,0)</f>
        <v>5.8426568787865389E-2</v>
      </c>
      <c r="S47" s="107"/>
      <c r="T47" s="52">
        <f t="shared" ref="T47" si="421">T44+T45+T46</f>
        <v>2642.4</v>
      </c>
      <c r="U47" s="20">
        <f t="shared" ref="U47" si="422">IF(M47&gt;0,V47/M47,0)</f>
        <v>0.24711714500508555</v>
      </c>
      <c r="V47" s="52">
        <f t="shared" ref="V47" si="423">V44+V45+V46</f>
        <v>11176.119999999999</v>
      </c>
      <c r="W47" s="20">
        <f t="shared" ref="W47" si="424">IF(M47&gt;0,X47/M47,0)</f>
        <v>0.47233367974174145</v>
      </c>
      <c r="X47" s="52">
        <f t="shared" ref="X47" si="425">X44+X45+X46</f>
        <v>21361.762999999999</v>
      </c>
      <c r="Y47" s="20">
        <f t="shared" ref="Y47" si="426">IF(M47&gt;0,Z47/M47,0)</f>
        <v>0.39358643258302745</v>
      </c>
      <c r="Z47" s="52">
        <f t="shared" ref="Z47" si="427">Z44+Z45+Z46</f>
        <v>17800.34</v>
      </c>
      <c r="AA47" s="119">
        <f>IF(M47&gt;0,AB47/M47,0)</f>
        <v>2.5079321629151376E-3</v>
      </c>
      <c r="AB47" s="54">
        <f t="shared" ref="AB47" si="428">SUM(AB44:AB46)</f>
        <v>113.42374000000001</v>
      </c>
      <c r="AC47" s="53">
        <f t="shared" ref="AC47" si="429">IF(M47&gt;0,AD47/M47,0)</f>
        <v>2.6157018086941141E-3</v>
      </c>
      <c r="AD47" s="54">
        <f t="shared" ref="AD47" si="430">SUM(AD44:AD46)</f>
        <v>118.29773</v>
      </c>
      <c r="AE47" s="53">
        <f t="shared" ref="AE47" si="431">IF(M47&gt;0,(AE44*M44+AE45*M45+AE46*M46)/M47,0)</f>
        <v>2.4984703113253436E-3</v>
      </c>
      <c r="AF47" s="53">
        <f t="shared" ref="AF47" si="432">IF(K47&gt;0,(K44*AF44+K45*AF45+K46*AF46)/K47,0)</f>
        <v>2.6677463532048226E-4</v>
      </c>
      <c r="AG47" s="50">
        <f t="shared" ref="AG47" si="433">SUM(AG44:AG46)</f>
        <v>12.065989999999999</v>
      </c>
      <c r="AH47" s="51">
        <f t="shared" ref="AH47" si="434">IF(K47&gt;0,(K44*AH44+K45*AH45+K46*AH46)/K47,0)</f>
        <v>0.20143494283402152</v>
      </c>
      <c r="AI47" s="56">
        <f t="shared" ref="AI47" si="435">SUM(AI44:AI46)</f>
        <v>97.010865600000002</v>
      </c>
      <c r="AJ47" s="51">
        <f t="shared" ref="AJ47" si="436">IF(AND(AD47&gt;0),((AD44*AJ44+AD45*AJ45+AD46*AJ46)/AD47),0)</f>
        <v>0.89919487251729857</v>
      </c>
      <c r="AK47" s="55">
        <f t="shared" si="6"/>
        <v>0.89436347615802581</v>
      </c>
      <c r="AL47" s="49">
        <f t="shared" ref="AL47" si="437">SUM(AL44:AL46)</f>
        <v>526</v>
      </c>
      <c r="AM47" s="20">
        <f t="shared" ref="AM47" si="438">IF(AL47&gt;0,(AM44*AL44+AM45*AL45+AM46*AL46)/AL47,0)</f>
        <v>8.4435361216730037E-2</v>
      </c>
      <c r="AN47" s="51">
        <f>IF(K47&gt;0,(AN44*K44+AN45*K45+AN46*K46)/K47,0)</f>
        <v>0.20953820886850788</v>
      </c>
      <c r="AO47" s="107">
        <f>IF(L47&gt;0,(AO44*K44+AO45*K45+AO46*K46)/K47,0)</f>
        <v>0.21557873135102609</v>
      </c>
      <c r="AP47" s="56">
        <f t="shared" ref="AP47" si="439">SUM(AP44:AP46)</f>
        <v>100.9298283</v>
      </c>
      <c r="AQ47" s="108">
        <f t="shared" si="353"/>
        <v>103.80113370000001</v>
      </c>
      <c r="AR47" s="54"/>
      <c r="AS47" s="54">
        <f t="shared" ref="AS47" si="440">SUM(AS44:AS46)</f>
        <v>0</v>
      </c>
      <c r="AT47" s="83"/>
      <c r="AU47" s="84">
        <f>AT46</f>
        <v>2309.8999999999996</v>
      </c>
      <c r="AV47" s="49">
        <f t="shared" ref="AV47" si="441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7553</v>
      </c>
      <c r="E48" s="11">
        <v>4</v>
      </c>
      <c r="F48" s="11">
        <v>8586</v>
      </c>
      <c r="G48" s="12">
        <v>1</v>
      </c>
      <c r="H48" s="12">
        <v>7.2</v>
      </c>
      <c r="I48" s="11">
        <v>8136</v>
      </c>
      <c r="J48" s="12">
        <v>4.5</v>
      </c>
      <c r="K48" s="11">
        <v>16144</v>
      </c>
      <c r="L48" s="13">
        <v>6.3E-2</v>
      </c>
      <c r="M48" s="23">
        <f>ROUND(K48*(1-L48),0)</f>
        <v>15127</v>
      </c>
      <c r="N48" s="14">
        <v>0.44600000000000001</v>
      </c>
      <c r="O48" s="24">
        <f t="shared" ref="O48:O50" si="442">M48*N48</f>
        <v>6746.6419999999998</v>
      </c>
      <c r="P48" s="13">
        <v>0.53600000000000003</v>
      </c>
      <c r="Q48" s="24">
        <f t="shared" ref="Q48:Q50" si="443">M48*P48</f>
        <v>8108.0720000000001</v>
      </c>
      <c r="R48" s="15">
        <v>1.7999999999999999E-2</v>
      </c>
      <c r="S48" s="112"/>
      <c r="T48" s="24">
        <f t="shared" ref="T48:T50" si="444">M48*R48</f>
        <v>272.286</v>
      </c>
      <c r="U48" s="25">
        <v>0.23</v>
      </c>
      <c r="V48" s="24">
        <f t="shared" ref="V48:V50" si="445">M48*U48</f>
        <v>3479.21</v>
      </c>
      <c r="W48" s="15">
        <v>0.51800000000000002</v>
      </c>
      <c r="X48" s="24">
        <f t="shared" ref="X48:X50" si="446">M48*W48</f>
        <v>7835.7860000000001</v>
      </c>
      <c r="Y48" s="15">
        <v>0.39</v>
      </c>
      <c r="Z48" s="24">
        <f t="shared" ref="Z48:Z50" si="447">Y48*M48</f>
        <v>5899.5300000000007</v>
      </c>
      <c r="AA48" s="116">
        <v>2.5600000000000002E-3</v>
      </c>
      <c r="AB48" s="18">
        <f t="shared" ref="AB48" si="448">M48*AA48</f>
        <v>38.725120000000004</v>
      </c>
      <c r="AC48" s="16">
        <v>2.65E-3</v>
      </c>
      <c r="AD48" s="17">
        <f t="shared" ref="AD48:AD50" si="449">M48*AC48</f>
        <v>40.086550000000003</v>
      </c>
      <c r="AE48" s="26">
        <f>IF(M48&gt;0,(AG48+AP48)/M48,0)</f>
        <v>2.5146370066768033E-3</v>
      </c>
      <c r="AF48" s="16">
        <v>2.7E-4</v>
      </c>
      <c r="AG48" s="23">
        <f t="shared" ref="AG48:AG50" si="450">AF48*M48</f>
        <v>4.0842900000000002</v>
      </c>
      <c r="AH48" s="92">
        <v>0.20449999999999999</v>
      </c>
      <c r="AI48" s="29">
        <f t="shared" ref="AI48:AI50" si="451">AL48*(1-AM48)*AH48</f>
        <v>33.112639999999999</v>
      </c>
      <c r="AJ48" s="27">
        <f t="shared" ref="AJ48:AJ50" si="452">IF(AND(AH48&gt;0,AF48&gt;0,AC48&gt;0),((AC48-AF48)*AH48)/((AH48-AF48)*AC48),0)</f>
        <v>0.89930054812415527</v>
      </c>
      <c r="AK48" s="58">
        <f t="shared" si="6"/>
        <v>0.89377942709812819</v>
      </c>
      <c r="AL48" s="11">
        <v>176</v>
      </c>
      <c r="AM48" s="13">
        <v>0.08</v>
      </c>
      <c r="AN48" s="14">
        <v>0.2097</v>
      </c>
      <c r="AO48" s="101">
        <v>0.21690000000000001</v>
      </c>
      <c r="AP48" s="29">
        <f>AL48*(1-AM48)*AN48</f>
        <v>33.954624000000003</v>
      </c>
      <c r="AQ48" s="102">
        <f t="shared" ref="AQ48" si="453">AL48*(1-AM48)*AO48</f>
        <v>35.120448000000003</v>
      </c>
      <c r="AR48" s="18">
        <v>1.6</v>
      </c>
      <c r="AS48" s="18">
        <v>1012.86</v>
      </c>
      <c r="AT48" s="79">
        <f>AT46+AL48-AS48-AU48</f>
        <v>1473.0399999999995</v>
      </c>
      <c r="AU48" s="130"/>
      <c r="AV48" s="11"/>
      <c r="AW48" s="30"/>
      <c r="AX48" s="19"/>
      <c r="AY48" s="19"/>
      <c r="AZ48" s="19"/>
      <c r="BA48" s="19"/>
    </row>
    <row r="49" spans="1:54">
      <c r="A49" s="147"/>
      <c r="B49" s="32">
        <v>2</v>
      </c>
      <c r="C49" s="10" t="s">
        <v>57</v>
      </c>
      <c r="D49" s="33">
        <v>18800</v>
      </c>
      <c r="E49" s="33">
        <v>7</v>
      </c>
      <c r="F49" s="33">
        <v>17147</v>
      </c>
      <c r="G49" s="34">
        <v>0.8</v>
      </c>
      <c r="H49" s="34">
        <v>7</v>
      </c>
      <c r="I49" s="33">
        <v>16302</v>
      </c>
      <c r="J49" s="34">
        <v>3.7</v>
      </c>
      <c r="K49" s="33">
        <v>16018</v>
      </c>
      <c r="L49" s="35">
        <v>5.8999999999999997E-2</v>
      </c>
      <c r="M49" s="36">
        <f>ROUND(K49*(1-L49),0)</f>
        <v>15073</v>
      </c>
      <c r="N49" s="37">
        <v>0.40200000000000002</v>
      </c>
      <c r="O49" s="24">
        <f t="shared" si="442"/>
        <v>6059.3460000000005</v>
      </c>
      <c r="P49" s="35">
        <v>0.56599999999999995</v>
      </c>
      <c r="Q49" s="24">
        <f t="shared" si="443"/>
        <v>8531.3179999999993</v>
      </c>
      <c r="R49" s="38">
        <v>3.2000000000000001E-2</v>
      </c>
      <c r="S49" s="105"/>
      <c r="T49" s="24">
        <f t="shared" si="444"/>
        <v>482.33600000000001</v>
      </c>
      <c r="U49" s="27">
        <v>0.24</v>
      </c>
      <c r="V49" s="24">
        <f t="shared" si="445"/>
        <v>3617.52</v>
      </c>
      <c r="W49" s="38">
        <v>0.499</v>
      </c>
      <c r="X49" s="24">
        <f t="shared" si="446"/>
        <v>7521.4269999999997</v>
      </c>
      <c r="Y49" s="38">
        <v>0.41</v>
      </c>
      <c r="Z49" s="24">
        <f t="shared" si="447"/>
        <v>6179.9299999999994</v>
      </c>
      <c r="AA49" s="117">
        <v>2.5699999999999998E-3</v>
      </c>
      <c r="AB49" s="18">
        <f t="shared" si="147"/>
        <v>38.737609999999997</v>
      </c>
      <c r="AC49" s="39">
        <v>2.6199999999999999E-3</v>
      </c>
      <c r="AD49" s="17">
        <f t="shared" si="449"/>
        <v>39.491259999999997</v>
      </c>
      <c r="AE49" s="26">
        <f>IF(M49&gt;0,(AG49+AP49)/M49,0)</f>
        <v>2.6093260134014461E-3</v>
      </c>
      <c r="AF49" s="39">
        <v>2.5999999999999998E-4</v>
      </c>
      <c r="AG49" s="36">
        <f t="shared" si="450"/>
        <v>3.9189799999999995</v>
      </c>
      <c r="AH49" s="27">
        <v>0.2082</v>
      </c>
      <c r="AI49" s="40">
        <f t="shared" si="451"/>
        <v>34.2118404</v>
      </c>
      <c r="AJ49" s="27">
        <f t="shared" si="452"/>
        <v>0.90188963786529741</v>
      </c>
      <c r="AK49" s="28">
        <f t="shared" si="6"/>
        <v>0.90144500107270054</v>
      </c>
      <c r="AL49" s="33">
        <v>179</v>
      </c>
      <c r="AM49" s="35">
        <v>8.2000000000000003E-2</v>
      </c>
      <c r="AN49" s="37">
        <v>0.2155</v>
      </c>
      <c r="AO49" s="103">
        <v>0.22470000000000001</v>
      </c>
      <c r="AP49" s="40">
        <f>AL49*(1-AM49)*AN49</f>
        <v>35.411391000000002</v>
      </c>
      <c r="AQ49" s="104">
        <f t="shared" si="152"/>
        <v>36.923153400000004</v>
      </c>
      <c r="AR49" s="41">
        <v>1.56</v>
      </c>
      <c r="AS49" s="41"/>
      <c r="AT49" s="129">
        <f>AT48+AL49-AS49</f>
        <v>1652.0399999999995</v>
      </c>
      <c r="AU49" s="82"/>
      <c r="AV49" s="42"/>
      <c r="AW49" s="43"/>
      <c r="AX49" s="44"/>
      <c r="AY49" s="44"/>
      <c r="AZ49" s="44"/>
      <c r="BA49" s="44"/>
    </row>
    <row r="50" spans="1:54">
      <c r="A50" s="147"/>
      <c r="B50" s="32">
        <v>3</v>
      </c>
      <c r="C50" s="10" t="s">
        <v>54</v>
      </c>
      <c r="D50" s="42">
        <v>18197</v>
      </c>
      <c r="E50" s="42">
        <v>3</v>
      </c>
      <c r="F50" s="42">
        <v>17443</v>
      </c>
      <c r="G50" s="36">
        <v>1.3</v>
      </c>
      <c r="H50" s="36">
        <v>7.4</v>
      </c>
      <c r="I50" s="42">
        <v>16508</v>
      </c>
      <c r="J50" s="36">
        <v>3.3</v>
      </c>
      <c r="K50" s="42">
        <v>16032</v>
      </c>
      <c r="L50" s="38">
        <v>5.8999999999999997E-2</v>
      </c>
      <c r="M50" s="36">
        <f>ROUND(K50*(1-L50),0)</f>
        <v>15086</v>
      </c>
      <c r="N50" s="27">
        <v>0.68700000000000006</v>
      </c>
      <c r="O50" s="24">
        <f t="shared" si="442"/>
        <v>10364.082</v>
      </c>
      <c r="P50" s="38">
        <v>0.27400000000000002</v>
      </c>
      <c r="Q50" s="24">
        <f t="shared" si="443"/>
        <v>4133.5640000000003</v>
      </c>
      <c r="R50" s="38">
        <v>3.9E-2</v>
      </c>
      <c r="S50" s="105"/>
      <c r="T50" s="24">
        <f t="shared" si="444"/>
        <v>588.35400000000004</v>
      </c>
      <c r="U50" s="27">
        <v>0.247</v>
      </c>
      <c r="V50" s="24">
        <f t="shared" si="445"/>
        <v>3726.2419999999997</v>
      </c>
      <c r="W50" s="38">
        <v>0.49399999999999999</v>
      </c>
      <c r="X50" s="24">
        <f t="shared" si="446"/>
        <v>7452.4839999999995</v>
      </c>
      <c r="Y50" s="38">
        <v>0.41</v>
      </c>
      <c r="Z50" s="24">
        <f t="shared" si="447"/>
        <v>6185.2599999999993</v>
      </c>
      <c r="AA50" s="118">
        <v>2.6099999999999999E-3</v>
      </c>
      <c r="AB50" s="121">
        <f t="shared" si="147"/>
        <v>39.374459999999999</v>
      </c>
      <c r="AC50" s="45">
        <v>2.6900000000000001E-3</v>
      </c>
      <c r="AD50" s="17">
        <f t="shared" si="449"/>
        <v>40.581340000000004</v>
      </c>
      <c r="AE50" s="26">
        <f>IF(M50&gt;0,(AG50+AP50)/M50,0)</f>
        <v>2.6486459498873127E-3</v>
      </c>
      <c r="AF50" s="45">
        <v>2.7E-4</v>
      </c>
      <c r="AG50" s="36">
        <f t="shared" si="450"/>
        <v>4.0732200000000001</v>
      </c>
      <c r="AH50" s="27">
        <v>0.20979999999999999</v>
      </c>
      <c r="AI50" s="40">
        <f t="shared" si="451"/>
        <v>33.896966400000004</v>
      </c>
      <c r="AJ50" s="27">
        <f t="shared" si="452"/>
        <v>0.90078751221755493</v>
      </c>
      <c r="AK50" s="28">
        <f t="shared" si="6"/>
        <v>0.89915419415857079</v>
      </c>
      <c r="AL50" s="42">
        <v>176</v>
      </c>
      <c r="AM50" s="38">
        <v>8.2000000000000003E-2</v>
      </c>
      <c r="AN50" s="27">
        <v>0.22209999999999999</v>
      </c>
      <c r="AO50" s="105">
        <v>0.23050000000000001</v>
      </c>
      <c r="AP50" s="40">
        <f>AL50*(1-AM50)*AN50</f>
        <v>35.884252799999999</v>
      </c>
      <c r="AQ50" s="106">
        <f t="shared" si="152"/>
        <v>37.241424000000002</v>
      </c>
      <c r="AR50" s="17">
        <v>1.55</v>
      </c>
      <c r="AS50" s="17"/>
      <c r="AT50" s="129">
        <f>AT49+AL50-AS50</f>
        <v>1828.0399999999995</v>
      </c>
      <c r="AU50" s="82"/>
      <c r="AV50" s="42"/>
      <c r="AW50" s="46"/>
      <c r="AX50" s="40"/>
      <c r="AY50" s="40"/>
      <c r="AZ50" s="40"/>
      <c r="BA50" s="40"/>
    </row>
    <row r="51" spans="1:54">
      <c r="A51" s="148"/>
      <c r="B51" s="47" t="s">
        <v>56</v>
      </c>
      <c r="C51" s="48"/>
      <c r="D51" s="49">
        <f t="shared" ref="D51" si="454">SUM(D48:D50)</f>
        <v>44550</v>
      </c>
      <c r="E51" s="49"/>
      <c r="F51" s="49">
        <f t="shared" ref="F51" si="455">SUM(F48:F50)</f>
        <v>43176</v>
      </c>
      <c r="G51" s="50"/>
      <c r="H51" s="50"/>
      <c r="I51" s="49">
        <f t="shared" ref="I51:K51" si="456">SUM(I48:I50)</f>
        <v>40946</v>
      </c>
      <c r="J51" s="50"/>
      <c r="K51" s="49">
        <f t="shared" si="456"/>
        <v>48194</v>
      </c>
      <c r="L51" s="20">
        <f t="shared" ref="L51" si="457">IF(K51&gt;0,(K48*L48+K49*L49+K50*L50)/K51,0)</f>
        <v>6.0339917832095281E-2</v>
      </c>
      <c r="M51" s="50">
        <f t="shared" ref="M51" si="458">M48+M49+M50</f>
        <v>45286</v>
      </c>
      <c r="N51" s="51">
        <f t="shared" ref="N51" si="459">IF(M51&gt;0,O51/M51,0)</f>
        <v>0.51163869628582781</v>
      </c>
      <c r="O51" s="52">
        <f t="shared" ref="O51" si="460">O48+O49+O50</f>
        <v>23170.07</v>
      </c>
      <c r="P51" s="20">
        <f t="shared" ref="P51" si="461">IF(M51&gt;0,Q51/M51,0)</f>
        <v>0.45870586936360019</v>
      </c>
      <c r="Q51" s="52">
        <f t="shared" ref="Q51" si="462">Q48+Q49+Q50</f>
        <v>20772.953999999998</v>
      </c>
      <c r="R51" s="20">
        <f t="shared" ref="R51" si="463">IF(M51&gt;0,T51/M51,0)</f>
        <v>2.9655434350571924E-2</v>
      </c>
      <c r="S51" s="107"/>
      <c r="T51" s="52">
        <f t="shared" ref="T51" si="464">T48+T49+T50</f>
        <v>1342.9760000000001</v>
      </c>
      <c r="U51" s="20">
        <f t="shared" ref="U51" si="465">IF(M51&gt;0,V51/M51,0)</f>
        <v>0.23899156472198912</v>
      </c>
      <c r="V51" s="52">
        <f t="shared" ref="V51" si="466">V48+V49+V50</f>
        <v>10822.972</v>
      </c>
      <c r="W51" s="20">
        <f t="shared" ref="W51" si="467">IF(M51&gt;0,X51/M51,0)</f>
        <v>0.5036809830852802</v>
      </c>
      <c r="X51" s="52">
        <f t="shared" ref="X51" si="468">X48+X49+X50</f>
        <v>22809.697</v>
      </c>
      <c r="Y51" s="20">
        <f t="shared" ref="Y51" si="469">IF(M51&gt;0,Z51/M51,0)</f>
        <v>0.40331934814291387</v>
      </c>
      <c r="Z51" s="52">
        <f t="shared" ref="Z51" si="470">Z48+Z49+Z50</f>
        <v>18264.719999999998</v>
      </c>
      <c r="AA51" s="119">
        <f>IF(M51&gt;0,AB51/M51,0)</f>
        <v>2.5799847635030694E-3</v>
      </c>
      <c r="AB51" s="54">
        <f t="shared" ref="AB51" si="471">SUM(AB48:AB50)</f>
        <v>116.83718999999999</v>
      </c>
      <c r="AC51" s="53">
        <f t="shared" ref="AC51" si="472">IF(M51&gt;0,AD51/M51,0)</f>
        <v>2.653339884290951E-3</v>
      </c>
      <c r="AD51" s="54">
        <f t="shared" ref="AD51" si="473">SUM(AD48:AD50)</f>
        <v>120.15915000000001</v>
      </c>
      <c r="AE51" s="53">
        <f t="shared" ref="AE51" si="474">IF(M51&gt;0,(AE48*M48+AE49*M49+AE50*M50)/M51,0)</f>
        <v>2.5907953407234021E-3</v>
      </c>
      <c r="AF51" s="53">
        <f t="shared" ref="AF51" si="475">IF(K51&gt;0,(K48*AF48+K49*AF49+K50*AF50)/K51,0)</f>
        <v>2.6667634975308129E-4</v>
      </c>
      <c r="AG51" s="50">
        <f t="shared" ref="AG51" si="476">SUM(AG48:AG50)</f>
        <v>12.07649</v>
      </c>
      <c r="AH51" s="51">
        <f t="shared" ref="AH51" si="477">IF(K51&gt;0,(K48*AH48+K49*AH49+K50*AH50)/K51,0)</f>
        <v>0.20749282483296677</v>
      </c>
      <c r="AI51" s="56">
        <f t="shared" ref="AI51" si="478">SUM(AI48:AI50)</f>
        <v>101.2214468</v>
      </c>
      <c r="AJ51" s="51">
        <f t="shared" ref="AJ51" si="479">IF(AND(AD51&gt;0),((AD48*AJ48+AD49*AJ49+AD50*AJ50)/AD51),0)</f>
        <v>0.90065366531558699</v>
      </c>
      <c r="AK51" s="55">
        <f t="shared" si="6"/>
        <v>0.8981779402111234</v>
      </c>
      <c r="AL51" s="49">
        <f t="shared" ref="AL51" si="480">SUM(AL48:AL50)</f>
        <v>531</v>
      </c>
      <c r="AM51" s="20">
        <f t="shared" ref="AM51" si="481">IF(AL51&gt;0,(AM48*AL48+AM49*AL49+AM50*AL50)/AL51,0)</f>
        <v>8.1337099811676097E-2</v>
      </c>
      <c r="AN51" s="51">
        <f>IF(K51&gt;0,(AN48*K48+AN49*K49+AN50*K50)/K51,0)</f>
        <v>0.21575264555753829</v>
      </c>
      <c r="AO51" s="107">
        <f>IF(L51&gt;0,(AO48*K48+AO49*K49+AO50*K50)/K51,0)</f>
        <v>0.22401656222766317</v>
      </c>
      <c r="AP51" s="56">
        <f t="shared" ref="AP51" si="482">SUM(AP48:AP50)</f>
        <v>105.2502678</v>
      </c>
      <c r="AQ51" s="108">
        <f t="shared" si="353"/>
        <v>109.28502539999999</v>
      </c>
      <c r="AR51" s="54"/>
      <c r="AS51" s="54">
        <f t="shared" ref="AS51" si="483">SUM(AS48:AS50)</f>
        <v>1012.86</v>
      </c>
      <c r="AT51" s="83"/>
      <c r="AU51" s="84">
        <f>AT50</f>
        <v>1828.0399999999995</v>
      </c>
      <c r="AV51" s="49">
        <f t="shared" ref="AV51" si="48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55</v>
      </c>
      <c r="D52" s="11">
        <v>5684</v>
      </c>
      <c r="E52" s="11">
        <v>2</v>
      </c>
      <c r="F52" s="11">
        <v>9467</v>
      </c>
      <c r="G52" s="12">
        <v>0.6</v>
      </c>
      <c r="H52" s="12">
        <v>5.3</v>
      </c>
      <c r="I52" s="11">
        <v>9185</v>
      </c>
      <c r="J52" s="12">
        <v>5.7</v>
      </c>
      <c r="K52" s="11">
        <v>15868</v>
      </c>
      <c r="L52" s="13">
        <v>5.5E-2</v>
      </c>
      <c r="M52" s="23">
        <f>ROUND(K52*(1-L52),0)</f>
        <v>14995</v>
      </c>
      <c r="N52" s="14">
        <v>0.64300000000000002</v>
      </c>
      <c r="O52" s="24">
        <f t="shared" ref="O52:O54" si="485">M52*N52</f>
        <v>9641.7849999999999</v>
      </c>
      <c r="P52" s="13">
        <v>0.29499999999999998</v>
      </c>
      <c r="Q52" s="24">
        <f t="shared" ref="Q52:Q54" si="486">M52*P52</f>
        <v>4423.5249999999996</v>
      </c>
      <c r="R52" s="15">
        <v>6.2E-2</v>
      </c>
      <c r="S52" s="112"/>
      <c r="T52" s="24">
        <f t="shared" ref="T52:T54" si="487">M52*R52</f>
        <v>929.68999999999994</v>
      </c>
      <c r="U52" s="25">
        <v>0.23300000000000001</v>
      </c>
      <c r="V52" s="24">
        <f t="shared" ref="V52:V54" si="488">M52*U52</f>
        <v>3493.835</v>
      </c>
      <c r="W52" s="15">
        <v>0.48699999999999999</v>
      </c>
      <c r="X52" s="24">
        <f t="shared" ref="X52:X54" si="489">M52*W52</f>
        <v>7302.5649999999996</v>
      </c>
      <c r="Y52" s="15">
        <v>0.38</v>
      </c>
      <c r="Z52" s="24">
        <f t="shared" ref="Z52:Z54" si="490">Y52*M52</f>
        <v>5698.1</v>
      </c>
      <c r="AA52" s="116">
        <v>2.7399999999999998E-3</v>
      </c>
      <c r="AB52" s="18">
        <f t="shared" ref="AB52" si="491">M52*AA52</f>
        <v>41.086299999999994</v>
      </c>
      <c r="AC52" s="16">
        <v>2.7399999999999998E-3</v>
      </c>
      <c r="AD52" s="17">
        <f t="shared" ref="AD52:AD54" si="492">M52*AC52</f>
        <v>41.086299999999994</v>
      </c>
      <c r="AE52" s="26">
        <f>IF(M52&gt;0,(AG52+AP52)/M52,0)</f>
        <v>2.8301057152384131E-3</v>
      </c>
      <c r="AF52" s="16">
        <v>2.7999999999999998E-4</v>
      </c>
      <c r="AG52" s="23">
        <f t="shared" ref="AG52:AG54" si="493">AF52*M52</f>
        <v>4.1985999999999999</v>
      </c>
      <c r="AH52" s="92">
        <v>0.20469999999999999</v>
      </c>
      <c r="AI52" s="29">
        <f t="shared" ref="AI52:AI54" si="494">AL52*(1-AM52)*AH52</f>
        <v>35.922393599999999</v>
      </c>
      <c r="AJ52" s="27">
        <f t="shared" ref="AJ52:AJ54" si="495">IF(AND(AH52&gt;0,AF52&gt;0,AC52&gt;0),((AC52-AF52)*AH52)/((AH52-AF52)*AC52),0)</f>
        <v>0.89903997566195837</v>
      </c>
      <c r="AK52" s="58">
        <f t="shared" si="6"/>
        <v>0.90222311694942681</v>
      </c>
      <c r="AL52" s="11">
        <v>192</v>
      </c>
      <c r="AM52" s="13">
        <v>8.5999999999999993E-2</v>
      </c>
      <c r="AN52" s="14">
        <v>0.21790000000000001</v>
      </c>
      <c r="AO52" s="101">
        <v>0.22470000000000001</v>
      </c>
      <c r="AP52" s="29">
        <f>AL52*(1-AM52)*AN52</f>
        <v>38.238835200000004</v>
      </c>
      <c r="AQ52" s="102">
        <f t="shared" ref="AQ52" si="496">AL52*(1-AM52)*AO52</f>
        <v>39.432153599999999</v>
      </c>
      <c r="AR52" s="18">
        <v>1.58</v>
      </c>
      <c r="AS52" s="18">
        <v>1006.02</v>
      </c>
      <c r="AT52" s="79">
        <f>AT50+AL52-AS52</f>
        <v>1014.0199999999995</v>
      </c>
      <c r="AU52" s="80"/>
      <c r="AV52" s="11"/>
      <c r="AW52" s="30"/>
      <c r="AX52" s="19"/>
      <c r="AY52" s="19"/>
      <c r="AZ52" s="19"/>
      <c r="BA52" s="19"/>
    </row>
    <row r="53" spans="1:54">
      <c r="A53" s="147"/>
      <c r="B53" s="32">
        <v>2</v>
      </c>
      <c r="C53" s="10" t="s">
        <v>57</v>
      </c>
      <c r="D53" s="33">
        <v>18400</v>
      </c>
      <c r="E53" s="33">
        <v>7</v>
      </c>
      <c r="F53" s="33">
        <v>15515</v>
      </c>
      <c r="G53" s="34">
        <v>0.4</v>
      </c>
      <c r="H53" s="34">
        <v>5.5</v>
      </c>
      <c r="I53" s="33">
        <v>14718</v>
      </c>
      <c r="J53" s="34">
        <v>5.8</v>
      </c>
      <c r="K53" s="33">
        <v>15713</v>
      </c>
      <c r="L53" s="35">
        <v>5.8000000000000003E-2</v>
      </c>
      <c r="M53" s="36">
        <f>ROUND(K53*(1-L53),0)</f>
        <v>14802</v>
      </c>
      <c r="N53" s="37">
        <v>0.72299999999999998</v>
      </c>
      <c r="O53" s="24">
        <f t="shared" si="485"/>
        <v>10701.846</v>
      </c>
      <c r="P53" s="35">
        <v>0.248</v>
      </c>
      <c r="Q53" s="24">
        <f t="shared" si="486"/>
        <v>3670.8960000000002</v>
      </c>
      <c r="R53" s="38">
        <v>2.9000000000000001E-2</v>
      </c>
      <c r="S53" s="105"/>
      <c r="T53" s="24">
        <f t="shared" si="487"/>
        <v>429.25800000000004</v>
      </c>
      <c r="U53" s="27">
        <v>0.24199999999999999</v>
      </c>
      <c r="V53" s="24">
        <f t="shared" si="488"/>
        <v>3582.0839999999998</v>
      </c>
      <c r="W53" s="38">
        <v>0.47299999999999998</v>
      </c>
      <c r="X53" s="24">
        <f t="shared" si="489"/>
        <v>7001.3459999999995</v>
      </c>
      <c r="Y53" s="38">
        <v>0.42</v>
      </c>
      <c r="Z53" s="24">
        <f t="shared" si="490"/>
        <v>6216.84</v>
      </c>
      <c r="AA53" s="117">
        <v>2.5999999999999999E-3</v>
      </c>
      <c r="AB53" s="18">
        <f t="shared" si="147"/>
        <v>38.485199999999999</v>
      </c>
      <c r="AC53" s="39">
        <v>2.5799999999999998E-3</v>
      </c>
      <c r="AD53" s="17">
        <f t="shared" si="492"/>
        <v>38.189159999999994</v>
      </c>
      <c r="AE53" s="26">
        <f>IF(M53&gt;0,(AG53+AP53)/M53,0)</f>
        <v>2.6325124983110396E-3</v>
      </c>
      <c r="AF53" s="39">
        <v>2.9E-4</v>
      </c>
      <c r="AG53" s="36">
        <f t="shared" si="493"/>
        <v>4.2925800000000001</v>
      </c>
      <c r="AH53" s="27">
        <v>0.2064</v>
      </c>
      <c r="AI53" s="40">
        <f t="shared" si="494"/>
        <v>33.194280000000006</v>
      </c>
      <c r="AJ53" s="27">
        <f t="shared" si="495"/>
        <v>0.88884576197176279</v>
      </c>
      <c r="AK53" s="28">
        <f t="shared" si="6"/>
        <v>0.89103759947803207</v>
      </c>
      <c r="AL53" s="33">
        <v>175</v>
      </c>
      <c r="AM53" s="35">
        <v>8.1000000000000003E-2</v>
      </c>
      <c r="AN53" s="37">
        <v>0.21560000000000001</v>
      </c>
      <c r="AO53" s="103">
        <v>0.22259999999999999</v>
      </c>
      <c r="AP53" s="40">
        <f>AL53*(1-AM53)*AN53</f>
        <v>34.673870000000008</v>
      </c>
      <c r="AQ53" s="104">
        <f t="shared" si="152"/>
        <v>35.799645000000005</v>
      </c>
      <c r="AR53" s="41">
        <v>1.6</v>
      </c>
      <c r="AS53" s="41"/>
      <c r="AT53" s="129">
        <f>AT52+AL53-AS53</f>
        <v>1189.0199999999995</v>
      </c>
      <c r="AU53" s="82"/>
      <c r="AV53" s="42"/>
      <c r="AW53" s="43"/>
      <c r="AX53" s="44"/>
      <c r="AY53" s="44"/>
      <c r="AZ53" s="44"/>
      <c r="BA53" s="44"/>
    </row>
    <row r="54" spans="1:54">
      <c r="A54" s="147"/>
      <c r="B54" s="32">
        <v>3</v>
      </c>
      <c r="C54" s="10" t="s">
        <v>59</v>
      </c>
      <c r="D54" s="42">
        <v>19100</v>
      </c>
      <c r="E54" s="42">
        <v>2</v>
      </c>
      <c r="F54" s="42">
        <v>16770</v>
      </c>
      <c r="G54" s="36">
        <v>0.7</v>
      </c>
      <c r="H54" s="36">
        <v>6.7</v>
      </c>
      <c r="I54" s="42">
        <v>16996</v>
      </c>
      <c r="J54" s="36">
        <v>4.5</v>
      </c>
      <c r="K54" s="42">
        <v>15928</v>
      </c>
      <c r="L54" s="38">
        <v>6.0999999999999999E-2</v>
      </c>
      <c r="M54" s="36">
        <f>ROUND(K54*(1-L54),0)</f>
        <v>14956</v>
      </c>
      <c r="N54" s="27">
        <v>0.79900000000000004</v>
      </c>
      <c r="O54" s="24">
        <f t="shared" si="485"/>
        <v>11949.844000000001</v>
      </c>
      <c r="P54" s="38">
        <v>0.14699999999999999</v>
      </c>
      <c r="Q54" s="24">
        <f t="shared" si="486"/>
        <v>2198.5319999999997</v>
      </c>
      <c r="R54" s="38">
        <v>5.3999999999999999E-2</v>
      </c>
      <c r="S54" s="105"/>
      <c r="T54" s="24">
        <f t="shared" si="487"/>
        <v>807.62400000000002</v>
      </c>
      <c r="U54" s="27">
        <v>0.24199999999999999</v>
      </c>
      <c r="V54" s="24">
        <f t="shared" si="488"/>
        <v>3619.3519999999999</v>
      </c>
      <c r="W54" s="38">
        <v>0.47599999999999998</v>
      </c>
      <c r="X54" s="24">
        <f t="shared" si="489"/>
        <v>7119.0559999999996</v>
      </c>
      <c r="Y54" s="38">
        <v>0.43</v>
      </c>
      <c r="Z54" s="24">
        <f t="shared" si="490"/>
        <v>6431.08</v>
      </c>
      <c r="AA54" s="118">
        <v>2.65E-3</v>
      </c>
      <c r="AB54" s="121">
        <f t="shared" si="147"/>
        <v>39.633400000000002</v>
      </c>
      <c r="AC54" s="45">
        <v>2.66E-3</v>
      </c>
      <c r="AD54" s="17">
        <f t="shared" si="492"/>
        <v>39.782960000000003</v>
      </c>
      <c r="AE54" s="26">
        <f>IF(M54&gt;0,(AG54+AP54)/M54,0)</f>
        <v>3.114508558438085E-3</v>
      </c>
      <c r="AF54" s="45">
        <v>2.7999999999999998E-4</v>
      </c>
      <c r="AG54" s="36">
        <f t="shared" si="493"/>
        <v>4.1876799999999994</v>
      </c>
      <c r="AH54" s="27">
        <v>0.20669999999999999</v>
      </c>
      <c r="AI54" s="40">
        <f t="shared" si="494"/>
        <v>38.098323900000004</v>
      </c>
      <c r="AJ54" s="27">
        <f t="shared" si="495"/>
        <v>0.89595051479099852</v>
      </c>
      <c r="AK54" s="28">
        <f t="shared" si="6"/>
        <v>0.91120747213882891</v>
      </c>
      <c r="AL54" s="42">
        <v>201</v>
      </c>
      <c r="AM54" s="38">
        <v>8.3000000000000004E-2</v>
      </c>
      <c r="AN54" s="27">
        <v>0.23</v>
      </c>
      <c r="AO54" s="105">
        <v>0.2334</v>
      </c>
      <c r="AP54" s="40">
        <f>AL54*(1-AM54)*AN54</f>
        <v>42.392910000000001</v>
      </c>
      <c r="AQ54" s="106">
        <f t="shared" si="152"/>
        <v>43.019587800000004</v>
      </c>
      <c r="AR54" s="17">
        <v>1.6</v>
      </c>
      <c r="AS54" s="17"/>
      <c r="AT54" s="129">
        <f>AT53+AL54-AS54</f>
        <v>1390.0199999999995</v>
      </c>
      <c r="AU54" s="82"/>
      <c r="AV54" s="42"/>
      <c r="AW54" s="46"/>
      <c r="AX54" s="40"/>
      <c r="AY54" s="40"/>
      <c r="AZ54" s="40"/>
      <c r="BA54" s="40"/>
    </row>
    <row r="55" spans="1:54">
      <c r="A55" s="148"/>
      <c r="B55" s="47" t="s">
        <v>56</v>
      </c>
      <c r="C55" s="48"/>
      <c r="D55" s="49">
        <f t="shared" ref="D55" si="497">SUM(D52:D54)</f>
        <v>43184</v>
      </c>
      <c r="E55" s="49"/>
      <c r="F55" s="49">
        <f t="shared" ref="F55" si="498">SUM(F52:F54)</f>
        <v>41752</v>
      </c>
      <c r="G55" s="50"/>
      <c r="H55" s="50"/>
      <c r="I55" s="49">
        <f t="shared" ref="I55:K55" si="499">SUM(I52:I54)</f>
        <v>40899</v>
      </c>
      <c r="J55" s="50"/>
      <c r="K55" s="49">
        <f t="shared" si="499"/>
        <v>47509</v>
      </c>
      <c r="L55" s="20">
        <f t="shared" ref="L55" si="500">IF(K55&gt;0,(K52*L52+K53*L53+K54*L54)/K55,0)</f>
        <v>5.8003788755814689E-2</v>
      </c>
      <c r="M55" s="50">
        <f t="shared" ref="M55" si="501">M52+M53+M54</f>
        <v>44753</v>
      </c>
      <c r="N55" s="51">
        <f t="shared" ref="N55" si="502">IF(M55&gt;0,O55/M55,0)</f>
        <v>0.72159352445646108</v>
      </c>
      <c r="O55" s="52">
        <f t="shared" ref="O55" si="503">O52+O53+O54</f>
        <v>32293.475000000002</v>
      </c>
      <c r="P55" s="20">
        <f t="shared" ref="P55" si="504">IF(M55&gt;0,Q55/M55,0)</f>
        <v>0.22999470426563581</v>
      </c>
      <c r="Q55" s="52">
        <f t="shared" ref="Q55" si="505">Q52+Q53+Q54</f>
        <v>10292.953</v>
      </c>
      <c r="R55" s="20">
        <f t="shared" ref="R55" si="506">IF(M55&gt;0,T55/M55,0)</f>
        <v>4.8411771277903158E-2</v>
      </c>
      <c r="S55" s="107"/>
      <c r="T55" s="52">
        <f t="shared" ref="T55" si="507">T52+T53+T54</f>
        <v>2166.5720000000001</v>
      </c>
      <c r="U55" s="20">
        <f t="shared" ref="U55" si="508">IF(M55&gt;0,V55/M55,0)</f>
        <v>0.23898444796996851</v>
      </c>
      <c r="V55" s="52">
        <f t="shared" ref="V55" si="509">V52+V53+V54</f>
        <v>10695.271000000001</v>
      </c>
      <c r="W55" s="20">
        <f t="shared" ref="W55" si="510">IF(M55&gt;0,X55/M55,0)</f>
        <v>0.47869342837351686</v>
      </c>
      <c r="X55" s="52">
        <f t="shared" ref="X55" si="511">X52+X53+X54</f>
        <v>21422.967000000001</v>
      </c>
      <c r="Y55" s="20">
        <f t="shared" ref="Y55" si="512">IF(M55&gt;0,Z55/M55,0)</f>
        <v>0.40993944540030836</v>
      </c>
      <c r="Z55" s="52">
        <f t="shared" ref="Z55" si="513">Z52+Z53+Z54</f>
        <v>18346.02</v>
      </c>
      <c r="AA55" s="119">
        <f>IF(M55&gt;0,AB55/M55,0)</f>
        <v>2.6636180814693985E-3</v>
      </c>
      <c r="AB55" s="54">
        <f t="shared" ref="AB55" si="514">SUM(AB52:AB54)</f>
        <v>119.20489999999998</v>
      </c>
      <c r="AC55" s="53">
        <f t="shared" ref="AC55" si="515">IF(M55&gt;0,AD55/M55,0)</f>
        <v>2.6603450048041468E-3</v>
      </c>
      <c r="AD55" s="54">
        <f t="shared" ref="AD55" si="516">SUM(AD52:AD54)</f>
        <v>119.05841999999998</v>
      </c>
      <c r="AE55" s="53">
        <f t="shared" ref="AE55" si="517">IF(M55&gt;0,(AE52*M52+AE53*M53+AE54*M54)/M55,0)</f>
        <v>2.8597965544209332E-3</v>
      </c>
      <c r="AF55" s="53">
        <f t="shared" ref="AF55" si="518">IF(K55&gt;0,(K52*AF52+K53*AF53+K54*AF54)/K55,0)</f>
        <v>2.8330737333978823E-4</v>
      </c>
      <c r="AG55" s="50">
        <f t="shared" ref="AG55" si="519">SUM(AG52:AG54)</f>
        <v>12.67886</v>
      </c>
      <c r="AH55" s="51">
        <f t="shared" ref="AH55" si="520">IF(K55&gt;0,(K52*AH52+K53*AH53+K54*AH54)/K55,0)</f>
        <v>0.20593277905239007</v>
      </c>
      <c r="AI55" s="56">
        <f t="shared" ref="AI55" si="521">SUM(AI52:AI54)</f>
        <v>107.21499750000001</v>
      </c>
      <c r="AJ55" s="51">
        <f t="shared" ref="AJ55" si="522">IF(AND(AD55&gt;0),((AD52*AJ52+AD53*AJ53+AD54*AJ54)/AD55),0)</f>
        <v>0.8947377486045186</v>
      </c>
      <c r="AK55" s="55">
        <f t="shared" si="6"/>
        <v>0.90208982568463747</v>
      </c>
      <c r="AL55" s="49">
        <f t="shared" ref="AL55" si="523">SUM(AL52:AL54)</f>
        <v>568</v>
      </c>
      <c r="AM55" s="20">
        <f t="shared" ref="AM55" si="524">IF(AL55&gt;0,(AM52*AL52+AM53*AL53+AM54*AL54)/AL55,0)</f>
        <v>8.3397887323943667E-2</v>
      </c>
      <c r="AN55" s="51">
        <f>IF(K55&gt;0,(AN52*K52+AN53*K53+AN54*K54)/K55,0)</f>
        <v>0.22119598391883646</v>
      </c>
      <c r="AO55" s="107">
        <f>IF(L55&gt;0,(AO52*K52+AO53*K53+AO54*K54)/K55,0)</f>
        <v>0.22692223789176785</v>
      </c>
      <c r="AP55" s="56">
        <f t="shared" ref="AP55:AQ67" si="525">SUM(AP52:AP54)</f>
        <v>115.30561520000001</v>
      </c>
      <c r="AQ55" s="108">
        <f t="shared" si="525"/>
        <v>118.2513864</v>
      </c>
      <c r="AR55" s="54"/>
      <c r="AS55" s="54">
        <f t="shared" ref="AS55" si="526">SUM(AS52:AS54)</f>
        <v>1006.02</v>
      </c>
      <c r="AT55" s="83"/>
      <c r="AU55" s="84">
        <f>AT54</f>
        <v>1390.0199999999995</v>
      </c>
      <c r="AV55" s="49">
        <f t="shared" ref="AV55" si="527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53</v>
      </c>
      <c r="D56" s="11">
        <v>5621</v>
      </c>
      <c r="E56" s="11">
        <v>1</v>
      </c>
      <c r="F56" s="11">
        <v>16522</v>
      </c>
      <c r="G56" s="12">
        <v>0.4</v>
      </c>
      <c r="H56" s="12">
        <v>5.4</v>
      </c>
      <c r="I56" s="11">
        <v>16327</v>
      </c>
      <c r="J56" s="12">
        <v>5.2</v>
      </c>
      <c r="K56" s="11">
        <v>15844</v>
      </c>
      <c r="L56" s="13">
        <v>5.5E-2</v>
      </c>
      <c r="M56" s="23">
        <f>ROUND(K56*(1-L56),0)</f>
        <v>14973</v>
      </c>
      <c r="N56" s="14">
        <v>0.67500000000000004</v>
      </c>
      <c r="O56" s="24">
        <f t="shared" ref="O56:O58" si="528">M56*N56</f>
        <v>10106.775000000001</v>
      </c>
      <c r="P56" s="13">
        <v>0.28499999999999998</v>
      </c>
      <c r="Q56" s="24">
        <f t="shared" ref="Q56:Q58" si="529">M56*P56</f>
        <v>4267.3049999999994</v>
      </c>
      <c r="R56" s="15">
        <v>0.04</v>
      </c>
      <c r="S56" s="112"/>
      <c r="T56" s="24">
        <f t="shared" ref="T56:T58" si="530">M56*R56</f>
        <v>598.91999999999996</v>
      </c>
      <c r="U56" s="25">
        <v>0.23799999999999999</v>
      </c>
      <c r="V56" s="24">
        <f t="shared" ref="V56:V58" si="531">M56*U56</f>
        <v>3563.5739999999996</v>
      </c>
      <c r="W56" s="15">
        <v>0.46600000000000003</v>
      </c>
      <c r="X56" s="24">
        <f t="shared" ref="X56:X58" si="532">M56*W56</f>
        <v>6977.4180000000006</v>
      </c>
      <c r="Y56" s="15">
        <v>0.43</v>
      </c>
      <c r="Z56" s="24">
        <f t="shared" ref="Z56:Z58" si="533">Y56*M56</f>
        <v>6438.39</v>
      </c>
      <c r="AA56" s="116">
        <v>2.82E-3</v>
      </c>
      <c r="AB56" s="18">
        <f t="shared" ref="AB56" si="534">M56*AA56</f>
        <v>42.223860000000002</v>
      </c>
      <c r="AC56" s="16">
        <v>2.8300000000000001E-3</v>
      </c>
      <c r="AD56" s="17">
        <f t="shared" ref="AD56:AD58" si="535">M56*AC56</f>
        <v>42.37359</v>
      </c>
      <c r="AE56" s="26">
        <f>IF(M56&gt;0,(AG56+AP56)/M56,0)</f>
        <v>2.6746967541574833E-3</v>
      </c>
      <c r="AF56" s="16">
        <v>2.7E-4</v>
      </c>
      <c r="AG56" s="23">
        <f t="shared" ref="AG56:AG58" si="536">AF56*M56</f>
        <v>4.0427100000000005</v>
      </c>
      <c r="AH56" s="92">
        <v>0.20680000000000001</v>
      </c>
      <c r="AI56" s="29">
        <f t="shared" ref="AI56:AI58" si="537">AL56*(1-AM56)*AH56</f>
        <v>34.551937200000005</v>
      </c>
      <c r="AJ56" s="27">
        <f t="shared" ref="AJ56:AJ58" si="538">IF(AND(AH56&gt;0,AF56&gt;0,AC56&gt;0),((AC56-AF56)*AH56)/((AH56-AF56)*AC56),0)</f>
        <v>0.90577622943064429</v>
      </c>
      <c r="AK56" s="58">
        <f t="shared" si="6"/>
        <v>0.90018181502853956</v>
      </c>
      <c r="AL56" s="11">
        <v>183</v>
      </c>
      <c r="AM56" s="13">
        <v>8.6999999999999994E-2</v>
      </c>
      <c r="AN56" s="14">
        <v>0.2155</v>
      </c>
      <c r="AO56" s="101">
        <v>0.2263</v>
      </c>
      <c r="AP56" s="29">
        <f>AL56*(1-AM56)*AN56</f>
        <v>36.0055245</v>
      </c>
      <c r="AQ56" s="102">
        <f t="shared" ref="AQ56" si="539">AL56*(1-AM56)*AO56</f>
        <v>37.809977700000005</v>
      </c>
      <c r="AR56" s="18">
        <v>1.64</v>
      </c>
      <c r="AS56" s="18">
        <v>1005.56</v>
      </c>
      <c r="AT56" s="79">
        <f>AT54+AL56-AS56+AU56</f>
        <v>582.89999999999964</v>
      </c>
      <c r="AU56" s="80">
        <v>15.44</v>
      </c>
      <c r="AV56" s="11"/>
      <c r="AW56" s="30"/>
      <c r="AX56" s="19"/>
      <c r="AY56" s="19"/>
      <c r="AZ56" s="19"/>
      <c r="BA56" s="19"/>
    </row>
    <row r="57" spans="1:54">
      <c r="A57" s="147"/>
      <c r="B57" s="32">
        <v>2</v>
      </c>
      <c r="C57" s="10" t="s">
        <v>57</v>
      </c>
      <c r="D57" s="33">
        <v>21545</v>
      </c>
      <c r="E57" s="33">
        <v>6</v>
      </c>
      <c r="F57" s="33">
        <v>16672</v>
      </c>
      <c r="G57" s="34">
        <v>0.5</v>
      </c>
      <c r="H57" s="34">
        <v>5.4</v>
      </c>
      <c r="I57" s="33">
        <v>16296</v>
      </c>
      <c r="J57" s="34">
        <v>4.5999999999999996</v>
      </c>
      <c r="K57" s="33">
        <v>15920</v>
      </c>
      <c r="L57" s="35">
        <v>6.3E-2</v>
      </c>
      <c r="M57" s="36">
        <f>ROUND(K57*(1-L57),0)</f>
        <v>14917</v>
      </c>
      <c r="N57" s="37">
        <v>0.69699999999999995</v>
      </c>
      <c r="O57" s="24">
        <f t="shared" si="528"/>
        <v>10397.148999999999</v>
      </c>
      <c r="P57" s="35">
        <v>0.25800000000000001</v>
      </c>
      <c r="Q57" s="24">
        <f t="shared" si="529"/>
        <v>3848.5860000000002</v>
      </c>
      <c r="R57" s="38">
        <v>4.4999999999999998E-2</v>
      </c>
      <c r="S57" s="105"/>
      <c r="T57" s="24">
        <f t="shared" si="530"/>
        <v>671.26499999999999</v>
      </c>
      <c r="U57" s="27">
        <v>0.24199999999999999</v>
      </c>
      <c r="V57" s="24">
        <f t="shared" si="531"/>
        <v>3609.9139999999998</v>
      </c>
      <c r="W57" s="38">
        <v>0.47899999999999998</v>
      </c>
      <c r="X57" s="24">
        <f t="shared" si="532"/>
        <v>7145.2429999999995</v>
      </c>
      <c r="Y57" s="38">
        <v>0.44</v>
      </c>
      <c r="Z57" s="24">
        <f t="shared" si="533"/>
        <v>6563.4800000000005</v>
      </c>
      <c r="AA57" s="117">
        <v>2.7899999999999999E-3</v>
      </c>
      <c r="AB57" s="18">
        <f t="shared" si="147"/>
        <v>41.618429999999996</v>
      </c>
      <c r="AC57" s="39">
        <v>2.8500000000000001E-3</v>
      </c>
      <c r="AD57" s="17">
        <f t="shared" si="535"/>
        <v>42.513449999999999</v>
      </c>
      <c r="AE57" s="26">
        <f>IF(M57&gt;0,(AG57+AP57)/M57,0)</f>
        <v>3.0017447744184488E-3</v>
      </c>
      <c r="AF57" s="39">
        <v>2.7E-4</v>
      </c>
      <c r="AG57" s="36">
        <f t="shared" si="536"/>
        <v>4.02759</v>
      </c>
      <c r="AH57" s="27">
        <v>0.2049</v>
      </c>
      <c r="AI57" s="40">
        <f t="shared" si="537"/>
        <v>38.494972799999999</v>
      </c>
      <c r="AJ57" s="27">
        <f t="shared" si="538"/>
        <v>0.90645761155564475</v>
      </c>
      <c r="AK57" s="28">
        <f t="shared" si="6"/>
        <v>0.91118656994888569</v>
      </c>
      <c r="AL57" s="33">
        <v>206</v>
      </c>
      <c r="AM57" s="35">
        <v>8.7999999999999995E-2</v>
      </c>
      <c r="AN57" s="37">
        <v>0.21690000000000001</v>
      </c>
      <c r="AO57" s="103">
        <v>0.2235</v>
      </c>
      <c r="AP57" s="40">
        <f>AL57*(1-AM57)*AN57</f>
        <v>40.749436800000005</v>
      </c>
      <c r="AQ57" s="104">
        <f t="shared" si="152"/>
        <v>41.989392000000002</v>
      </c>
      <c r="AR57" s="41">
        <v>1.65</v>
      </c>
      <c r="AS57" s="41"/>
      <c r="AT57" s="129">
        <f>AT56+AL57-AS57</f>
        <v>788.89999999999964</v>
      </c>
      <c r="AU57" s="82"/>
      <c r="AV57" s="42"/>
      <c r="AW57" s="43"/>
      <c r="AX57" s="44"/>
      <c r="AY57" s="44"/>
      <c r="AZ57" s="44"/>
      <c r="BA57" s="44"/>
    </row>
    <row r="58" spans="1:54">
      <c r="A58" s="147"/>
      <c r="B58" s="32">
        <v>3</v>
      </c>
      <c r="C58" s="10" t="s">
        <v>59</v>
      </c>
      <c r="D58" s="42">
        <v>20400</v>
      </c>
      <c r="E58" s="42">
        <v>2</v>
      </c>
      <c r="F58" s="42">
        <v>17602</v>
      </c>
      <c r="G58" s="36">
        <v>0.3</v>
      </c>
      <c r="H58" s="36">
        <v>4.3</v>
      </c>
      <c r="I58" s="42">
        <v>17416</v>
      </c>
      <c r="J58" s="36">
        <v>4.2</v>
      </c>
      <c r="K58" s="42">
        <v>15878</v>
      </c>
      <c r="L58" s="38">
        <v>6.7000000000000004E-2</v>
      </c>
      <c r="M58" s="36">
        <f>ROUND(K58*(1-L58),0)</f>
        <v>14814</v>
      </c>
      <c r="N58" s="27">
        <v>0.76900000000000002</v>
      </c>
      <c r="O58" s="24">
        <f t="shared" si="528"/>
        <v>11391.966</v>
      </c>
      <c r="P58" s="38">
        <v>0.17399999999999999</v>
      </c>
      <c r="Q58" s="24">
        <f t="shared" si="529"/>
        <v>2577.636</v>
      </c>
      <c r="R58" s="38">
        <v>5.7000000000000002E-2</v>
      </c>
      <c r="S58" s="105"/>
      <c r="T58" s="24">
        <f t="shared" si="530"/>
        <v>844.39800000000002</v>
      </c>
      <c r="U58" s="27">
        <v>0.251</v>
      </c>
      <c r="V58" s="24">
        <f t="shared" si="531"/>
        <v>3718.3139999999999</v>
      </c>
      <c r="W58" s="38">
        <v>0.44900000000000001</v>
      </c>
      <c r="X58" s="24">
        <f t="shared" si="532"/>
        <v>6651.4859999999999</v>
      </c>
      <c r="Y58" s="38">
        <v>0.44</v>
      </c>
      <c r="Z58" s="24">
        <f t="shared" si="533"/>
        <v>6518.16</v>
      </c>
      <c r="AA58" s="118">
        <v>2.64E-3</v>
      </c>
      <c r="AB58" s="121">
        <f t="shared" si="147"/>
        <v>39.108960000000003</v>
      </c>
      <c r="AC58" s="45">
        <v>2.8700000000000002E-3</v>
      </c>
      <c r="AD58" s="17">
        <f t="shared" si="535"/>
        <v>42.516180000000006</v>
      </c>
      <c r="AE58" s="26">
        <f>IF(M58&gt;0,(AG58+AP58)/M58,0)</f>
        <v>2.9390293101120564E-3</v>
      </c>
      <c r="AF58" s="45">
        <v>2.7E-4</v>
      </c>
      <c r="AG58" s="36">
        <f t="shared" si="536"/>
        <v>3.9997799999999999</v>
      </c>
      <c r="AH58" s="27">
        <v>0.20419999999999999</v>
      </c>
      <c r="AI58" s="40">
        <f t="shared" si="537"/>
        <v>37.887676399999997</v>
      </c>
      <c r="AJ58" s="27">
        <f t="shared" si="538"/>
        <v>0.90712277270792696</v>
      </c>
      <c r="AK58" s="28">
        <f t="shared" si="6"/>
        <v>0.9092850077854493</v>
      </c>
      <c r="AL58" s="42">
        <v>203</v>
      </c>
      <c r="AM58" s="38">
        <v>8.5999999999999993E-2</v>
      </c>
      <c r="AN58" s="27">
        <v>0.21310000000000001</v>
      </c>
      <c r="AO58" s="105">
        <v>0.2155</v>
      </c>
      <c r="AP58" s="40">
        <f>AL58*(1-AM58)*AN58</f>
        <v>39.539000200000004</v>
      </c>
      <c r="AQ58" s="106">
        <f t="shared" si="152"/>
        <v>39.984301000000002</v>
      </c>
      <c r="AR58" s="17">
        <v>1.65</v>
      </c>
      <c r="AS58" s="17"/>
      <c r="AT58" s="129">
        <f>AT57+AL58-AS58</f>
        <v>991.89999999999964</v>
      </c>
      <c r="AU58" s="82"/>
      <c r="AV58" s="42"/>
      <c r="AW58" s="46"/>
      <c r="AX58" s="40"/>
      <c r="AY58" s="40"/>
      <c r="AZ58" s="40"/>
      <c r="BA58" s="40"/>
    </row>
    <row r="59" spans="1:54">
      <c r="A59" s="148"/>
      <c r="B59" s="47" t="s">
        <v>56</v>
      </c>
      <c r="C59" s="48"/>
      <c r="D59" s="49">
        <f t="shared" ref="D59" si="540">SUM(D56:D58)</f>
        <v>47566</v>
      </c>
      <c r="E59" s="49"/>
      <c r="F59" s="49">
        <f t="shared" ref="F59" si="541">SUM(F56:F58)</f>
        <v>50796</v>
      </c>
      <c r="G59" s="50"/>
      <c r="H59" s="50"/>
      <c r="I59" s="49">
        <f t="shared" ref="I59:K59" si="542">SUM(I56:I58)</f>
        <v>50039</v>
      </c>
      <c r="J59" s="50"/>
      <c r="K59" s="49">
        <f t="shared" si="542"/>
        <v>47642</v>
      </c>
      <c r="L59" s="20">
        <f t="shared" ref="L59" si="543">IF(K59&gt;0,(K56*L56+K57*L57+K58*L58)/K59,0)</f>
        <v>6.1672599806893082E-2</v>
      </c>
      <c r="M59" s="50">
        <f t="shared" ref="M59" si="544">M56+M57+M58</f>
        <v>44704</v>
      </c>
      <c r="N59" s="51">
        <f t="shared" ref="N59" si="545">IF(M59&gt;0,O59/M59,0)</f>
        <v>0.71349073908375094</v>
      </c>
      <c r="O59" s="52">
        <f t="shared" ref="O59" si="546">O56+O57+O58</f>
        <v>31895.89</v>
      </c>
      <c r="P59" s="20">
        <f t="shared" ref="P59" si="547">IF(M59&gt;0,Q59/M59,0)</f>
        <v>0.23920738636363637</v>
      </c>
      <c r="Q59" s="52">
        <f t="shared" ref="Q59" si="548">Q56+Q57+Q58</f>
        <v>10693.527</v>
      </c>
      <c r="R59" s="20">
        <f t="shared" ref="R59" si="549">IF(M59&gt;0,T59/M59,0)</f>
        <v>4.7301874552612741E-2</v>
      </c>
      <c r="S59" s="107"/>
      <c r="T59" s="52">
        <f t="shared" ref="T59" si="550">T56+T57+T58</f>
        <v>2114.5830000000001</v>
      </c>
      <c r="U59" s="20">
        <f t="shared" ref="U59" si="551">IF(M59&gt;0,V59/M59,0)</f>
        <v>0.24364267179670723</v>
      </c>
      <c r="V59" s="52">
        <f t="shared" ref="V59" si="552">V56+V57+V58</f>
        <v>10891.802</v>
      </c>
      <c r="W59" s="20">
        <f t="shared" ref="W59" si="553">IF(M59&gt;0,X59/M59,0)</f>
        <v>0.46470443360773089</v>
      </c>
      <c r="X59" s="52">
        <f t="shared" ref="X59" si="554">X56+X57+X58</f>
        <v>20774.147000000001</v>
      </c>
      <c r="Y59" s="20">
        <f t="shared" ref="Y59" si="555">IF(M59&gt;0,Z59/M59,0)</f>
        <v>0.43665063528990694</v>
      </c>
      <c r="Z59" s="52">
        <f t="shared" ref="Z59" si="556">Z56+Z57+Z58</f>
        <v>19520.03</v>
      </c>
      <c r="AA59" s="119">
        <f>IF(M59&gt;0,AB59/M59,0)</f>
        <v>2.750341132784538E-3</v>
      </c>
      <c r="AB59" s="54">
        <f t="shared" ref="AB59" si="557">SUM(AB56:AB58)</f>
        <v>122.95124999999999</v>
      </c>
      <c r="AC59" s="53">
        <f t="shared" ref="AC59" si="558">IF(M59&gt;0,AD59/M59,0)</f>
        <v>2.8499288654259126E-3</v>
      </c>
      <c r="AD59" s="54">
        <f t="shared" ref="AD59" si="559">SUM(AD56:AD58)</f>
        <v>127.40322</v>
      </c>
      <c r="AE59" s="53">
        <f t="shared" ref="AE59" si="560">IF(M59&gt;0,(AE56*M56+AE57*M57+AE58*M58)/M59,0)</f>
        <v>2.8714218302612737E-3</v>
      </c>
      <c r="AF59" s="53">
        <f t="shared" ref="AF59" si="561">IF(K59&gt;0,(K56*AF56+K57*AF57+K58*AF58)/K59,0)</f>
        <v>2.7E-4</v>
      </c>
      <c r="AG59" s="50">
        <f t="shared" ref="AG59" si="562">SUM(AG56:AG58)</f>
        <v>12.070079999999999</v>
      </c>
      <c r="AH59" s="51">
        <f t="shared" ref="AH59" si="563">IF(K59&gt;0,(K56*AH56+K57*AH57+K58*AH58)/K59,0)</f>
        <v>0.205298576885941</v>
      </c>
      <c r="AI59" s="56">
        <f t="shared" ref="AI59" si="564">SUM(AI56:AI58)</f>
        <v>110.9345864</v>
      </c>
      <c r="AJ59" s="51">
        <f t="shared" ref="AJ59" si="565">IF(AND(AD59&gt;0),((AD56*AJ56+AD57*AJ57+AD58*AJ58)/AD59),0)</f>
        <v>0.90645296100192518</v>
      </c>
      <c r="AK59" s="55">
        <f t="shared" si="6"/>
        <v>0.90710819842469226</v>
      </c>
      <c r="AL59" s="49">
        <f t="shared" ref="AL59" si="566">SUM(AL56:AL58)</f>
        <v>592</v>
      </c>
      <c r="AM59" s="20">
        <f t="shared" ref="AM59" si="567">IF(AL59&gt;0,(AM56*AL56+AM57*AL57+AM58*AL58)/AL59,0)</f>
        <v>8.7005067567567568E-2</v>
      </c>
      <c r="AN59" s="51">
        <f>IF(K59&gt;0,(AN56*K56+AN57*K57+AN58*K58)/K59,0)</f>
        <v>0.21516795684480081</v>
      </c>
      <c r="AO59" s="107">
        <f>IF(L59&gt;0,(AO56*K56+AO57*K57+AO58*K58)/K59,0)</f>
        <v>0.22176495948952604</v>
      </c>
      <c r="AP59" s="56">
        <f t="shared" ref="AP59" si="568">SUM(AP56:AP58)</f>
        <v>116.29396150000001</v>
      </c>
      <c r="AQ59" s="108">
        <f t="shared" si="525"/>
        <v>119.7836707</v>
      </c>
      <c r="AR59" s="54"/>
      <c r="AS59" s="54">
        <f t="shared" ref="AS59" si="569">SUM(AS56:AS58)</f>
        <v>1005.56</v>
      </c>
      <c r="AT59" s="83"/>
      <c r="AU59" s="84">
        <f>AT58</f>
        <v>991.89999999999964</v>
      </c>
      <c r="AV59" s="49">
        <f t="shared" ref="AV59" si="570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53</v>
      </c>
      <c r="D60" s="11">
        <v>5603</v>
      </c>
      <c r="E60" s="11">
        <v>1</v>
      </c>
      <c r="F60" s="11">
        <v>13730</v>
      </c>
      <c r="G60" s="12">
        <v>0.8</v>
      </c>
      <c r="H60" s="12">
        <v>5.4</v>
      </c>
      <c r="I60" s="11">
        <v>14257</v>
      </c>
      <c r="J60" s="12">
        <v>4.5999999999999996</v>
      </c>
      <c r="K60" s="11">
        <v>15676</v>
      </c>
      <c r="L60" s="13">
        <v>4.8000000000000001E-2</v>
      </c>
      <c r="M60" s="23">
        <f>ROUND(K60*(1-L60),0)</f>
        <v>14924</v>
      </c>
      <c r="N60" s="14">
        <v>0.66800000000000004</v>
      </c>
      <c r="O60" s="24">
        <f t="shared" ref="O60:O62" si="571">M60*N60</f>
        <v>9969.232</v>
      </c>
      <c r="P60" s="13">
        <v>0.28899999999999998</v>
      </c>
      <c r="Q60" s="24">
        <f t="shared" ref="Q60:Q62" si="572">M60*P60</f>
        <v>4313.0360000000001</v>
      </c>
      <c r="R60" s="15">
        <v>4.2999999999999997E-2</v>
      </c>
      <c r="S60" s="112"/>
      <c r="T60" s="24">
        <f t="shared" ref="T60:T62" si="573">M60*R60</f>
        <v>641.73199999999997</v>
      </c>
      <c r="U60" s="25">
        <v>0.23599999999999999</v>
      </c>
      <c r="V60" s="24">
        <f t="shared" ref="V60:V62" si="574">M60*U60</f>
        <v>3522.0639999999999</v>
      </c>
      <c r="W60" s="15">
        <v>0.48</v>
      </c>
      <c r="X60" s="24">
        <f t="shared" ref="X60:X62" si="575">M60*W60</f>
        <v>7163.5199999999995</v>
      </c>
      <c r="Y60" s="15">
        <v>0.43</v>
      </c>
      <c r="Z60" s="24">
        <f t="shared" ref="Z60:Z62" si="576">Y60*M60</f>
        <v>6417.32</v>
      </c>
      <c r="AA60" s="116">
        <v>2.8900000000000002E-3</v>
      </c>
      <c r="AB60" s="18">
        <f t="shared" ref="AB60" si="577">M60*AA60</f>
        <v>43.130360000000003</v>
      </c>
      <c r="AC60" s="16">
        <v>3.0899999999999999E-3</v>
      </c>
      <c r="AD60" s="17">
        <f t="shared" ref="AD60:AD62" si="578">M60*AC60</f>
        <v>46.115159999999996</v>
      </c>
      <c r="AE60" s="26">
        <f>IF(M60&gt;0,(AG60+AP60)/M60,0)</f>
        <v>2.8065953832752612E-3</v>
      </c>
      <c r="AF60" s="16">
        <v>2.7E-4</v>
      </c>
      <c r="AG60" s="23">
        <f t="shared" ref="AG60:AG62" si="579">AF60*M60</f>
        <v>4.0294800000000004</v>
      </c>
      <c r="AH60" s="92">
        <v>0.2054</v>
      </c>
      <c r="AI60" s="29">
        <f t="shared" ref="AI60:AI62" si="580">AL60*(1-AM60)*AH60</f>
        <v>36.488283000000003</v>
      </c>
      <c r="AJ60" s="27">
        <f t="shared" ref="AJ60:AJ62" si="581">IF(AND(AH60&gt;0,AF60&gt;0,AC60&gt;0),((AC60-AF60)*AH60)/((AH60-AF60)*AC60),0)</f>
        <v>0.91382258657663928</v>
      </c>
      <c r="AK60" s="58">
        <f t="shared" si="6"/>
        <v>0.90494460631637508</v>
      </c>
      <c r="AL60" s="11">
        <v>195</v>
      </c>
      <c r="AM60" s="13">
        <v>8.8999999999999996E-2</v>
      </c>
      <c r="AN60" s="14">
        <v>0.21310000000000001</v>
      </c>
      <c r="AO60" s="101">
        <v>0.21779999999999999</v>
      </c>
      <c r="AP60" s="29">
        <f>AL60*(1-AM60)*AN60</f>
        <v>37.856149500000001</v>
      </c>
      <c r="AQ60" s="102">
        <f t="shared" ref="AQ60" si="582">AL60*(1-AM60)*AO60</f>
        <v>38.691081000000004</v>
      </c>
      <c r="AR60" s="18">
        <v>1.6</v>
      </c>
      <c r="AS60" s="18">
        <v>509.64</v>
      </c>
      <c r="AT60" s="79">
        <f>AT58+AL60-AS60</f>
        <v>677.25999999999965</v>
      </c>
      <c r="AU60" s="80"/>
      <c r="AV60" s="11"/>
      <c r="AW60" s="30"/>
      <c r="AX60" s="19"/>
      <c r="AY60" s="19"/>
      <c r="AZ60" s="19"/>
      <c r="BA60" s="19"/>
    </row>
    <row r="61" spans="1:54">
      <c r="A61" s="147"/>
      <c r="B61" s="32">
        <v>2</v>
      </c>
      <c r="C61" s="10" t="s">
        <v>54</v>
      </c>
      <c r="D61" s="33">
        <v>16297</v>
      </c>
      <c r="E61" s="33">
        <v>11</v>
      </c>
      <c r="F61" s="33">
        <v>17859</v>
      </c>
      <c r="G61" s="34">
        <v>0.5</v>
      </c>
      <c r="H61" s="34">
        <v>5</v>
      </c>
      <c r="I61" s="33">
        <v>17140</v>
      </c>
      <c r="J61" s="34">
        <v>4.2</v>
      </c>
      <c r="K61" s="33">
        <v>15563</v>
      </c>
      <c r="L61" s="35">
        <v>5.7000000000000002E-2</v>
      </c>
      <c r="M61" s="36">
        <f>ROUND(K61*(1-L61),0)</f>
        <v>14676</v>
      </c>
      <c r="N61" s="37">
        <v>0.76</v>
      </c>
      <c r="O61" s="24">
        <f t="shared" si="571"/>
        <v>11153.76</v>
      </c>
      <c r="P61" s="35">
        <v>0.184</v>
      </c>
      <c r="Q61" s="24">
        <f t="shared" si="572"/>
        <v>2700.384</v>
      </c>
      <c r="R61" s="38">
        <v>5.6000000000000001E-2</v>
      </c>
      <c r="S61" s="105"/>
      <c r="T61" s="24">
        <f t="shared" si="573"/>
        <v>821.85599999999999</v>
      </c>
      <c r="U61" s="27">
        <v>0.23300000000000001</v>
      </c>
      <c r="V61" s="24">
        <f t="shared" si="574"/>
        <v>3419.5080000000003</v>
      </c>
      <c r="W61" s="38">
        <v>0.48699999999999999</v>
      </c>
      <c r="X61" s="24">
        <f t="shared" si="575"/>
        <v>7147.2119999999995</v>
      </c>
      <c r="Y61" s="38">
        <v>0.43</v>
      </c>
      <c r="Z61" s="24">
        <f t="shared" si="576"/>
        <v>6310.68</v>
      </c>
      <c r="AA61" s="117">
        <v>2.96E-3</v>
      </c>
      <c r="AB61" s="18">
        <f t="shared" si="147"/>
        <v>43.440959999999997</v>
      </c>
      <c r="AC61" s="39">
        <v>2.98E-3</v>
      </c>
      <c r="AD61" s="17">
        <f t="shared" si="578"/>
        <v>43.734479999999998</v>
      </c>
      <c r="AE61" s="26">
        <f>IF(M61&gt;0,(AG61+AP61)/M61,0)</f>
        <v>2.814738695829926E-3</v>
      </c>
      <c r="AF61" s="39">
        <v>2.7999999999999998E-4</v>
      </c>
      <c r="AG61" s="36">
        <f t="shared" si="579"/>
        <v>4.10928</v>
      </c>
      <c r="AH61" s="27">
        <v>0.2009</v>
      </c>
      <c r="AI61" s="40">
        <f t="shared" si="580"/>
        <v>37.801946700000002</v>
      </c>
      <c r="AJ61" s="27">
        <f t="shared" si="581"/>
        <v>0.9073048047696437</v>
      </c>
      <c r="AK61" s="28">
        <f t="shared" si="6"/>
        <v>0.90180083479546136</v>
      </c>
      <c r="AL61" s="33">
        <v>207</v>
      </c>
      <c r="AM61" s="35">
        <v>9.0999999999999998E-2</v>
      </c>
      <c r="AN61" s="37">
        <v>0.19769999999999999</v>
      </c>
      <c r="AO61" s="103">
        <v>0.1978</v>
      </c>
      <c r="AP61" s="40">
        <f>AL61*(1-AM61)*AN61</f>
        <v>37.199825099999998</v>
      </c>
      <c r="AQ61" s="104">
        <f t="shared" si="152"/>
        <v>37.218641400000003</v>
      </c>
      <c r="AR61" s="41">
        <v>1.6</v>
      </c>
      <c r="AS61" s="41"/>
      <c r="AT61" s="129">
        <f>AT60+AL61-AS61</f>
        <v>884.25999999999965</v>
      </c>
      <c r="AU61" s="82"/>
      <c r="AV61" s="42"/>
      <c r="AW61" s="43"/>
      <c r="AX61" s="44"/>
      <c r="AY61" s="44"/>
      <c r="AZ61" s="44"/>
      <c r="BA61" s="44"/>
    </row>
    <row r="62" spans="1:54">
      <c r="A62" s="147"/>
      <c r="B62" s="32">
        <v>3</v>
      </c>
      <c r="C62" s="10" t="s">
        <v>59</v>
      </c>
      <c r="D62" s="42">
        <v>14500</v>
      </c>
      <c r="E62" s="42">
        <v>11</v>
      </c>
      <c r="F62" s="42">
        <v>19579</v>
      </c>
      <c r="G62" s="36">
        <v>0.7</v>
      </c>
      <c r="H62" s="36">
        <v>5.0999999999999996</v>
      </c>
      <c r="I62" s="42">
        <v>19376</v>
      </c>
      <c r="J62" s="36">
        <v>2.4</v>
      </c>
      <c r="K62" s="42">
        <v>15612</v>
      </c>
      <c r="L62" s="38">
        <v>5.8000000000000003E-2</v>
      </c>
      <c r="M62" s="36">
        <f>ROUND(K62*(1-L62),0)</f>
        <v>14707</v>
      </c>
      <c r="N62" s="27">
        <v>0.77200000000000002</v>
      </c>
      <c r="O62" s="24">
        <f t="shared" si="571"/>
        <v>11353.804</v>
      </c>
      <c r="P62" s="38">
        <v>0.186</v>
      </c>
      <c r="Q62" s="24">
        <f t="shared" si="572"/>
        <v>2735.502</v>
      </c>
      <c r="R62" s="38">
        <v>4.2000000000000003E-2</v>
      </c>
      <c r="S62" s="105"/>
      <c r="T62" s="24">
        <f t="shared" si="573"/>
        <v>617.69400000000007</v>
      </c>
      <c r="U62" s="27">
        <v>0.24099999999999999</v>
      </c>
      <c r="V62" s="24">
        <f t="shared" si="574"/>
        <v>3544.3869999999997</v>
      </c>
      <c r="W62" s="38">
        <v>0.46</v>
      </c>
      <c r="X62" s="24">
        <f t="shared" si="575"/>
        <v>6765.22</v>
      </c>
      <c r="Y62" s="38">
        <v>0.44</v>
      </c>
      <c r="Z62" s="24">
        <f t="shared" si="576"/>
        <v>6471.08</v>
      </c>
      <c r="AA62" s="118">
        <v>2.7299999999999998E-3</v>
      </c>
      <c r="AB62" s="121">
        <f t="shared" si="147"/>
        <v>40.150109999999998</v>
      </c>
      <c r="AC62" s="45">
        <v>2.8999999999999998E-3</v>
      </c>
      <c r="AD62" s="17">
        <f t="shared" si="578"/>
        <v>42.650299999999994</v>
      </c>
      <c r="AE62" s="26">
        <f>IF(M62&gt;0,(AG62+AP62)/M62,0)</f>
        <v>2.9328714489698783E-3</v>
      </c>
      <c r="AF62" s="45">
        <v>2.9E-4</v>
      </c>
      <c r="AG62" s="36">
        <f t="shared" si="579"/>
        <v>4.2650300000000003</v>
      </c>
      <c r="AH62" s="27">
        <v>0.2036</v>
      </c>
      <c r="AI62" s="40">
        <f t="shared" si="580"/>
        <v>38.622105599999998</v>
      </c>
      <c r="AJ62" s="27">
        <f t="shared" si="581"/>
        <v>0.90128375387339543</v>
      </c>
      <c r="AK62" s="28">
        <f t="shared" si="6"/>
        <v>0.90239798007316829</v>
      </c>
      <c r="AL62" s="42">
        <v>208</v>
      </c>
      <c r="AM62" s="38">
        <v>8.7999999999999995E-2</v>
      </c>
      <c r="AN62" s="27">
        <v>0.2049</v>
      </c>
      <c r="AO62" s="105">
        <v>0.20280000000000001</v>
      </c>
      <c r="AP62" s="40">
        <f>AL62*(1-AM62)*AN62</f>
        <v>38.868710399999998</v>
      </c>
      <c r="AQ62" s="106">
        <f t="shared" si="152"/>
        <v>38.470348800000004</v>
      </c>
      <c r="AR62" s="17">
        <v>1.65</v>
      </c>
      <c r="AS62" s="17"/>
      <c r="AT62" s="129">
        <f>AT61+AL62-AS62</f>
        <v>1092.2599999999998</v>
      </c>
      <c r="AU62" s="82"/>
      <c r="AV62" s="42"/>
      <c r="AW62" s="46"/>
      <c r="AX62" s="40"/>
      <c r="AY62" s="40"/>
      <c r="AZ62" s="40"/>
      <c r="BA62" s="40"/>
    </row>
    <row r="63" spans="1:54">
      <c r="A63" s="148"/>
      <c r="B63" s="47" t="s">
        <v>56</v>
      </c>
      <c r="C63" s="48"/>
      <c r="D63" s="49">
        <f t="shared" ref="D63" si="583">SUM(D60:D62)</f>
        <v>36400</v>
      </c>
      <c r="E63" s="49"/>
      <c r="F63" s="49">
        <f t="shared" ref="F63" si="584">SUM(F60:F62)</f>
        <v>51168</v>
      </c>
      <c r="G63" s="50"/>
      <c r="H63" s="50"/>
      <c r="I63" s="49">
        <f t="shared" ref="I63:K63" si="585">SUM(I60:I62)</f>
        <v>50773</v>
      </c>
      <c r="J63" s="50"/>
      <c r="K63" s="49">
        <f t="shared" si="585"/>
        <v>46851</v>
      </c>
      <c r="L63" s="20">
        <f t="shared" ref="L63" si="586">IF(K63&gt;0,(K60*L60+K61*L61+K62*L62)/K63,0)</f>
        <v>5.4321892809118262E-2</v>
      </c>
      <c r="M63" s="50">
        <f t="shared" ref="M63" si="587">M60+M61+M62</f>
        <v>44307</v>
      </c>
      <c r="N63" s="51">
        <f t="shared" ref="N63" si="588">IF(M63&gt;0,O63/M63,0)</f>
        <v>0.73299469609768209</v>
      </c>
      <c r="O63" s="52">
        <f t="shared" ref="O63" si="589">O60+O61+O62</f>
        <v>32476.795999999998</v>
      </c>
      <c r="P63" s="20">
        <f t="shared" ref="P63" si="590">IF(M63&gt;0,Q63/M63,0)</f>
        <v>0.2200311914595888</v>
      </c>
      <c r="Q63" s="52">
        <f t="shared" ref="Q63" si="591">Q60+Q61+Q62</f>
        <v>9748.9220000000005</v>
      </c>
      <c r="R63" s="20">
        <f t="shared" ref="R63" si="592">IF(M63&gt;0,T63/M63,0)</f>
        <v>4.6974112442729143E-2</v>
      </c>
      <c r="S63" s="107"/>
      <c r="T63" s="52">
        <f t="shared" ref="T63" si="593">T60+T61+T62</f>
        <v>2081.2820000000002</v>
      </c>
      <c r="U63" s="20">
        <f t="shared" ref="U63" si="594">IF(M63&gt;0,V63/M63,0)</f>
        <v>0.23666596700295661</v>
      </c>
      <c r="V63" s="52">
        <f t="shared" ref="V63" si="595">V60+V61+V62</f>
        <v>10485.958999999999</v>
      </c>
      <c r="W63" s="20">
        <f t="shared" ref="W63" si="596">IF(M63&gt;0,X63/M63,0)</f>
        <v>0.47567996027715714</v>
      </c>
      <c r="X63" s="52">
        <f t="shared" ref="X63" si="597">X60+X61+X62</f>
        <v>21075.952000000001</v>
      </c>
      <c r="Y63" s="20">
        <f t="shared" ref="Y63" si="598">IF(M63&gt;0,Z63/M63,0)</f>
        <v>0.43331934005913292</v>
      </c>
      <c r="Z63" s="52">
        <f t="shared" ref="Z63" si="599">Z60+Z61+Z62</f>
        <v>19199.080000000002</v>
      </c>
      <c r="AA63" s="119">
        <f>IF(M63&gt;0,AB63/M63,0)</f>
        <v>2.8600769630081025E-3</v>
      </c>
      <c r="AB63" s="54">
        <f t="shared" ref="AB63" si="600">SUM(AB60:AB62)</f>
        <v>126.72143</v>
      </c>
      <c r="AC63" s="53">
        <f t="shared" ref="AC63" si="601">IF(M63&gt;0,AD63/M63,0)</f>
        <v>2.9904967612341161E-3</v>
      </c>
      <c r="AD63" s="54">
        <f t="shared" ref="AD63" si="602">SUM(AD60:AD62)</f>
        <v>132.49993999999998</v>
      </c>
      <c r="AE63" s="53">
        <f t="shared" ref="AE63" si="603">IF(M63&gt;0,(AE60*M60+AE61*M61+AE62*M62)/M63,0)</f>
        <v>2.8512080483896448E-3</v>
      </c>
      <c r="AF63" s="53">
        <f t="shared" ref="AF63" si="604">IF(K63&gt;0,(K60*AF60+K61*AF61+K62*AF62)/K63,0)</f>
        <v>2.7998633967257904E-4</v>
      </c>
      <c r="AG63" s="50">
        <f t="shared" ref="AG63" si="605">SUM(AG60:AG62)</f>
        <v>12.403790000000001</v>
      </c>
      <c r="AH63" s="51">
        <f t="shared" ref="AH63" si="606">IF(K63&gt;0,(K60*AH60+K61*AH61+K62*AH62)/K63,0)</f>
        <v>0.20330537875392199</v>
      </c>
      <c r="AI63" s="56">
        <f t="shared" ref="AI63" si="607">SUM(AI60:AI62)</f>
        <v>112.9123353</v>
      </c>
      <c r="AJ63" s="51">
        <f t="shared" ref="AJ63" si="608">IF(AND(AD63&gt;0),((AD60*AJ60+AD61*AJ61+AD62*AJ62)/AD63),0)</f>
        <v>0.90763513641986515</v>
      </c>
      <c r="AK63" s="55">
        <f t="shared" si="6"/>
        <v>0.90303263966008729</v>
      </c>
      <c r="AL63" s="49">
        <f t="shared" ref="AL63" si="609">SUM(AL60:AL62)</f>
        <v>610</v>
      </c>
      <c r="AM63" s="20">
        <f t="shared" ref="AM63" si="610">IF(AL63&gt;0,(AM60*AL60+AM61*AL61+AM62*AL62)/AL63,0)</f>
        <v>8.9337704918032779E-2</v>
      </c>
      <c r="AN63" s="51">
        <f>IF(K63&gt;0,(AN60*K60+AN61*K61+AN62*K62)/K63,0)</f>
        <v>0.20525195833600138</v>
      </c>
      <c r="AO63" s="107">
        <f>IF(L63&gt;0,(AO60*K60+AO61*K61+AO62*K62)/K63,0)</f>
        <v>0.20615798595547588</v>
      </c>
      <c r="AP63" s="56">
        <f t="shared" ref="AP63" si="611">SUM(AP60:AP62)</f>
        <v>113.924685</v>
      </c>
      <c r="AQ63" s="108">
        <f t="shared" si="525"/>
        <v>114.3800712</v>
      </c>
      <c r="AR63" s="54"/>
      <c r="AS63" s="54">
        <f t="shared" ref="AS63" si="612">SUM(AS60:AS62)</f>
        <v>509.64</v>
      </c>
      <c r="AT63" s="83"/>
      <c r="AU63" s="84">
        <f>AT62</f>
        <v>1092.2599999999998</v>
      </c>
      <c r="AV63" s="49">
        <f t="shared" ref="AV63" si="613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53</v>
      </c>
      <c r="D64" s="11">
        <v>6434</v>
      </c>
      <c r="E64" s="11">
        <v>10</v>
      </c>
      <c r="F64" s="11">
        <v>9791</v>
      </c>
      <c r="G64" s="12">
        <v>1.3</v>
      </c>
      <c r="H64" s="12">
        <v>5.6</v>
      </c>
      <c r="I64" s="11">
        <v>10906</v>
      </c>
      <c r="J64" s="12">
        <v>4.9000000000000004</v>
      </c>
      <c r="K64" s="11">
        <v>15295</v>
      </c>
      <c r="L64" s="13">
        <v>4.3999999999999997E-2</v>
      </c>
      <c r="M64" s="23">
        <f>ROUND(K64*(1-L64),0)</f>
        <v>14622</v>
      </c>
      <c r="N64" s="14">
        <v>0.79800000000000004</v>
      </c>
      <c r="O64" s="24">
        <f t="shared" ref="O64:O66" si="614">M64*N64</f>
        <v>11668.356</v>
      </c>
      <c r="P64" s="13">
        <v>0.182</v>
      </c>
      <c r="Q64" s="24">
        <f t="shared" ref="Q64:Q66" si="615">M64*P64</f>
        <v>2661.2039999999997</v>
      </c>
      <c r="R64" s="15">
        <v>0.02</v>
      </c>
      <c r="S64" s="112"/>
      <c r="T64" s="24">
        <f t="shared" ref="T64:T66" si="616">M64*R64</f>
        <v>292.44</v>
      </c>
      <c r="U64" s="25">
        <v>0.255</v>
      </c>
      <c r="V64" s="24">
        <f t="shared" ref="V64:V66" si="617">M64*U64</f>
        <v>3728.61</v>
      </c>
      <c r="W64" s="15">
        <v>0.48099999999999998</v>
      </c>
      <c r="X64" s="24">
        <f t="shared" ref="X64:X66" si="618">M64*W64</f>
        <v>7033.1819999999998</v>
      </c>
      <c r="Y64" s="15">
        <v>0.45</v>
      </c>
      <c r="Z64" s="24">
        <f t="shared" ref="Z64:Z66" si="619">Y64*M64</f>
        <v>6579.9000000000005</v>
      </c>
      <c r="AA64" s="116">
        <v>2.65E-3</v>
      </c>
      <c r="AB64" s="18">
        <f t="shared" ref="AB64" si="620">M64*AA64</f>
        <v>38.7483</v>
      </c>
      <c r="AC64" s="16">
        <v>2.8E-3</v>
      </c>
      <c r="AD64" s="17">
        <f t="shared" ref="AD64:AD66" si="621">M64*AC64</f>
        <v>40.941600000000001</v>
      </c>
      <c r="AE64" s="26">
        <f>IF(M64&gt;0,(AG64+AP64)/M64,0)</f>
        <v>2.5224490220216111E-3</v>
      </c>
      <c r="AF64" s="16">
        <v>2.9E-4</v>
      </c>
      <c r="AG64" s="23">
        <f t="shared" ref="AG64:AG66" si="622">AF64*M64</f>
        <v>4.24038</v>
      </c>
      <c r="AH64" s="92">
        <v>0.1976</v>
      </c>
      <c r="AI64" s="29">
        <f t="shared" ref="AI64:AI66" si="623">AL64*(1-AM64)*AH64</f>
        <v>32.758918399999999</v>
      </c>
      <c r="AJ64" s="27">
        <f t="shared" ref="AJ64:AJ66" si="624">IF(AND(AH64&gt;0,AF64&gt;0,AC64&gt;0),((AC64-AF64)*AH64)/((AH64-AF64)*AC64),0)</f>
        <v>0.89774611380206637</v>
      </c>
      <c r="AK64" s="58">
        <f t="shared" si="6"/>
        <v>0.88633778825624776</v>
      </c>
      <c r="AL64" s="11">
        <v>184</v>
      </c>
      <c r="AM64" s="13">
        <v>9.9000000000000005E-2</v>
      </c>
      <c r="AN64" s="14">
        <v>0.19689999999999999</v>
      </c>
      <c r="AO64" s="101">
        <v>0.19500000000000001</v>
      </c>
      <c r="AP64" s="29">
        <f>AL64*(1-AM64)*AN64</f>
        <v>32.642869599999997</v>
      </c>
      <c r="AQ64" s="102">
        <f t="shared" ref="AQ64" si="625">AL64*(1-AM64)*AO64</f>
        <v>32.32788</v>
      </c>
      <c r="AR64" s="18">
        <v>1.65</v>
      </c>
      <c r="AS64" s="18">
        <v>508.7</v>
      </c>
      <c r="AT64" s="79">
        <f>AT62+AL64-AS64</f>
        <v>767.55999999999972</v>
      </c>
      <c r="AU64" s="80"/>
      <c r="AV64" s="11"/>
      <c r="AW64" s="30"/>
      <c r="AX64" s="19"/>
      <c r="AY64" s="19"/>
      <c r="AZ64" s="19"/>
      <c r="BA64" s="19"/>
    </row>
    <row r="65" spans="1:54">
      <c r="A65" s="147"/>
      <c r="B65" s="32">
        <v>2</v>
      </c>
      <c r="C65" s="10" t="s">
        <v>54</v>
      </c>
      <c r="D65" s="33">
        <v>21266</v>
      </c>
      <c r="E65" s="33">
        <v>13</v>
      </c>
      <c r="F65" s="33">
        <v>18597</v>
      </c>
      <c r="G65" s="34">
        <v>1.5</v>
      </c>
      <c r="H65" s="34">
        <v>7.3</v>
      </c>
      <c r="I65" s="33">
        <v>17522</v>
      </c>
      <c r="J65" s="34">
        <v>4.0999999999999996</v>
      </c>
      <c r="K65" s="33">
        <v>15379</v>
      </c>
      <c r="L65" s="35">
        <v>5.3999999999999999E-2</v>
      </c>
      <c r="M65" s="36">
        <f>ROUND(K65*(1-L65),0)</f>
        <v>14549</v>
      </c>
      <c r="N65" s="37">
        <v>0.8</v>
      </c>
      <c r="O65" s="24">
        <f t="shared" si="614"/>
        <v>11639.2</v>
      </c>
      <c r="P65" s="35">
        <v>0.16300000000000001</v>
      </c>
      <c r="Q65" s="24">
        <f t="shared" si="615"/>
        <v>2371.4870000000001</v>
      </c>
      <c r="R65" s="38">
        <v>3.6999999999999998E-2</v>
      </c>
      <c r="S65" s="105"/>
      <c r="T65" s="24">
        <f t="shared" si="616"/>
        <v>538.31299999999999</v>
      </c>
      <c r="U65" s="27">
        <v>0.255</v>
      </c>
      <c r="V65" s="24">
        <f t="shared" si="617"/>
        <v>3709.9949999999999</v>
      </c>
      <c r="W65" s="38">
        <v>0.46700000000000003</v>
      </c>
      <c r="X65" s="24">
        <f t="shared" si="618"/>
        <v>6794.3830000000007</v>
      </c>
      <c r="Y65" s="38">
        <v>0.44</v>
      </c>
      <c r="Z65" s="24">
        <f t="shared" si="619"/>
        <v>6401.56</v>
      </c>
      <c r="AA65" s="117">
        <v>2.5100000000000001E-3</v>
      </c>
      <c r="AB65" s="18">
        <f t="shared" si="147"/>
        <v>36.517990000000005</v>
      </c>
      <c r="AC65" s="39">
        <v>2.5500000000000002E-3</v>
      </c>
      <c r="AD65" s="17">
        <f t="shared" si="621"/>
        <v>37.09995</v>
      </c>
      <c r="AE65" s="26">
        <f>IF(M65&gt;0,(AG65+AP65)/M65,0)</f>
        <v>2.4420676610076293E-3</v>
      </c>
      <c r="AF65" s="39">
        <v>2.5999999999999998E-4</v>
      </c>
      <c r="AG65" s="36">
        <f t="shared" si="622"/>
        <v>3.7827399999999995</v>
      </c>
      <c r="AH65" s="27">
        <v>0.183</v>
      </c>
      <c r="AI65" s="40">
        <f t="shared" si="623"/>
        <v>27.704735999999997</v>
      </c>
      <c r="AJ65" s="27">
        <f t="shared" si="624"/>
        <v>0.89931693373420296</v>
      </c>
      <c r="AK65" s="28">
        <f t="shared" si="6"/>
        <v>0.89464208016093094</v>
      </c>
      <c r="AL65" s="33">
        <v>166</v>
      </c>
      <c r="AM65" s="35">
        <v>8.7999999999999995E-2</v>
      </c>
      <c r="AN65" s="37">
        <v>0.2097</v>
      </c>
      <c r="AO65" s="103">
        <v>0.21240000000000001</v>
      </c>
      <c r="AP65" s="40">
        <f>AL65*(1-AM65)*AN65</f>
        <v>31.7469024</v>
      </c>
      <c r="AQ65" s="104">
        <f t="shared" si="152"/>
        <v>32.1556608</v>
      </c>
      <c r="AR65" s="41">
        <v>1.55</v>
      </c>
      <c r="AS65" s="41"/>
      <c r="AT65" s="129">
        <f>AT64+AL65-AS65</f>
        <v>933.55999999999972</v>
      </c>
      <c r="AU65" s="82"/>
      <c r="AV65" s="42"/>
      <c r="AW65" s="43"/>
      <c r="AX65" s="44"/>
      <c r="AY65" s="44"/>
      <c r="AZ65" s="44"/>
      <c r="BA65" s="44"/>
    </row>
    <row r="66" spans="1:54">
      <c r="A66" s="147"/>
      <c r="B66" s="32">
        <v>3</v>
      </c>
      <c r="C66" s="10" t="s">
        <v>55</v>
      </c>
      <c r="D66" s="42">
        <v>21600</v>
      </c>
      <c r="E66" s="42">
        <v>7</v>
      </c>
      <c r="F66" s="42">
        <v>19528</v>
      </c>
      <c r="G66" s="36">
        <v>0.6</v>
      </c>
      <c r="H66" s="36">
        <v>7.6</v>
      </c>
      <c r="I66" s="42">
        <v>19714</v>
      </c>
      <c r="J66" s="36">
        <v>1.9</v>
      </c>
      <c r="K66" s="42">
        <v>15776</v>
      </c>
      <c r="L66" s="38">
        <v>5.7000000000000002E-2</v>
      </c>
      <c r="M66" s="36">
        <f>ROUND(K66*(1-L66),0)</f>
        <v>14877</v>
      </c>
      <c r="N66" s="27">
        <v>0.77</v>
      </c>
      <c r="O66" s="24">
        <f t="shared" si="614"/>
        <v>11455.29</v>
      </c>
      <c r="P66" s="38">
        <v>0.188</v>
      </c>
      <c r="Q66" s="24">
        <f t="shared" si="615"/>
        <v>2796.8760000000002</v>
      </c>
      <c r="R66" s="38">
        <v>4.2000000000000003E-2</v>
      </c>
      <c r="S66" s="105"/>
      <c r="T66" s="24">
        <f t="shared" si="616"/>
        <v>624.83400000000006</v>
      </c>
      <c r="U66" s="27">
        <v>0.26200000000000001</v>
      </c>
      <c r="V66" s="24">
        <f t="shared" si="617"/>
        <v>3897.7740000000003</v>
      </c>
      <c r="W66" s="38">
        <v>0.47199999999999998</v>
      </c>
      <c r="X66" s="24">
        <f t="shared" si="618"/>
        <v>7021.9439999999995</v>
      </c>
      <c r="Y66" s="38">
        <v>0.44</v>
      </c>
      <c r="Z66" s="24">
        <f t="shared" si="619"/>
        <v>6545.88</v>
      </c>
      <c r="AA66" s="118">
        <v>2.33E-3</v>
      </c>
      <c r="AB66" s="121">
        <f t="shared" si="147"/>
        <v>34.663409999999999</v>
      </c>
      <c r="AC66" s="45">
        <v>2.5600000000000002E-3</v>
      </c>
      <c r="AD66" s="17">
        <f t="shared" si="621"/>
        <v>38.085120000000003</v>
      </c>
      <c r="AE66" s="26">
        <f>IF(M66&gt;0,(AG66+AP66)/M66,0)</f>
        <v>2.3759958257713251E-3</v>
      </c>
      <c r="AF66" s="45">
        <v>2.5999999999999998E-4</v>
      </c>
      <c r="AG66" s="36">
        <f t="shared" si="622"/>
        <v>3.8680199999999996</v>
      </c>
      <c r="AH66" s="27">
        <v>0.20949999999999999</v>
      </c>
      <c r="AI66" s="40">
        <f t="shared" si="623"/>
        <v>30.660115500000003</v>
      </c>
      <c r="AJ66" s="27">
        <f t="shared" si="624"/>
        <v>0.89955389146434728</v>
      </c>
      <c r="AK66" s="28">
        <f t="shared" si="6"/>
        <v>0.89164997142055069</v>
      </c>
      <c r="AL66" s="42">
        <v>161</v>
      </c>
      <c r="AM66" s="38">
        <v>9.0999999999999998E-2</v>
      </c>
      <c r="AN66" s="27">
        <v>0.21510000000000001</v>
      </c>
      <c r="AO66" s="105">
        <v>0.22059999999999999</v>
      </c>
      <c r="AP66" s="40">
        <f>AL66*(1-AM66)*AN66</f>
        <v>31.479669900000005</v>
      </c>
      <c r="AQ66" s="106">
        <f t="shared" si="152"/>
        <v>32.284589400000002</v>
      </c>
      <c r="AR66" s="17">
        <v>1.6</v>
      </c>
      <c r="AS66" s="17"/>
      <c r="AT66" s="129">
        <f>AT65+AL66-AS66</f>
        <v>1094.5599999999997</v>
      </c>
      <c r="AU66" s="82"/>
      <c r="AV66" s="42"/>
      <c r="AW66" s="46"/>
      <c r="AX66" s="40"/>
      <c r="AY66" s="40"/>
      <c r="AZ66" s="40"/>
      <c r="BA66" s="40"/>
    </row>
    <row r="67" spans="1:54">
      <c r="A67" s="148"/>
      <c r="B67" s="47" t="s">
        <v>56</v>
      </c>
      <c r="C67" s="48"/>
      <c r="D67" s="49">
        <f t="shared" ref="D67" si="626">SUM(D64:D66)</f>
        <v>49300</v>
      </c>
      <c r="E67" s="49"/>
      <c r="F67" s="49">
        <f t="shared" ref="F67" si="627">SUM(F64:F66)</f>
        <v>47916</v>
      </c>
      <c r="G67" s="50"/>
      <c r="H67" s="50"/>
      <c r="I67" s="49">
        <f t="shared" ref="I67:K67" si="628">SUM(I64:I66)</f>
        <v>48142</v>
      </c>
      <c r="J67" s="50"/>
      <c r="K67" s="49">
        <f t="shared" si="628"/>
        <v>46450</v>
      </c>
      <c r="L67" s="20">
        <f t="shared" ref="L67" si="629">IF(K67&gt;0,(K64*L64+K65*L65+K66*L66)/K67,0)</f>
        <v>5.1726114101184065E-2</v>
      </c>
      <c r="M67" s="50">
        <f t="shared" ref="M67" si="630">M64+M65+M66</f>
        <v>44048</v>
      </c>
      <c r="N67" s="51">
        <f t="shared" ref="N67" si="631">IF(M67&gt;0,O67/M67,0)</f>
        <v>0.7892037322920451</v>
      </c>
      <c r="O67" s="52">
        <f t="shared" ref="O67" si="632">O64+O65+O66</f>
        <v>34762.846000000005</v>
      </c>
      <c r="P67" s="20">
        <f t="shared" ref="P67" si="633">IF(M67&gt;0,Q67/M67,0)</f>
        <v>0.17775079458772247</v>
      </c>
      <c r="Q67" s="52">
        <f t="shared" ref="Q67" si="634">Q64+Q65+Q66</f>
        <v>7829.567</v>
      </c>
      <c r="R67" s="20">
        <f t="shared" ref="R67" si="635">IF(M67&gt;0,T67/M67,0)</f>
        <v>3.3045473120232476E-2</v>
      </c>
      <c r="S67" s="107"/>
      <c r="T67" s="52">
        <f t="shared" ref="T67" si="636">T64+T65+T66</f>
        <v>1455.587</v>
      </c>
      <c r="U67" s="20">
        <f t="shared" ref="U67" si="637">IF(M67&gt;0,V67/M67,0)</f>
        <v>0.25736421630948059</v>
      </c>
      <c r="V67" s="52">
        <f t="shared" ref="V67" si="638">V64+V65+V66</f>
        <v>11336.379000000001</v>
      </c>
      <c r="W67" s="20">
        <f t="shared" ref="W67" si="639">IF(M67&gt;0,X67/M67,0)</f>
        <v>0.4733361106066109</v>
      </c>
      <c r="X67" s="52">
        <f t="shared" ref="X67" si="640">X64+X65+X66</f>
        <v>20849.508999999998</v>
      </c>
      <c r="Y67" s="20">
        <f t="shared" ref="Y67" si="641">IF(M67&gt;0,Z67/M67,0)</f>
        <v>0.44331956047947696</v>
      </c>
      <c r="Z67" s="52">
        <f t="shared" ref="Z67" si="642">Z64+Z65+Z66</f>
        <v>19527.34</v>
      </c>
      <c r="AA67" s="119">
        <f>IF(M67&gt;0,AB67/M67,0)</f>
        <v>2.4956797130403197E-3</v>
      </c>
      <c r="AB67" s="54">
        <f t="shared" ref="AB67" si="643">SUM(AB64:AB66)</f>
        <v>109.9297</v>
      </c>
      <c r="AC67" s="53">
        <f t="shared" ref="AC67" si="644">IF(M67&gt;0,AD67/M67,0)</f>
        <v>2.6363664638576101E-3</v>
      </c>
      <c r="AD67" s="54">
        <f t="shared" ref="AD67" si="645">SUM(AD64:AD66)</f>
        <v>116.12667</v>
      </c>
      <c r="AE67" s="53">
        <f t="shared" ref="AE67" si="646">IF(M67&gt;0,(AE64*M64+AE65*M65+AE66*M66)/M67,0)</f>
        <v>2.4464352955866327E-3</v>
      </c>
      <c r="AF67" s="53">
        <f t="shared" ref="AF67" si="647">IF(K67&gt;0,(K64*AF64+K65*AF65+K66*AF66)/K67,0)</f>
        <v>2.6987836383207751E-4</v>
      </c>
      <c r="AG67" s="50">
        <f t="shared" ref="AG67" si="648">SUM(AG64:AG66)</f>
        <v>11.891139999999998</v>
      </c>
      <c r="AH67" s="51">
        <f t="shared" ref="AH67" si="649">IF(K67&gt;0,(K64*AH64+K65*AH65+K66*AH66)/K67,0)</f>
        <v>0.19680777179763184</v>
      </c>
      <c r="AI67" s="56">
        <f t="shared" ref="AI67" si="650">SUM(AI64:AI66)</f>
        <v>91.123769899999999</v>
      </c>
      <c r="AJ67" s="51">
        <f t="shared" ref="AJ67" si="651">IF(AND(AD67&gt;0),((AD64*AJ64+AD65*AJ65+AD66*AJ66)/AD67),0)</f>
        <v>0.89884083881349197</v>
      </c>
      <c r="AK67" s="55">
        <f t="shared" si="6"/>
        <v>0.89084471895946704</v>
      </c>
      <c r="AL67" s="49">
        <f t="shared" ref="AL67" si="652">SUM(AL64:AL66)</f>
        <v>511</v>
      </c>
      <c r="AM67" s="20">
        <f t="shared" ref="AM67" si="653">IF(AL67&gt;0,(AM64*AL64+AM65*AL65+AM66*AL66)/AL67,0)</f>
        <v>9.2906066536203508E-2</v>
      </c>
      <c r="AN67" s="51">
        <f>IF(K67&gt;0,(AN64*K64+AN65*K65+AN66*K66)/K67,0)</f>
        <v>0.20731925511302476</v>
      </c>
      <c r="AO67" s="107">
        <f>IF(L67&gt;0,(AO64*K64+AO65*K65+AO66*K66)/K67,0)</f>
        <v>0.20945554790096882</v>
      </c>
      <c r="AP67" s="56">
        <f t="shared" ref="AP67" si="654">SUM(AP64:AP66)</f>
        <v>95.869441899999998</v>
      </c>
      <c r="AQ67" s="108">
        <f t="shared" si="525"/>
        <v>96.768130200000002</v>
      </c>
      <c r="AR67" s="54"/>
      <c r="AS67" s="54">
        <f t="shared" ref="AS67" si="655">SUM(AS64:AS66)</f>
        <v>508.7</v>
      </c>
      <c r="AT67" s="83"/>
      <c r="AU67" s="84">
        <f>AT66</f>
        <v>1094.5599999999997</v>
      </c>
      <c r="AV67" s="49">
        <f t="shared" ref="AV67" si="656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57</v>
      </c>
      <c r="D68" s="11">
        <v>11600</v>
      </c>
      <c r="E68" s="11">
        <v>10</v>
      </c>
      <c r="F68" s="11">
        <v>17827</v>
      </c>
      <c r="G68" s="12">
        <v>0.5</v>
      </c>
      <c r="H68" s="12">
        <v>6.4</v>
      </c>
      <c r="I68" s="11">
        <v>17346</v>
      </c>
      <c r="J68" s="12">
        <v>2.2000000000000002</v>
      </c>
      <c r="K68" s="11">
        <v>15842</v>
      </c>
      <c r="L68" s="13">
        <v>5.6000000000000001E-2</v>
      </c>
      <c r="M68" s="23">
        <f>ROUND(K68*(1-L68),0)</f>
        <v>14955</v>
      </c>
      <c r="N68" s="14">
        <v>0.76100000000000001</v>
      </c>
      <c r="O68" s="24">
        <f t="shared" ref="O68:O70" si="657">M68*N68</f>
        <v>11380.755000000001</v>
      </c>
      <c r="P68" s="13">
        <v>0.20799999999999999</v>
      </c>
      <c r="Q68" s="24">
        <f t="shared" ref="Q68:Q70" si="658">M68*P68</f>
        <v>3110.64</v>
      </c>
      <c r="R68" s="15">
        <v>3.1E-2</v>
      </c>
      <c r="S68" s="112"/>
      <c r="T68" s="24">
        <f t="shared" ref="T68:T70" si="659">M68*R68</f>
        <v>463.60500000000002</v>
      </c>
      <c r="U68" s="25">
        <v>0.248</v>
      </c>
      <c r="V68" s="24">
        <f t="shared" ref="V68:V70" si="660">M68*U68</f>
        <v>3708.84</v>
      </c>
      <c r="W68" s="15">
        <v>0.47699999999999998</v>
      </c>
      <c r="X68" s="24">
        <f t="shared" ref="X68:X70" si="661">M68*W68</f>
        <v>7133.5349999999999</v>
      </c>
      <c r="Y68" s="15">
        <v>0.46</v>
      </c>
      <c r="Z68" s="24">
        <f t="shared" ref="Z68:Z70" si="662">Y68*M68</f>
        <v>6879.3</v>
      </c>
      <c r="AA68" s="116">
        <v>2.5100000000000001E-3</v>
      </c>
      <c r="AB68" s="18">
        <f t="shared" ref="AB68" si="663">M68*AA68</f>
        <v>37.537050000000001</v>
      </c>
      <c r="AC68" s="16">
        <v>2.6099999999999999E-3</v>
      </c>
      <c r="AD68" s="17">
        <f t="shared" ref="AD68:AD70" si="664">M68*AC68</f>
        <v>39.032550000000001</v>
      </c>
      <c r="AE68" s="26">
        <f>IF(M68&gt;0,(AG68+AP68)/M68,0)</f>
        <v>2.4931143430290876E-3</v>
      </c>
      <c r="AF68" s="16">
        <v>2.7E-4</v>
      </c>
      <c r="AG68" s="23">
        <f t="shared" ref="AG68:AG70" si="665">AF68*M68</f>
        <v>4.0378499999999997</v>
      </c>
      <c r="AH68" s="92">
        <v>0.20180000000000001</v>
      </c>
      <c r="AI68" s="29">
        <f t="shared" ref="AI68:AI70" si="666">AL68*(1-AM68)*AH68</f>
        <v>32.101335000000006</v>
      </c>
      <c r="AJ68" s="27">
        <f t="shared" ref="AJ68:AJ70" si="667">IF(AND(AH68&gt;0,AF68&gt;0,AC68&gt;0),((AC68-AF68)*AH68)/((AH68-AF68)*AC68),0)</f>
        <v>0.89775288012223731</v>
      </c>
      <c r="AK68" s="58">
        <f t="shared" ref="AK68:AK127" si="668">IF(AND(AE68&gt;0,AN68&gt;0,AF68&gt;0),((AN68*(AE68-AF68))/(AE68*(AN68-AF68))),0)</f>
        <v>0.89285516733127379</v>
      </c>
      <c r="AL68" s="11">
        <v>175</v>
      </c>
      <c r="AM68" s="13">
        <v>9.0999999999999998E-2</v>
      </c>
      <c r="AN68" s="14">
        <v>0.20899999999999999</v>
      </c>
      <c r="AO68" s="101">
        <v>0.21010000000000001</v>
      </c>
      <c r="AP68" s="29">
        <f>AL68*(1-AM68)*AN68</f>
        <v>33.246675000000003</v>
      </c>
      <c r="AQ68" s="102">
        <f t="shared" ref="AQ68" si="669">AL68*(1-AM68)*AO68</f>
        <v>33.421657500000002</v>
      </c>
      <c r="AR68" s="18">
        <v>1.65</v>
      </c>
      <c r="AS68" s="18"/>
      <c r="AT68" s="79">
        <f>AT66+AL68-AS68</f>
        <v>1269.5599999999997</v>
      </c>
      <c r="AU68" s="80"/>
      <c r="AV68" s="11"/>
      <c r="AW68" s="30"/>
      <c r="AX68" s="19"/>
      <c r="AY68" s="19"/>
      <c r="AZ68" s="19"/>
      <c r="BA68" s="19"/>
    </row>
    <row r="69" spans="1:54">
      <c r="A69" s="147"/>
      <c r="B69" s="32">
        <v>2</v>
      </c>
      <c r="C69" s="10" t="s">
        <v>54</v>
      </c>
      <c r="D69" s="33">
        <v>18800</v>
      </c>
      <c r="E69" s="33">
        <v>13</v>
      </c>
      <c r="F69" s="33">
        <v>17739</v>
      </c>
      <c r="G69" s="34">
        <v>0.6</v>
      </c>
      <c r="H69" s="34">
        <v>6.3</v>
      </c>
      <c r="I69" s="33">
        <v>16979</v>
      </c>
      <c r="J69" s="34">
        <v>1.9</v>
      </c>
      <c r="K69" s="33">
        <v>15486</v>
      </c>
      <c r="L69" s="35">
        <v>0.06</v>
      </c>
      <c r="M69" s="36">
        <f>ROUND(K69*(1-L69),0)</f>
        <v>14557</v>
      </c>
      <c r="N69" s="37">
        <v>0.68700000000000006</v>
      </c>
      <c r="O69" s="24">
        <f t="shared" si="657"/>
        <v>10000.659000000001</v>
      </c>
      <c r="P69" s="35">
        <v>0.27800000000000002</v>
      </c>
      <c r="Q69" s="24">
        <f t="shared" si="658"/>
        <v>4046.8460000000005</v>
      </c>
      <c r="R69" s="38">
        <v>3.5000000000000003E-2</v>
      </c>
      <c r="S69" s="105"/>
      <c r="T69" s="24">
        <f t="shared" si="659"/>
        <v>509.49500000000006</v>
      </c>
      <c r="U69" s="27">
        <v>0.27</v>
      </c>
      <c r="V69" s="24">
        <f t="shared" si="660"/>
        <v>3930.3900000000003</v>
      </c>
      <c r="W69" s="38">
        <v>0.46500000000000002</v>
      </c>
      <c r="X69" s="24">
        <f t="shared" si="661"/>
        <v>6769.0050000000001</v>
      </c>
      <c r="Y69" s="38">
        <v>0.46</v>
      </c>
      <c r="Z69" s="24">
        <f t="shared" si="662"/>
        <v>6696.22</v>
      </c>
      <c r="AA69" s="117">
        <v>2.5100000000000001E-3</v>
      </c>
      <c r="AB69" s="18">
        <f t="shared" si="147"/>
        <v>36.538069999999998</v>
      </c>
      <c r="AC69" s="39">
        <v>2.5600000000000002E-3</v>
      </c>
      <c r="AD69" s="17">
        <f t="shared" si="664"/>
        <v>37.265920000000001</v>
      </c>
      <c r="AE69" s="26">
        <f>IF(M69&gt;0,(AG69+AP69)/M69,0)</f>
        <v>2.5371452634471393E-3</v>
      </c>
      <c r="AF69" s="39">
        <v>2.5999999999999998E-4</v>
      </c>
      <c r="AG69" s="36">
        <f t="shared" si="665"/>
        <v>3.7848199999999999</v>
      </c>
      <c r="AH69" s="27">
        <v>0.2104</v>
      </c>
      <c r="AI69" s="40">
        <f t="shared" si="666"/>
        <v>32.499646400000003</v>
      </c>
      <c r="AJ69" s="27">
        <f t="shared" si="667"/>
        <v>0.89954911011706506</v>
      </c>
      <c r="AK69" s="28">
        <f t="shared" si="668"/>
        <v>0.89861133801850479</v>
      </c>
      <c r="AL69" s="33">
        <v>169</v>
      </c>
      <c r="AM69" s="35">
        <v>8.5999999999999993E-2</v>
      </c>
      <c r="AN69" s="37">
        <v>0.21460000000000001</v>
      </c>
      <c r="AO69" s="103">
        <v>0.21460000000000001</v>
      </c>
      <c r="AP69" s="40">
        <f>AL69*(1-AM69)*AN69</f>
        <v>33.148403600000002</v>
      </c>
      <c r="AQ69" s="104">
        <f t="shared" si="152"/>
        <v>33.148403600000002</v>
      </c>
      <c r="AR69" s="41">
        <v>1.55</v>
      </c>
      <c r="AS69" s="41"/>
      <c r="AT69" s="129">
        <f>AT68+AL69-AS69</f>
        <v>1438.5599999999997</v>
      </c>
      <c r="AU69" s="82"/>
      <c r="AV69" s="42"/>
      <c r="AW69" s="43"/>
      <c r="AX69" s="44"/>
      <c r="AY69" s="44"/>
      <c r="AZ69" s="44"/>
      <c r="BA69" s="44"/>
    </row>
    <row r="70" spans="1:54">
      <c r="A70" s="147"/>
      <c r="B70" s="32">
        <v>3</v>
      </c>
      <c r="C70" s="10" t="s">
        <v>55</v>
      </c>
      <c r="D70" s="42">
        <v>21160</v>
      </c>
      <c r="E70" s="42">
        <v>7</v>
      </c>
      <c r="F70" s="42">
        <v>17914</v>
      </c>
      <c r="G70" s="36">
        <v>0.6</v>
      </c>
      <c r="H70" s="36">
        <v>6.1</v>
      </c>
      <c r="I70" s="42">
        <v>17949</v>
      </c>
      <c r="J70" s="36">
        <v>1</v>
      </c>
      <c r="K70" s="42">
        <v>15365</v>
      </c>
      <c r="L70" s="38">
        <v>6.2E-2</v>
      </c>
      <c r="M70" s="36">
        <f>ROUND(K70*(1-L70),0)</f>
        <v>14412</v>
      </c>
      <c r="N70" s="27">
        <v>0.50800000000000001</v>
      </c>
      <c r="O70" s="24">
        <f t="shared" si="657"/>
        <v>7321.2960000000003</v>
      </c>
      <c r="P70" s="38">
        <v>0.46800000000000003</v>
      </c>
      <c r="Q70" s="24">
        <f t="shared" si="658"/>
        <v>6744.8160000000007</v>
      </c>
      <c r="R70" s="38">
        <v>2.4E-2</v>
      </c>
      <c r="S70" s="105"/>
      <c r="T70" s="24">
        <f t="shared" si="659"/>
        <v>345.88800000000003</v>
      </c>
      <c r="U70" s="27">
        <v>0.27</v>
      </c>
      <c r="V70" s="24">
        <f t="shared" si="660"/>
        <v>3891.2400000000002</v>
      </c>
      <c r="W70" s="38">
        <v>0.47399999999999998</v>
      </c>
      <c r="X70" s="24">
        <f t="shared" si="661"/>
        <v>6831.2879999999996</v>
      </c>
      <c r="Y70" s="38">
        <v>0.45</v>
      </c>
      <c r="Z70" s="24">
        <f t="shared" si="662"/>
        <v>6485.4000000000005</v>
      </c>
      <c r="AA70" s="118">
        <v>2.4499999999999999E-3</v>
      </c>
      <c r="AB70" s="121">
        <f t="shared" si="147"/>
        <v>35.309399999999997</v>
      </c>
      <c r="AC70" s="45">
        <v>2.5500000000000002E-3</v>
      </c>
      <c r="AD70" s="17">
        <f t="shared" si="664"/>
        <v>36.750600000000006</v>
      </c>
      <c r="AE70" s="26">
        <f>IF(M70&gt;0,(AG70+AP70)/M70,0)</f>
        <v>2.4606511240632808E-3</v>
      </c>
      <c r="AF70" s="45">
        <v>2.5000000000000001E-4</v>
      </c>
      <c r="AG70" s="36">
        <f t="shared" si="665"/>
        <v>3.6030000000000002</v>
      </c>
      <c r="AH70" s="27">
        <v>0.2092</v>
      </c>
      <c r="AI70" s="40">
        <f t="shared" si="666"/>
        <v>30.392575999999998</v>
      </c>
      <c r="AJ70" s="27">
        <f t="shared" si="667"/>
        <v>0.90303994294535228</v>
      </c>
      <c r="AK70" s="28">
        <f t="shared" si="668"/>
        <v>0.89942621314157889</v>
      </c>
      <c r="AL70" s="42">
        <v>160</v>
      </c>
      <c r="AM70" s="38">
        <v>9.1999999999999998E-2</v>
      </c>
      <c r="AN70" s="27">
        <v>0.21929999999999999</v>
      </c>
      <c r="AO70" s="105">
        <v>0.2185</v>
      </c>
      <c r="AP70" s="40">
        <f>AL70*(1-AM70)*AN70</f>
        <v>31.859904</v>
      </c>
      <c r="AQ70" s="106">
        <f t="shared" si="152"/>
        <v>31.743680000000001</v>
      </c>
      <c r="AR70" s="17">
        <v>1.55</v>
      </c>
      <c r="AS70" s="17"/>
      <c r="AT70" s="129">
        <f>AT69+AL70-AS70</f>
        <v>1598.5599999999997</v>
      </c>
      <c r="AU70" s="82"/>
      <c r="AV70" s="42"/>
      <c r="AW70" s="46"/>
      <c r="AX70" s="40"/>
      <c r="AY70" s="40"/>
      <c r="AZ70" s="40"/>
      <c r="BA70" s="40"/>
    </row>
    <row r="71" spans="1:54">
      <c r="A71" s="148"/>
      <c r="B71" s="47" t="s">
        <v>56</v>
      </c>
      <c r="C71" s="48"/>
      <c r="D71" s="49">
        <f t="shared" ref="D71" si="670">SUM(D68:D70)</f>
        <v>51560</v>
      </c>
      <c r="E71" s="49"/>
      <c r="F71" s="49">
        <f t="shared" ref="F71" si="671">SUM(F68:F70)</f>
        <v>53480</v>
      </c>
      <c r="G71" s="50"/>
      <c r="H71" s="50"/>
      <c r="I71" s="49">
        <f t="shared" ref="I71:K71" si="672">SUM(I68:I70)</f>
        <v>52274</v>
      </c>
      <c r="J71" s="50"/>
      <c r="K71" s="49">
        <f t="shared" si="672"/>
        <v>46693</v>
      </c>
      <c r="L71" s="20">
        <f t="shared" ref="L71" si="673">IF(K71&gt;0,(K68*L68+K69*L69+K70*L70)/K71,0)</f>
        <v>5.9301008716509972E-2</v>
      </c>
      <c r="M71" s="50">
        <f t="shared" ref="M71" si="674">M68+M69+M70</f>
        <v>43924</v>
      </c>
      <c r="N71" s="51">
        <f t="shared" ref="N71" si="675">IF(M71&gt;0,O71/M71,0)</f>
        <v>0.65346302704671722</v>
      </c>
      <c r="O71" s="52">
        <f t="shared" ref="O71" si="676">O68+O69+O70</f>
        <v>28702.710000000006</v>
      </c>
      <c r="P71" s="20">
        <f t="shared" ref="P71" si="677">IF(M71&gt;0,Q71/M71,0)</f>
        <v>0.3165081049084783</v>
      </c>
      <c r="Q71" s="52">
        <f t="shared" ref="Q71" si="678">Q68+Q69+Q70</f>
        <v>13902.302000000001</v>
      </c>
      <c r="R71" s="20">
        <f t="shared" ref="R71" si="679">IF(M71&gt;0,T71/M71,0)</f>
        <v>3.0028868044804671E-2</v>
      </c>
      <c r="S71" s="107"/>
      <c r="T71" s="52">
        <f t="shared" ref="T71" si="680">T68+T69+T70</f>
        <v>1318.9880000000003</v>
      </c>
      <c r="U71" s="20">
        <f t="shared" ref="U71" si="681">IF(M71&gt;0,V71/M71,0)</f>
        <v>0.26250956197067665</v>
      </c>
      <c r="V71" s="52">
        <f t="shared" ref="V71" si="682">V68+V69+V70</f>
        <v>11530.470000000001</v>
      </c>
      <c r="W71" s="20">
        <f t="shared" ref="W71" si="683">IF(M71&gt;0,X71/M71,0)</f>
        <v>0.47203870321464353</v>
      </c>
      <c r="X71" s="52">
        <f t="shared" ref="X71" si="684">X68+X69+X70</f>
        <v>20733.828000000001</v>
      </c>
      <c r="Y71" s="20">
        <f t="shared" ref="Y71" si="685">IF(M71&gt;0,Z71/M71,0)</f>
        <v>0.45671887806210731</v>
      </c>
      <c r="Z71" s="52">
        <f t="shared" ref="Z71" si="686">Z68+Z69+Z70</f>
        <v>20060.920000000002</v>
      </c>
      <c r="AA71" s="119">
        <f>IF(M71&gt;0,AB71/M71,0)</f>
        <v>2.4903132683726436E-3</v>
      </c>
      <c r="AB71" s="54">
        <f t="shared" ref="AB71" si="687">SUM(AB68:AB70)</f>
        <v>109.38451999999999</v>
      </c>
      <c r="AC71" s="53">
        <f t="shared" ref="AC71" si="688">IF(M71&gt;0,AD71/M71,0)</f>
        <v>2.5737426008560242E-3</v>
      </c>
      <c r="AD71" s="54">
        <f t="shared" ref="AD71" si="689">SUM(AD68:AD70)</f>
        <v>113.04907000000001</v>
      </c>
      <c r="AE71" s="53">
        <f t="shared" ref="AE71" si="690">IF(M71&gt;0,(AE68*M68+AE69*M69+AE70*M70)/M71,0)</f>
        <v>2.4970551998907205E-3</v>
      </c>
      <c r="AF71" s="53">
        <f t="shared" ref="AF71" si="691">IF(K71&gt;0,(K68*AF68+K69*AF69+K70*AF70)/K71,0)</f>
        <v>2.6010215664018163E-4</v>
      </c>
      <c r="AG71" s="50">
        <f t="shared" ref="AG71" si="692">SUM(AG68:AG70)</f>
        <v>11.42567</v>
      </c>
      <c r="AH71" s="51">
        <f t="shared" ref="AH71" si="693">IF(K71&gt;0,(K68*AH68+K69*AH69+K70*AH70)/K71,0)</f>
        <v>0.20708731501509864</v>
      </c>
      <c r="AI71" s="56">
        <f t="shared" ref="AI71" si="694">SUM(AI68:AI70)</f>
        <v>94.993557400000014</v>
      </c>
      <c r="AJ71" s="51">
        <f t="shared" ref="AJ71" si="695">IF(AND(AD71&gt;0),((AD68*AJ68+AD69*AJ69+AD70*AJ70)/AD71),0)</f>
        <v>0.90006374295619085</v>
      </c>
      <c r="AK71" s="55">
        <f t="shared" si="668"/>
        <v>0.89692533658538964</v>
      </c>
      <c r="AL71" s="49">
        <f t="shared" ref="AL71" si="696">SUM(AL68:AL70)</f>
        <v>504</v>
      </c>
      <c r="AM71" s="20">
        <f t="shared" ref="AM71" si="697">IF(AL71&gt;0,(AM68*AL68+AM69*AL69+AM70*AL70)/AL71,0)</f>
        <v>8.9640873015873007E-2</v>
      </c>
      <c r="AN71" s="51">
        <f>IF(K71&gt;0,(AN68*K68+AN69*K69+AN70*K70)/K71,0)</f>
        <v>0.21424663439916047</v>
      </c>
      <c r="AO71" s="107">
        <f>IF(L71&gt;0,(AO68*K68+AO69*K69+AO70*K70)/K71,0)</f>
        <v>0.21435659092369308</v>
      </c>
      <c r="AP71" s="56">
        <f t="shared" ref="AP71:AQ71" si="698">SUM(AP68:AP70)</f>
        <v>98.254982600000005</v>
      </c>
      <c r="AQ71" s="108">
        <f t="shared" si="698"/>
        <v>98.313741100000001</v>
      </c>
      <c r="AR71" s="54"/>
      <c r="AS71" s="54">
        <f t="shared" ref="AS71" si="699">SUM(AS68:AS70)</f>
        <v>0</v>
      </c>
      <c r="AT71" s="83"/>
      <c r="AU71" s="84">
        <f>AT70</f>
        <v>1598.5599999999997</v>
      </c>
      <c r="AV71" s="49">
        <f t="shared" ref="AV71" si="700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57</v>
      </c>
      <c r="D72" s="11">
        <v>18400</v>
      </c>
      <c r="E72" s="11">
        <v>1</v>
      </c>
      <c r="F72" s="11">
        <v>12257</v>
      </c>
      <c r="G72" s="12">
        <v>0.9</v>
      </c>
      <c r="H72" s="12">
        <v>5.7</v>
      </c>
      <c r="I72" s="11">
        <v>12340</v>
      </c>
      <c r="J72" s="131">
        <v>2.2000000000000002</v>
      </c>
      <c r="K72" s="11">
        <v>15361</v>
      </c>
      <c r="L72" s="13">
        <v>0.06</v>
      </c>
      <c r="M72" s="23">
        <f>ROUND(K72*(1-L72),0)</f>
        <v>14439</v>
      </c>
      <c r="N72" s="14">
        <v>0.63700000000000001</v>
      </c>
      <c r="O72" s="24">
        <f t="shared" ref="O72:O74" si="701">M72*N72</f>
        <v>9197.643</v>
      </c>
      <c r="P72" s="13">
        <v>0.33600000000000002</v>
      </c>
      <c r="Q72" s="24">
        <f t="shared" ref="Q72:Q74" si="702">M72*P72</f>
        <v>4851.5039999999999</v>
      </c>
      <c r="R72" s="15">
        <v>2.7E-2</v>
      </c>
      <c r="S72" s="112"/>
      <c r="T72" s="24">
        <f t="shared" ref="T72:T74" si="703">M72*R72</f>
        <v>389.85300000000001</v>
      </c>
      <c r="U72" s="25">
        <v>0.27400000000000002</v>
      </c>
      <c r="V72" s="24">
        <f t="shared" ref="V72:V74" si="704">M72*U72</f>
        <v>3956.2860000000005</v>
      </c>
      <c r="W72" s="15">
        <v>0.46100000000000002</v>
      </c>
      <c r="X72" s="24">
        <f t="shared" ref="X72:X74" si="705">M72*W72</f>
        <v>6656.3789999999999</v>
      </c>
      <c r="Y72" s="15">
        <v>0.48</v>
      </c>
      <c r="Z72" s="24">
        <f t="shared" ref="Z72:Z74" si="706">Y72*M72</f>
        <v>6930.7199999999993</v>
      </c>
      <c r="AA72" s="116">
        <v>2.3700000000000001E-3</v>
      </c>
      <c r="AB72" s="18">
        <f t="shared" ref="AB72" si="707">M72*AA72</f>
        <v>34.22043</v>
      </c>
      <c r="AC72" s="16">
        <v>2.9099999999999998E-3</v>
      </c>
      <c r="AD72" s="17">
        <f t="shared" ref="AD72:AD74" si="708">M72*AC72</f>
        <v>42.017489999999995</v>
      </c>
      <c r="AE72" s="26">
        <f>IF(M72&gt;0,(AG72+AP72)/M72,0)</f>
        <v>2.3710014543943487E-3</v>
      </c>
      <c r="AF72" s="16">
        <v>2.5000000000000001E-4</v>
      </c>
      <c r="AG72" s="23">
        <f t="shared" ref="AG72:AG74" si="709">AF72*M72</f>
        <v>3.60975</v>
      </c>
      <c r="AH72" s="92">
        <v>0.2039</v>
      </c>
      <c r="AI72" s="29">
        <f t="shared" ref="AI72:AI74" si="710">AL72*(1-AM72)*AH72</f>
        <v>29.316742000000001</v>
      </c>
      <c r="AJ72" s="27">
        <f t="shared" ref="AJ72:AJ74" si="711">IF(AND(AH72&gt;0,AF72&gt;0,AC72&gt;0),((AC72-AF72)*AH72)/((AH72-AF72)*AC72),0)</f>
        <v>0.91521147983999906</v>
      </c>
      <c r="AK72" s="58">
        <f t="shared" si="668"/>
        <v>0.89561050841825074</v>
      </c>
      <c r="AL72" s="11">
        <v>158</v>
      </c>
      <c r="AM72" s="13">
        <v>0.09</v>
      </c>
      <c r="AN72" s="14">
        <v>0.21299999999999999</v>
      </c>
      <c r="AO72" s="101">
        <v>0.21440000000000001</v>
      </c>
      <c r="AP72" s="29">
        <f>AL72*(1-AM72)*AN72</f>
        <v>30.625139999999998</v>
      </c>
      <c r="AQ72" s="102">
        <f t="shared" ref="AQ72:AQ126" si="712">AL72*(1-AM72)*AO72</f>
        <v>30.826432</v>
      </c>
      <c r="AR72" s="18">
        <v>1.5</v>
      </c>
      <c r="AS72" s="18"/>
      <c r="AT72" s="79">
        <f>AT70+AL72-AS72</f>
        <v>1756.5599999999997</v>
      </c>
      <c r="AU72" s="80"/>
      <c r="AV72" s="11"/>
      <c r="AW72" s="30"/>
      <c r="AX72" s="19"/>
      <c r="AY72" s="19"/>
      <c r="AZ72" s="19"/>
      <c r="BA72" s="19"/>
    </row>
    <row r="73" spans="1:54">
      <c r="A73" s="147"/>
      <c r="B73" s="32">
        <v>2</v>
      </c>
      <c r="C73" s="10" t="s">
        <v>58</v>
      </c>
      <c r="D73" s="33">
        <v>18800</v>
      </c>
      <c r="E73" s="33">
        <v>6</v>
      </c>
      <c r="F73" s="33">
        <v>18083</v>
      </c>
      <c r="G73" s="34">
        <v>0.4</v>
      </c>
      <c r="H73" s="34">
        <v>5.6</v>
      </c>
      <c r="I73" s="33">
        <v>17670</v>
      </c>
      <c r="J73" s="132">
        <v>1.2</v>
      </c>
      <c r="K73" s="33">
        <v>15673</v>
      </c>
      <c r="L73" s="35">
        <v>5.3999999999999999E-2</v>
      </c>
      <c r="M73" s="36">
        <f>ROUND(K73*(1-L73),0)</f>
        <v>14827</v>
      </c>
      <c r="N73" s="37">
        <v>0.71</v>
      </c>
      <c r="O73" s="24">
        <f t="shared" si="701"/>
        <v>10527.17</v>
      </c>
      <c r="P73" s="35">
        <v>0.224</v>
      </c>
      <c r="Q73" s="24">
        <f t="shared" si="702"/>
        <v>3321.248</v>
      </c>
      <c r="R73" s="38">
        <v>6.6000000000000003E-2</v>
      </c>
      <c r="S73" s="105"/>
      <c r="T73" s="24">
        <f t="shared" si="703"/>
        <v>978.58199999999999</v>
      </c>
      <c r="U73" s="27">
        <v>0.28199999999999997</v>
      </c>
      <c r="V73" s="24">
        <f t="shared" si="704"/>
        <v>4181.2139999999999</v>
      </c>
      <c r="W73" s="38">
        <v>0.47199999999999998</v>
      </c>
      <c r="X73" s="24">
        <f t="shared" si="705"/>
        <v>6998.3440000000001</v>
      </c>
      <c r="Y73" s="38">
        <v>0.45</v>
      </c>
      <c r="Z73" s="24">
        <f t="shared" si="706"/>
        <v>6672.1500000000005</v>
      </c>
      <c r="AA73" s="117">
        <v>2.5500000000000002E-3</v>
      </c>
      <c r="AB73" s="18">
        <f t="shared" si="147"/>
        <v>37.80885</v>
      </c>
      <c r="AC73" s="39">
        <v>2.8500000000000001E-3</v>
      </c>
      <c r="AD73" s="17">
        <f t="shared" si="708"/>
        <v>42.256950000000003</v>
      </c>
      <c r="AE73" s="26">
        <f>IF(M73&gt;0,(AG73+AP73)/M73,0)</f>
        <v>2.6995715384096584E-3</v>
      </c>
      <c r="AF73" s="39">
        <v>2.7E-4</v>
      </c>
      <c r="AG73" s="36">
        <f t="shared" si="709"/>
        <v>4.0032899999999998</v>
      </c>
      <c r="AH73" s="27">
        <v>0.1971</v>
      </c>
      <c r="AI73" s="40">
        <f t="shared" si="710"/>
        <v>33.039478800000005</v>
      </c>
      <c r="AJ73" s="27">
        <f t="shared" si="711"/>
        <v>0.90650494549130023</v>
      </c>
      <c r="AK73" s="28">
        <f t="shared" si="668"/>
        <v>0.90111628953019263</v>
      </c>
      <c r="AL73" s="33">
        <v>183</v>
      </c>
      <c r="AM73" s="35">
        <v>8.4000000000000005E-2</v>
      </c>
      <c r="AN73" s="37">
        <v>0.21490000000000001</v>
      </c>
      <c r="AO73" s="103">
        <v>0.22239999999999999</v>
      </c>
      <c r="AP73" s="40">
        <f>AL73*(1-AM73)*AN73</f>
        <v>36.023257200000003</v>
      </c>
      <c r="AQ73" s="104">
        <f t="shared" si="712"/>
        <v>37.280467200000004</v>
      </c>
      <c r="AR73" s="41">
        <v>1.55</v>
      </c>
      <c r="AS73" s="41"/>
      <c r="AT73" s="129">
        <f>AT72+AL73-AS73</f>
        <v>1939.5599999999997</v>
      </c>
      <c r="AU73" s="82"/>
      <c r="AV73" s="42"/>
      <c r="AW73" s="43"/>
      <c r="AX73" s="44"/>
      <c r="AY73" s="44"/>
      <c r="AZ73" s="44"/>
      <c r="BA73" s="44"/>
    </row>
    <row r="74" spans="1:54">
      <c r="A74" s="147"/>
      <c r="B74" s="32">
        <v>3</v>
      </c>
      <c r="C74" s="10" t="s">
        <v>55</v>
      </c>
      <c r="D74" s="42">
        <v>16990</v>
      </c>
      <c r="E74" s="42">
        <v>3</v>
      </c>
      <c r="F74" s="42">
        <v>16660</v>
      </c>
      <c r="G74" s="36">
        <v>0.6</v>
      </c>
      <c r="H74" s="36">
        <v>5.6</v>
      </c>
      <c r="I74" s="42">
        <v>16539</v>
      </c>
      <c r="J74" s="36">
        <v>1.5</v>
      </c>
      <c r="K74" s="42">
        <v>15826</v>
      </c>
      <c r="L74" s="38">
        <v>5.5E-2</v>
      </c>
      <c r="M74" s="36">
        <f>ROUND(K74*(1-L74),0)</f>
        <v>14956</v>
      </c>
      <c r="N74" s="27">
        <v>0.755</v>
      </c>
      <c r="O74" s="24">
        <f t="shared" si="701"/>
        <v>11291.78</v>
      </c>
      <c r="P74" s="38">
        <v>0.22500000000000001</v>
      </c>
      <c r="Q74" s="24">
        <f t="shared" si="702"/>
        <v>3365.1</v>
      </c>
      <c r="R74" s="38">
        <v>0.02</v>
      </c>
      <c r="S74" s="105"/>
      <c r="T74" s="24">
        <f t="shared" si="703"/>
        <v>299.12</v>
      </c>
      <c r="U74" s="27">
        <v>0.27900000000000003</v>
      </c>
      <c r="V74" s="24">
        <f t="shared" si="704"/>
        <v>4172.7240000000002</v>
      </c>
      <c r="W74" s="38">
        <v>0.46100000000000002</v>
      </c>
      <c r="X74" s="24">
        <f t="shared" si="705"/>
        <v>6894.7160000000003</v>
      </c>
      <c r="Y74" s="38">
        <v>0.46</v>
      </c>
      <c r="Z74" s="24">
        <f t="shared" si="706"/>
        <v>6879.76</v>
      </c>
      <c r="AA74" s="118">
        <v>2.63E-3</v>
      </c>
      <c r="AB74" s="121">
        <f t="shared" si="147"/>
        <v>39.33428</v>
      </c>
      <c r="AC74" s="45">
        <v>2.8800000000000002E-3</v>
      </c>
      <c r="AD74" s="17">
        <f t="shared" si="708"/>
        <v>43.073280000000004</v>
      </c>
      <c r="AE74" s="26">
        <f>IF(M74&gt;0,(AG74+AP74)/M74,0)</f>
        <v>2.5586939288579835E-3</v>
      </c>
      <c r="AF74" s="45">
        <v>2.7999999999999998E-4</v>
      </c>
      <c r="AG74" s="36">
        <f t="shared" si="709"/>
        <v>4.1876799999999994</v>
      </c>
      <c r="AH74" s="27">
        <v>0.2109</v>
      </c>
      <c r="AI74" s="40">
        <f t="shared" si="710"/>
        <v>34.193638800000002</v>
      </c>
      <c r="AJ74" s="27">
        <f t="shared" si="711"/>
        <v>0.90397793815085614</v>
      </c>
      <c r="AK74" s="28">
        <f t="shared" si="668"/>
        <v>0.89175704822230406</v>
      </c>
      <c r="AL74" s="42">
        <v>177</v>
      </c>
      <c r="AM74" s="38">
        <v>8.4000000000000005E-2</v>
      </c>
      <c r="AN74" s="27">
        <v>0.2102</v>
      </c>
      <c r="AO74" s="105">
        <v>0.21829999999999999</v>
      </c>
      <c r="AP74" s="40">
        <f>AL74*(1-AM74)*AN74</f>
        <v>34.080146400000004</v>
      </c>
      <c r="AQ74" s="106">
        <f t="shared" si="712"/>
        <v>35.393415599999997</v>
      </c>
      <c r="AR74" s="17">
        <v>1.58</v>
      </c>
      <c r="AS74" s="17"/>
      <c r="AT74" s="129">
        <f>AT73+AL74-AS74</f>
        <v>2116.5599999999995</v>
      </c>
      <c r="AU74" s="82"/>
      <c r="AV74" s="42"/>
      <c r="AW74" s="46"/>
      <c r="AX74" s="40"/>
      <c r="AY74" s="40"/>
      <c r="AZ74" s="40"/>
      <c r="BA74" s="40"/>
    </row>
    <row r="75" spans="1:54">
      <c r="A75" s="148"/>
      <c r="B75" s="47" t="s">
        <v>56</v>
      </c>
      <c r="C75" s="48"/>
      <c r="D75" s="49">
        <f t="shared" ref="D75" si="713">SUM(D72:D74)</f>
        <v>54190</v>
      </c>
      <c r="E75" s="49"/>
      <c r="F75" s="49">
        <f t="shared" ref="F75" si="714">SUM(F72:F74)</f>
        <v>47000</v>
      </c>
      <c r="G75" s="50"/>
      <c r="H75" s="50"/>
      <c r="I75" s="49">
        <f t="shared" ref="I75:K75" si="715">SUM(I72:I74)</f>
        <v>46549</v>
      </c>
      <c r="J75" s="50"/>
      <c r="K75" s="49">
        <f t="shared" si="715"/>
        <v>46860</v>
      </c>
      <c r="L75" s="20">
        <f t="shared" ref="L75" si="716">IF(K75&gt;0,(K72*L72+K73*L73+K74*L74)/K75,0)</f>
        <v>5.6304566794707633E-2</v>
      </c>
      <c r="M75" s="50">
        <f t="shared" ref="M75" si="717">M72+M73+M74</f>
        <v>44222</v>
      </c>
      <c r="N75" s="51">
        <f t="shared" ref="N75" si="718">IF(M75&gt;0,O75/M75,0)</f>
        <v>0.70138376826014204</v>
      </c>
      <c r="O75" s="52">
        <f t="shared" ref="O75" si="719">O72+O73+O74</f>
        <v>31016.593000000001</v>
      </c>
      <c r="P75" s="20">
        <f t="shared" ref="P75" si="720">IF(M75&gt;0,Q75/M75,0)</f>
        <v>0.26090751209805074</v>
      </c>
      <c r="Q75" s="52">
        <f t="shared" ref="Q75" si="721">Q72+Q73+Q74</f>
        <v>11537.852000000001</v>
      </c>
      <c r="R75" s="20">
        <f t="shared" ref="R75" si="722">IF(M75&gt;0,T75/M75,0)</f>
        <v>3.7708719641807241E-2</v>
      </c>
      <c r="S75" s="107"/>
      <c r="T75" s="52">
        <f t="shared" ref="T75" si="723">T72+T73+T74</f>
        <v>1667.5549999999998</v>
      </c>
      <c r="U75" s="20">
        <f t="shared" ref="U75" si="724">IF(M75&gt;0,V75/M75,0)</f>
        <v>0.27837329835828323</v>
      </c>
      <c r="V75" s="52">
        <f t="shared" ref="V75" si="725">V72+V73+V74</f>
        <v>12310.224</v>
      </c>
      <c r="W75" s="20">
        <f t="shared" ref="W75" si="726">IF(M75&gt;0,X75/M75,0)</f>
        <v>0.464688141648953</v>
      </c>
      <c r="X75" s="52">
        <f t="shared" ref="X75" si="727">X72+X73+X74</f>
        <v>20549.438999999998</v>
      </c>
      <c r="Y75" s="20">
        <f t="shared" ref="Y75" si="728">IF(M75&gt;0,Z75/M75,0)</f>
        <v>0.46317737777576767</v>
      </c>
      <c r="Z75" s="52">
        <f t="shared" ref="Z75" si="729">Z72+Z73+Z74</f>
        <v>20482.629999999997</v>
      </c>
      <c r="AA75" s="119">
        <f>IF(M75&gt;0,AB75/M75,0)</f>
        <v>2.5182841119804622E-3</v>
      </c>
      <c r="AB75" s="54">
        <f t="shared" ref="AB75" si="730">SUM(AB72:AB74)</f>
        <v>111.36356000000001</v>
      </c>
      <c r="AC75" s="53">
        <f t="shared" ref="AC75" si="731">IF(M75&gt;0,AD75/M75,0)</f>
        <v>2.8797367825968978E-3</v>
      </c>
      <c r="AD75" s="54">
        <f t="shared" ref="AD75" si="732">SUM(AD72:AD74)</f>
        <v>127.34772000000001</v>
      </c>
      <c r="AE75" s="53">
        <f t="shared" ref="AE75" si="733">IF(M75&gt;0,(AE72*M72+AE73*M73+AE74*M74)/M75,0)</f>
        <v>2.5446443761023927E-3</v>
      </c>
      <c r="AF75" s="53">
        <f t="shared" ref="AF75" si="734">IF(K75&gt;0,(K72*AF72+K73*AF73+K74*AF74)/K75,0)</f>
        <v>2.6682116944088774E-4</v>
      </c>
      <c r="AG75" s="50">
        <f t="shared" ref="AG75" si="735">SUM(AG72:AG74)</f>
        <v>11.800719999999998</v>
      </c>
      <c r="AH75" s="51">
        <f t="shared" ref="AH75" si="736">IF(K75&gt;0,(K72*AH72+K73*AH73+K74*AH74)/K75,0)</f>
        <v>0.20398974818608623</v>
      </c>
      <c r="AI75" s="56">
        <f t="shared" ref="AI75" si="737">SUM(AI72:AI74)</f>
        <v>96.549859600000005</v>
      </c>
      <c r="AJ75" s="51">
        <f t="shared" ref="AJ75" si="738">IF(AND(AD75&gt;0),((AD72*AJ72+AD73*AJ73+AD74*AJ74)/AD75),0)</f>
        <v>0.9085228868034344</v>
      </c>
      <c r="AK75" s="55">
        <f t="shared" si="668"/>
        <v>0.89626840022065557</v>
      </c>
      <c r="AL75" s="49">
        <f t="shared" ref="AL75" si="739">SUM(AL72:AL74)</f>
        <v>518</v>
      </c>
      <c r="AM75" s="20">
        <f t="shared" ref="AM75" si="740">IF(AL75&gt;0,(AM72*AL72+AM73*AL73+AM74*AL74)/AL75,0)</f>
        <v>8.5830115830115836E-2</v>
      </c>
      <c r="AN75" s="51">
        <f>IF(K75&gt;0,(AN72*K72+AN73*K73+AN74*K74)/K75,0)</f>
        <v>0.2126898399487836</v>
      </c>
      <c r="AO75" s="107">
        <f>IF(L75&gt;0,(AO72*K72+AO73*K73+AO74*K74)/K75,0)</f>
        <v>0.21839285958173282</v>
      </c>
      <c r="AP75" s="56">
        <f t="shared" ref="AP75:AQ87" si="741">SUM(AP72:AP74)</f>
        <v>100.72854360000001</v>
      </c>
      <c r="AQ75" s="108">
        <f t="shared" si="741"/>
        <v>103.5003148</v>
      </c>
      <c r="AR75" s="54"/>
      <c r="AS75" s="54">
        <f t="shared" ref="AS75" si="742">SUM(AS72:AS74)</f>
        <v>0</v>
      </c>
      <c r="AT75" s="83"/>
      <c r="AU75" s="84">
        <f>AT74</f>
        <v>2116.5599999999995</v>
      </c>
      <c r="AV75" s="49">
        <f t="shared" ref="AV75" si="743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57</v>
      </c>
      <c r="D76" s="11">
        <v>3441</v>
      </c>
      <c r="E76" s="11">
        <v>3</v>
      </c>
      <c r="F76" s="11">
        <v>8274</v>
      </c>
      <c r="G76" s="12">
        <v>0.6</v>
      </c>
      <c r="H76" s="12">
        <v>5.7</v>
      </c>
      <c r="I76" s="11">
        <v>8814</v>
      </c>
      <c r="J76" s="12">
        <v>3.3</v>
      </c>
      <c r="K76" s="11">
        <v>14691</v>
      </c>
      <c r="L76" s="13">
        <v>5.8999999999999997E-2</v>
      </c>
      <c r="M76" s="23">
        <f>ROUND(K76*(1-L76),0)</f>
        <v>13824</v>
      </c>
      <c r="N76" s="14">
        <v>0.62</v>
      </c>
      <c r="O76" s="24">
        <f t="shared" ref="O76:O78" si="744">M76*N76</f>
        <v>8570.8799999999992</v>
      </c>
      <c r="P76" s="13">
        <v>0.35099999999999998</v>
      </c>
      <c r="Q76" s="24">
        <f t="shared" ref="Q76:Q78" si="745">M76*P76</f>
        <v>4852.2240000000002</v>
      </c>
      <c r="R76" s="15">
        <v>2.9000000000000001E-2</v>
      </c>
      <c r="S76" s="112"/>
      <c r="T76" s="24">
        <f t="shared" ref="T76:T78" si="746">M76*R76</f>
        <v>400.89600000000002</v>
      </c>
      <c r="U76" s="25">
        <v>0.27200000000000002</v>
      </c>
      <c r="V76" s="24">
        <f t="shared" ref="V76:V78" si="747">M76*U76</f>
        <v>3760.1280000000002</v>
      </c>
      <c r="W76" s="15">
        <v>0.46</v>
      </c>
      <c r="X76" s="24">
        <f t="shared" ref="X76:X78" si="748">M76*W76</f>
        <v>6359.04</v>
      </c>
      <c r="Y76" s="15">
        <v>0.45</v>
      </c>
      <c r="Z76" s="24">
        <f t="shared" ref="Z76:Z78" si="749">Y76*M76</f>
        <v>6220.8</v>
      </c>
      <c r="AA76" s="116">
        <v>2.7000000000000001E-3</v>
      </c>
      <c r="AB76" s="18">
        <f t="shared" ref="AB76:AB126" si="750">M76*AA76</f>
        <v>37.324800000000003</v>
      </c>
      <c r="AC76" s="16">
        <v>2.96E-3</v>
      </c>
      <c r="AD76" s="17">
        <f t="shared" ref="AD76:AD78" si="751">M76*AC76</f>
        <v>40.919040000000003</v>
      </c>
      <c r="AE76" s="26">
        <f>IF(M76&gt;0,(AG76+AP76)/M76,0)</f>
        <v>2.7049056423611114E-3</v>
      </c>
      <c r="AF76" s="16">
        <v>2.7E-4</v>
      </c>
      <c r="AG76" s="23">
        <f t="shared" ref="AG76:AG78" si="752">AF76*M76</f>
        <v>3.7324800000000002</v>
      </c>
      <c r="AH76" s="92">
        <v>0.21</v>
      </c>
      <c r="AI76" s="29">
        <f t="shared" ref="AI76:AI78" si="753">AL76*(1-AM76)*AH76</f>
        <v>32.544330000000002</v>
      </c>
      <c r="AJ76" s="27">
        <f t="shared" ref="AJ76:AJ78" si="754">IF(AND(AH76&gt;0,AF76&gt;0,AC76&gt;0),((AC76-AF76)*AH76)/((AH76-AF76)*AC76),0)</f>
        <v>0.90995372428643784</v>
      </c>
      <c r="AK76" s="58">
        <f t="shared" si="668"/>
        <v>0.90130176368720771</v>
      </c>
      <c r="AL76" s="11">
        <v>169</v>
      </c>
      <c r="AM76" s="13">
        <v>8.3000000000000004E-2</v>
      </c>
      <c r="AN76" s="14">
        <v>0.2172</v>
      </c>
      <c r="AO76" s="101">
        <v>0.2213</v>
      </c>
      <c r="AP76" s="29">
        <f>AL76*(1-AM76)*AN76</f>
        <v>33.660135600000004</v>
      </c>
      <c r="AQ76" s="102">
        <f t="shared" ref="AQ76" si="755">AL76*(1-AM76)*AO76</f>
        <v>34.295524900000004</v>
      </c>
      <c r="AR76" s="18">
        <v>1.58</v>
      </c>
      <c r="AS76" s="18">
        <v>1006.86</v>
      </c>
      <c r="AT76" s="79">
        <f>AT74+AL76-AS76</f>
        <v>1278.6999999999994</v>
      </c>
      <c r="AU76" s="80"/>
      <c r="AV76" s="11"/>
      <c r="AW76" s="30"/>
      <c r="AX76" s="19"/>
      <c r="AY76" s="19"/>
      <c r="AZ76" s="19"/>
      <c r="BA76" s="19"/>
    </row>
    <row r="77" spans="1:54">
      <c r="A77" s="147"/>
      <c r="B77" s="32">
        <v>2</v>
      </c>
      <c r="C77" s="10" t="s">
        <v>58</v>
      </c>
      <c r="D77" s="33">
        <v>18459</v>
      </c>
      <c r="E77" s="33">
        <v>7</v>
      </c>
      <c r="F77" s="33">
        <v>19094</v>
      </c>
      <c r="G77" s="34">
        <v>0.3</v>
      </c>
      <c r="H77" s="34">
        <v>6.1</v>
      </c>
      <c r="I77" s="33">
        <v>18290</v>
      </c>
      <c r="J77" s="34">
        <v>2.1</v>
      </c>
      <c r="K77" s="33">
        <v>14878</v>
      </c>
      <c r="L77" s="35">
        <v>6.0999999999999999E-2</v>
      </c>
      <c r="M77" s="36">
        <f>ROUND(K77*(1-L77),0)</f>
        <v>13970</v>
      </c>
      <c r="N77" s="37">
        <v>0.79500000000000004</v>
      </c>
      <c r="O77" s="24">
        <f t="shared" si="744"/>
        <v>11106.150000000001</v>
      </c>
      <c r="P77" s="35">
        <v>0.17899999999999999</v>
      </c>
      <c r="Q77" s="24">
        <f t="shared" si="745"/>
        <v>2500.63</v>
      </c>
      <c r="R77" s="38">
        <v>2.5999999999999999E-2</v>
      </c>
      <c r="S77" s="105">
        <v>0.2409</v>
      </c>
      <c r="T77" s="24">
        <f t="shared" si="746"/>
        <v>363.21999999999997</v>
      </c>
      <c r="U77" s="27">
        <v>0.26600000000000001</v>
      </c>
      <c r="V77" s="24">
        <f t="shared" si="747"/>
        <v>3716.02</v>
      </c>
      <c r="W77" s="38">
        <v>0.46300000000000002</v>
      </c>
      <c r="X77" s="24">
        <f t="shared" si="748"/>
        <v>6468.1100000000006</v>
      </c>
      <c r="Y77" s="38">
        <v>0.46</v>
      </c>
      <c r="Z77" s="24">
        <f t="shared" si="749"/>
        <v>6426.2000000000007</v>
      </c>
      <c r="AA77" s="117">
        <v>2.8700000000000002E-3</v>
      </c>
      <c r="AB77" s="18">
        <f t="shared" si="750"/>
        <v>40.093900000000005</v>
      </c>
      <c r="AC77" s="39">
        <v>2.8800000000000002E-3</v>
      </c>
      <c r="AD77" s="17">
        <f t="shared" si="751"/>
        <v>40.233600000000003</v>
      </c>
      <c r="AE77" s="26">
        <f>IF(M77&gt;0,(AG77+AP77)/M77,0)</f>
        <v>2.8990959198282032E-3</v>
      </c>
      <c r="AF77" s="39">
        <v>2.5999999999999998E-4</v>
      </c>
      <c r="AG77" s="36">
        <f t="shared" si="752"/>
        <v>3.6321999999999997</v>
      </c>
      <c r="AH77" s="27">
        <v>0.2082</v>
      </c>
      <c r="AI77" s="40">
        <f t="shared" si="753"/>
        <v>36.037337999999998</v>
      </c>
      <c r="AJ77" s="27">
        <f t="shared" si="754"/>
        <v>0.91085970311948972</v>
      </c>
      <c r="AK77" s="28">
        <f t="shared" si="668"/>
        <v>0.91142941165389124</v>
      </c>
      <c r="AL77" s="33">
        <v>190</v>
      </c>
      <c r="AM77" s="35">
        <v>8.8999999999999996E-2</v>
      </c>
      <c r="AN77" s="37">
        <v>0.21299999999999999</v>
      </c>
      <c r="AO77" s="103">
        <v>0.2142</v>
      </c>
      <c r="AP77" s="40">
        <f>AL77*(1-AM77)*AN77</f>
        <v>36.868169999999999</v>
      </c>
      <c r="AQ77" s="104">
        <f t="shared" si="712"/>
        <v>37.075878000000003</v>
      </c>
      <c r="AR77" s="41">
        <v>1.55</v>
      </c>
      <c r="AS77" s="41"/>
      <c r="AT77" s="129">
        <f>AT76+AL77-AS77</f>
        <v>1468.6999999999994</v>
      </c>
      <c r="AU77" s="82"/>
      <c r="AV77" s="42"/>
      <c r="AW77" s="43"/>
      <c r="AX77" s="44"/>
      <c r="AY77" s="44"/>
      <c r="AZ77" s="44"/>
      <c r="BA77" s="44"/>
    </row>
    <row r="78" spans="1:54">
      <c r="A78" s="147"/>
      <c r="B78" s="32">
        <v>3</v>
      </c>
      <c r="C78" s="10" t="s">
        <v>53</v>
      </c>
      <c r="D78" s="42">
        <v>19560</v>
      </c>
      <c r="E78" s="42">
        <v>3</v>
      </c>
      <c r="F78" s="42">
        <v>16739</v>
      </c>
      <c r="G78" s="36">
        <v>0.6</v>
      </c>
      <c r="H78" s="36">
        <v>6.7</v>
      </c>
      <c r="I78" s="42">
        <v>17357</v>
      </c>
      <c r="J78" s="133">
        <v>1.1000000000000001</v>
      </c>
      <c r="K78" s="42">
        <v>15019</v>
      </c>
      <c r="L78" s="38">
        <v>6.6000000000000003E-2</v>
      </c>
      <c r="M78" s="36">
        <f>ROUND(K78*(1-L78),0)</f>
        <v>14028</v>
      </c>
      <c r="N78" s="27">
        <v>0.84799999999999998</v>
      </c>
      <c r="O78" s="24">
        <f t="shared" si="744"/>
        <v>11895.743999999999</v>
      </c>
      <c r="P78" s="38">
        <v>0.11600000000000001</v>
      </c>
      <c r="Q78" s="24">
        <f t="shared" si="745"/>
        <v>1627.248</v>
      </c>
      <c r="R78" s="38">
        <v>3.5999999999999997E-2</v>
      </c>
      <c r="S78" s="105">
        <v>0.25409999999999999</v>
      </c>
      <c r="T78" s="24">
        <f t="shared" si="746"/>
        <v>505.00799999999998</v>
      </c>
      <c r="U78" s="27">
        <v>0.26300000000000001</v>
      </c>
      <c r="V78" s="24">
        <f t="shared" si="747"/>
        <v>3689.364</v>
      </c>
      <c r="W78" s="38">
        <v>0.45200000000000001</v>
      </c>
      <c r="X78" s="24">
        <f t="shared" si="748"/>
        <v>6340.6559999999999</v>
      </c>
      <c r="Y78" s="38">
        <v>0.44</v>
      </c>
      <c r="Z78" s="24">
        <f t="shared" si="749"/>
        <v>6172.32</v>
      </c>
      <c r="AA78" s="118">
        <v>2.64E-3</v>
      </c>
      <c r="AB78" s="121">
        <f t="shared" si="750"/>
        <v>37.033920000000002</v>
      </c>
      <c r="AC78" s="45">
        <v>2.5899999999999999E-3</v>
      </c>
      <c r="AD78" s="17">
        <f t="shared" si="751"/>
        <v>36.332519999999995</v>
      </c>
      <c r="AE78" s="26">
        <f>IF(M78&gt;0,(AG78+AP78)/M78,0)</f>
        <v>2.561764328485885E-3</v>
      </c>
      <c r="AF78" s="45">
        <v>2.5000000000000001E-4</v>
      </c>
      <c r="AG78" s="36">
        <f t="shared" si="752"/>
        <v>3.5070000000000001</v>
      </c>
      <c r="AH78" s="27">
        <v>0.2051</v>
      </c>
      <c r="AI78" s="40">
        <f t="shared" si="753"/>
        <v>30.964972499999998</v>
      </c>
      <c r="AJ78" s="27">
        <f t="shared" si="754"/>
        <v>0.90457750892215139</v>
      </c>
      <c r="AK78" s="28">
        <f t="shared" si="668"/>
        <v>0.90346252340961075</v>
      </c>
      <c r="AL78" s="42">
        <v>165</v>
      </c>
      <c r="AM78" s="38">
        <v>8.5000000000000006E-2</v>
      </c>
      <c r="AN78" s="27">
        <v>0.21479999999999999</v>
      </c>
      <c r="AO78" s="105">
        <v>0.21879999999999999</v>
      </c>
      <c r="AP78" s="40">
        <f>AL78*(1-AM78)*AN78</f>
        <v>32.429429999999996</v>
      </c>
      <c r="AQ78" s="106">
        <f t="shared" si="712"/>
        <v>33.033329999999999</v>
      </c>
      <c r="AR78" s="17">
        <v>1.55</v>
      </c>
      <c r="AS78" s="17"/>
      <c r="AT78" s="129">
        <f>AT77+AL78-AS78</f>
        <v>1633.6999999999994</v>
      </c>
      <c r="AU78" s="82"/>
      <c r="AV78" s="42"/>
      <c r="AW78" s="46"/>
      <c r="AX78" s="40"/>
      <c r="AY78" s="40"/>
      <c r="AZ78" s="40"/>
      <c r="BA78" s="40"/>
    </row>
    <row r="79" spans="1:54">
      <c r="A79" s="148"/>
      <c r="B79" s="47" t="s">
        <v>56</v>
      </c>
      <c r="C79" s="48"/>
      <c r="D79" s="49">
        <f t="shared" ref="D79" si="756">SUM(D76:D78)</f>
        <v>41460</v>
      </c>
      <c r="E79" s="49"/>
      <c r="F79" s="49">
        <f t="shared" ref="F79" si="757">SUM(F76:F78)</f>
        <v>44107</v>
      </c>
      <c r="G79" s="50"/>
      <c r="H79" s="50"/>
      <c r="I79" s="49">
        <f t="shared" ref="I79:K79" si="758">SUM(I76:I78)</f>
        <v>44461</v>
      </c>
      <c r="J79" s="50"/>
      <c r="K79" s="49">
        <f t="shared" si="758"/>
        <v>44588</v>
      </c>
      <c r="L79" s="20">
        <f t="shared" ref="L79" si="759">IF(K79&gt;0,(K76*L76+K77*L77+K78*L78)/K79,0)</f>
        <v>6.2025231003857546E-2</v>
      </c>
      <c r="M79" s="50">
        <f t="shared" ref="M79" si="760">M76+M77+M78</f>
        <v>41822</v>
      </c>
      <c r="N79" s="51">
        <f t="shared" ref="N79" si="761">IF(M79&gt;0,O79/M79,0)</f>
        <v>0.754932188800153</v>
      </c>
      <c r="O79" s="52">
        <f t="shared" ref="O79" si="762">O76+O77+O78</f>
        <v>31572.773999999998</v>
      </c>
      <c r="P79" s="20">
        <f t="shared" ref="P79" si="763">IF(M79&gt;0,Q79/M79,0)</f>
        <v>0.21472196451628331</v>
      </c>
      <c r="Q79" s="52">
        <f t="shared" ref="Q79" si="764">Q76+Q77+Q78</f>
        <v>8980.1020000000008</v>
      </c>
      <c r="R79" s="20">
        <f t="shared" ref="R79" si="765">IF(M79&gt;0,T79/M79,0)</f>
        <v>3.0345846683563674E-2</v>
      </c>
      <c r="S79" s="107"/>
      <c r="T79" s="52">
        <f t="shared" ref="T79" si="766">T76+T77+T78</f>
        <v>1269.124</v>
      </c>
      <c r="U79" s="20">
        <f t="shared" ref="U79" si="767">IF(M79&gt;0,V79/M79,0)</f>
        <v>0.26697699775237915</v>
      </c>
      <c r="V79" s="52">
        <f t="shared" ref="V79" si="768">V76+V77+V78</f>
        <v>11165.512000000001</v>
      </c>
      <c r="W79" s="20">
        <f t="shared" ref="W79" si="769">IF(M79&gt;0,X79/M79,0)</f>
        <v>0.458318731767969</v>
      </c>
      <c r="X79" s="52">
        <f t="shared" ref="X79" si="770">X76+X77+X78</f>
        <v>19167.806</v>
      </c>
      <c r="Y79" s="20">
        <f t="shared" ref="Y79" si="771">IF(M79&gt;0,Z79/M79,0)</f>
        <v>0.44998613170101859</v>
      </c>
      <c r="Z79" s="52">
        <f t="shared" ref="Z79" si="772">Z76+Z77+Z78</f>
        <v>18819.32</v>
      </c>
      <c r="AA79" s="119">
        <f>IF(M79&gt;0,AB79/M79,0)</f>
        <v>2.7366606092487206E-3</v>
      </c>
      <c r="AB79" s="54">
        <f t="shared" ref="AB79" si="773">SUM(AB76:AB78)</f>
        <v>114.45262</v>
      </c>
      <c r="AC79" s="53">
        <f t="shared" ref="AC79" si="774">IF(M79&gt;0,AD79/M79,0)</f>
        <v>2.8091712495815599E-3</v>
      </c>
      <c r="AD79" s="54">
        <f t="shared" ref="AD79" si="775">SUM(AD76:AD78)</f>
        <v>117.48516000000001</v>
      </c>
      <c r="AE79" s="53">
        <f t="shared" ref="AE79" si="776">IF(M79&gt;0,(AE76*M76+AE77*M77+AE78*M78)/M79,0)</f>
        <v>2.7217592558940271E-3</v>
      </c>
      <c r="AF79" s="53">
        <f t="shared" ref="AF79" si="777">IF(K79&gt;0,(K76*AF76+K77*AF77+K78*AF78)/K79,0)</f>
        <v>2.5992643760653088E-4</v>
      </c>
      <c r="AG79" s="50">
        <f t="shared" ref="AG79" si="778">SUM(AG76:AG78)</f>
        <v>10.87168</v>
      </c>
      <c r="AH79" s="51">
        <f t="shared" ref="AH79" si="779">IF(K79&gt;0,(K76*AH76+K77*AH77+K78*AH78)/K79,0)</f>
        <v>0.20774886740827128</v>
      </c>
      <c r="AI79" s="56">
        <f t="shared" ref="AI79" si="780">SUM(AI76:AI78)</f>
        <v>99.546640500000009</v>
      </c>
      <c r="AJ79" s="51">
        <f t="shared" ref="AJ79" si="781">IF(AND(AD79&gt;0),((AD76*AJ76+AD77*AJ77+AD78*AJ78)/AD79),0)</f>
        <v>0.90860137763882909</v>
      </c>
      <c r="AK79" s="55">
        <f t="shared" si="668"/>
        <v>0.90559545637063954</v>
      </c>
      <c r="AL79" s="49">
        <f t="shared" ref="AL79" si="782">SUM(AL76:AL78)</f>
        <v>524</v>
      </c>
      <c r="AM79" s="20">
        <f t="shared" ref="AM79" si="783">IF(AL79&gt;0,(AM76*AL76+AM77*AL77+AM78*AL78)/AL79,0)</f>
        <v>8.5805343511450388E-2</v>
      </c>
      <c r="AN79" s="51">
        <f>IF(K79&gt;0,(AN76*K76+AN77*K77+AN78*K78)/K79,0)</f>
        <v>0.21499014084507043</v>
      </c>
      <c r="AO79" s="107">
        <f>IF(L79&gt;0,(AO76*K76+AO77*K77+AO78*K78)/K79,0)</f>
        <v>0.21808879294877545</v>
      </c>
      <c r="AP79" s="56">
        <f t="shared" ref="AP79" si="784">SUM(AP76:AP78)</f>
        <v>102.95773560000001</v>
      </c>
      <c r="AQ79" s="108">
        <f t="shared" si="741"/>
        <v>104.4047329</v>
      </c>
      <c r="AR79" s="54"/>
      <c r="AS79" s="54">
        <f t="shared" ref="AS79" si="785">SUM(AS76:AS78)</f>
        <v>1006.86</v>
      </c>
      <c r="AT79" s="83"/>
      <c r="AU79" s="84">
        <f>AT78</f>
        <v>1633.6999999999994</v>
      </c>
      <c r="AV79" s="49">
        <f t="shared" ref="AV79" si="786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0" t="s">
        <v>54</v>
      </c>
      <c r="D80" s="11">
        <v>6477</v>
      </c>
      <c r="E80" s="11">
        <v>2</v>
      </c>
      <c r="F80" s="11">
        <v>7473</v>
      </c>
      <c r="G80" s="12">
        <v>0.8</v>
      </c>
      <c r="H80" s="12">
        <v>5.2</v>
      </c>
      <c r="I80" s="11">
        <v>7843</v>
      </c>
      <c r="J80" s="131">
        <v>4.4000000000000004</v>
      </c>
      <c r="K80" s="11">
        <v>14919</v>
      </c>
      <c r="L80" s="13">
        <v>7.4999999999999997E-2</v>
      </c>
      <c r="M80" s="23">
        <f>ROUND(K80*(1-L80),0)</f>
        <v>13800</v>
      </c>
      <c r="N80" s="14">
        <v>0.66500000000000004</v>
      </c>
      <c r="O80" s="24">
        <f t="shared" ref="O80:O82" si="787">M80*N80</f>
        <v>9177</v>
      </c>
      <c r="P80" s="13">
        <v>0.29099999999999998</v>
      </c>
      <c r="Q80" s="24">
        <f t="shared" ref="Q80:Q82" si="788">M80*P80</f>
        <v>4015.7999999999997</v>
      </c>
      <c r="R80" s="15">
        <v>4.3999999999999997E-2</v>
      </c>
      <c r="S80" s="112">
        <v>0.23619999999999999</v>
      </c>
      <c r="T80" s="24">
        <f t="shared" ref="T80:T82" si="789">M80*R80</f>
        <v>607.19999999999993</v>
      </c>
      <c r="U80" s="25">
        <v>0.25600000000000001</v>
      </c>
      <c r="V80" s="24">
        <f t="shared" ref="V80:V82" si="790">M80*U80</f>
        <v>3532.8</v>
      </c>
      <c r="W80" s="15">
        <v>0.47</v>
      </c>
      <c r="X80" s="24">
        <f t="shared" ref="X80:X82" si="791">M80*W80</f>
        <v>6486</v>
      </c>
      <c r="Y80" s="15">
        <v>0.44</v>
      </c>
      <c r="Z80" s="24">
        <f t="shared" ref="Z80:Z82" si="792">Y80*M80</f>
        <v>6072</v>
      </c>
      <c r="AA80" s="116">
        <v>2.4599999999999999E-3</v>
      </c>
      <c r="AB80" s="18">
        <f t="shared" ref="AB80" si="793">M80*AA80</f>
        <v>33.948</v>
      </c>
      <c r="AC80" s="16">
        <v>2.5000000000000001E-3</v>
      </c>
      <c r="AD80" s="17">
        <f t="shared" ref="AD80:AD82" si="794">M80*AC80</f>
        <v>34.5</v>
      </c>
      <c r="AE80" s="26">
        <f>IF(M80&gt;0,(AG80+AP80)/M80,0)</f>
        <v>2.3304467391304351E-3</v>
      </c>
      <c r="AF80" s="16">
        <v>2.5000000000000001E-4</v>
      </c>
      <c r="AG80" s="23">
        <f t="shared" ref="AG80:AG82" si="795">AF80*M80</f>
        <v>3.45</v>
      </c>
      <c r="AH80" s="92">
        <v>0.2044</v>
      </c>
      <c r="AI80" s="29">
        <f t="shared" ref="AI80:AI82" si="796">AL80*(1-AM80)*AH80</f>
        <v>27.931260000000002</v>
      </c>
      <c r="AJ80" s="27">
        <f t="shared" ref="AJ80:AJ82" si="797">IF(AND(AH80&gt;0,AF80&gt;0,AC80&gt;0),((AC80-AF80)*AH80)/((AH80-AF80)*AC80),0)</f>
        <v>0.90110213078618684</v>
      </c>
      <c r="AK80" s="58">
        <f t="shared" si="668"/>
        <v>0.89378795782650278</v>
      </c>
      <c r="AL80" s="11">
        <v>150</v>
      </c>
      <c r="AM80" s="13">
        <v>8.8999999999999996E-2</v>
      </c>
      <c r="AN80" s="14">
        <v>0.21010000000000001</v>
      </c>
      <c r="AO80" s="101">
        <v>0.2092</v>
      </c>
      <c r="AP80" s="29">
        <f>AL80*(1-AM80)*AN80</f>
        <v>28.710165000000003</v>
      </c>
      <c r="AQ80" s="102">
        <f t="shared" ref="AQ80" si="798">AL80*(1-AM80)*AO80</f>
        <v>28.58718</v>
      </c>
      <c r="AR80" s="18">
        <v>1.55</v>
      </c>
      <c r="AS80" s="18">
        <v>1005.6</v>
      </c>
      <c r="AT80" s="79">
        <f>AT78+AL80-AS80</f>
        <v>778.09999999999934</v>
      </c>
      <c r="AU80" s="80"/>
      <c r="AV80" s="11"/>
      <c r="AW80" s="30"/>
      <c r="AX80" s="19"/>
      <c r="AY80" s="19"/>
      <c r="AZ80" s="19"/>
      <c r="BA80" s="19"/>
    </row>
    <row r="81" spans="1:54">
      <c r="A81" s="147"/>
      <c r="B81" s="32">
        <v>2</v>
      </c>
      <c r="C81" s="10" t="s">
        <v>58</v>
      </c>
      <c r="D81" s="33">
        <v>17800</v>
      </c>
      <c r="E81" s="33">
        <v>5</v>
      </c>
      <c r="F81" s="33">
        <v>17673</v>
      </c>
      <c r="G81" s="34">
        <v>0.6</v>
      </c>
      <c r="H81" s="34">
        <v>5.3</v>
      </c>
      <c r="I81" s="33">
        <v>17669</v>
      </c>
      <c r="J81" s="34">
        <v>2.5</v>
      </c>
      <c r="K81" s="33">
        <v>14487</v>
      </c>
      <c r="L81" s="35">
        <v>7.3999999999999996E-2</v>
      </c>
      <c r="M81" s="36">
        <f>ROUND(K81*(1-L81),0)</f>
        <v>13415</v>
      </c>
      <c r="N81" s="37">
        <v>0.77</v>
      </c>
      <c r="O81" s="24">
        <f t="shared" si="787"/>
        <v>10329.550000000001</v>
      </c>
      <c r="P81" s="35">
        <v>0.21</v>
      </c>
      <c r="Q81" s="24">
        <f t="shared" si="788"/>
        <v>2817.15</v>
      </c>
      <c r="R81" s="38">
        <v>0.02</v>
      </c>
      <c r="S81" s="105">
        <v>0.2407</v>
      </c>
      <c r="T81" s="24">
        <f t="shared" si="789"/>
        <v>268.3</v>
      </c>
      <c r="U81" s="27">
        <v>0.26300000000000001</v>
      </c>
      <c r="V81" s="24">
        <f t="shared" si="790"/>
        <v>3528.145</v>
      </c>
      <c r="W81" s="38">
        <v>0.46899999999999997</v>
      </c>
      <c r="X81" s="24">
        <f t="shared" si="791"/>
        <v>6291.6349999999993</v>
      </c>
      <c r="Y81" s="38">
        <v>0.43</v>
      </c>
      <c r="Z81" s="24">
        <f t="shared" si="792"/>
        <v>5768.45</v>
      </c>
      <c r="AA81" s="117">
        <v>2.6800000000000001E-3</v>
      </c>
      <c r="AB81" s="18">
        <f t="shared" si="750"/>
        <v>35.952199999999998</v>
      </c>
      <c r="AC81" s="39">
        <v>2.4399999999999999E-3</v>
      </c>
      <c r="AD81" s="17">
        <f t="shared" si="794"/>
        <v>32.732599999999998</v>
      </c>
      <c r="AE81" s="26">
        <f>IF(M81&gt;0,(AG81+AP81)/M81,0)</f>
        <v>2.6188474767051811E-3</v>
      </c>
      <c r="AF81" s="39">
        <v>2.4000000000000001E-4</v>
      </c>
      <c r="AG81" s="36">
        <f t="shared" si="795"/>
        <v>3.2196000000000002</v>
      </c>
      <c r="AH81" s="27">
        <v>0.22159999999999999</v>
      </c>
      <c r="AI81" s="40">
        <f t="shared" si="796"/>
        <v>30.0797624</v>
      </c>
      <c r="AJ81" s="27">
        <f t="shared" si="797"/>
        <v>0.9026169077002375</v>
      </c>
      <c r="AK81" s="28">
        <f t="shared" si="668"/>
        <v>0.90928486952409004</v>
      </c>
      <c r="AL81" s="33">
        <v>149</v>
      </c>
      <c r="AM81" s="35">
        <v>8.8999999999999996E-2</v>
      </c>
      <c r="AN81" s="37">
        <v>0.2351</v>
      </c>
      <c r="AO81" s="103">
        <v>0.24</v>
      </c>
      <c r="AP81" s="40">
        <f>AL81*(1-AM81)*AN81</f>
        <v>31.912238900000002</v>
      </c>
      <c r="AQ81" s="104">
        <f t="shared" si="712"/>
        <v>32.577359999999999</v>
      </c>
      <c r="AR81" s="41">
        <v>1.55</v>
      </c>
      <c r="AS81" s="41"/>
      <c r="AT81" s="129">
        <f>AT80+AL81-AS81</f>
        <v>927.09999999999934</v>
      </c>
      <c r="AU81" s="82"/>
      <c r="AV81" s="42"/>
      <c r="AW81" s="43"/>
      <c r="AX81" s="44"/>
      <c r="AY81" s="44"/>
      <c r="AZ81" s="44"/>
      <c r="BA81" s="44"/>
    </row>
    <row r="82" spans="1:54">
      <c r="A82" s="147"/>
      <c r="B82" s="32">
        <v>3</v>
      </c>
      <c r="C82" s="10" t="s">
        <v>53</v>
      </c>
      <c r="D82" s="42">
        <v>23823</v>
      </c>
      <c r="E82" s="42">
        <v>1</v>
      </c>
      <c r="F82" s="42">
        <v>18977</v>
      </c>
      <c r="G82" s="36">
        <v>0.9</v>
      </c>
      <c r="H82" s="36">
        <v>6.5</v>
      </c>
      <c r="I82" s="42">
        <v>18882</v>
      </c>
      <c r="J82" s="36">
        <v>0.9</v>
      </c>
      <c r="K82" s="42">
        <v>15030</v>
      </c>
      <c r="L82" s="38">
        <v>6.5000000000000002E-2</v>
      </c>
      <c r="M82" s="36">
        <f>ROUND(K82*(1-L82),0)</f>
        <v>14053</v>
      </c>
      <c r="N82" s="27">
        <v>0.77400000000000002</v>
      </c>
      <c r="O82" s="24">
        <f t="shared" si="787"/>
        <v>10877.022000000001</v>
      </c>
      <c r="P82" s="38">
        <v>0.193</v>
      </c>
      <c r="Q82" s="24">
        <f t="shared" si="788"/>
        <v>2712.2290000000003</v>
      </c>
      <c r="R82" s="38">
        <v>3.3000000000000002E-2</v>
      </c>
      <c r="S82" s="105">
        <v>0.23749999999999999</v>
      </c>
      <c r="T82" s="24">
        <f t="shared" si="789"/>
        <v>463.74900000000002</v>
      </c>
      <c r="U82" s="27">
        <v>0.27700000000000002</v>
      </c>
      <c r="V82" s="24">
        <f t="shared" si="790"/>
        <v>3892.6810000000005</v>
      </c>
      <c r="W82" s="38">
        <v>0.45800000000000002</v>
      </c>
      <c r="X82" s="24">
        <f t="shared" si="791"/>
        <v>6436.2740000000003</v>
      </c>
      <c r="Y82" s="38">
        <v>0.46</v>
      </c>
      <c r="Z82" s="24">
        <f t="shared" si="792"/>
        <v>6464.38</v>
      </c>
      <c r="AA82" s="118">
        <v>2.4399999999999999E-3</v>
      </c>
      <c r="AB82" s="121">
        <f t="shared" si="750"/>
        <v>34.289319999999996</v>
      </c>
      <c r="AC82" s="45">
        <v>2.4499999999999999E-3</v>
      </c>
      <c r="AD82" s="17">
        <f t="shared" si="794"/>
        <v>34.429850000000002</v>
      </c>
      <c r="AE82" s="26">
        <f>IF(M82&gt;0,(AG82+AP82)/M82,0)</f>
        <v>2.355190592755995E-3</v>
      </c>
      <c r="AF82" s="45">
        <v>2.4000000000000001E-4</v>
      </c>
      <c r="AG82" s="36">
        <f t="shared" si="795"/>
        <v>3.3727200000000002</v>
      </c>
      <c r="AH82" s="27">
        <v>0.21590000000000001</v>
      </c>
      <c r="AI82" s="40">
        <f t="shared" si="796"/>
        <v>32.362978200000001</v>
      </c>
      <c r="AJ82" s="27">
        <f t="shared" si="797"/>
        <v>0.90304466403087225</v>
      </c>
      <c r="AK82" s="28">
        <f t="shared" si="668"/>
        <v>0.8991856922156154</v>
      </c>
      <c r="AL82" s="42">
        <v>166</v>
      </c>
      <c r="AM82" s="38">
        <v>9.7000000000000003E-2</v>
      </c>
      <c r="AN82" s="27">
        <v>0.1983</v>
      </c>
      <c r="AO82" s="105">
        <v>0.19869999999999999</v>
      </c>
      <c r="AP82" s="40">
        <f>AL82*(1-AM82)*AN82</f>
        <v>29.7247734</v>
      </c>
      <c r="AQ82" s="106">
        <f t="shared" si="712"/>
        <v>29.784732599999998</v>
      </c>
      <c r="AR82" s="17">
        <v>1.5</v>
      </c>
      <c r="AS82" s="17"/>
      <c r="AT82" s="129">
        <f>AT81+AL82-AS82</f>
        <v>1093.0999999999995</v>
      </c>
      <c r="AU82" s="82"/>
      <c r="AV82" s="42"/>
      <c r="AW82" s="46"/>
      <c r="AX82" s="40"/>
      <c r="AY82" s="40"/>
      <c r="AZ82" s="40"/>
      <c r="BA82" s="40"/>
    </row>
    <row r="83" spans="1:54">
      <c r="A83" s="148"/>
      <c r="B83" s="47" t="s">
        <v>56</v>
      </c>
      <c r="C83" s="48"/>
      <c r="D83" s="49">
        <f t="shared" ref="D83" si="799">SUM(D80:D82)</f>
        <v>48100</v>
      </c>
      <c r="E83" s="49"/>
      <c r="F83" s="49">
        <f t="shared" ref="F83" si="800">SUM(F80:F82)</f>
        <v>44123</v>
      </c>
      <c r="G83" s="50"/>
      <c r="H83" s="50"/>
      <c r="I83" s="49">
        <f t="shared" ref="I83:K83" si="801">SUM(I80:I82)</f>
        <v>44394</v>
      </c>
      <c r="J83" s="50"/>
      <c r="K83" s="49">
        <f t="shared" si="801"/>
        <v>44436</v>
      </c>
      <c r="L83" s="20">
        <f t="shared" ref="L83" si="802">IF(K83&gt;0,(K80*L80+K81*L81+K82*L82)/K83,0)</f>
        <v>7.1291587901701314E-2</v>
      </c>
      <c r="M83" s="50">
        <f t="shared" ref="M83" si="803">M80+M81+M82</f>
        <v>41268</v>
      </c>
      <c r="N83" s="51">
        <f t="shared" ref="N83" si="804">IF(M83&gt;0,O83/M83,0)</f>
        <v>0.73625016962295253</v>
      </c>
      <c r="O83" s="52">
        <f t="shared" ref="O83" si="805">O80+O81+O82</f>
        <v>30383.572000000004</v>
      </c>
      <c r="P83" s="20">
        <f t="shared" ref="P83" si="806">IF(M83&gt;0,Q83/M83,0)</f>
        <v>0.23129734903557236</v>
      </c>
      <c r="Q83" s="52">
        <f t="shared" ref="Q83" si="807">Q80+Q81+Q82</f>
        <v>9545.1790000000001</v>
      </c>
      <c r="R83" s="20">
        <f t="shared" ref="R83" si="808">IF(M83&gt;0,T83/M83,0)</f>
        <v>3.2452481341475235E-2</v>
      </c>
      <c r="S83" s="107"/>
      <c r="T83" s="52">
        <f t="shared" ref="T83" si="809">T80+T81+T82</f>
        <v>1339.249</v>
      </c>
      <c r="U83" s="20">
        <f t="shared" ref="U83" si="810">IF(M83&gt;0,V83/M83,0)</f>
        <v>0.2654266259571581</v>
      </c>
      <c r="V83" s="52">
        <f t="shared" ref="V83" si="811">V80+V81+V82</f>
        <v>10953.626</v>
      </c>
      <c r="W83" s="20">
        <f t="shared" ref="W83" si="812">IF(M83&gt;0,X83/M83,0)</f>
        <v>0.46558856741300764</v>
      </c>
      <c r="X83" s="52">
        <f t="shared" ref="X83" si="813">X80+X81+X82</f>
        <v>19213.909</v>
      </c>
      <c r="Y83" s="20">
        <f t="shared" ref="Y83" si="814">IF(M83&gt;0,Z83/M83,0)</f>
        <v>0.44355990113405064</v>
      </c>
      <c r="Z83" s="52">
        <f t="shared" ref="Z83" si="815">Z80+Z81+Z82</f>
        <v>18304.830000000002</v>
      </c>
      <c r="AA83" s="119">
        <f>IF(M83&gt;0,AB83/M83,0)</f>
        <v>2.5247048560628088E-3</v>
      </c>
      <c r="AB83" s="54">
        <f t="shared" ref="AB83" si="816">SUM(AB80:AB82)</f>
        <v>104.18951999999999</v>
      </c>
      <c r="AC83" s="53">
        <f t="shared" ref="AC83" si="817">IF(M83&gt;0,AD83/M83,0)</f>
        <v>2.4634692740137633E-3</v>
      </c>
      <c r="AD83" s="54">
        <f t="shared" ref="AD83" si="818">SUM(AD80:AD82)</f>
        <v>101.66244999999999</v>
      </c>
      <c r="AE83" s="53">
        <f t="shared" ref="AE83" si="819">IF(M83&gt;0,(AE80*M80+AE81*M81+AE82*M82)/M83,0)</f>
        <v>2.432623274692256E-3</v>
      </c>
      <c r="AF83" s="53">
        <f t="shared" ref="AF83" si="820">IF(K83&gt;0,(K80*AF80+K81*AF81+K82*AF82)/K83,0)</f>
        <v>2.4335741290845264E-4</v>
      </c>
      <c r="AG83" s="50">
        <f t="shared" ref="AG83" si="821">SUM(AG80:AG82)</f>
        <v>10.04232</v>
      </c>
      <c r="AH83" s="51">
        <f t="shared" ref="AH83" si="822">IF(K83&gt;0,(K80*AH80+K81*AH81+K82*AH82)/K83,0)</f>
        <v>0.21389728598433705</v>
      </c>
      <c r="AI83" s="56">
        <f t="shared" ref="AI83" si="823">SUM(AI80:AI82)</f>
        <v>90.374000600000002</v>
      </c>
      <c r="AJ83" s="51">
        <f t="shared" ref="AJ83" si="824">IF(AND(AD83&gt;0),((AD80*AJ80+AD81*AJ81+AD82*AJ82)/AD83),0)</f>
        <v>0.90224772303830547</v>
      </c>
      <c r="AK83" s="55">
        <f t="shared" si="668"/>
        <v>0.90098425763238221</v>
      </c>
      <c r="AL83" s="49">
        <f t="shared" ref="AL83" si="825">SUM(AL80:AL82)</f>
        <v>465</v>
      </c>
      <c r="AM83" s="20">
        <f t="shared" ref="AM83" si="826">IF(AL83&gt;0,(AM80*AL80+AM81*AL81+AM82*AL82)/AL83,0)</f>
        <v>9.1855913978494616E-2</v>
      </c>
      <c r="AN83" s="51">
        <f>IF(K83&gt;0,(AN80*K80+AN81*K81+AN82*K82)/K83,0)</f>
        <v>0.21425926275992438</v>
      </c>
      <c r="AO83" s="107">
        <f>IF(L83&gt;0,(AO80*K80+AO81*K81+AO82*K82)/K83,0)</f>
        <v>0.21568988657844987</v>
      </c>
      <c r="AP83" s="56">
        <f t="shared" ref="AP83" si="827">SUM(AP80:AP82)</f>
        <v>90.347177300000013</v>
      </c>
      <c r="AQ83" s="108">
        <f t="shared" si="741"/>
        <v>90.9492726</v>
      </c>
      <c r="AR83" s="54"/>
      <c r="AS83" s="54">
        <f t="shared" ref="AS83" si="828">SUM(AS80:AS82)</f>
        <v>1005.6</v>
      </c>
      <c r="AT83" s="83"/>
      <c r="AU83" s="84">
        <f>AT82</f>
        <v>1093.0999999999995</v>
      </c>
      <c r="AV83" s="49">
        <f t="shared" ref="AV83" si="829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54</v>
      </c>
      <c r="D84" s="11">
        <v>2611</v>
      </c>
      <c r="E84" s="11">
        <v>1</v>
      </c>
      <c r="F84" s="11">
        <v>4648</v>
      </c>
      <c r="G84" s="12">
        <v>0.4</v>
      </c>
      <c r="H84" s="12">
        <v>7.6</v>
      </c>
      <c r="I84" s="11">
        <v>4864</v>
      </c>
      <c r="J84" s="12">
        <v>5.8</v>
      </c>
      <c r="K84" s="11">
        <v>14644</v>
      </c>
      <c r="L84" s="13">
        <v>6.3E-2</v>
      </c>
      <c r="M84" s="23">
        <f>ROUND(K84*(1-L84),0)</f>
        <v>13721</v>
      </c>
      <c r="N84" s="14">
        <v>0.79300000000000004</v>
      </c>
      <c r="O84" s="24">
        <f t="shared" ref="O84:O86" si="830">M84*N84</f>
        <v>10880.753000000001</v>
      </c>
      <c r="P84" s="13">
        <v>0.17399999999999999</v>
      </c>
      <c r="Q84" s="24">
        <f t="shared" ref="Q84:Q86" si="831">M84*P84</f>
        <v>2387.4539999999997</v>
      </c>
      <c r="R84" s="15">
        <v>3.3000000000000002E-2</v>
      </c>
      <c r="S84" s="112">
        <v>0.25419999999999998</v>
      </c>
      <c r="T84" s="24">
        <f t="shared" ref="T84:T86" si="832">M84*R84</f>
        <v>452.79300000000001</v>
      </c>
      <c r="U84" s="25">
        <v>0.27800000000000002</v>
      </c>
      <c r="V84" s="24">
        <f t="shared" ref="V84:V86" si="833">M84*U84</f>
        <v>3814.4380000000006</v>
      </c>
      <c r="W84" s="15">
        <v>0.45600000000000002</v>
      </c>
      <c r="X84" s="24">
        <f t="shared" ref="X84:X86" si="834">M84*W84</f>
        <v>6256.7759999999998</v>
      </c>
      <c r="Y84" s="15">
        <v>0.46</v>
      </c>
      <c r="Z84" s="24">
        <f t="shared" ref="Z84:Z86" si="835">Y84*M84</f>
        <v>6311.66</v>
      </c>
      <c r="AA84" s="116">
        <v>2.5100000000000001E-3</v>
      </c>
      <c r="AB84" s="18">
        <f t="shared" ref="AB84" si="836">M84*AA84</f>
        <v>34.439709999999998</v>
      </c>
      <c r="AC84" s="16">
        <v>2.5000000000000001E-3</v>
      </c>
      <c r="AD84" s="17">
        <f t="shared" ref="AD84:AD86" si="837">M84*AC84</f>
        <v>34.302500000000002</v>
      </c>
      <c r="AE84" s="26">
        <f>IF(M84&gt;0,(AG84+AP84)/M84,0)</f>
        <v>2.2632764740179293E-3</v>
      </c>
      <c r="AF84" s="16">
        <v>2.5000000000000001E-4</v>
      </c>
      <c r="AG84" s="23">
        <f t="shared" ref="AG84:AG86" si="838">AF84*M84</f>
        <v>3.43025</v>
      </c>
      <c r="AH84" s="92">
        <v>0.21479999999999999</v>
      </c>
      <c r="AI84" s="29">
        <f t="shared" ref="AI84:AI86" si="839">AL84*(1-AM84)*AH84</f>
        <v>29.7427116</v>
      </c>
      <c r="AJ84" s="27">
        <f t="shared" ref="AJ84:AJ86" si="840">IF(AND(AH84&gt;0,AF84&gt;0,AC84&gt;0),((AC84-AF84)*AH84)/((AH84-AF84)*AC84),0)</f>
        <v>0.90104870659519942</v>
      </c>
      <c r="AK84" s="58">
        <f t="shared" si="668"/>
        <v>0.89065678254860492</v>
      </c>
      <c r="AL84" s="11">
        <v>151</v>
      </c>
      <c r="AM84" s="13">
        <v>8.3000000000000004E-2</v>
      </c>
      <c r="AN84" s="14">
        <v>0.19950000000000001</v>
      </c>
      <c r="AO84" s="101">
        <v>0.2046</v>
      </c>
      <c r="AP84" s="29">
        <f>AL84*(1-AM84)*AN84</f>
        <v>27.624166500000005</v>
      </c>
      <c r="AQ84" s="102">
        <f t="shared" ref="AQ84" si="841">AL84*(1-AM84)*AO84</f>
        <v>28.330348200000003</v>
      </c>
      <c r="AR84" s="18">
        <v>1.5</v>
      </c>
      <c r="AS84" s="18">
        <v>993.68</v>
      </c>
      <c r="AT84" s="79">
        <f>AT82+AL84-AS84</f>
        <v>250.4199999999995</v>
      </c>
      <c r="AU84" s="80"/>
      <c r="AV84" s="11"/>
      <c r="AW84" s="30"/>
      <c r="AX84" s="19"/>
      <c r="AY84" s="19"/>
      <c r="AZ84" s="19"/>
      <c r="BA84" s="19"/>
    </row>
    <row r="85" spans="1:54">
      <c r="A85" s="147"/>
      <c r="B85" s="32">
        <v>2</v>
      </c>
      <c r="C85" s="10" t="s">
        <v>55</v>
      </c>
      <c r="D85" s="33">
        <v>18200</v>
      </c>
      <c r="E85" s="33">
        <v>2</v>
      </c>
      <c r="F85" s="33">
        <v>14462</v>
      </c>
      <c r="G85" s="34">
        <v>0.6</v>
      </c>
      <c r="H85" s="34">
        <v>7.1</v>
      </c>
      <c r="I85" s="33">
        <v>14014</v>
      </c>
      <c r="J85" s="34">
        <v>4.3</v>
      </c>
      <c r="K85" s="33">
        <v>14596</v>
      </c>
      <c r="L85" s="35">
        <v>6.2E-2</v>
      </c>
      <c r="M85" s="36">
        <f>ROUND(K85*(1-L85),0)</f>
        <v>13691</v>
      </c>
      <c r="N85" s="37">
        <v>0.63200000000000001</v>
      </c>
      <c r="O85" s="24">
        <f t="shared" si="830"/>
        <v>8652.7119999999995</v>
      </c>
      <c r="P85" s="35">
        <v>0.314</v>
      </c>
      <c r="Q85" s="24">
        <f t="shared" si="831"/>
        <v>4298.9740000000002</v>
      </c>
      <c r="R85" s="38">
        <v>5.3999999999999999E-2</v>
      </c>
      <c r="S85" s="105">
        <v>0.26400000000000001</v>
      </c>
      <c r="T85" s="24">
        <f t="shared" si="832"/>
        <v>739.31399999999996</v>
      </c>
      <c r="U85" s="27">
        <v>0.27800000000000002</v>
      </c>
      <c r="V85" s="24">
        <f t="shared" si="833"/>
        <v>3806.0980000000004</v>
      </c>
      <c r="W85" s="38">
        <v>0.46100000000000002</v>
      </c>
      <c r="X85" s="24">
        <f t="shared" si="834"/>
        <v>6311.5510000000004</v>
      </c>
      <c r="Y85" s="38">
        <v>0.44</v>
      </c>
      <c r="Z85" s="24">
        <f t="shared" si="835"/>
        <v>6024.04</v>
      </c>
      <c r="AA85" s="117">
        <v>2.49E-3</v>
      </c>
      <c r="AB85" s="18">
        <f t="shared" si="750"/>
        <v>34.090589999999999</v>
      </c>
      <c r="AC85" s="39">
        <v>2.6199999999999999E-3</v>
      </c>
      <c r="AD85" s="17">
        <f t="shared" si="837"/>
        <v>35.870419999999996</v>
      </c>
      <c r="AE85" s="26">
        <f>IF(M85&gt;0,(AG85+AP85)/M85,0)</f>
        <v>2.5100616609451468E-3</v>
      </c>
      <c r="AF85" s="39">
        <v>2.7E-4</v>
      </c>
      <c r="AG85" s="36">
        <f t="shared" si="838"/>
        <v>3.6965699999999999</v>
      </c>
      <c r="AH85" s="27">
        <v>0.2077</v>
      </c>
      <c r="AI85" s="40">
        <f t="shared" si="839"/>
        <v>29.3949502</v>
      </c>
      <c r="AJ85" s="27">
        <f t="shared" si="840"/>
        <v>0.89811406993548448</v>
      </c>
      <c r="AK85" s="28">
        <f t="shared" si="668"/>
        <v>0.89354624620021406</v>
      </c>
      <c r="AL85" s="33">
        <v>154</v>
      </c>
      <c r="AM85" s="35">
        <v>8.1000000000000003E-2</v>
      </c>
      <c r="AN85" s="37">
        <v>0.2167</v>
      </c>
      <c r="AO85" s="103">
        <v>0.221</v>
      </c>
      <c r="AP85" s="40">
        <f>AL85*(1-AM85)*AN85</f>
        <v>30.668684200000001</v>
      </c>
      <c r="AQ85" s="104">
        <f t="shared" si="712"/>
        <v>31.277246000000002</v>
      </c>
      <c r="AR85" s="41">
        <v>1.5</v>
      </c>
      <c r="AS85" s="41"/>
      <c r="AT85" s="129">
        <f>AT84+AL85-AS85</f>
        <v>404.4199999999995</v>
      </c>
      <c r="AU85" s="82"/>
      <c r="AV85" s="42"/>
      <c r="AW85" s="43"/>
      <c r="AX85" s="44"/>
      <c r="AY85" s="44"/>
      <c r="AZ85" s="44"/>
      <c r="BA85" s="44"/>
    </row>
    <row r="86" spans="1:54">
      <c r="A86" s="147"/>
      <c r="B86" s="32">
        <v>3</v>
      </c>
      <c r="C86" s="10" t="s">
        <v>53</v>
      </c>
      <c r="D86" s="42">
        <v>16100</v>
      </c>
      <c r="E86" s="42">
        <v>2</v>
      </c>
      <c r="F86" s="42">
        <v>18808</v>
      </c>
      <c r="G86" s="36">
        <v>1</v>
      </c>
      <c r="H86" s="36">
        <v>5.7</v>
      </c>
      <c r="I86" s="42">
        <v>18450</v>
      </c>
      <c r="J86" s="133">
        <v>2.7</v>
      </c>
      <c r="K86" s="42">
        <v>15077</v>
      </c>
      <c r="L86" s="38">
        <v>6.7000000000000004E-2</v>
      </c>
      <c r="M86" s="36">
        <f>ROUND(K86*(1-L86),0)</f>
        <v>14067</v>
      </c>
      <c r="N86" s="27">
        <v>0.82</v>
      </c>
      <c r="O86" s="24">
        <f t="shared" si="830"/>
        <v>11534.939999999999</v>
      </c>
      <c r="P86" s="38">
        <v>0.161</v>
      </c>
      <c r="Q86" s="24">
        <f t="shared" si="831"/>
        <v>2264.7870000000003</v>
      </c>
      <c r="R86" s="38">
        <v>1.9E-2</v>
      </c>
      <c r="S86" s="105">
        <v>0.25009999999999999</v>
      </c>
      <c r="T86" s="24">
        <f t="shared" si="832"/>
        <v>267.27299999999997</v>
      </c>
      <c r="U86" s="27">
        <v>0.27700000000000002</v>
      </c>
      <c r="V86" s="24">
        <f t="shared" si="833"/>
        <v>3896.5590000000002</v>
      </c>
      <c r="W86" s="38">
        <v>0.46100000000000002</v>
      </c>
      <c r="X86" s="24">
        <f t="shared" si="834"/>
        <v>6484.8870000000006</v>
      </c>
      <c r="Y86" s="38">
        <v>0.43</v>
      </c>
      <c r="Z86" s="24">
        <f t="shared" si="835"/>
        <v>6048.8099999999995</v>
      </c>
      <c r="AA86" s="118">
        <v>2.5500000000000002E-3</v>
      </c>
      <c r="AB86" s="121">
        <f t="shared" si="750"/>
        <v>35.870850000000004</v>
      </c>
      <c r="AC86" s="45">
        <v>2.5999999999999999E-3</v>
      </c>
      <c r="AD86" s="17">
        <f t="shared" si="837"/>
        <v>36.574199999999998</v>
      </c>
      <c r="AE86" s="26">
        <f>IF(M86&gt;0,(AG86+AP86)/M86,0)</f>
        <v>2.5304335252719131E-3</v>
      </c>
      <c r="AF86" s="45">
        <v>2.7E-4</v>
      </c>
      <c r="AG86" s="36">
        <f t="shared" si="838"/>
        <v>3.7980900000000002</v>
      </c>
      <c r="AH86" s="27">
        <v>0.21110000000000001</v>
      </c>
      <c r="AI86" s="40">
        <f t="shared" si="839"/>
        <v>31.381281600000001</v>
      </c>
      <c r="AJ86" s="27">
        <f t="shared" si="840"/>
        <v>0.89730150795938413</v>
      </c>
      <c r="AK86" s="28">
        <f t="shared" si="668"/>
        <v>0.89442792746306532</v>
      </c>
      <c r="AL86" s="42">
        <v>163</v>
      </c>
      <c r="AM86" s="38">
        <v>8.7999999999999995E-2</v>
      </c>
      <c r="AN86" s="27">
        <v>0.21390000000000001</v>
      </c>
      <c r="AO86" s="105">
        <v>0.2208</v>
      </c>
      <c r="AP86" s="40">
        <f>AL86*(1-AM86)*AN86</f>
        <v>31.797518400000001</v>
      </c>
      <c r="AQ86" s="106">
        <f t="shared" si="712"/>
        <v>32.823244799999998</v>
      </c>
      <c r="AR86" s="17">
        <v>1.6</v>
      </c>
      <c r="AS86" s="17"/>
      <c r="AT86" s="129">
        <f>AT85+AL86-AS86</f>
        <v>567.4199999999995</v>
      </c>
      <c r="AU86" s="82"/>
      <c r="AV86" s="42"/>
      <c r="AW86" s="46"/>
      <c r="AX86" s="40"/>
      <c r="AY86" s="40"/>
      <c r="AZ86" s="40"/>
      <c r="BA86" s="40"/>
    </row>
    <row r="87" spans="1:54">
      <c r="A87" s="148"/>
      <c r="B87" s="47" t="s">
        <v>56</v>
      </c>
      <c r="C87" s="48"/>
      <c r="D87" s="49">
        <f t="shared" ref="D87" si="842">SUM(D84:D86)</f>
        <v>36911</v>
      </c>
      <c r="E87" s="49"/>
      <c r="F87" s="49">
        <f t="shared" ref="F87" si="843">SUM(F84:F86)</f>
        <v>37918</v>
      </c>
      <c r="G87" s="50"/>
      <c r="H87" s="50"/>
      <c r="I87" s="49">
        <f t="shared" ref="I87:K87" si="844">SUM(I84:I86)</f>
        <v>37328</v>
      </c>
      <c r="J87" s="50"/>
      <c r="K87" s="49">
        <f t="shared" si="844"/>
        <v>44317</v>
      </c>
      <c r="L87" s="20">
        <f t="shared" ref="L87" si="845">IF(K87&gt;0,(K84*L84+K85*L85+K86*L86)/K87,0)</f>
        <v>6.4031477762483927E-2</v>
      </c>
      <c r="M87" s="50">
        <f t="shared" ref="M87" si="846">M84+M85+M86</f>
        <v>41479</v>
      </c>
      <c r="N87" s="51">
        <f t="shared" ref="N87" si="847">IF(M87&gt;0,O87/M87,0)</f>
        <v>0.74901528484293256</v>
      </c>
      <c r="O87" s="52">
        <f t="shared" ref="O87" si="848">O84+O85+O86</f>
        <v>31068.404999999999</v>
      </c>
      <c r="P87" s="20">
        <f t="shared" ref="P87" si="849">IF(M87&gt;0,Q87/M87,0)</f>
        <v>0.21580112828178113</v>
      </c>
      <c r="Q87" s="52">
        <f t="shared" ref="Q87" si="850">Q84+Q85+Q86</f>
        <v>8951.2150000000001</v>
      </c>
      <c r="R87" s="20">
        <f t="shared" ref="R87" si="851">IF(M87&gt;0,T87/M87,0)</f>
        <v>3.5183586875286284E-2</v>
      </c>
      <c r="S87" s="107"/>
      <c r="T87" s="52">
        <f t="shared" ref="T87" si="852">T84+T85+T86</f>
        <v>1459.3799999999999</v>
      </c>
      <c r="U87" s="20">
        <f t="shared" ref="U87" si="853">IF(M87&gt;0,V87/M87,0)</f>
        <v>0.27766086453386052</v>
      </c>
      <c r="V87" s="52">
        <f t="shared" ref="V87" si="854">V84+V85+V86</f>
        <v>11517.095000000001</v>
      </c>
      <c r="W87" s="20">
        <f t="shared" ref="W87" si="855">IF(M87&gt;0,X87/M87,0)</f>
        <v>0.45934603052146872</v>
      </c>
      <c r="X87" s="52">
        <f t="shared" ref="X87" si="856">X84+X85+X86</f>
        <v>19053.214</v>
      </c>
      <c r="Y87" s="20">
        <f t="shared" ref="Y87" si="857">IF(M87&gt;0,Z87/M87,0)</f>
        <v>0.44322452325273037</v>
      </c>
      <c r="Z87" s="52">
        <f t="shared" ref="Z87" si="858">Z84+Z85+Z86</f>
        <v>18384.510000000002</v>
      </c>
      <c r="AA87" s="119">
        <f>IF(M87&gt;0,AB87/M87,0)</f>
        <v>2.5169640058824946E-3</v>
      </c>
      <c r="AB87" s="54">
        <f t="shared" ref="AB87" si="859">SUM(AB84:AB86)</f>
        <v>104.40115</v>
      </c>
      <c r="AC87" s="53">
        <f t="shared" ref="AC87" si="860">IF(M87&gt;0,AD87/M87,0)</f>
        <v>2.5735220231924588E-3</v>
      </c>
      <c r="AD87" s="54">
        <f t="shared" ref="AD87" si="861">SUM(AD84:AD86)</f>
        <v>106.74712</v>
      </c>
      <c r="AE87" s="53">
        <f t="shared" ref="AE87" si="862">IF(M87&gt;0,(AE84*M84+AE85*M85+AE86*M86)/M87,0)</f>
        <v>2.435335449263483E-3</v>
      </c>
      <c r="AF87" s="53">
        <f t="shared" ref="AF87" si="863">IF(K87&gt;0,(K84*AF84+K85*AF85+K86*AF86)/K87,0)</f>
        <v>2.633912494076765E-4</v>
      </c>
      <c r="AG87" s="50">
        <f t="shared" ref="AG87" si="864">SUM(AG84:AG86)</f>
        <v>10.924910000000001</v>
      </c>
      <c r="AH87" s="51">
        <f t="shared" ref="AH87" si="865">IF(K87&gt;0,(K84*AH84+K85*AH85+K86*AH86)/K87,0)</f>
        <v>0.21120281381862488</v>
      </c>
      <c r="AI87" s="56">
        <f t="shared" ref="AI87" si="866">SUM(AI84:AI86)</f>
        <v>90.518943400000012</v>
      </c>
      <c r="AJ87" s="51">
        <f t="shared" ref="AJ87" si="867">IF(AND(AD87&gt;0),((AD84*AJ84+AD85*AJ85+AD86*AJ86)/AD87),0)</f>
        <v>0.89877869273555233</v>
      </c>
      <c r="AK87" s="55">
        <f t="shared" si="668"/>
        <v>0.89296566474409622</v>
      </c>
      <c r="AL87" s="49">
        <f t="shared" ref="AL87" si="868">SUM(AL84:AL86)</f>
        <v>468</v>
      </c>
      <c r="AM87" s="20">
        <f t="shared" ref="AM87" si="869">IF(AL87&gt;0,(AM84*AL84+AM85*AL85+AM86*AL86)/AL87,0)</f>
        <v>8.4083333333333329E-2</v>
      </c>
      <c r="AN87" s="51">
        <f>IF(K87&gt;0,(AN84*K84+AN85*K85+AN86*K86)/K87,0)</f>
        <v>0.21006389196019587</v>
      </c>
      <c r="AO87" s="107">
        <f>IF(L87&gt;0,(AO84*K84+AO85*K85+AO86*K86)/K87,0)</f>
        <v>0.21551278290498002</v>
      </c>
      <c r="AP87" s="56">
        <f t="shared" ref="AP87" si="870">SUM(AP84:AP86)</f>
        <v>90.090369100000004</v>
      </c>
      <c r="AQ87" s="108">
        <f t="shared" si="741"/>
        <v>92.430839000000006</v>
      </c>
      <c r="AR87" s="54"/>
      <c r="AS87" s="54">
        <f t="shared" ref="AS87" si="871">SUM(AS84:AS86)</f>
        <v>993.68</v>
      </c>
      <c r="AT87" s="83"/>
      <c r="AU87" s="84">
        <f>AT86</f>
        <v>567.4199999999995</v>
      </c>
      <c r="AV87" s="49">
        <f t="shared" ref="AV87" si="872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54</v>
      </c>
      <c r="D88" s="11">
        <v>5183</v>
      </c>
      <c r="E88" s="11">
        <v>1</v>
      </c>
      <c r="F88" s="11">
        <v>14832</v>
      </c>
      <c r="G88" s="12">
        <v>0.6</v>
      </c>
      <c r="H88" s="12">
        <v>5</v>
      </c>
      <c r="I88" s="11">
        <v>15132</v>
      </c>
      <c r="J88" s="131">
        <v>3.7</v>
      </c>
      <c r="K88" s="11">
        <v>16170</v>
      </c>
      <c r="L88" s="13">
        <v>7.2999999999999995E-2</v>
      </c>
      <c r="M88" s="23">
        <f>ROUND(K88*(1-L88),0)</f>
        <v>14990</v>
      </c>
      <c r="N88" s="14">
        <v>0.67600000000000005</v>
      </c>
      <c r="O88" s="24">
        <f t="shared" ref="O88:O90" si="873">M88*N88</f>
        <v>10133.24</v>
      </c>
      <c r="P88" s="13">
        <v>0.28299999999999997</v>
      </c>
      <c r="Q88" s="24">
        <f t="shared" ref="Q88:Q90" si="874">M88*P88</f>
        <v>4242.1699999999992</v>
      </c>
      <c r="R88" s="15">
        <v>4.1000000000000002E-2</v>
      </c>
      <c r="S88" s="112">
        <v>0.21490000000000001</v>
      </c>
      <c r="T88" s="24">
        <f t="shared" ref="T88:T90" si="875">M88*R88</f>
        <v>614.59</v>
      </c>
      <c r="U88" s="25">
        <v>0.28299999999999997</v>
      </c>
      <c r="V88" s="24">
        <f t="shared" ref="V88:V90" si="876">M88*U88</f>
        <v>4242.1699999999992</v>
      </c>
      <c r="W88" s="15">
        <v>0.45900000000000002</v>
      </c>
      <c r="X88" s="24">
        <f t="shared" ref="X88:X90" si="877">M88*W88</f>
        <v>6880.41</v>
      </c>
      <c r="Y88" s="15">
        <v>0.44</v>
      </c>
      <c r="Z88" s="24">
        <f t="shared" ref="Z88:Z90" si="878">Y88*M88</f>
        <v>6595.6</v>
      </c>
      <c r="AA88" s="116">
        <v>2.5100000000000001E-3</v>
      </c>
      <c r="AB88" s="18">
        <f t="shared" ref="AB88" si="879">M88*AA88</f>
        <v>37.624900000000004</v>
      </c>
      <c r="AC88" s="16">
        <v>2.5300000000000001E-3</v>
      </c>
      <c r="AD88" s="17">
        <f t="shared" ref="AD88:AD90" si="880">M88*AC88</f>
        <v>37.924700000000001</v>
      </c>
      <c r="AE88" s="26">
        <f>IF(M88&gt;0,(AG88+AP88)/M88,0)</f>
        <v>2.3800241827885253E-3</v>
      </c>
      <c r="AF88" s="16">
        <v>2.7E-4</v>
      </c>
      <c r="AG88" s="23">
        <f t="shared" ref="AG88:AG90" si="881">AF88*M88</f>
        <v>4.0472999999999999</v>
      </c>
      <c r="AH88" s="92">
        <v>0.2074</v>
      </c>
      <c r="AI88" s="29">
        <f t="shared" ref="AI88:AI90" si="882">AL88*(1-AM88)*AH88</f>
        <v>31.312214999999998</v>
      </c>
      <c r="AJ88" s="27">
        <f t="shared" ref="AJ88:AJ90" si="883">IF(AND(AH88&gt;0,AF88&gt;0,AC88&gt;0),((AC88-AF88)*AH88)/((AH88-AF88)*AC88),0)</f>
        <v>0.89444504978542616</v>
      </c>
      <c r="AK88" s="58">
        <f t="shared" si="668"/>
        <v>0.88769982681962933</v>
      </c>
      <c r="AL88" s="11">
        <v>165</v>
      </c>
      <c r="AM88" s="13">
        <v>8.5000000000000006E-2</v>
      </c>
      <c r="AN88" s="14">
        <v>0.20949999999999999</v>
      </c>
      <c r="AO88" s="101">
        <v>0.2142</v>
      </c>
      <c r="AP88" s="29">
        <f>AL88*(1-AM88)*AN88</f>
        <v>31.629262499999996</v>
      </c>
      <c r="AQ88" s="102">
        <f t="shared" ref="AQ88" si="884">AL88*(1-AM88)*AO88</f>
        <v>32.338844999999999</v>
      </c>
      <c r="AR88" s="18">
        <v>1.5</v>
      </c>
      <c r="AS88" s="18">
        <v>502.04</v>
      </c>
      <c r="AT88" s="79">
        <f>AT86+AL88-AS88+AU88</f>
        <v>253.31999999999948</v>
      </c>
      <c r="AU88" s="80">
        <v>22.94</v>
      </c>
      <c r="AV88" s="11"/>
      <c r="AW88" s="30"/>
      <c r="AX88" s="19"/>
      <c r="AY88" s="19"/>
      <c r="AZ88" s="19"/>
      <c r="BA88" s="19"/>
    </row>
    <row r="89" spans="1:54">
      <c r="A89" s="147"/>
      <c r="B89" s="32">
        <v>2</v>
      </c>
      <c r="C89" s="10" t="s">
        <v>55</v>
      </c>
      <c r="D89" s="33">
        <v>18421</v>
      </c>
      <c r="E89" s="33">
        <v>6</v>
      </c>
      <c r="F89" s="33">
        <v>16265</v>
      </c>
      <c r="G89" s="34">
        <v>0.8</v>
      </c>
      <c r="H89" s="34">
        <v>5.5</v>
      </c>
      <c r="I89" s="33">
        <v>16353</v>
      </c>
      <c r="J89" s="34">
        <v>3.7</v>
      </c>
      <c r="K89" s="33">
        <v>16521</v>
      </c>
      <c r="L89" s="35">
        <v>7.5999999999999998E-2</v>
      </c>
      <c r="M89" s="36">
        <f>ROUND(K89*(1-L89),0)</f>
        <v>15265</v>
      </c>
      <c r="N89" s="37">
        <v>0.54500000000000004</v>
      </c>
      <c r="O89" s="24">
        <f t="shared" si="873"/>
        <v>8319.4250000000011</v>
      </c>
      <c r="P89" s="35">
        <v>0.42499999999999999</v>
      </c>
      <c r="Q89" s="24">
        <f t="shared" si="874"/>
        <v>6487.625</v>
      </c>
      <c r="R89" s="38">
        <v>0.03</v>
      </c>
      <c r="S89" s="105">
        <v>0.25009999999999999</v>
      </c>
      <c r="T89" s="24">
        <f t="shared" si="875"/>
        <v>457.95</v>
      </c>
      <c r="U89" s="27">
        <v>0.27500000000000002</v>
      </c>
      <c r="V89" s="24">
        <f t="shared" si="876"/>
        <v>4197.875</v>
      </c>
      <c r="W89" s="38">
        <v>0.45800000000000002</v>
      </c>
      <c r="X89" s="24">
        <f t="shared" si="877"/>
        <v>6991.37</v>
      </c>
      <c r="Y89" s="38">
        <v>0.43</v>
      </c>
      <c r="Z89" s="24">
        <f t="shared" si="878"/>
        <v>6563.95</v>
      </c>
      <c r="AA89" s="117">
        <v>2.3500000000000001E-3</v>
      </c>
      <c r="AB89" s="18">
        <f t="shared" si="750"/>
        <v>35.872750000000003</v>
      </c>
      <c r="AC89" s="39">
        <v>2.3900000000000002E-3</v>
      </c>
      <c r="AD89" s="17">
        <f t="shared" si="880"/>
        <v>36.483350000000002</v>
      </c>
      <c r="AE89" s="26">
        <f>IF(M89&gt;0,(AG89+AP89)/M89,0)</f>
        <v>2.3522958467081558E-3</v>
      </c>
      <c r="AF89" s="39">
        <v>2.7E-4</v>
      </c>
      <c r="AG89" s="36">
        <f t="shared" si="881"/>
        <v>4.12155</v>
      </c>
      <c r="AH89" s="27">
        <v>0.20569999999999999</v>
      </c>
      <c r="AI89" s="40">
        <f t="shared" si="882"/>
        <v>30.368930899999999</v>
      </c>
      <c r="AJ89" s="27">
        <f t="shared" si="883"/>
        <v>0.88819512576640458</v>
      </c>
      <c r="AK89" s="28">
        <f t="shared" si="668"/>
        <v>0.88633003411365652</v>
      </c>
      <c r="AL89" s="33">
        <v>161</v>
      </c>
      <c r="AM89" s="35">
        <v>8.3000000000000004E-2</v>
      </c>
      <c r="AN89" s="37">
        <v>0.21529999999999999</v>
      </c>
      <c r="AO89" s="103">
        <v>0.2238</v>
      </c>
      <c r="AP89" s="40">
        <f>AL89*(1-AM89)*AN89</f>
        <v>31.7862461</v>
      </c>
      <c r="AQ89" s="104">
        <f t="shared" si="712"/>
        <v>33.041160599999998</v>
      </c>
      <c r="AR89" s="41">
        <v>1.5</v>
      </c>
      <c r="AS89" s="41"/>
      <c r="AT89" s="129">
        <f>AT88+AL89-AS89</f>
        <v>414.31999999999948</v>
      </c>
      <c r="AU89" s="82"/>
      <c r="AV89" s="42"/>
      <c r="AW89" s="43"/>
      <c r="AX89" s="44"/>
      <c r="AY89" s="44"/>
      <c r="AZ89" s="44"/>
      <c r="BA89" s="44"/>
    </row>
    <row r="90" spans="1:54">
      <c r="A90" s="147"/>
      <c r="B90" s="32">
        <v>3</v>
      </c>
      <c r="C90" s="10" t="s">
        <v>57</v>
      </c>
      <c r="D90" s="42">
        <v>21800</v>
      </c>
      <c r="E90" s="42">
        <v>3</v>
      </c>
      <c r="F90" s="42">
        <v>18070</v>
      </c>
      <c r="G90" s="36">
        <v>0.9</v>
      </c>
      <c r="H90" s="36">
        <v>4.8</v>
      </c>
      <c r="I90" s="42">
        <v>18633</v>
      </c>
      <c r="J90" s="133">
        <v>3.3</v>
      </c>
      <c r="K90" s="42">
        <v>16632</v>
      </c>
      <c r="L90" s="38">
        <v>7.5999999999999998E-2</v>
      </c>
      <c r="M90" s="36">
        <f>ROUND(K90*(1-L90),0)</f>
        <v>15368</v>
      </c>
      <c r="N90" s="27">
        <v>0.59199999999999997</v>
      </c>
      <c r="O90" s="24">
        <f t="shared" si="873"/>
        <v>9097.8559999999998</v>
      </c>
      <c r="P90" s="38">
        <v>0.36099999999999999</v>
      </c>
      <c r="Q90" s="24">
        <f t="shared" si="874"/>
        <v>5547.848</v>
      </c>
      <c r="R90" s="38">
        <v>4.7E-2</v>
      </c>
      <c r="S90" s="105">
        <v>0.23799999999999999</v>
      </c>
      <c r="T90" s="24">
        <f t="shared" si="875"/>
        <v>722.29600000000005</v>
      </c>
      <c r="U90" s="27">
        <v>0.27200000000000002</v>
      </c>
      <c r="V90" s="24">
        <f t="shared" si="876"/>
        <v>4180.0960000000005</v>
      </c>
      <c r="W90" s="38">
        <v>0.46400000000000002</v>
      </c>
      <c r="X90" s="24">
        <f t="shared" si="877"/>
        <v>7130.7520000000004</v>
      </c>
      <c r="Y90" s="38">
        <v>0.44</v>
      </c>
      <c r="Z90" s="24">
        <f t="shared" si="878"/>
        <v>6761.92</v>
      </c>
      <c r="AA90" s="118">
        <v>2.3600000000000001E-3</v>
      </c>
      <c r="AB90" s="121">
        <f t="shared" si="750"/>
        <v>36.268480000000004</v>
      </c>
      <c r="AC90" s="45">
        <v>2.3400000000000001E-3</v>
      </c>
      <c r="AD90" s="17">
        <f t="shared" si="880"/>
        <v>35.961120000000001</v>
      </c>
      <c r="AE90" s="26">
        <f>IF(M90&gt;0,(AG90+AP90)/M90,0)</f>
        <v>2.4029901613742844E-3</v>
      </c>
      <c r="AF90" s="45">
        <v>2.7E-4</v>
      </c>
      <c r="AG90" s="36">
        <f t="shared" si="881"/>
        <v>4.1493599999999997</v>
      </c>
      <c r="AH90" s="27">
        <v>0.2079</v>
      </c>
      <c r="AI90" s="40">
        <f t="shared" si="882"/>
        <v>30.850696799999998</v>
      </c>
      <c r="AJ90" s="27">
        <f t="shared" si="883"/>
        <v>0.88576572971891576</v>
      </c>
      <c r="AK90" s="28">
        <f t="shared" si="668"/>
        <v>0.88872625508226921</v>
      </c>
      <c r="AL90" s="42">
        <v>162</v>
      </c>
      <c r="AM90" s="38">
        <v>8.4000000000000005E-2</v>
      </c>
      <c r="AN90" s="27">
        <v>0.22090000000000001</v>
      </c>
      <c r="AO90" s="105">
        <v>0.22739999999999999</v>
      </c>
      <c r="AP90" s="40">
        <f>AL90*(1-AM90)*AN90</f>
        <v>32.779792800000003</v>
      </c>
      <c r="AQ90" s="106">
        <f t="shared" si="712"/>
        <v>33.744340799999996</v>
      </c>
      <c r="AR90" s="17">
        <v>1.5</v>
      </c>
      <c r="AS90" s="17"/>
      <c r="AT90" s="129">
        <f>AT89+AL90-AS90</f>
        <v>576.31999999999948</v>
      </c>
      <c r="AU90" s="82"/>
      <c r="AV90" s="42"/>
      <c r="AW90" s="46"/>
      <c r="AX90" s="40"/>
      <c r="AY90" s="40"/>
      <c r="AZ90" s="40"/>
      <c r="BA90" s="40"/>
    </row>
    <row r="91" spans="1:54">
      <c r="A91" s="148"/>
      <c r="B91" s="47" t="s">
        <v>56</v>
      </c>
      <c r="C91" s="48"/>
      <c r="D91" s="49">
        <f t="shared" ref="D91" si="885">SUM(D88:D90)</f>
        <v>45404</v>
      </c>
      <c r="E91" s="49"/>
      <c r="F91" s="49">
        <f t="shared" ref="F91" si="886">SUM(F88:F90)</f>
        <v>49167</v>
      </c>
      <c r="G91" s="50"/>
      <c r="H91" s="50"/>
      <c r="I91" s="49">
        <f t="shared" ref="I91:K91" si="887">SUM(I88:I90)</f>
        <v>50118</v>
      </c>
      <c r="J91" s="50"/>
      <c r="K91" s="49">
        <f t="shared" si="887"/>
        <v>49323</v>
      </c>
      <c r="L91" s="20">
        <f t="shared" ref="L91" si="888">IF(K91&gt;0,(K88*L88+K89*L89+K90*L90)/K91,0)</f>
        <v>7.5016483182288179E-2</v>
      </c>
      <c r="M91" s="50">
        <f t="shared" ref="M91" si="889">M88+M89+M90</f>
        <v>45623</v>
      </c>
      <c r="N91" s="51">
        <f t="shared" ref="N91" si="890">IF(M91&gt;0,O91/M91,0)</f>
        <v>0.60387350678385898</v>
      </c>
      <c r="O91" s="52">
        <f t="shared" ref="O91" si="891">O88+O89+O90</f>
        <v>27550.521000000001</v>
      </c>
      <c r="P91" s="20">
        <f t="shared" ref="P91" si="892">IF(M91&gt;0,Q91/M91,0)</f>
        <v>0.35678589746399836</v>
      </c>
      <c r="Q91" s="52">
        <f t="shared" ref="Q91" si="893">Q88+Q89+Q90</f>
        <v>16277.642999999998</v>
      </c>
      <c r="R91" s="20">
        <f t="shared" ref="R91" si="894">IF(M91&gt;0,T91/M91,0)</f>
        <v>3.9340595752142563E-2</v>
      </c>
      <c r="S91" s="107"/>
      <c r="T91" s="52">
        <f t="shared" ref="T91" si="895">T88+T89+T90</f>
        <v>1794.836</v>
      </c>
      <c r="U91" s="20">
        <f t="shared" ref="U91" si="896">IF(M91&gt;0,V91/M91,0)</f>
        <v>0.27661795585559912</v>
      </c>
      <c r="V91" s="52">
        <f t="shared" ref="V91" si="897">V88+V89+V90</f>
        <v>12620.141</v>
      </c>
      <c r="W91" s="20">
        <f t="shared" ref="W91" si="898">IF(M91&gt;0,X91/M91,0)</f>
        <v>0.46034964820375684</v>
      </c>
      <c r="X91" s="52">
        <f t="shared" ref="X91" si="899">X88+X89+X90</f>
        <v>21002.531999999999</v>
      </c>
      <c r="Y91" s="20">
        <f t="shared" ref="Y91" si="900">IF(M91&gt;0,Z91/M91,0)</f>
        <v>0.43665409990574933</v>
      </c>
      <c r="Z91" s="52">
        <f t="shared" ref="Z91" si="901">Z88+Z89+Z90</f>
        <v>19921.47</v>
      </c>
      <c r="AA91" s="119">
        <f>IF(M91&gt;0,AB91/M91,0)</f>
        <v>2.4059384520965302E-3</v>
      </c>
      <c r="AB91" s="54">
        <f t="shared" ref="AB91" si="902">SUM(AB88:AB90)</f>
        <v>109.76613</v>
      </c>
      <c r="AC91" s="53">
        <f t="shared" ref="AC91" si="903">IF(M91&gt;0,AD91/M91,0)</f>
        <v>2.4191563465795762E-3</v>
      </c>
      <c r="AD91" s="54">
        <f t="shared" ref="AD91" si="904">SUM(AD88:AD90)</f>
        <v>110.36917</v>
      </c>
      <c r="AE91" s="53">
        <f t="shared" ref="AE91" si="905">IF(M91&gt;0,(AE88*M88+AE89*M89+AE90*M90)/M91,0)</f>
        <v>2.3784825943055036E-3</v>
      </c>
      <c r="AF91" s="53">
        <f t="shared" ref="AF91" si="906">IF(K91&gt;0,(K88*AF88+K89*AF89+K90*AF90)/K91,0)</f>
        <v>2.7E-4</v>
      </c>
      <c r="AG91" s="50">
        <f t="shared" ref="AG91" si="907">SUM(AG88:AG90)</f>
        <v>12.318209999999999</v>
      </c>
      <c r="AH91" s="51">
        <f t="shared" ref="AH91" si="908">IF(K91&gt;0,(K88*AH88+K89*AH89+K90*AH90)/K91,0)</f>
        <v>0.20699917888206312</v>
      </c>
      <c r="AI91" s="56">
        <f t="shared" ref="AI91" si="909">SUM(AI88:AI90)</f>
        <v>92.531842699999999</v>
      </c>
      <c r="AJ91" s="51">
        <f t="shared" ref="AJ91" si="910">IF(AND(AD91&gt;0),((AD88*AJ88+AD89*AJ89+AD90*AJ90)/AD91),0)</f>
        <v>0.88955114475841945</v>
      </c>
      <c r="AK91" s="55">
        <f t="shared" si="668"/>
        <v>0.88759541620004856</v>
      </c>
      <c r="AL91" s="49">
        <f t="shared" ref="AL91" si="911">SUM(AL88:AL90)</f>
        <v>488</v>
      </c>
      <c r="AM91" s="20">
        <f t="shared" ref="AM91" si="912">IF(AL91&gt;0,(AM88*AL88+AM89*AL89+AM90*AL90)/AL91,0)</f>
        <v>8.4008196721311476E-2</v>
      </c>
      <c r="AN91" s="51">
        <f>IF(K91&gt;0,(AN88*K88+AN89*K89+AN90*K90)/K91,0)</f>
        <v>0.21528688644243049</v>
      </c>
      <c r="AO91" s="107">
        <f>IF(L91&gt;0,(AO88*K88+AO89*K89+AO90*K90)/K91,0)</f>
        <v>0.22186668694118364</v>
      </c>
      <c r="AP91" s="56">
        <f t="shared" ref="AP91:AQ103" si="913">SUM(AP88:AP90)</f>
        <v>96.195301400000005</v>
      </c>
      <c r="AQ91" s="108">
        <f t="shared" si="913"/>
        <v>99.124346400000007</v>
      </c>
      <c r="AR91" s="54"/>
      <c r="AS91" s="54">
        <f t="shared" ref="AS91" si="914">SUM(AS88:AS90)</f>
        <v>502.04</v>
      </c>
      <c r="AT91" s="83"/>
      <c r="AU91" s="84">
        <f>AT90</f>
        <v>576.31999999999948</v>
      </c>
      <c r="AV91" s="49">
        <f t="shared" ref="AV91" si="915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58</v>
      </c>
      <c r="D92" s="11">
        <v>4885</v>
      </c>
      <c r="E92" s="11">
        <v>0</v>
      </c>
      <c r="F92" s="11">
        <v>11498</v>
      </c>
      <c r="G92" s="12">
        <v>0.5</v>
      </c>
      <c r="H92" s="12">
        <v>5.7</v>
      </c>
      <c r="I92" s="11">
        <v>11882</v>
      </c>
      <c r="J92" s="12">
        <v>5.0999999999999996</v>
      </c>
      <c r="K92" s="11">
        <v>16660</v>
      </c>
      <c r="L92" s="13">
        <v>7.3999999999999996E-2</v>
      </c>
      <c r="M92" s="23">
        <f>ROUND(K92*(1-L92),0)</f>
        <v>15427</v>
      </c>
      <c r="N92" s="14">
        <v>0.63400000000000001</v>
      </c>
      <c r="O92" s="24">
        <f t="shared" ref="O92:O94" si="916">M92*N92</f>
        <v>9780.7180000000008</v>
      </c>
      <c r="P92" s="13">
        <v>0.27400000000000002</v>
      </c>
      <c r="Q92" s="24">
        <f t="shared" ref="Q92:Q94" si="917">M92*P92</f>
        <v>4226.9980000000005</v>
      </c>
      <c r="R92" s="15">
        <v>9.1999999999999998E-2</v>
      </c>
      <c r="S92" s="112">
        <v>0.2233</v>
      </c>
      <c r="T92" s="24">
        <f t="shared" ref="T92:T94" si="918">M92*R92</f>
        <v>1419.2839999999999</v>
      </c>
      <c r="U92" s="25">
        <v>0.26400000000000001</v>
      </c>
      <c r="V92" s="24">
        <f t="shared" ref="V92:V94" si="919">M92*U92</f>
        <v>4072.7280000000001</v>
      </c>
      <c r="W92" s="15">
        <v>0.47499999999999998</v>
      </c>
      <c r="X92" s="24">
        <f t="shared" ref="X92:X94" si="920">M92*W92</f>
        <v>7327.8249999999998</v>
      </c>
      <c r="Y92" s="15">
        <v>0.43</v>
      </c>
      <c r="Z92" s="24">
        <f t="shared" ref="Z92:Z94" si="921">Y92*M92</f>
        <v>6633.61</v>
      </c>
      <c r="AA92" s="116">
        <v>2.48E-3</v>
      </c>
      <c r="AB92" s="18">
        <f t="shared" ref="AB92" si="922">M92*AA92</f>
        <v>38.258960000000002</v>
      </c>
      <c r="AC92" s="16">
        <v>2.4299999999999999E-3</v>
      </c>
      <c r="AD92" s="17">
        <f t="shared" ref="AD92:AD94" si="923">M92*AC92</f>
        <v>37.487609999999997</v>
      </c>
      <c r="AE92" s="26">
        <f>IF(M92&gt;0,(AG92+AP92)/M92,0)</f>
        <v>2.5281336876904125E-3</v>
      </c>
      <c r="AF92" s="16">
        <v>2.7999999999999998E-4</v>
      </c>
      <c r="AG92" s="23">
        <f t="shared" ref="AG92:AG94" si="924">AF92*M92</f>
        <v>4.3195599999999992</v>
      </c>
      <c r="AH92" s="92">
        <v>0.2087</v>
      </c>
      <c r="AI92" s="29">
        <f t="shared" ref="AI92:AI94" si="925">AL92*(1-AM92)*AH92</f>
        <v>33.263440800000005</v>
      </c>
      <c r="AJ92" s="27">
        <f t="shared" ref="AJ92:AJ94" si="926">IF(AND(AH92&gt;0,AF92&gt;0,AC92&gt;0),((AC92-AF92)*AH92)/((AH92-AF92)*AC92),0)</f>
        <v>0.88596230387911723</v>
      </c>
      <c r="AK92" s="58">
        <f t="shared" si="668"/>
        <v>0.89039208840406237</v>
      </c>
      <c r="AL92" s="11">
        <v>174</v>
      </c>
      <c r="AM92" s="13">
        <v>8.4000000000000005E-2</v>
      </c>
      <c r="AN92" s="14">
        <v>0.21759999999999999</v>
      </c>
      <c r="AO92" s="101">
        <v>0.22289999999999999</v>
      </c>
      <c r="AP92" s="29">
        <f>AL92*(1-AM92)*AN92</f>
        <v>34.681958399999999</v>
      </c>
      <c r="AQ92" s="102">
        <f t="shared" ref="AQ92" si="927">AL92*(1-AM92)*AO92</f>
        <v>35.526693600000002</v>
      </c>
      <c r="AR92" s="18">
        <v>1.55</v>
      </c>
      <c r="AS92" s="18">
        <v>513.05999999999995</v>
      </c>
      <c r="AT92" s="79">
        <f>AT90+AL92-AS92+AU92</f>
        <v>245.17999999999952</v>
      </c>
      <c r="AU92" s="80">
        <v>7.92</v>
      </c>
      <c r="AV92" s="11"/>
      <c r="AW92" s="30"/>
      <c r="AX92" s="19"/>
      <c r="AY92" s="19"/>
      <c r="AZ92" s="19"/>
      <c r="BA92" s="19"/>
    </row>
    <row r="93" spans="1:54">
      <c r="A93" s="147"/>
      <c r="B93" s="32">
        <v>2</v>
      </c>
      <c r="C93" s="10" t="s">
        <v>55</v>
      </c>
      <c r="D93" s="33">
        <v>19820</v>
      </c>
      <c r="E93" s="33">
        <v>5</v>
      </c>
      <c r="F93" s="33">
        <v>16878</v>
      </c>
      <c r="G93" s="34">
        <v>0.5</v>
      </c>
      <c r="H93" s="34">
        <v>6.4</v>
      </c>
      <c r="I93" s="33">
        <v>16545</v>
      </c>
      <c r="J93" s="34">
        <v>5.2</v>
      </c>
      <c r="K93" s="33">
        <v>16465</v>
      </c>
      <c r="L93" s="35">
        <v>6.3E-2</v>
      </c>
      <c r="M93" s="36">
        <f>ROUND(K93*(1-L93),0)</f>
        <v>15428</v>
      </c>
      <c r="N93" s="37">
        <v>0.621</v>
      </c>
      <c r="O93" s="24">
        <f t="shared" si="916"/>
        <v>9580.7880000000005</v>
      </c>
      <c r="P93" s="35">
        <v>0.34599999999999997</v>
      </c>
      <c r="Q93" s="24">
        <f t="shared" si="917"/>
        <v>5338.0879999999997</v>
      </c>
      <c r="R93" s="38">
        <v>3.3000000000000002E-2</v>
      </c>
      <c r="S93" s="105">
        <v>0.2359</v>
      </c>
      <c r="T93" s="24">
        <f t="shared" si="918"/>
        <v>509.12400000000002</v>
      </c>
      <c r="U93" s="27">
        <v>0.28599999999999998</v>
      </c>
      <c r="V93" s="24">
        <f t="shared" si="919"/>
        <v>4412.4079999999994</v>
      </c>
      <c r="W93" s="38">
        <v>0.45200000000000001</v>
      </c>
      <c r="X93" s="24">
        <f t="shared" si="920"/>
        <v>6973.4560000000001</v>
      </c>
      <c r="Y93" s="38">
        <v>0.39</v>
      </c>
      <c r="Z93" s="24">
        <f t="shared" si="921"/>
        <v>6016.92</v>
      </c>
      <c r="AA93" s="117">
        <v>2.3400000000000001E-3</v>
      </c>
      <c r="AB93" s="18">
        <f t="shared" si="750"/>
        <v>36.101520000000001</v>
      </c>
      <c r="AC93" s="39">
        <v>2.32E-3</v>
      </c>
      <c r="AD93" s="17">
        <f t="shared" si="923"/>
        <v>35.792960000000001</v>
      </c>
      <c r="AE93" s="26">
        <f>IF(M93&gt;0,(AG93+AP93)/M93,0)</f>
        <v>2.3617940238527357E-3</v>
      </c>
      <c r="AF93" s="39">
        <v>2.7E-4</v>
      </c>
      <c r="AG93" s="36">
        <f t="shared" si="924"/>
        <v>4.1655600000000002</v>
      </c>
      <c r="AH93" s="27">
        <v>0.21049999999999999</v>
      </c>
      <c r="AI93" s="40">
        <f t="shared" si="925"/>
        <v>30.725001000000002</v>
      </c>
      <c r="AJ93" s="27">
        <f t="shared" si="926"/>
        <v>0.88475553047811351</v>
      </c>
      <c r="AK93" s="28">
        <f t="shared" si="668"/>
        <v>0.88676300960555032</v>
      </c>
      <c r="AL93" s="33">
        <v>159</v>
      </c>
      <c r="AM93" s="35">
        <v>8.2000000000000003E-2</v>
      </c>
      <c r="AN93" s="37">
        <v>0.22109999999999999</v>
      </c>
      <c r="AO93" s="103">
        <v>0.2286</v>
      </c>
      <c r="AP93" s="40">
        <f>AL93*(1-AM93)*AN93</f>
        <v>32.272198200000005</v>
      </c>
      <c r="AQ93" s="104">
        <f t="shared" si="712"/>
        <v>33.366913200000006</v>
      </c>
      <c r="AR93" s="41">
        <v>1.5</v>
      </c>
      <c r="AS93" s="41"/>
      <c r="AT93" s="129">
        <f>AT92+AL93-AS93</f>
        <v>404.1799999999995</v>
      </c>
      <c r="AU93" s="82"/>
      <c r="AV93" s="42"/>
      <c r="AW93" s="43"/>
      <c r="AX93" s="44"/>
      <c r="AY93" s="44"/>
      <c r="AZ93" s="44"/>
      <c r="BA93" s="44"/>
    </row>
    <row r="94" spans="1:54">
      <c r="A94" s="147"/>
      <c r="B94" s="32">
        <v>3</v>
      </c>
      <c r="C94" s="10" t="s">
        <v>57</v>
      </c>
      <c r="D94" s="42">
        <v>18100</v>
      </c>
      <c r="E94" s="42">
        <v>2</v>
      </c>
      <c r="F94" s="42">
        <v>13144</v>
      </c>
      <c r="G94" s="36">
        <v>0.8</v>
      </c>
      <c r="H94" s="36">
        <v>7</v>
      </c>
      <c r="I94" s="42">
        <v>14004</v>
      </c>
      <c r="J94" s="36">
        <v>5.7</v>
      </c>
      <c r="K94" s="42">
        <v>16441</v>
      </c>
      <c r="L94" s="38">
        <v>6.6000000000000003E-2</v>
      </c>
      <c r="M94" s="36">
        <f>ROUND(K94*(1-L94),0)</f>
        <v>15356</v>
      </c>
      <c r="N94" s="27">
        <v>0.70299999999999996</v>
      </c>
      <c r="O94" s="24">
        <f t="shared" si="916"/>
        <v>10795.268</v>
      </c>
      <c r="P94" s="38">
        <v>0.26100000000000001</v>
      </c>
      <c r="Q94" s="24">
        <f t="shared" si="917"/>
        <v>4007.9160000000002</v>
      </c>
      <c r="R94" s="38">
        <v>3.5999999999999997E-2</v>
      </c>
      <c r="S94" s="105">
        <v>0.2384</v>
      </c>
      <c r="T94" s="24">
        <f t="shared" si="918"/>
        <v>552.81599999999992</v>
      </c>
      <c r="U94" s="27">
        <v>0.25900000000000001</v>
      </c>
      <c r="V94" s="24">
        <f t="shared" si="919"/>
        <v>3977.2040000000002</v>
      </c>
      <c r="W94" s="38">
        <v>0.46300000000000002</v>
      </c>
      <c r="X94" s="24">
        <f t="shared" si="920"/>
        <v>7109.8280000000004</v>
      </c>
      <c r="Y94" s="38">
        <v>0.42</v>
      </c>
      <c r="Z94" s="24">
        <f t="shared" si="921"/>
        <v>6449.5199999999995</v>
      </c>
      <c r="AA94" s="118">
        <v>2.3600000000000001E-3</v>
      </c>
      <c r="AB94" s="121">
        <f t="shared" si="750"/>
        <v>36.240160000000003</v>
      </c>
      <c r="AC94" s="45">
        <v>2.2200000000000002E-3</v>
      </c>
      <c r="AD94" s="17">
        <f t="shared" si="923"/>
        <v>34.090320000000006</v>
      </c>
      <c r="AE94" s="26">
        <f>IF(M94&gt;0,(AG94+AP94)/M94,0)</f>
        <v>2.389900195363376E-3</v>
      </c>
      <c r="AF94" s="45">
        <v>2.7999999999999998E-4</v>
      </c>
      <c r="AG94" s="36">
        <f t="shared" si="924"/>
        <v>4.2996799999999995</v>
      </c>
      <c r="AH94" s="27">
        <v>0.20499999999999999</v>
      </c>
      <c r="AI94" s="40">
        <f t="shared" si="925"/>
        <v>30.453569999999999</v>
      </c>
      <c r="AJ94" s="27">
        <f t="shared" si="926"/>
        <v>0.87506909019218515</v>
      </c>
      <c r="AK94" s="28">
        <f t="shared" si="668"/>
        <v>0.88397515613805699</v>
      </c>
      <c r="AL94" s="42">
        <v>162</v>
      </c>
      <c r="AM94" s="38">
        <v>8.3000000000000004E-2</v>
      </c>
      <c r="AN94" s="27">
        <v>0.21809999999999999</v>
      </c>
      <c r="AO94" s="105">
        <v>0.22919999999999999</v>
      </c>
      <c r="AP94" s="40">
        <f>AL94*(1-AM94)*AN94</f>
        <v>32.3996274</v>
      </c>
      <c r="AQ94" s="106">
        <f t="shared" si="712"/>
        <v>34.048576799999999</v>
      </c>
      <c r="AR94" s="17">
        <v>1.5</v>
      </c>
      <c r="AS94" s="17"/>
      <c r="AT94" s="129">
        <f>AT93+AL94-AS94</f>
        <v>566.1799999999995</v>
      </c>
      <c r="AU94" s="82"/>
      <c r="AV94" s="42"/>
      <c r="AW94" s="46"/>
      <c r="AX94" s="40"/>
      <c r="AY94" s="40"/>
      <c r="AZ94" s="40"/>
      <c r="BA94" s="40"/>
    </row>
    <row r="95" spans="1:54">
      <c r="A95" s="148"/>
      <c r="B95" s="47" t="s">
        <v>56</v>
      </c>
      <c r="C95" s="48"/>
      <c r="D95" s="49">
        <f t="shared" ref="D95" si="928">SUM(D92:D94)</f>
        <v>42805</v>
      </c>
      <c r="E95" s="49"/>
      <c r="F95" s="49">
        <f t="shared" ref="F95" si="929">SUM(F92:F94)</f>
        <v>41520</v>
      </c>
      <c r="G95" s="50"/>
      <c r="H95" s="50"/>
      <c r="I95" s="49">
        <f t="shared" ref="I95:K95" si="930">SUM(I92:I94)</f>
        <v>42431</v>
      </c>
      <c r="J95" s="50"/>
      <c r="K95" s="49">
        <f t="shared" si="930"/>
        <v>49566</v>
      </c>
      <c r="L95" s="20">
        <f t="shared" ref="L95" si="931">IF(K95&gt;0,(K92*L92+K93*L93+K94*L94)/K95,0)</f>
        <v>6.7692389944720169E-2</v>
      </c>
      <c r="M95" s="50">
        <f t="shared" ref="M95" si="932">M92+M93+M94</f>
        <v>46211</v>
      </c>
      <c r="N95" s="51">
        <f t="shared" ref="N95" si="933">IF(M95&gt;0,O95/M95,0)</f>
        <v>0.65258864772456782</v>
      </c>
      <c r="O95" s="52">
        <f t="shared" ref="O95" si="934">O92+O93+O94</f>
        <v>30156.774000000001</v>
      </c>
      <c r="P95" s="20">
        <f t="shared" ref="P95" si="935">IF(M95&gt;0,Q95/M95,0)</f>
        <v>0.29371798922334508</v>
      </c>
      <c r="Q95" s="52">
        <f t="shared" ref="Q95" si="936">Q92+Q93+Q94</f>
        <v>13573.002</v>
      </c>
      <c r="R95" s="20">
        <f t="shared" ref="R95" si="937">IF(M95&gt;0,T95/M95,0)</f>
        <v>5.3693363052087162E-2</v>
      </c>
      <c r="S95" s="107"/>
      <c r="T95" s="52">
        <f t="shared" ref="T95" si="938">T92+T93+T94</f>
        <v>2481.2239999999997</v>
      </c>
      <c r="U95" s="20">
        <f t="shared" ref="U95" si="939">IF(M95&gt;0,V95/M95,0)</f>
        <v>0.26968340871221136</v>
      </c>
      <c r="V95" s="52">
        <f t="shared" ref="V95" si="940">V92+V93+V94</f>
        <v>12462.339999999998</v>
      </c>
      <c r="W95" s="20">
        <f t="shared" ref="W95" si="941">IF(M95&gt;0,X95/M95,0)</f>
        <v>0.46333360022505465</v>
      </c>
      <c r="X95" s="52">
        <f t="shared" ref="X95" si="942">X92+X93+X94</f>
        <v>21411.109</v>
      </c>
      <c r="Y95" s="20">
        <f t="shared" ref="Y95" si="943">IF(M95&gt;0,Z95/M95,0)</f>
        <v>0.41332258553158335</v>
      </c>
      <c r="Z95" s="52">
        <f t="shared" ref="Z95" si="944">Z92+Z93+Z94</f>
        <v>19100.05</v>
      </c>
      <c r="AA95" s="119">
        <f>IF(M95&gt;0,AB95/M95,0)</f>
        <v>2.3933833935643029E-3</v>
      </c>
      <c r="AB95" s="54">
        <f t="shared" ref="AB95" si="945">SUM(AB92:AB94)</f>
        <v>110.60064</v>
      </c>
      <c r="AC95" s="53">
        <f t="shared" ref="AC95" si="946">IF(M95&gt;0,AD95/M95,0)</f>
        <v>2.3234920257081647E-3</v>
      </c>
      <c r="AD95" s="54">
        <f t="shared" ref="AD95" si="947">SUM(AD92:AD94)</f>
        <v>107.37089</v>
      </c>
      <c r="AE95" s="53">
        <f t="shared" ref="AE95" si="948">IF(M95&gt;0,(AE92*M92+AE93*M93+AE94*M94)/M95,0)</f>
        <v>2.426664300707624E-3</v>
      </c>
      <c r="AF95" s="53">
        <f t="shared" ref="AF95" si="949">IF(K95&gt;0,(K92*AF92+K93*AF93+K94*AF94)/K95,0)</f>
        <v>2.7667816648509056E-4</v>
      </c>
      <c r="AG95" s="50">
        <f t="shared" ref="AG95" si="950">SUM(AG92:AG94)</f>
        <v>12.784799999999997</v>
      </c>
      <c r="AH95" s="51">
        <f t="shared" ref="AH95" si="951">IF(K95&gt;0,(K92*AH92+K93*AH93+K94*AH94)/K95,0)</f>
        <v>0.20807064318282692</v>
      </c>
      <c r="AI95" s="56">
        <f t="shared" ref="AI95" si="952">SUM(AI92:AI94)</f>
        <v>94.442011800000003</v>
      </c>
      <c r="AJ95" s="51">
        <f t="shared" ref="AJ95" si="953">IF(AND(AD95&gt;0),((AD92*AJ92+AD93*AJ93+AD94*AJ94)/AD95),0)</f>
        <v>0.88210141446591517</v>
      </c>
      <c r="AK95" s="55">
        <f t="shared" si="668"/>
        <v>0.88710526969538672</v>
      </c>
      <c r="AL95" s="49">
        <f t="shared" ref="AL95" si="954">SUM(AL92:AL94)</f>
        <v>495</v>
      </c>
      <c r="AM95" s="20">
        <f t="shared" ref="AM95" si="955">IF(AL95&gt;0,(AM92*AL92+AM93*AL93+AM94*AL94)/AL95,0)</f>
        <v>8.3030303030303051E-2</v>
      </c>
      <c r="AN95" s="51">
        <f>IF(K95&gt;0,(AN92*K92+AN93*K93+AN94*K94)/K95,0)</f>
        <v>0.21892849130452324</v>
      </c>
      <c r="AO95" s="107">
        <f>IF(L95&gt;0,(AO92*K92+AO93*K93+AO94*K94)/K95,0)</f>
        <v>0.22688314973974094</v>
      </c>
      <c r="AP95" s="56">
        <f t="shared" ref="AP95" si="956">SUM(AP92:AP94)</f>
        <v>99.353784000000005</v>
      </c>
      <c r="AQ95" s="108">
        <f t="shared" si="913"/>
        <v>102.94218360000002</v>
      </c>
      <c r="AR95" s="54"/>
      <c r="AS95" s="54">
        <f t="shared" ref="AS95" si="957">SUM(AS92:AS94)</f>
        <v>513.05999999999995</v>
      </c>
      <c r="AT95" s="83"/>
      <c r="AU95" s="84">
        <f>AT94</f>
        <v>566.1799999999995</v>
      </c>
      <c r="AV95" s="49">
        <f t="shared" ref="AV95" si="958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58</v>
      </c>
      <c r="D96" s="11">
        <v>13100</v>
      </c>
      <c r="E96" s="11">
        <v>2</v>
      </c>
      <c r="F96" s="11">
        <v>20279</v>
      </c>
      <c r="G96" s="12">
        <v>0.3</v>
      </c>
      <c r="H96" s="12">
        <v>5.4</v>
      </c>
      <c r="I96" s="11">
        <v>20192</v>
      </c>
      <c r="J96" s="12">
        <v>4.4000000000000004</v>
      </c>
      <c r="K96" s="11">
        <v>16656</v>
      </c>
      <c r="L96" s="13">
        <v>6.9000000000000006E-2</v>
      </c>
      <c r="M96" s="23">
        <f>ROUND(K96*(1-L96),0)</f>
        <v>15507</v>
      </c>
      <c r="N96" s="14">
        <v>0.78700000000000003</v>
      </c>
      <c r="O96" s="24">
        <f t="shared" ref="O96:O98" si="959">M96*N96</f>
        <v>12204.009</v>
      </c>
      <c r="P96" s="13">
        <v>0.16</v>
      </c>
      <c r="Q96" s="24">
        <f t="shared" ref="Q96:Q98" si="960">M96*P96</f>
        <v>2481.12</v>
      </c>
      <c r="R96" s="15">
        <v>5.2999999999999999E-2</v>
      </c>
      <c r="S96" s="112">
        <v>0.2145</v>
      </c>
      <c r="T96" s="24">
        <f t="shared" ref="T96:T98" si="961">M96*R96</f>
        <v>821.87099999999998</v>
      </c>
      <c r="U96" s="25">
        <v>0.254</v>
      </c>
      <c r="V96" s="24">
        <f t="shared" ref="V96:V98" si="962">M96*U96</f>
        <v>3938.7780000000002</v>
      </c>
      <c r="W96" s="15">
        <v>0.46899999999999997</v>
      </c>
      <c r="X96" s="24">
        <f t="shared" ref="X96:X98" si="963">M96*W96</f>
        <v>7272.7829999999994</v>
      </c>
      <c r="Y96" s="15">
        <v>0.4</v>
      </c>
      <c r="Z96" s="24">
        <f t="shared" ref="Z96:Z98" si="964">Y96*M96</f>
        <v>6202.8</v>
      </c>
      <c r="AA96" s="116">
        <v>2.2100000000000002E-3</v>
      </c>
      <c r="AB96" s="18">
        <f t="shared" ref="AB96" si="965">M96*AA96</f>
        <v>34.270470000000003</v>
      </c>
      <c r="AC96" s="16">
        <v>2.3400000000000001E-3</v>
      </c>
      <c r="AD96" s="17">
        <f t="shared" ref="AD96:AD98" si="966">M96*AC96</f>
        <v>36.286380000000001</v>
      </c>
      <c r="AE96" s="26">
        <f>IF(M96&gt;0,(AG96+AP96)/M96,0)</f>
        <v>2.4730124201973306E-3</v>
      </c>
      <c r="AF96" s="16">
        <v>2.7999999999999998E-4</v>
      </c>
      <c r="AG96" s="23">
        <f t="shared" ref="AG96:AG98" si="967">AF96*M96</f>
        <v>4.3419599999999994</v>
      </c>
      <c r="AH96" s="92">
        <v>0.20680000000000001</v>
      </c>
      <c r="AI96" s="29">
        <f t="shared" ref="AI96:AI98" si="968">AL96*(1-AM96)*AH96</f>
        <v>32.498413200000002</v>
      </c>
      <c r="AJ96" s="27">
        <f t="shared" ref="AJ96:AJ98" si="969">IF(AND(AH96&gt;0,AF96&gt;0,AC96&gt;0),((AC96-AF96)*AH96)/((AH96-AF96)*AC96),0)</f>
        <v>0.88153544864759281</v>
      </c>
      <c r="AK96" s="58">
        <f t="shared" si="668"/>
        <v>0.8879266507877609</v>
      </c>
      <c r="AL96" s="11">
        <v>171</v>
      </c>
      <c r="AM96" s="13">
        <v>8.1000000000000003E-2</v>
      </c>
      <c r="AN96" s="14">
        <v>0.21640000000000001</v>
      </c>
      <c r="AO96" s="101">
        <v>0.22750000000000001</v>
      </c>
      <c r="AP96" s="29">
        <f>AL96*(1-AM96)*AN96</f>
        <v>34.007043600000003</v>
      </c>
      <c r="AQ96" s="102">
        <f t="shared" ref="AQ96" si="970">AL96*(1-AM96)*AO96</f>
        <v>35.751397500000003</v>
      </c>
      <c r="AR96" s="18">
        <v>1.55</v>
      </c>
      <c r="AS96" s="18"/>
      <c r="AT96" s="79">
        <f>AT94+AL96-AS96</f>
        <v>737.1799999999995</v>
      </c>
      <c r="AU96" s="80"/>
      <c r="AV96" s="11"/>
      <c r="AW96" s="30"/>
      <c r="AX96" s="19"/>
      <c r="AY96" s="19"/>
      <c r="AZ96" s="19"/>
      <c r="BA96" s="19"/>
    </row>
    <row r="97" spans="1:54">
      <c r="A97" s="147"/>
      <c r="B97" s="32">
        <v>2</v>
      </c>
      <c r="C97" s="10" t="s">
        <v>53</v>
      </c>
      <c r="D97" s="33">
        <v>21120</v>
      </c>
      <c r="E97" s="33">
        <v>4</v>
      </c>
      <c r="F97" s="33">
        <v>17969</v>
      </c>
      <c r="G97" s="34">
        <v>0.5</v>
      </c>
      <c r="H97" s="34">
        <v>6.4</v>
      </c>
      <c r="I97" s="33">
        <v>17571</v>
      </c>
      <c r="J97" s="34">
        <v>4.3</v>
      </c>
      <c r="K97" s="33">
        <v>16459</v>
      </c>
      <c r="L97" s="35">
        <v>6.6000000000000003E-2</v>
      </c>
      <c r="M97" s="36">
        <f>ROUND(K97*(1-L97),0)</f>
        <v>15373</v>
      </c>
      <c r="N97" s="37">
        <v>0.79</v>
      </c>
      <c r="O97" s="24">
        <f t="shared" si="959"/>
        <v>12144.67</v>
      </c>
      <c r="P97" s="35">
        <v>0.14699999999999999</v>
      </c>
      <c r="Q97" s="24">
        <f t="shared" si="960"/>
        <v>2259.8309999999997</v>
      </c>
      <c r="R97" s="38">
        <v>6.3E-2</v>
      </c>
      <c r="S97" s="105">
        <v>0.21759999999999999</v>
      </c>
      <c r="T97" s="24">
        <f t="shared" si="961"/>
        <v>968.49900000000002</v>
      </c>
      <c r="U97" s="27">
        <v>0.246</v>
      </c>
      <c r="V97" s="24">
        <f t="shared" si="962"/>
        <v>3781.7579999999998</v>
      </c>
      <c r="W97" s="38">
        <v>0.48599999999999999</v>
      </c>
      <c r="X97" s="24">
        <f t="shared" si="963"/>
        <v>7471.2780000000002</v>
      </c>
      <c r="Y97" s="38">
        <v>0.4</v>
      </c>
      <c r="Z97" s="24">
        <f t="shared" si="964"/>
        <v>6149.2000000000007</v>
      </c>
      <c r="AA97" s="117">
        <v>2.3600000000000001E-3</v>
      </c>
      <c r="AB97" s="18">
        <f t="shared" si="750"/>
        <v>36.280280000000005</v>
      </c>
      <c r="AC97" s="39">
        <v>2.3600000000000001E-3</v>
      </c>
      <c r="AD97" s="17">
        <f t="shared" si="966"/>
        <v>36.280280000000005</v>
      </c>
      <c r="AE97" s="26">
        <f>IF(M97&gt;0,(AG97+AP97)/M97,0)</f>
        <v>2.3786254797372015E-3</v>
      </c>
      <c r="AF97" s="39">
        <v>2.7999999999999998E-4</v>
      </c>
      <c r="AG97" s="36">
        <f t="shared" si="967"/>
        <v>4.3044399999999996</v>
      </c>
      <c r="AH97" s="27">
        <v>0.20619999999999999</v>
      </c>
      <c r="AI97" s="40">
        <f t="shared" si="968"/>
        <v>31.335183000000001</v>
      </c>
      <c r="AJ97" s="27">
        <f t="shared" si="969"/>
        <v>0.88255435713062846</v>
      </c>
      <c r="AK97" s="28">
        <f t="shared" si="668"/>
        <v>0.8834501293612177</v>
      </c>
      <c r="AL97" s="33">
        <v>165</v>
      </c>
      <c r="AM97" s="35">
        <v>7.9000000000000001E-2</v>
      </c>
      <c r="AN97" s="37">
        <v>0.21229999999999999</v>
      </c>
      <c r="AO97" s="103">
        <v>0.2215</v>
      </c>
      <c r="AP97" s="40">
        <f>AL97*(1-AM97)*AN97</f>
        <v>32.262169499999999</v>
      </c>
      <c r="AQ97" s="104">
        <f t="shared" si="712"/>
        <v>33.660247500000004</v>
      </c>
      <c r="AR97" s="41">
        <v>1.6</v>
      </c>
      <c r="AS97" s="41"/>
      <c r="AT97" s="129">
        <f>AT96+AL97-AS97</f>
        <v>902.1799999999995</v>
      </c>
      <c r="AU97" s="82"/>
      <c r="AV97" s="42"/>
      <c r="AW97" s="43"/>
      <c r="AX97" s="44"/>
      <c r="AY97" s="44"/>
      <c r="AZ97" s="44"/>
      <c r="BA97" s="44"/>
    </row>
    <row r="98" spans="1:54">
      <c r="A98" s="147"/>
      <c r="B98" s="32">
        <v>3</v>
      </c>
      <c r="C98" s="10" t="s">
        <v>57</v>
      </c>
      <c r="D98" s="42">
        <v>19400</v>
      </c>
      <c r="E98" s="42">
        <v>3</v>
      </c>
      <c r="F98" s="42">
        <v>17557</v>
      </c>
      <c r="G98" s="36">
        <v>0.8</v>
      </c>
      <c r="H98" s="36">
        <v>6</v>
      </c>
      <c r="I98" s="42">
        <v>18590</v>
      </c>
      <c r="J98" s="36">
        <v>2.7</v>
      </c>
      <c r="K98" s="42">
        <v>16121</v>
      </c>
      <c r="L98" s="38">
        <v>6.0999999999999999E-2</v>
      </c>
      <c r="M98" s="36">
        <f>ROUND(K98*(1-L98),0)</f>
        <v>15138</v>
      </c>
      <c r="N98" s="27">
        <v>0.71399999999999997</v>
      </c>
      <c r="O98" s="24">
        <f t="shared" si="959"/>
        <v>10808.531999999999</v>
      </c>
      <c r="P98" s="38">
        <v>0.217</v>
      </c>
      <c r="Q98" s="24">
        <f t="shared" si="960"/>
        <v>3284.9459999999999</v>
      </c>
      <c r="R98" s="38">
        <v>6.9000000000000006E-2</v>
      </c>
      <c r="S98" s="105">
        <v>0.19470000000000001</v>
      </c>
      <c r="T98" s="24">
        <f t="shared" si="961"/>
        <v>1044.5220000000002</v>
      </c>
      <c r="U98" s="27">
        <v>0.24099999999999999</v>
      </c>
      <c r="V98" s="24">
        <f t="shared" si="962"/>
        <v>3648.2579999999998</v>
      </c>
      <c r="W98" s="38">
        <v>0.48299999999999998</v>
      </c>
      <c r="X98" s="24">
        <f t="shared" si="963"/>
        <v>7311.6539999999995</v>
      </c>
      <c r="Y98" s="38">
        <v>0.43</v>
      </c>
      <c r="Z98" s="24">
        <f t="shared" si="964"/>
        <v>6509.34</v>
      </c>
      <c r="AA98" s="118">
        <v>2.3800000000000002E-3</v>
      </c>
      <c r="AB98" s="121">
        <f t="shared" si="750"/>
        <v>36.028440000000003</v>
      </c>
      <c r="AC98" s="45">
        <v>2.2699999999999999E-3</v>
      </c>
      <c r="AD98" s="17">
        <f t="shared" si="966"/>
        <v>34.363259999999997</v>
      </c>
      <c r="AE98" s="26">
        <f>IF(M98&gt;0,(AG98+AP98)/M98,0)</f>
        <v>2.4294015457788348E-3</v>
      </c>
      <c r="AF98" s="45">
        <v>2.7999999999999998E-4</v>
      </c>
      <c r="AG98" s="36">
        <f t="shared" si="967"/>
        <v>4.2386399999999993</v>
      </c>
      <c r="AH98" s="27">
        <v>0.2044</v>
      </c>
      <c r="AI98" s="40">
        <f t="shared" si="968"/>
        <v>32.191160400000001</v>
      </c>
      <c r="AJ98" s="27">
        <f t="shared" si="969"/>
        <v>0.87785452282107534</v>
      </c>
      <c r="AK98" s="28">
        <f t="shared" si="668"/>
        <v>0.885945979141748</v>
      </c>
      <c r="AL98" s="42">
        <v>171</v>
      </c>
      <c r="AM98" s="38">
        <v>7.9000000000000001E-2</v>
      </c>
      <c r="AN98" s="27">
        <v>0.20660000000000001</v>
      </c>
      <c r="AO98" s="105">
        <v>0.2122</v>
      </c>
      <c r="AP98" s="40">
        <f>AL98*(1-AM98)*AN98</f>
        <v>32.537640600000003</v>
      </c>
      <c r="AQ98" s="106">
        <f t="shared" si="712"/>
        <v>33.419590200000002</v>
      </c>
      <c r="AR98" s="17">
        <v>1.6</v>
      </c>
      <c r="AS98" s="17"/>
      <c r="AT98" s="129">
        <f>AT97+AL98-AS98</f>
        <v>1073.1799999999994</v>
      </c>
      <c r="AU98" s="82"/>
      <c r="AV98" s="42"/>
      <c r="AW98" s="46"/>
      <c r="AX98" s="40"/>
      <c r="AY98" s="40"/>
      <c r="AZ98" s="40"/>
      <c r="BA98" s="40"/>
    </row>
    <row r="99" spans="1:54">
      <c r="A99" s="148"/>
      <c r="B99" s="47" t="s">
        <v>56</v>
      </c>
      <c r="C99" s="48"/>
      <c r="D99" s="49">
        <f t="shared" ref="D99" si="971">SUM(D96:D98)</f>
        <v>53620</v>
      </c>
      <c r="E99" s="49"/>
      <c r="F99" s="49">
        <f t="shared" ref="F99" si="972">SUM(F96:F98)</f>
        <v>55805</v>
      </c>
      <c r="G99" s="50"/>
      <c r="H99" s="50"/>
      <c r="I99" s="49">
        <f t="shared" ref="I99:K99" si="973">SUM(I96:I98)</f>
        <v>56353</v>
      </c>
      <c r="J99" s="50"/>
      <c r="K99" s="49">
        <f t="shared" si="973"/>
        <v>49236</v>
      </c>
      <c r="L99" s="20">
        <f t="shared" ref="L99" si="974">IF(K99&gt;0,(K96*L96+K97*L97+K98*L98)/K99,0)</f>
        <v>6.5377752051344537E-2</v>
      </c>
      <c r="M99" s="50">
        <f t="shared" ref="M99" si="975">M96+M97+M98</f>
        <v>46018</v>
      </c>
      <c r="N99" s="51">
        <f t="shared" ref="N99" si="976">IF(M99&gt;0,O99/M99,0)</f>
        <v>0.76398824373071395</v>
      </c>
      <c r="O99" s="52">
        <f t="shared" ref="O99" si="977">O96+O97+O98</f>
        <v>35157.210999999996</v>
      </c>
      <c r="P99" s="20">
        <f t="shared" ref="P99" si="978">IF(M99&gt;0,Q99/M99,0)</f>
        <v>0.17440777521839279</v>
      </c>
      <c r="Q99" s="52">
        <f t="shared" ref="Q99" si="979">Q96+Q97+Q98</f>
        <v>8025.896999999999</v>
      </c>
      <c r="R99" s="20">
        <f t="shared" ref="R99" si="980">IF(M99&gt;0,T99/M99,0)</f>
        <v>6.1603981050893125E-2</v>
      </c>
      <c r="S99" s="107"/>
      <c r="T99" s="52">
        <f t="shared" ref="T99" si="981">T96+T97+T98</f>
        <v>2834.8919999999998</v>
      </c>
      <c r="U99" s="20">
        <f t="shared" ref="U99" si="982">IF(M99&gt;0,V99/M99,0)</f>
        <v>0.24705102351253858</v>
      </c>
      <c r="V99" s="52">
        <f t="shared" ref="V99" si="983">V96+V97+V98</f>
        <v>11368.794</v>
      </c>
      <c r="W99" s="20">
        <f t="shared" ref="W99" si="984">IF(M99&gt;0,X99/M99,0)</f>
        <v>0.47928451910122127</v>
      </c>
      <c r="X99" s="52">
        <f t="shared" ref="X99" si="985">X96+X97+X98</f>
        <v>22055.715</v>
      </c>
      <c r="Y99" s="20">
        <f t="shared" ref="Y99" si="986">IF(M99&gt;0,Z99/M99,0)</f>
        <v>0.40986874701203879</v>
      </c>
      <c r="Z99" s="52">
        <f t="shared" ref="Z99" si="987">Z96+Z97+Z98</f>
        <v>18861.34</v>
      </c>
      <c r="AA99" s="119">
        <f>IF(M99&gt;0,AB99/M99,0)</f>
        <v>2.3160326394019732E-3</v>
      </c>
      <c r="AB99" s="54">
        <f t="shared" ref="AB99" si="988">SUM(AB96:AB98)</f>
        <v>106.57919000000001</v>
      </c>
      <c r="AC99" s="53">
        <f t="shared" ref="AC99" si="989">IF(M99&gt;0,AD99/M99,0)</f>
        <v>2.3236542222608548E-3</v>
      </c>
      <c r="AD99" s="54">
        <f t="shared" ref="AD99" si="990">SUM(AD96:AD98)</f>
        <v>106.92992000000001</v>
      </c>
      <c r="AE99" s="53">
        <f t="shared" ref="AE99" si="991">IF(M99&gt;0,(AE96*M96+AE97*M97+AE98*M98)/M99,0)</f>
        <v>2.4271348972141338E-3</v>
      </c>
      <c r="AF99" s="53">
        <f t="shared" ref="AF99" si="992">IF(K99&gt;0,(K96*AF96+K97*AF97+K98*AF98)/K99,0)</f>
        <v>2.7999999999999998E-4</v>
      </c>
      <c r="AG99" s="50">
        <f t="shared" ref="AG99" si="993">SUM(AG96:AG98)</f>
        <v>12.88504</v>
      </c>
      <c r="AH99" s="51">
        <f t="shared" ref="AH99" si="994">IF(K99&gt;0,(K96*AH96+K97*AH97+K98*AH98)/K99,0)</f>
        <v>0.20581361199122594</v>
      </c>
      <c r="AI99" s="56">
        <f t="shared" ref="AI99" si="995">SUM(AI96:AI98)</f>
        <v>96.024756600000003</v>
      </c>
      <c r="AJ99" s="51">
        <f t="shared" ref="AJ99" si="996">IF(AND(AD99&gt;0),((AD96*AJ96+AD97*AJ97+AD98*AJ98)/AD99),0)</f>
        <v>0.88069824306323963</v>
      </c>
      <c r="AK99" s="55">
        <f t="shared" si="668"/>
        <v>0.88580857033808313</v>
      </c>
      <c r="AL99" s="49">
        <f t="shared" ref="AL99" si="997">SUM(AL96:AL98)</f>
        <v>507</v>
      </c>
      <c r="AM99" s="20">
        <f t="shared" ref="AM99" si="998">IF(AL99&gt;0,(AM96*AL96+AM97*AL97+AM98*AL98)/AL99,0)</f>
        <v>7.9674556213017764E-2</v>
      </c>
      <c r="AN99" s="51">
        <f>IF(K99&gt;0,(AN96*K96+AN97*K97+AN98*K98)/K99,0)</f>
        <v>0.21182067389714845</v>
      </c>
      <c r="AO99" s="107">
        <f>IF(L99&gt;0,(AO96*K96+AO97*K97+AO98*K98)/K99,0)</f>
        <v>0.22048470021935171</v>
      </c>
      <c r="AP99" s="56">
        <f t="shared" ref="AP99" si="999">SUM(AP96:AP98)</f>
        <v>98.806853700000005</v>
      </c>
      <c r="AQ99" s="108">
        <f t="shared" si="913"/>
        <v>102.83123520000001</v>
      </c>
      <c r="AR99" s="54"/>
      <c r="AS99" s="54">
        <f t="shared" ref="AS99" si="1000">SUM(AS96:AS98)</f>
        <v>0</v>
      </c>
      <c r="AT99" s="83"/>
      <c r="AU99" s="84">
        <f>AT98</f>
        <v>1073.1799999999994</v>
      </c>
      <c r="AV99" s="49">
        <f t="shared" ref="AV99" si="1001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58</v>
      </c>
      <c r="D100" s="11">
        <v>12800</v>
      </c>
      <c r="E100" s="11">
        <v>3</v>
      </c>
      <c r="F100" s="11">
        <v>20730</v>
      </c>
      <c r="G100" s="12">
        <v>0.9</v>
      </c>
      <c r="H100" s="12">
        <v>6.4</v>
      </c>
      <c r="I100" s="11">
        <v>19788</v>
      </c>
      <c r="J100" s="12">
        <v>1.6</v>
      </c>
      <c r="K100" s="11">
        <v>16032</v>
      </c>
      <c r="L100" s="13">
        <v>7.9000000000000001E-2</v>
      </c>
      <c r="M100" s="23">
        <f>ROUND(K100*(1-L100),0)</f>
        <v>14765</v>
      </c>
      <c r="N100" s="14">
        <v>0.72699999999999998</v>
      </c>
      <c r="O100" s="24">
        <f t="shared" ref="O100:O102" si="1002">M100*N100</f>
        <v>10734.154999999999</v>
      </c>
      <c r="P100" s="13">
        <v>0.17699999999999999</v>
      </c>
      <c r="Q100" s="24">
        <f t="shared" ref="Q100:Q102" si="1003">M100*P100</f>
        <v>2613.4049999999997</v>
      </c>
      <c r="R100" s="15">
        <v>9.6000000000000002E-2</v>
      </c>
      <c r="S100" s="112">
        <v>0.22559999999999999</v>
      </c>
      <c r="T100" s="24">
        <f t="shared" ref="T100:T102" si="1004">M100*R100</f>
        <v>1417.44</v>
      </c>
      <c r="U100" s="25">
        <v>0.24399999999999999</v>
      </c>
      <c r="V100" s="24">
        <f t="shared" ref="V100:V102" si="1005">M100*U100</f>
        <v>3602.66</v>
      </c>
      <c r="W100" s="15">
        <v>0.48299999999999998</v>
      </c>
      <c r="X100" s="24">
        <f t="shared" ref="X100:X102" si="1006">M100*W100</f>
        <v>7131.4949999999999</v>
      </c>
      <c r="Y100" s="15">
        <v>0.41</v>
      </c>
      <c r="Z100" s="24">
        <f t="shared" ref="Z100:Z102" si="1007">Y100*M100</f>
        <v>6053.65</v>
      </c>
      <c r="AA100" s="116">
        <v>2.5300000000000001E-3</v>
      </c>
      <c r="AB100" s="18">
        <f t="shared" ref="AB100" si="1008">M100*AA100</f>
        <v>37.355450000000005</v>
      </c>
      <c r="AC100" s="16">
        <v>2.33E-3</v>
      </c>
      <c r="AD100" s="17">
        <f t="shared" ref="AD100:AD102" si="1009">M100*AC100</f>
        <v>34.402450000000002</v>
      </c>
      <c r="AE100" s="26">
        <f>IF(M100&gt;0,(AG100+AP100)/M100,0)</f>
        <v>2.8027489332881814E-3</v>
      </c>
      <c r="AF100" s="16">
        <v>2.9999999999999997E-4</v>
      </c>
      <c r="AG100" s="23">
        <f t="shared" ref="AG100:AG102" si="1010">AF100*M100</f>
        <v>4.4295</v>
      </c>
      <c r="AH100" s="92">
        <v>0.20610000000000001</v>
      </c>
      <c r="AI100" s="29">
        <f t="shared" ref="AI100:AI102" si="1011">AL100*(1-AM100)*AH100</f>
        <v>36.405504000000001</v>
      </c>
      <c r="AJ100" s="27">
        <f t="shared" ref="AJ100:AJ102" si="1012">IF(AND(AH100&gt;0,AF100&gt;0,AC100&gt;0),((AC100-AF100)*AH100)/((AH100-AF100)*AC100),0)</f>
        <v>0.87251467110449332</v>
      </c>
      <c r="AK100" s="58">
        <f t="shared" si="668"/>
        <v>0.89424460600395428</v>
      </c>
      <c r="AL100" s="11">
        <v>192</v>
      </c>
      <c r="AM100" s="13">
        <v>0.08</v>
      </c>
      <c r="AN100" s="14">
        <v>0.2092</v>
      </c>
      <c r="AO100" s="101">
        <v>0.21149999999999999</v>
      </c>
      <c r="AP100" s="29">
        <f>AL100*(1-AM100)*AN100</f>
        <v>36.953088000000001</v>
      </c>
      <c r="AQ100" s="102">
        <f t="shared" ref="AQ100" si="1013">AL100*(1-AM100)*AO100</f>
        <v>37.359360000000002</v>
      </c>
      <c r="AR100" s="18">
        <v>1.55</v>
      </c>
      <c r="AS100" s="18"/>
      <c r="AT100" s="79">
        <f>AT98+AL100-AS100</f>
        <v>1265.1799999999994</v>
      </c>
      <c r="AU100" s="134"/>
      <c r="AV100" s="11"/>
      <c r="AW100" s="30"/>
      <c r="AX100" s="19"/>
      <c r="AY100" s="19"/>
      <c r="AZ100" s="19"/>
      <c r="BA100" s="19"/>
    </row>
    <row r="101" spans="1:54">
      <c r="A101" s="150"/>
      <c r="B101" s="32">
        <v>2</v>
      </c>
      <c r="C101" s="10" t="s">
        <v>53</v>
      </c>
      <c r="D101" s="33">
        <v>19340</v>
      </c>
      <c r="E101" s="33">
        <v>2</v>
      </c>
      <c r="F101" s="33">
        <v>13225</v>
      </c>
      <c r="G101" s="34">
        <v>0.7</v>
      </c>
      <c r="H101" s="34">
        <v>4.5999999999999996</v>
      </c>
      <c r="I101" s="33">
        <v>13773</v>
      </c>
      <c r="J101" s="34">
        <v>2.6</v>
      </c>
      <c r="K101" s="33">
        <v>15220</v>
      </c>
      <c r="L101" s="35">
        <v>6.8000000000000005E-2</v>
      </c>
      <c r="M101" s="36">
        <f>ROUND(K101*(1-L101),0)</f>
        <v>14185</v>
      </c>
      <c r="N101" s="37">
        <v>0.66100000000000003</v>
      </c>
      <c r="O101" s="24">
        <f t="shared" si="1002"/>
        <v>9376.2849999999999</v>
      </c>
      <c r="P101" s="35">
        <v>0.307</v>
      </c>
      <c r="Q101" s="24">
        <f t="shared" si="1003"/>
        <v>4354.7950000000001</v>
      </c>
      <c r="R101" s="38">
        <v>3.2000000000000001E-2</v>
      </c>
      <c r="S101" s="105">
        <v>0.24809999999999999</v>
      </c>
      <c r="T101" s="24">
        <f t="shared" si="1004"/>
        <v>453.92</v>
      </c>
      <c r="U101" s="27">
        <v>0.246</v>
      </c>
      <c r="V101" s="24">
        <f t="shared" si="1005"/>
        <v>3489.5099999999998</v>
      </c>
      <c r="W101" s="38">
        <v>0.48899999999999999</v>
      </c>
      <c r="X101" s="24">
        <f t="shared" si="1006"/>
        <v>6936.4650000000001</v>
      </c>
      <c r="Y101" s="38">
        <v>0.42</v>
      </c>
      <c r="Z101" s="24">
        <f t="shared" si="1007"/>
        <v>5957.7</v>
      </c>
      <c r="AA101" s="117">
        <v>2.4199999999999998E-3</v>
      </c>
      <c r="AB101" s="18">
        <f t="shared" si="750"/>
        <v>34.3277</v>
      </c>
      <c r="AC101" s="39">
        <v>2.2000000000000001E-3</v>
      </c>
      <c r="AD101" s="17">
        <f t="shared" si="1009"/>
        <v>31.207000000000001</v>
      </c>
      <c r="AE101" s="26">
        <f>IF(M101&gt;0,(AG101+AP101)/M101,0)</f>
        <v>2.3314723299259783E-3</v>
      </c>
      <c r="AF101" s="39">
        <v>2.7999999999999998E-4</v>
      </c>
      <c r="AG101" s="36">
        <f t="shared" si="1010"/>
        <v>3.9717999999999996</v>
      </c>
      <c r="AH101" s="27">
        <v>0.20760000000000001</v>
      </c>
      <c r="AI101" s="40">
        <f t="shared" si="1011"/>
        <v>28.617660000000001</v>
      </c>
      <c r="AJ101" s="27">
        <f t="shared" si="1012"/>
        <v>0.87390595127427084</v>
      </c>
      <c r="AK101" s="28">
        <f t="shared" si="668"/>
        <v>0.88107285720738637</v>
      </c>
      <c r="AL101" s="33">
        <v>150</v>
      </c>
      <c r="AM101" s="35">
        <v>8.1000000000000003E-2</v>
      </c>
      <c r="AN101" s="37">
        <v>0.21110000000000001</v>
      </c>
      <c r="AO101" s="103">
        <v>0.21870000000000001</v>
      </c>
      <c r="AP101" s="40">
        <f>AL101*(1-AM101)*AN101</f>
        <v>29.100135000000002</v>
      </c>
      <c r="AQ101" s="104">
        <f t="shared" si="712"/>
        <v>30.147794999999999</v>
      </c>
      <c r="AR101" s="41">
        <v>1.58</v>
      </c>
      <c r="AS101" s="41"/>
      <c r="AT101" s="129">
        <f>AT100+AL101-AS101</f>
        <v>1415.1799999999994</v>
      </c>
      <c r="AU101" s="82"/>
      <c r="AV101" s="42"/>
      <c r="AW101" s="43"/>
      <c r="AX101" s="44"/>
      <c r="AY101" s="44"/>
      <c r="AZ101" s="44"/>
      <c r="BA101" s="44"/>
    </row>
    <row r="102" spans="1:54">
      <c r="A102" s="150"/>
      <c r="B102" s="32">
        <v>3</v>
      </c>
      <c r="C102" s="10" t="s">
        <v>54</v>
      </c>
      <c r="D102" s="42">
        <v>14910</v>
      </c>
      <c r="E102" s="42">
        <v>6</v>
      </c>
      <c r="F102" s="42">
        <v>21616</v>
      </c>
      <c r="G102" s="36">
        <v>0.8</v>
      </c>
      <c r="H102" s="36">
        <v>5.6</v>
      </c>
      <c r="I102" s="42">
        <v>21068</v>
      </c>
      <c r="J102" s="36">
        <v>0.7</v>
      </c>
      <c r="K102" s="42">
        <v>15422</v>
      </c>
      <c r="L102" s="38">
        <v>7.2999999999999995E-2</v>
      </c>
      <c r="M102" s="36">
        <f>ROUND(K102*(1-L102),0)</f>
        <v>14296</v>
      </c>
      <c r="N102" s="27">
        <v>0.60099999999999998</v>
      </c>
      <c r="O102" s="24">
        <f t="shared" si="1002"/>
        <v>8591.8959999999988</v>
      </c>
      <c r="P102" s="38">
        <v>0.31</v>
      </c>
      <c r="Q102" s="24">
        <f t="shared" si="1003"/>
        <v>4431.76</v>
      </c>
      <c r="R102" s="38">
        <v>8.8999999999999996E-2</v>
      </c>
      <c r="S102" s="105">
        <v>0.25109999999999999</v>
      </c>
      <c r="T102" s="24">
        <f t="shared" si="1004"/>
        <v>1272.3440000000001</v>
      </c>
      <c r="U102" s="27">
        <v>0.25700000000000001</v>
      </c>
      <c r="V102" s="24">
        <f t="shared" si="1005"/>
        <v>3674.0720000000001</v>
      </c>
      <c r="W102" s="38">
        <v>0.47299999999999998</v>
      </c>
      <c r="X102" s="24">
        <f t="shared" si="1006"/>
        <v>6762.0079999999998</v>
      </c>
      <c r="Y102" s="38">
        <v>0.41</v>
      </c>
      <c r="Z102" s="24">
        <f t="shared" si="1007"/>
        <v>5861.36</v>
      </c>
      <c r="AA102" s="118">
        <v>2.3900000000000002E-3</v>
      </c>
      <c r="AB102" s="121">
        <f t="shared" si="750"/>
        <v>34.167440000000006</v>
      </c>
      <c r="AC102" s="45">
        <v>2.2399999999999998E-3</v>
      </c>
      <c r="AD102" s="17">
        <f t="shared" si="1009"/>
        <v>32.023039999999995</v>
      </c>
      <c r="AE102" s="26">
        <f>IF(M102&gt;0,(AG102+AP102)/M102,0)</f>
        <v>2.3816814913262454E-3</v>
      </c>
      <c r="AF102" s="45">
        <v>2.7E-4</v>
      </c>
      <c r="AG102" s="36">
        <f t="shared" si="1010"/>
        <v>3.8599200000000002</v>
      </c>
      <c r="AH102" s="27">
        <v>0.20100000000000001</v>
      </c>
      <c r="AI102" s="40">
        <f t="shared" si="1011"/>
        <v>29.370321000000004</v>
      </c>
      <c r="AJ102" s="27">
        <f t="shared" si="1012"/>
        <v>0.88064724469970324</v>
      </c>
      <c r="AK102" s="28">
        <f t="shared" si="668"/>
        <v>0.88779495085306226</v>
      </c>
      <c r="AL102" s="42">
        <v>159</v>
      </c>
      <c r="AM102" s="38">
        <v>8.1000000000000003E-2</v>
      </c>
      <c r="AN102" s="27">
        <v>0.20660000000000001</v>
      </c>
      <c r="AO102" s="105">
        <v>0.21240000000000001</v>
      </c>
      <c r="AP102" s="40">
        <f>AL102*(1-AM102)*AN102</f>
        <v>30.188598600000002</v>
      </c>
      <c r="AQ102" s="106">
        <f t="shared" si="712"/>
        <v>31.036100400000002</v>
      </c>
      <c r="AR102" s="17">
        <v>1.55</v>
      </c>
      <c r="AS102" s="17"/>
      <c r="AT102" s="129">
        <f>AT101+AL102-AS102</f>
        <v>1574.1799999999994</v>
      </c>
      <c r="AU102" s="82"/>
      <c r="AV102" s="42"/>
      <c r="AW102" s="46"/>
      <c r="AX102" s="40"/>
      <c r="AY102" s="40"/>
      <c r="AZ102" s="40"/>
      <c r="BA102" s="40"/>
    </row>
    <row r="103" spans="1:54">
      <c r="A103" s="150"/>
      <c r="B103" s="135" t="s">
        <v>56</v>
      </c>
      <c r="C103" s="48"/>
      <c r="D103" s="49">
        <f t="shared" ref="D103" si="1014">SUM(D100:D102)</f>
        <v>47050</v>
      </c>
      <c r="E103" s="49"/>
      <c r="F103" s="49">
        <f t="shared" ref="F103" si="1015">SUM(F100:F102)</f>
        <v>55571</v>
      </c>
      <c r="G103" s="50"/>
      <c r="H103" s="50"/>
      <c r="I103" s="49">
        <f t="shared" ref="I103:K103" si="1016">SUM(I100:I102)</f>
        <v>54629</v>
      </c>
      <c r="J103" s="50"/>
      <c r="K103" s="49">
        <f t="shared" si="1016"/>
        <v>46674</v>
      </c>
      <c r="L103" s="20">
        <f t="shared" ref="L103" si="1017">IF(K103&gt;0,(K100*L100+K101*L101+K102*L102)/K103,0)</f>
        <v>7.3430475211038279E-2</v>
      </c>
      <c r="M103" s="50">
        <f t="shared" ref="M103" si="1018">M100+M101+M102</f>
        <v>43246</v>
      </c>
      <c r="N103" s="51">
        <f t="shared" ref="N103" si="1019">IF(M103&gt;0,O103/M103,0)</f>
        <v>0.66369920917541492</v>
      </c>
      <c r="O103" s="52">
        <f t="shared" ref="O103" si="1020">O100+O101+O102</f>
        <v>28702.335999999996</v>
      </c>
      <c r="P103" s="20">
        <f t="shared" ref="P103" si="1021">IF(M103&gt;0,Q103/M103,0)</f>
        <v>0.26360727003653517</v>
      </c>
      <c r="Q103" s="52">
        <f t="shared" ref="Q103" si="1022">Q100+Q101+Q102</f>
        <v>11399.96</v>
      </c>
      <c r="R103" s="20">
        <f t="shared" ref="R103" si="1023">IF(M103&gt;0,T103/M103,0)</f>
        <v>7.2693520788049762E-2</v>
      </c>
      <c r="S103" s="107"/>
      <c r="T103" s="52">
        <f t="shared" ref="T103" si="1024">T100+T101+T102</f>
        <v>3143.7040000000002</v>
      </c>
      <c r="U103" s="20">
        <f t="shared" ref="U103" si="1025">IF(M103&gt;0,V103/M103,0)</f>
        <v>0.24895347546593904</v>
      </c>
      <c r="V103" s="52">
        <f t="shared" ref="V103" si="1026">V100+V101+V102</f>
        <v>10766.242</v>
      </c>
      <c r="W103" s="20">
        <f t="shared" ref="W103" si="1027">IF(M103&gt;0,X103/M103,0)</f>
        <v>0.48166230402811822</v>
      </c>
      <c r="X103" s="52">
        <f t="shared" ref="X103" si="1028">X100+X101+X102</f>
        <v>20829.968000000001</v>
      </c>
      <c r="Y103" s="20">
        <f t="shared" ref="Y103" si="1029">IF(M103&gt;0,Z103/M103,0)</f>
        <v>0.41328007214540069</v>
      </c>
      <c r="Z103" s="52">
        <f t="shared" ref="Z103" si="1030">Z100+Z101+Z102</f>
        <v>17872.71</v>
      </c>
      <c r="AA103" s="119">
        <f>IF(M103&gt;0,AB103/M103,0)</f>
        <v>2.4476388567728812E-3</v>
      </c>
      <c r="AB103" s="54">
        <f t="shared" ref="AB103" si="1031">SUM(AB100:AB102)</f>
        <v>105.85059000000001</v>
      </c>
      <c r="AC103" s="53">
        <f t="shared" ref="AC103" si="1032">IF(M103&gt;0,AD103/M103,0)</f>
        <v>2.2576074087776905E-3</v>
      </c>
      <c r="AD103" s="54">
        <f t="shared" ref="AD103" si="1033">SUM(AD100:AD102)</f>
        <v>97.632490000000004</v>
      </c>
      <c r="AE103" s="53">
        <f t="shared" ref="AE103" si="1034">IF(M103&gt;0,(AE100*M100+AE101*M101+AE102*M102)/M103,0)</f>
        <v>2.5089728899782638E-3</v>
      </c>
      <c r="AF103" s="53">
        <f t="shared" ref="AF103" si="1035">IF(K103&gt;0,(K100*AF100+K101*AF101+K102*AF102)/K103,0)</f>
        <v>2.8356558255131334E-4</v>
      </c>
      <c r="AG103" s="50">
        <f t="shared" ref="AG103" si="1036">SUM(AG100:AG102)</f>
        <v>12.26122</v>
      </c>
      <c r="AH103" s="51">
        <f t="shared" ref="AH103" si="1037">IF(K103&gt;0,(K100*AH100+K101*AH101+K102*AH102)/K103,0)</f>
        <v>0.20490399794318037</v>
      </c>
      <c r="AI103" s="56">
        <f t="shared" ref="AI103" si="1038">SUM(AI100:AI102)</f>
        <v>94.393485000000013</v>
      </c>
      <c r="AJ103" s="51">
        <f t="shared" ref="AJ103" si="1039">IF(AND(AD103&gt;0),((AD100*AJ100+AD101*AJ101+AD102*AJ102)/AD103),0)</f>
        <v>0.87562682577555206</v>
      </c>
      <c r="AK103" s="55">
        <f t="shared" si="668"/>
        <v>0.8881847085182546</v>
      </c>
      <c r="AL103" s="49">
        <f t="shared" ref="AL103" si="1040">SUM(AL100:AL102)</f>
        <v>501</v>
      </c>
      <c r="AM103" s="20">
        <f t="shared" ref="AM103" si="1041">IF(AL103&gt;0,(AM100*AL100+AM101*AL101+AM102*AL102)/AL103,0)</f>
        <v>8.0616766467065865E-2</v>
      </c>
      <c r="AN103" s="51">
        <f>IF(K103&gt;0,(AN100*K100+AN101*K101+AN102*K102)/K103,0)</f>
        <v>0.20896048335261602</v>
      </c>
      <c r="AO103" s="107">
        <f>IF(L103&gt;0,(AO100*K100+AO101*K101+AO102*K102)/K103,0)</f>
        <v>0.21414523717701503</v>
      </c>
      <c r="AP103" s="56">
        <f t="shared" ref="AP103" si="1042">SUM(AP100:AP102)</f>
        <v>96.241821600000009</v>
      </c>
      <c r="AQ103" s="108">
        <f t="shared" si="913"/>
        <v>98.543255399999993</v>
      </c>
      <c r="AR103" s="54"/>
      <c r="AS103" s="54">
        <f t="shared" ref="AS103" si="1043">SUM(AS100:AS102)</f>
        <v>0</v>
      </c>
      <c r="AT103" s="136"/>
      <c r="AU103" s="84">
        <f>AT102</f>
        <v>1574.1799999999994</v>
      </c>
      <c r="AV103" s="49">
        <f t="shared" ref="AV103" si="1044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0" t="s">
        <v>55</v>
      </c>
      <c r="D104" s="11">
        <v>9259</v>
      </c>
      <c r="E104" s="11">
        <v>2</v>
      </c>
      <c r="F104" s="11">
        <v>7994</v>
      </c>
      <c r="G104" s="12">
        <v>0.7</v>
      </c>
      <c r="H104" s="12">
        <v>6</v>
      </c>
      <c r="I104" s="11">
        <v>8315</v>
      </c>
      <c r="J104" s="12">
        <v>3.5</v>
      </c>
      <c r="K104" s="11">
        <v>15913</v>
      </c>
      <c r="L104" s="13">
        <v>6.2E-2</v>
      </c>
      <c r="M104" s="23">
        <f>ROUND(K104*(1-L104),0)</f>
        <v>14926</v>
      </c>
      <c r="N104" s="14">
        <v>0.63100000000000001</v>
      </c>
      <c r="O104" s="24">
        <f t="shared" ref="O104:O106" si="1045">M104*N104</f>
        <v>9418.3060000000005</v>
      </c>
      <c r="P104" s="13">
        <v>0.32</v>
      </c>
      <c r="Q104" s="24">
        <f t="shared" ref="Q104:Q106" si="1046">M104*P104</f>
        <v>4776.32</v>
      </c>
      <c r="R104" s="15">
        <v>4.9000000000000002E-2</v>
      </c>
      <c r="S104" s="112">
        <v>0.24349999999999999</v>
      </c>
      <c r="T104" s="24">
        <f t="shared" ref="T104:T106" si="1047">M104*R104</f>
        <v>731.37400000000002</v>
      </c>
      <c r="U104" s="25">
        <v>0.253</v>
      </c>
      <c r="V104" s="24">
        <f t="shared" ref="V104:V106" si="1048">M104*U104</f>
        <v>3776.2780000000002</v>
      </c>
      <c r="W104" s="15">
        <v>0.47399999999999998</v>
      </c>
      <c r="X104" s="24">
        <f t="shared" ref="X104:X106" si="1049">M104*W104</f>
        <v>7074.924</v>
      </c>
      <c r="Y104" s="15">
        <v>0.4</v>
      </c>
      <c r="Z104" s="24">
        <f t="shared" ref="Z104:Z106" si="1050">Y104*M104</f>
        <v>5970.4000000000005</v>
      </c>
      <c r="AA104" s="116">
        <v>2.49E-3</v>
      </c>
      <c r="AB104" s="18">
        <f t="shared" ref="AB104" si="1051">M104*AA104</f>
        <v>37.16574</v>
      </c>
      <c r="AC104" s="16">
        <v>2.2799999999999999E-3</v>
      </c>
      <c r="AD104" s="17">
        <f t="shared" ref="AD104:AD106" si="1052">M104*AC104</f>
        <v>34.031279999999995</v>
      </c>
      <c r="AE104" s="26">
        <f>IF(M104&gt;0,(AG104+AP104)/M104,0)</f>
        <v>2.3749949082138549E-3</v>
      </c>
      <c r="AF104" s="16">
        <v>2.7999999999999998E-4</v>
      </c>
      <c r="AG104" s="23">
        <f t="shared" ref="AG104:AG106" si="1053">AF104*M104</f>
        <v>4.1792799999999994</v>
      </c>
      <c r="AH104" s="92">
        <v>0.20669999999999999</v>
      </c>
      <c r="AI104" s="29">
        <f t="shared" ref="AI104:AI106" si="1054">AL104*(1-AM104)*AH104</f>
        <v>30.2032107</v>
      </c>
      <c r="AJ104" s="27">
        <f t="shared" ref="AJ104:AJ106" si="1055">IF(AND(AH104&gt;0,AF104&gt;0,AC104&gt;0),((AC104-AF104)*AH104)/((AH104-AF104)*AC104),0)</f>
        <v>0.87838285763823387</v>
      </c>
      <c r="AK104" s="58">
        <f t="shared" si="668"/>
        <v>0.88326067857923318</v>
      </c>
      <c r="AL104" s="11">
        <v>159</v>
      </c>
      <c r="AM104" s="13">
        <v>8.1000000000000003E-2</v>
      </c>
      <c r="AN104" s="14">
        <v>0.214</v>
      </c>
      <c r="AO104" s="101">
        <v>0.21940000000000001</v>
      </c>
      <c r="AP104" s="29">
        <f>AL104*(1-AM104)*AN104</f>
        <v>31.269894000000001</v>
      </c>
      <c r="AQ104" s="102">
        <f t="shared" ref="AQ104" si="1056">AL104*(1-AM104)*AO104</f>
        <v>32.058947400000001</v>
      </c>
      <c r="AR104" s="18">
        <v>1.55</v>
      </c>
      <c r="AS104" s="18">
        <v>1003.56</v>
      </c>
      <c r="AT104" s="79">
        <f>AT102+AL104-AS104</f>
        <v>729.61999999999944</v>
      </c>
      <c r="AU104" s="80"/>
      <c r="AV104" s="11"/>
      <c r="AW104" s="30"/>
      <c r="AX104" s="19"/>
      <c r="AY104" s="19"/>
      <c r="AZ104" s="19"/>
      <c r="BA104" s="19"/>
    </row>
    <row r="105" spans="1:54">
      <c r="A105" s="147"/>
      <c r="B105" s="32">
        <v>2</v>
      </c>
      <c r="C105" s="10" t="s">
        <v>53</v>
      </c>
      <c r="D105" s="33">
        <v>18800</v>
      </c>
      <c r="E105" s="33">
        <v>7</v>
      </c>
      <c r="F105" s="33">
        <v>19968</v>
      </c>
      <c r="G105" s="34">
        <v>0.9</v>
      </c>
      <c r="H105" s="34">
        <v>7.7</v>
      </c>
      <c r="I105" s="33">
        <v>19900</v>
      </c>
      <c r="J105" s="34">
        <v>1.5</v>
      </c>
      <c r="K105" s="33">
        <v>16144</v>
      </c>
      <c r="L105" s="35">
        <v>6.7000000000000004E-2</v>
      </c>
      <c r="M105" s="36">
        <f>ROUND(K105*(1-L105),0)</f>
        <v>15062</v>
      </c>
      <c r="N105" s="37">
        <v>0.74399999999999999</v>
      </c>
      <c r="O105" s="24">
        <f t="shared" si="1045"/>
        <v>11206.128000000001</v>
      </c>
      <c r="P105" s="35">
        <v>0.19600000000000001</v>
      </c>
      <c r="Q105" s="24">
        <f t="shared" si="1046"/>
        <v>2952.152</v>
      </c>
      <c r="R105" s="38">
        <v>0.06</v>
      </c>
      <c r="S105" s="105">
        <v>0.25650000000000001</v>
      </c>
      <c r="T105" s="24">
        <f t="shared" si="1047"/>
        <v>903.71999999999991</v>
      </c>
      <c r="U105" s="27">
        <v>0.253</v>
      </c>
      <c r="V105" s="24">
        <f t="shared" si="1048"/>
        <v>3810.6860000000001</v>
      </c>
      <c r="W105" s="38">
        <v>0.47899999999999998</v>
      </c>
      <c r="X105" s="24">
        <f t="shared" si="1049"/>
        <v>7214.6979999999994</v>
      </c>
      <c r="Y105" s="38">
        <v>0.41</v>
      </c>
      <c r="Z105" s="24">
        <f t="shared" si="1050"/>
        <v>6175.42</v>
      </c>
      <c r="AA105" s="117">
        <v>2.3600000000000001E-3</v>
      </c>
      <c r="AB105" s="18">
        <f t="shared" si="750"/>
        <v>35.546320000000001</v>
      </c>
      <c r="AC105" s="39">
        <v>2.3999999999999998E-3</v>
      </c>
      <c r="AD105" s="17">
        <f t="shared" si="1052"/>
        <v>36.148799999999994</v>
      </c>
      <c r="AE105" s="26">
        <f>IF(M105&gt;0,(AG105+AP105)/M105,0)</f>
        <v>2.6650862767228787E-3</v>
      </c>
      <c r="AF105" s="39">
        <v>2.7999999999999998E-4</v>
      </c>
      <c r="AG105" s="36">
        <f t="shared" si="1053"/>
        <v>4.2173599999999993</v>
      </c>
      <c r="AH105" s="27">
        <v>0.20549999999999999</v>
      </c>
      <c r="AI105" s="40">
        <f t="shared" si="1054"/>
        <v>34.9380825</v>
      </c>
      <c r="AJ105" s="27">
        <f t="shared" si="1055"/>
        <v>0.88453854400155951</v>
      </c>
      <c r="AK105" s="28">
        <f t="shared" si="668"/>
        <v>0.8961252177863076</v>
      </c>
      <c r="AL105" s="33">
        <v>185</v>
      </c>
      <c r="AM105" s="35">
        <v>8.1000000000000003E-2</v>
      </c>
      <c r="AN105" s="37">
        <v>0.21129999999999999</v>
      </c>
      <c r="AO105" s="103">
        <v>0.22670000000000001</v>
      </c>
      <c r="AP105" s="40">
        <f>AL105*(1-AM105)*AN105</f>
        <v>35.924169499999998</v>
      </c>
      <c r="AQ105" s="104">
        <f t="shared" si="712"/>
        <v>38.542400500000007</v>
      </c>
      <c r="AR105" s="41">
        <v>1.6</v>
      </c>
      <c r="AS105" s="41"/>
      <c r="AT105" s="129">
        <f>AT104+AL105-AS105</f>
        <v>914.61999999999944</v>
      </c>
      <c r="AU105" s="82"/>
      <c r="AV105" s="42"/>
      <c r="AW105" s="43"/>
      <c r="AX105" s="44"/>
      <c r="AY105" s="44"/>
      <c r="AZ105" s="44"/>
      <c r="BA105" s="44"/>
    </row>
    <row r="106" spans="1:54">
      <c r="A106" s="147"/>
      <c r="B106" s="32">
        <v>3</v>
      </c>
      <c r="C106" s="10" t="s">
        <v>54</v>
      </c>
      <c r="D106" s="42">
        <v>21000</v>
      </c>
      <c r="E106" s="42">
        <v>1</v>
      </c>
      <c r="F106" s="42">
        <v>18061</v>
      </c>
      <c r="G106" s="36">
        <v>0.7</v>
      </c>
      <c r="H106" s="36">
        <v>5.5</v>
      </c>
      <c r="I106" s="42">
        <v>18049</v>
      </c>
      <c r="J106" s="36">
        <v>1.3</v>
      </c>
      <c r="K106" s="42">
        <v>16671</v>
      </c>
      <c r="L106" s="38">
        <v>6.9000000000000006E-2</v>
      </c>
      <c r="M106" s="36">
        <f>ROUND(K106*(1-L106),0)</f>
        <v>15521</v>
      </c>
      <c r="N106" s="27">
        <v>0.64400000000000002</v>
      </c>
      <c r="O106" s="24">
        <f t="shared" si="1045"/>
        <v>9995.5239999999994</v>
      </c>
      <c r="P106" s="38">
        <v>0.30199999999999999</v>
      </c>
      <c r="Q106" s="24">
        <f t="shared" si="1046"/>
        <v>4687.3419999999996</v>
      </c>
      <c r="R106" s="38">
        <v>5.3999999999999999E-2</v>
      </c>
      <c r="S106" s="105">
        <v>0.26</v>
      </c>
      <c r="T106" s="24">
        <f t="shared" si="1047"/>
        <v>838.13400000000001</v>
      </c>
      <c r="U106" s="27">
        <v>0.25900000000000001</v>
      </c>
      <c r="V106" s="24">
        <f t="shared" si="1048"/>
        <v>4019.9390000000003</v>
      </c>
      <c r="W106" s="38">
        <v>0.47399999999999998</v>
      </c>
      <c r="X106" s="24">
        <f t="shared" si="1049"/>
        <v>7356.9539999999997</v>
      </c>
      <c r="Y106" s="38">
        <v>0.41</v>
      </c>
      <c r="Z106" s="24">
        <f t="shared" si="1050"/>
        <v>6363.61</v>
      </c>
      <c r="AA106" s="118">
        <v>2.5100000000000001E-3</v>
      </c>
      <c r="AB106" s="121">
        <f t="shared" si="750"/>
        <v>38.957709999999999</v>
      </c>
      <c r="AC106" s="45">
        <v>2.8800000000000002E-3</v>
      </c>
      <c r="AD106" s="17">
        <f t="shared" si="1052"/>
        <v>44.700480000000006</v>
      </c>
      <c r="AE106" s="26">
        <f>IF(M106&gt;0,(AG106+AP106)/M106,0)</f>
        <v>2.5294711938663741E-3</v>
      </c>
      <c r="AF106" s="45">
        <v>2.7E-4</v>
      </c>
      <c r="AG106" s="36">
        <f t="shared" si="1053"/>
        <v>4.1906699999999999</v>
      </c>
      <c r="AH106" s="27">
        <v>0.20730000000000001</v>
      </c>
      <c r="AI106" s="40">
        <f t="shared" si="1054"/>
        <v>34.634854799999999</v>
      </c>
      <c r="AJ106" s="27">
        <f t="shared" si="1055"/>
        <v>0.90743189392841628</v>
      </c>
      <c r="AK106" s="28">
        <f t="shared" si="668"/>
        <v>0.89440882393617538</v>
      </c>
      <c r="AL106" s="42">
        <v>182</v>
      </c>
      <c r="AM106" s="38">
        <v>8.2000000000000003E-2</v>
      </c>
      <c r="AN106" s="27">
        <v>0.2099</v>
      </c>
      <c r="AO106" s="105">
        <v>0.21329999999999999</v>
      </c>
      <c r="AP106" s="40">
        <f>AL106*(1-AM106)*AN106</f>
        <v>35.069252399999996</v>
      </c>
      <c r="AQ106" s="106">
        <f t="shared" si="712"/>
        <v>35.637310799999995</v>
      </c>
      <c r="AR106" s="17">
        <v>1.55</v>
      </c>
      <c r="AS106" s="17"/>
      <c r="AT106" s="129">
        <f>AT105+AL106-AS106</f>
        <v>1096.6199999999994</v>
      </c>
      <c r="AU106" s="82"/>
      <c r="AV106" s="42"/>
      <c r="AW106" s="46"/>
      <c r="AX106" s="40"/>
      <c r="AY106" s="40"/>
      <c r="AZ106" s="40"/>
      <c r="BA106" s="40"/>
    </row>
    <row r="107" spans="1:54">
      <c r="A107" s="148"/>
      <c r="B107" s="47" t="s">
        <v>56</v>
      </c>
      <c r="C107" s="48"/>
      <c r="D107" s="49">
        <f t="shared" ref="D107" si="1057">SUM(D104:D106)</f>
        <v>49059</v>
      </c>
      <c r="E107" s="49"/>
      <c r="F107" s="49">
        <f t="shared" ref="F107" si="1058">SUM(F104:F106)</f>
        <v>46023</v>
      </c>
      <c r="G107" s="50"/>
      <c r="H107" s="50"/>
      <c r="I107" s="49">
        <f t="shared" ref="I107:K107" si="1059">SUM(I104:I106)</f>
        <v>46264</v>
      </c>
      <c r="J107" s="50"/>
      <c r="K107" s="49">
        <f t="shared" si="1059"/>
        <v>48728</v>
      </c>
      <c r="L107" s="20">
        <f t="shared" ref="L107" si="1060">IF(K107&gt;0,(K104*L104+K105*L105+K106*L106)/K107,0)</f>
        <v>6.6051407814808727E-2</v>
      </c>
      <c r="M107" s="50">
        <f t="shared" ref="M107" si="1061">M104+M105+M106</f>
        <v>45509</v>
      </c>
      <c r="N107" s="51">
        <f t="shared" ref="N107" si="1062">IF(M107&gt;0,O107/M107,0)</f>
        <v>0.6728330220395965</v>
      </c>
      <c r="O107" s="52">
        <f t="shared" ref="O107" si="1063">O104+O105+O106</f>
        <v>30619.957999999999</v>
      </c>
      <c r="P107" s="20">
        <f t="shared" ref="P107" si="1064">IF(M107&gt;0,Q107/M107,0)</f>
        <v>0.27282106836010456</v>
      </c>
      <c r="Q107" s="52">
        <f t="shared" ref="Q107" si="1065">Q104+Q105+Q106</f>
        <v>12415.813999999998</v>
      </c>
      <c r="R107" s="20">
        <f t="shared" ref="R107" si="1066">IF(M107&gt;0,T107/M107,0)</f>
        <v>5.4345909600298843E-2</v>
      </c>
      <c r="S107" s="107"/>
      <c r="T107" s="52">
        <f t="shared" ref="T107" si="1067">T104+T105+T106</f>
        <v>2473.2280000000001</v>
      </c>
      <c r="U107" s="20">
        <f t="shared" ref="U107" si="1068">IF(M107&gt;0,V107/M107,0)</f>
        <v>0.25504632050803139</v>
      </c>
      <c r="V107" s="52">
        <f t="shared" ref="V107" si="1069">V104+V105+V106</f>
        <v>11606.903</v>
      </c>
      <c r="W107" s="20">
        <f t="shared" ref="W107" si="1070">IF(M107&gt;0,X107/M107,0)</f>
        <v>0.47565483750466941</v>
      </c>
      <c r="X107" s="52">
        <f t="shared" ref="X107" si="1071">X104+X105+X106</f>
        <v>21646.576000000001</v>
      </c>
      <c r="Y107" s="20">
        <f t="shared" ref="Y107" si="1072">IF(M107&gt;0,Z107/M107,0)</f>
        <v>0.40672020918939111</v>
      </c>
      <c r="Z107" s="52">
        <f t="shared" ref="Z107" si="1073">Z104+Z105+Z106</f>
        <v>18509.43</v>
      </c>
      <c r="AA107" s="119">
        <f>IF(M107&gt;0,AB107/M107,0)</f>
        <v>2.4537952932387002E-3</v>
      </c>
      <c r="AB107" s="54">
        <f t="shared" ref="AB107" si="1074">SUM(AB104:AB106)</f>
        <v>111.66977</v>
      </c>
      <c r="AC107" s="53">
        <f t="shared" ref="AC107" si="1075">IF(M107&gt;0,AD107/M107,0)</f>
        <v>2.5243481509152036E-3</v>
      </c>
      <c r="AD107" s="54">
        <f t="shared" ref="AD107" si="1076">SUM(AD104:AD106)</f>
        <v>114.88056</v>
      </c>
      <c r="AE107" s="53">
        <f t="shared" ref="AE107" si="1077">IF(M107&gt;0,(AE104*M104+AE105*M105+AE106*M106)/M107,0)</f>
        <v>2.5236903887143197E-3</v>
      </c>
      <c r="AF107" s="53">
        <f t="shared" ref="AF107" si="1078">IF(K107&gt;0,(K104*AF104+K105*AF105+K106*AF106)/K107,0)</f>
        <v>2.7657876374979478E-4</v>
      </c>
      <c r="AG107" s="50">
        <f t="shared" ref="AG107" si="1079">SUM(AG104:AG106)</f>
        <v>12.587309999999999</v>
      </c>
      <c r="AH107" s="51">
        <f t="shared" ref="AH107" si="1080">IF(K107&gt;0,(K104*AH104+K105*AH105+K106*AH106)/K107,0)</f>
        <v>0.20650770398949267</v>
      </c>
      <c r="AI107" s="56">
        <f t="shared" ref="AI107" si="1081">SUM(AI104:AI106)</f>
        <v>99.776148000000006</v>
      </c>
      <c r="AJ107" s="51">
        <f t="shared" ref="AJ107" si="1082">IF(AND(AD107&gt;0),((AD104*AJ104+AD105*AJ105+AD106*AJ106)/AD107),0)</f>
        <v>0.89162292663614917</v>
      </c>
      <c r="AK107" s="55">
        <f t="shared" si="668"/>
        <v>0.89157180736261055</v>
      </c>
      <c r="AL107" s="49">
        <f t="shared" ref="AL107" si="1083">SUM(AL104:AL106)</f>
        <v>526</v>
      </c>
      <c r="AM107" s="20">
        <f t="shared" ref="AM107" si="1084">IF(AL107&gt;0,(AM104*AL104+AM105*AL105+AM106*AL106)/AL107,0)</f>
        <v>8.1346007604562745E-2</v>
      </c>
      <c r="AN107" s="51">
        <f>IF(K107&gt;0,(AN104*K104+AN105*K105+AN106*K106)/K107,0)</f>
        <v>0.21170276021999671</v>
      </c>
      <c r="AO107" s="107">
        <f>IF(L107&gt;0,(AO104*K104+AO105*K105+AO106*K106)/K107,0)</f>
        <v>0.21973159784928586</v>
      </c>
      <c r="AP107" s="56">
        <f t="shared" ref="AP107:AQ119" si="1085">SUM(AP104:AP106)</f>
        <v>102.26331589999999</v>
      </c>
      <c r="AQ107" s="108">
        <f t="shared" si="1085"/>
        <v>106.2386587</v>
      </c>
      <c r="AR107" s="54"/>
      <c r="AS107" s="54">
        <f t="shared" ref="AS107" si="1086">SUM(AS104:AS106)</f>
        <v>1003.56</v>
      </c>
      <c r="AT107" s="83"/>
      <c r="AU107" s="84">
        <f>AT106</f>
        <v>1096.6199999999994</v>
      </c>
      <c r="AV107" s="49">
        <f t="shared" ref="AV107" si="1087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55</v>
      </c>
      <c r="D108" s="11">
        <v>4183</v>
      </c>
      <c r="E108" s="11">
        <v>2</v>
      </c>
      <c r="F108" s="11">
        <v>10481</v>
      </c>
      <c r="G108" s="12">
        <v>0.9</v>
      </c>
      <c r="H108" s="12">
        <v>6.1</v>
      </c>
      <c r="I108" s="11">
        <v>10532</v>
      </c>
      <c r="J108" s="12">
        <v>3.6</v>
      </c>
      <c r="K108" s="11">
        <v>16388</v>
      </c>
      <c r="L108" s="13">
        <v>7.4999999999999997E-2</v>
      </c>
      <c r="M108" s="23">
        <f>ROUND(K108*(1-L108),0)</f>
        <v>15159</v>
      </c>
      <c r="N108" s="14">
        <v>0.5</v>
      </c>
      <c r="O108" s="24">
        <f t="shared" ref="O108:O110" si="1088">M108*N108</f>
        <v>7579.5</v>
      </c>
      <c r="P108" s="13">
        <v>0.47899999999999998</v>
      </c>
      <c r="Q108" s="24">
        <f t="shared" ref="Q108:Q110" si="1089">M108*P108</f>
        <v>7261.1610000000001</v>
      </c>
      <c r="R108" s="15">
        <v>2.1000000000000001E-2</v>
      </c>
      <c r="S108" s="112">
        <v>0.26029999999999998</v>
      </c>
      <c r="T108" s="24">
        <f t="shared" ref="T108:T110" si="1090">M108*R108</f>
        <v>318.339</v>
      </c>
      <c r="U108" s="25">
        <v>0.252</v>
      </c>
      <c r="V108" s="24">
        <f t="shared" ref="V108:V110" si="1091">M108*U108</f>
        <v>3820.0680000000002</v>
      </c>
      <c r="W108" s="15">
        <v>0.47199999999999998</v>
      </c>
      <c r="X108" s="24">
        <f t="shared" ref="X108:X110" si="1092">M108*W108</f>
        <v>7155.0479999999998</v>
      </c>
      <c r="Y108" s="15">
        <v>0.4</v>
      </c>
      <c r="Z108" s="24">
        <f t="shared" ref="Z108:Z110" si="1093">Y108*M108</f>
        <v>6063.6</v>
      </c>
      <c r="AA108" s="116">
        <v>2.3900000000000002E-3</v>
      </c>
      <c r="AB108" s="18">
        <f t="shared" ref="AB108" si="1094">M108*AA108</f>
        <v>36.23001</v>
      </c>
      <c r="AC108" s="16">
        <v>2.6199999999999999E-3</v>
      </c>
      <c r="AD108" s="17">
        <f t="shared" ref="AD108:AD110" si="1095">M108*AC108</f>
        <v>39.71658</v>
      </c>
      <c r="AE108" s="26">
        <f>IF(M108&gt;0,(AG108+AP108)/M108,0)</f>
        <v>2.2556093145985885E-3</v>
      </c>
      <c r="AF108" s="16">
        <v>2.7E-4</v>
      </c>
      <c r="AG108" s="23">
        <f t="shared" ref="AG108:AG110" si="1096">AF108*M108</f>
        <v>4.09293</v>
      </c>
      <c r="AH108" s="92">
        <v>0.2041</v>
      </c>
      <c r="AI108" s="29">
        <f t="shared" ref="AI108:AI110" si="1097">AL108*(1-AM108)*AH108</f>
        <v>29.352029200000004</v>
      </c>
      <c r="AJ108" s="27">
        <f t="shared" ref="AJ108:AJ110" si="1098">IF(AND(AH108&gt;0,AF108&gt;0,AC108&gt;0),((AC108-AF108)*AH108)/((AH108-AF108)*AC108),0)</f>
        <v>0.89813469014928993</v>
      </c>
      <c r="AK108" s="58">
        <f t="shared" si="668"/>
        <v>0.88143548388519521</v>
      </c>
      <c r="AL108" s="11">
        <v>157</v>
      </c>
      <c r="AM108" s="13">
        <v>8.4000000000000005E-2</v>
      </c>
      <c r="AN108" s="14">
        <v>0.20930000000000001</v>
      </c>
      <c r="AO108" s="101">
        <v>0.21390000000000001</v>
      </c>
      <c r="AP108" s="29">
        <f>AL108*(1-AM108)*AN108</f>
        <v>30.099851600000004</v>
      </c>
      <c r="AQ108" s="102">
        <f t="shared" ref="AQ108" si="1099">AL108*(1-AM108)*AO108</f>
        <v>30.761386800000004</v>
      </c>
      <c r="AR108" s="18">
        <v>1.55</v>
      </c>
      <c r="AS108" s="18">
        <v>1006.76</v>
      </c>
      <c r="AT108" s="79">
        <f>AT106+AL108-AS108+AU108</f>
        <v>272.53999999999945</v>
      </c>
      <c r="AU108" s="80">
        <v>25.68</v>
      </c>
      <c r="AV108" s="11"/>
      <c r="AW108" s="30"/>
      <c r="AX108" s="19"/>
      <c r="AY108" s="19"/>
      <c r="AZ108" s="19"/>
      <c r="BA108" s="19"/>
    </row>
    <row r="109" spans="1:54">
      <c r="A109" s="147"/>
      <c r="B109" s="32">
        <v>2</v>
      </c>
      <c r="C109" s="10" t="s">
        <v>57</v>
      </c>
      <c r="D109" s="33">
        <v>17500</v>
      </c>
      <c r="E109" s="33">
        <v>7</v>
      </c>
      <c r="F109" s="33">
        <v>17987</v>
      </c>
      <c r="G109" s="34">
        <v>1.2</v>
      </c>
      <c r="H109" s="34">
        <v>6.2</v>
      </c>
      <c r="I109" s="33">
        <v>17320</v>
      </c>
      <c r="J109" s="34">
        <v>3.2</v>
      </c>
      <c r="K109" s="33">
        <v>15607</v>
      </c>
      <c r="L109" s="35">
        <v>0.08</v>
      </c>
      <c r="M109" s="36">
        <f>ROUND(K109*(1-L109),0)</f>
        <v>14358</v>
      </c>
      <c r="N109" s="37">
        <v>0.51400000000000001</v>
      </c>
      <c r="O109" s="24">
        <f t="shared" si="1088"/>
        <v>7380.0120000000006</v>
      </c>
      <c r="P109" s="35">
        <v>0.44900000000000001</v>
      </c>
      <c r="Q109" s="24">
        <f t="shared" si="1089"/>
        <v>6446.7420000000002</v>
      </c>
      <c r="R109" s="38">
        <v>3.6999999999999998E-2</v>
      </c>
      <c r="S109" s="105">
        <v>0.29020000000000001</v>
      </c>
      <c r="T109" s="24">
        <f t="shared" si="1090"/>
        <v>531.24599999999998</v>
      </c>
      <c r="U109" s="27">
        <v>0.23799999999999999</v>
      </c>
      <c r="V109" s="24">
        <f t="shared" si="1091"/>
        <v>3417.2039999999997</v>
      </c>
      <c r="W109" s="38">
        <v>0.47799999999999998</v>
      </c>
      <c r="X109" s="24">
        <f t="shared" si="1092"/>
        <v>6863.1239999999998</v>
      </c>
      <c r="Y109" s="38">
        <v>0.4</v>
      </c>
      <c r="Z109" s="24">
        <f t="shared" si="1093"/>
        <v>5743.2000000000007</v>
      </c>
      <c r="AA109" s="117">
        <v>2.3E-3</v>
      </c>
      <c r="AB109" s="18">
        <f t="shared" si="750"/>
        <v>33.023400000000002</v>
      </c>
      <c r="AC109" s="39">
        <v>2.2899999999999999E-3</v>
      </c>
      <c r="AD109" s="17">
        <f t="shared" si="1095"/>
        <v>32.879820000000002</v>
      </c>
      <c r="AE109" s="26">
        <f>IF(M109&gt;0,(AG109+AP109)/M109,0)</f>
        <v>2.4039884245716679E-3</v>
      </c>
      <c r="AF109" s="39">
        <v>2.5999999999999998E-4</v>
      </c>
      <c r="AG109" s="36">
        <f t="shared" si="1096"/>
        <v>3.7330799999999997</v>
      </c>
      <c r="AH109" s="27">
        <v>0.20810000000000001</v>
      </c>
      <c r="AI109" s="40">
        <f t="shared" si="1097"/>
        <v>30.374692200000005</v>
      </c>
      <c r="AJ109" s="27">
        <f t="shared" si="1098"/>
        <v>0.88757181372301852</v>
      </c>
      <c r="AK109" s="28">
        <f t="shared" si="668"/>
        <v>0.89294723688376376</v>
      </c>
      <c r="AL109" s="33">
        <v>159</v>
      </c>
      <c r="AM109" s="35">
        <v>8.2000000000000003E-2</v>
      </c>
      <c r="AN109" s="37">
        <v>0.2109</v>
      </c>
      <c r="AO109" s="103">
        <v>0.21990000000000001</v>
      </c>
      <c r="AP109" s="40">
        <f>AL109*(1-AM109)*AN109</f>
        <v>30.783385800000005</v>
      </c>
      <c r="AQ109" s="104">
        <f t="shared" si="712"/>
        <v>32.097043800000009</v>
      </c>
      <c r="AR109" s="41">
        <v>1.55</v>
      </c>
      <c r="AS109" s="41"/>
      <c r="AT109" s="129">
        <f>AT108+AL109-AS109</f>
        <v>431.53999999999945</v>
      </c>
      <c r="AU109" s="82"/>
      <c r="AV109" s="42"/>
      <c r="AW109" s="43"/>
      <c r="AX109" s="44"/>
      <c r="AY109" s="44"/>
      <c r="AZ109" s="44"/>
      <c r="BA109" s="44"/>
    </row>
    <row r="110" spans="1:54">
      <c r="A110" s="147"/>
      <c r="B110" s="32">
        <v>3</v>
      </c>
      <c r="C110" s="10" t="s">
        <v>54</v>
      </c>
      <c r="D110" s="42">
        <v>19478</v>
      </c>
      <c r="E110" s="42">
        <v>2</v>
      </c>
      <c r="F110" s="42">
        <v>17098</v>
      </c>
      <c r="G110" s="36">
        <v>0.9</v>
      </c>
      <c r="H110" s="36">
        <v>6.3</v>
      </c>
      <c r="I110" s="42">
        <v>16960</v>
      </c>
      <c r="J110" s="36">
        <v>2.1</v>
      </c>
      <c r="K110" s="42">
        <v>15593</v>
      </c>
      <c r="L110" s="38">
        <v>6.6000000000000003E-2</v>
      </c>
      <c r="M110" s="36">
        <f>ROUND(K110*(1-L110),0)</f>
        <v>14564</v>
      </c>
      <c r="N110" s="27">
        <v>0.69</v>
      </c>
      <c r="O110" s="24">
        <f t="shared" si="1088"/>
        <v>10049.16</v>
      </c>
      <c r="P110" s="38">
        <v>0.22900000000000001</v>
      </c>
      <c r="Q110" s="24">
        <f t="shared" si="1089"/>
        <v>3335.1559999999999</v>
      </c>
      <c r="R110" s="38">
        <v>8.1000000000000003E-2</v>
      </c>
      <c r="S110" s="105">
        <v>0.2732</v>
      </c>
      <c r="T110" s="24">
        <f t="shared" si="1090"/>
        <v>1179.684</v>
      </c>
      <c r="U110" s="27">
        <v>0.22900000000000001</v>
      </c>
      <c r="V110" s="24">
        <f t="shared" si="1091"/>
        <v>3335.1559999999999</v>
      </c>
      <c r="W110" s="38">
        <v>0.48899999999999999</v>
      </c>
      <c r="X110" s="24">
        <f t="shared" si="1092"/>
        <v>7121.7960000000003</v>
      </c>
      <c r="Y110" s="38">
        <v>0.4</v>
      </c>
      <c r="Z110" s="24">
        <f t="shared" si="1093"/>
        <v>5825.6</v>
      </c>
      <c r="AA110" s="118">
        <v>2.2499999999999998E-3</v>
      </c>
      <c r="AB110" s="121">
        <f t="shared" si="750"/>
        <v>32.768999999999998</v>
      </c>
      <c r="AC110" s="45">
        <v>2.3600000000000001E-3</v>
      </c>
      <c r="AD110" s="17">
        <f t="shared" si="1095"/>
        <v>34.371040000000001</v>
      </c>
      <c r="AE110" s="26">
        <f>IF(M110&gt;0,(AG110+AP110)/M110,0)</f>
        <v>2.565909921724801E-3</v>
      </c>
      <c r="AF110" s="45">
        <v>2.5000000000000001E-4</v>
      </c>
      <c r="AG110" s="36">
        <f t="shared" si="1096"/>
        <v>3.641</v>
      </c>
      <c r="AH110" s="27">
        <v>0.20300000000000001</v>
      </c>
      <c r="AI110" s="40">
        <f t="shared" si="1097"/>
        <v>32.040099000000005</v>
      </c>
      <c r="AJ110" s="27">
        <f t="shared" si="1098"/>
        <v>0.89517022299316595</v>
      </c>
      <c r="AK110" s="28">
        <f t="shared" si="668"/>
        <v>0.90362579592107117</v>
      </c>
      <c r="AL110" s="42">
        <v>171</v>
      </c>
      <c r="AM110" s="38">
        <v>7.6999999999999999E-2</v>
      </c>
      <c r="AN110" s="27">
        <v>0.2137</v>
      </c>
      <c r="AO110" s="105">
        <v>0.22059999999999999</v>
      </c>
      <c r="AP110" s="40">
        <f>AL110*(1-AM110)*AN110</f>
        <v>33.728912100000002</v>
      </c>
      <c r="AQ110" s="106">
        <f t="shared" si="712"/>
        <v>34.817959799999997</v>
      </c>
      <c r="AR110" s="17">
        <v>1.55</v>
      </c>
      <c r="AS110" s="17"/>
      <c r="AT110" s="129">
        <f>AT109+AL110-AS110</f>
        <v>602.53999999999951</v>
      </c>
      <c r="AU110" s="82"/>
      <c r="AV110" s="42"/>
      <c r="AW110" s="46"/>
      <c r="AX110" s="40"/>
      <c r="AY110" s="40"/>
      <c r="AZ110" s="40"/>
      <c r="BA110" s="40"/>
    </row>
    <row r="111" spans="1:54">
      <c r="A111" s="148"/>
      <c r="B111" s="47" t="s">
        <v>56</v>
      </c>
      <c r="C111" s="48"/>
      <c r="D111" s="49">
        <f t="shared" ref="D111" si="1100">SUM(D108:D110)</f>
        <v>41161</v>
      </c>
      <c r="E111" s="49"/>
      <c r="F111" s="49">
        <f t="shared" ref="F111" si="1101">SUM(F108:F110)</f>
        <v>45566</v>
      </c>
      <c r="G111" s="50"/>
      <c r="H111" s="50"/>
      <c r="I111" s="49">
        <f t="shared" ref="I111:K111" si="1102">SUM(I108:I110)</f>
        <v>44812</v>
      </c>
      <c r="J111" s="50"/>
      <c r="K111" s="49">
        <f t="shared" si="1102"/>
        <v>47588</v>
      </c>
      <c r="L111" s="20">
        <f t="shared" ref="L111" si="1103">IF(K111&gt;0,(K108*L108+K109*L109+K110*L110)/K111,0)</f>
        <v>7.3690804404471705E-2</v>
      </c>
      <c r="M111" s="50">
        <f t="shared" ref="M111" si="1104">M108+M109+M110</f>
        <v>44081</v>
      </c>
      <c r="N111" s="51">
        <f t="shared" ref="N111" si="1105">IF(M111&gt;0,O111/M111,0)</f>
        <v>0.56733449785621926</v>
      </c>
      <c r="O111" s="52">
        <f t="shared" ref="O111" si="1106">O108+O109+O110</f>
        <v>25008.671999999999</v>
      </c>
      <c r="P111" s="20">
        <f t="shared" ref="P111" si="1107">IF(M111&gt;0,Q111/M111,0)</f>
        <v>0.38663049840067154</v>
      </c>
      <c r="Q111" s="52">
        <f t="shared" ref="Q111" si="1108">Q108+Q109+Q110</f>
        <v>17043.059000000001</v>
      </c>
      <c r="R111" s="20">
        <f t="shared" ref="R111" si="1109">IF(M111&gt;0,T111/M111,0)</f>
        <v>4.6035003743109273E-2</v>
      </c>
      <c r="S111" s="107"/>
      <c r="T111" s="52">
        <f t="shared" ref="T111" si="1110">T108+T109+T110</f>
        <v>2029.269</v>
      </c>
      <c r="U111" s="20">
        <f t="shared" ref="U111" si="1111">IF(M111&gt;0,V111/M111,0)</f>
        <v>0.2398409291985209</v>
      </c>
      <c r="V111" s="52">
        <f t="shared" ref="V111" si="1112">V108+V109+V110</f>
        <v>10572.428</v>
      </c>
      <c r="W111" s="20">
        <f t="shared" ref="W111" si="1113">IF(M111&gt;0,X111/M111,0)</f>
        <v>0.47957097162042606</v>
      </c>
      <c r="X111" s="52">
        <f t="shared" ref="X111" si="1114">X108+X109+X110</f>
        <v>21139.968000000001</v>
      </c>
      <c r="Y111" s="20">
        <f t="shared" ref="Y111" si="1115">IF(M111&gt;0,Z111/M111,0)</f>
        <v>0.4</v>
      </c>
      <c r="Z111" s="52">
        <f t="shared" ref="Z111" si="1116">Z108+Z109+Z110</f>
        <v>17632.400000000001</v>
      </c>
      <c r="AA111" s="119">
        <f>IF(M111&gt;0,AB111/M111,0)</f>
        <v>2.314430480252263E-3</v>
      </c>
      <c r="AB111" s="54">
        <f t="shared" ref="AB111" si="1117">SUM(AB108:AB110)</f>
        <v>102.02241000000001</v>
      </c>
      <c r="AC111" s="53">
        <f t="shared" ref="AC111" si="1118">IF(M111&gt;0,AD111/M111,0)</f>
        <v>2.4266110115469253E-3</v>
      </c>
      <c r="AD111" s="54">
        <f t="shared" ref="AD111" si="1119">SUM(AD108:AD110)</f>
        <v>106.96744000000001</v>
      </c>
      <c r="AE111" s="53">
        <f t="shared" ref="AE111" si="1120">IF(M111&gt;0,(AE108*M108+AE109*M109+AE110*M110)/M111,0)</f>
        <v>2.4064599147024797E-3</v>
      </c>
      <c r="AF111" s="53">
        <f t="shared" ref="AF111" si="1121">IF(K111&gt;0,(K108*AF108+K109*AF109+K110*AF110)/K111,0)</f>
        <v>2.6016705892241741E-4</v>
      </c>
      <c r="AG111" s="50">
        <f t="shared" ref="AG111" si="1122">SUM(AG108:AG110)</f>
        <v>11.46701</v>
      </c>
      <c r="AH111" s="51">
        <f t="shared" ref="AH111" si="1123">IF(K111&gt;0,(K108*AH108+K109*AH109+K110*AH110)/K111,0)</f>
        <v>0.20505141001933264</v>
      </c>
      <c r="AI111" s="56">
        <f t="shared" ref="AI111" si="1124">SUM(AI108:AI110)</f>
        <v>91.766820400000015</v>
      </c>
      <c r="AJ111" s="51">
        <f t="shared" ref="AJ111" si="1125">IF(AND(AD111&gt;0),((AD108*AJ108+AD109*AJ109+AD110*AJ110)/AD111),0)</f>
        <v>0.89393530672214727</v>
      </c>
      <c r="AK111" s="55">
        <f t="shared" si="668"/>
        <v>0.89298773853320956</v>
      </c>
      <c r="AL111" s="49">
        <f t="shared" ref="AL111" si="1126">SUM(AL108:AL110)</f>
        <v>487</v>
      </c>
      <c r="AM111" s="20">
        <f t="shared" ref="AM111" si="1127">IF(AL111&gt;0,(AM108*AL108+AM109*AL109+AM110*AL110)/AL111,0)</f>
        <v>8.0889117043121156E-2</v>
      </c>
      <c r="AN111" s="51">
        <f>IF(K111&gt;0,(AN108*K108+AN109*K109+AN110*K110)/K111,0)</f>
        <v>0.21126647053879127</v>
      </c>
      <c r="AO111" s="107">
        <f>IF(L111&gt;0,(AO108*K108+AO109*K109+AO110*K110)/K111,0)</f>
        <v>0.21806313146171302</v>
      </c>
      <c r="AP111" s="56">
        <f t="shared" ref="AP111" si="1128">SUM(AP108:AP110)</f>
        <v>94.612149500000015</v>
      </c>
      <c r="AQ111" s="108">
        <f t="shared" si="1085"/>
        <v>97.676390400000003</v>
      </c>
      <c r="AR111" s="54"/>
      <c r="AS111" s="54">
        <f t="shared" ref="AS111" si="1129">SUM(AS108:AS110)</f>
        <v>1006.76</v>
      </c>
      <c r="AT111" s="83"/>
      <c r="AU111" s="84">
        <f>AT110</f>
        <v>602.53999999999951</v>
      </c>
      <c r="AV111" s="49">
        <f t="shared" ref="AV111" si="1130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55</v>
      </c>
      <c r="D112" s="11">
        <v>5874</v>
      </c>
      <c r="E112" s="11">
        <v>2</v>
      </c>
      <c r="F112" s="11">
        <v>9857</v>
      </c>
      <c r="G112" s="12">
        <v>0.4</v>
      </c>
      <c r="H112" s="12">
        <v>6.6</v>
      </c>
      <c r="I112" s="11">
        <v>10177</v>
      </c>
      <c r="J112" s="12">
        <v>4</v>
      </c>
      <c r="K112" s="11">
        <v>15522</v>
      </c>
      <c r="L112" s="13">
        <v>7.0000000000000007E-2</v>
      </c>
      <c r="M112" s="23">
        <f>ROUND(K112*(1-L112),0)</f>
        <v>14435</v>
      </c>
      <c r="N112" s="14">
        <v>0.68400000000000005</v>
      </c>
      <c r="O112" s="24">
        <f t="shared" ref="O112:O114" si="1131">M112*N112</f>
        <v>9873.5400000000009</v>
      </c>
      <c r="P112" s="13">
        <v>0.251</v>
      </c>
      <c r="Q112" s="24">
        <f t="shared" ref="Q112:Q114" si="1132">M112*P112</f>
        <v>3623.1849999999999</v>
      </c>
      <c r="R112" s="15">
        <v>6.5000000000000002E-2</v>
      </c>
      <c r="S112" s="112">
        <v>0.27160000000000001</v>
      </c>
      <c r="T112" s="24">
        <f t="shared" ref="T112:T114" si="1133">M112*R112</f>
        <v>938.27499999999998</v>
      </c>
      <c r="U112" s="25">
        <v>0.246</v>
      </c>
      <c r="V112" s="24">
        <f t="shared" ref="V112:V114" si="1134">M112*U112</f>
        <v>3551.0099999999998</v>
      </c>
      <c r="W112" s="15">
        <v>0.47299999999999998</v>
      </c>
      <c r="X112" s="24">
        <f t="shared" ref="X112:X114" si="1135">M112*W112</f>
        <v>6827.7549999999992</v>
      </c>
      <c r="Y112" s="15">
        <v>0.37</v>
      </c>
      <c r="Z112" s="24">
        <f t="shared" ref="Z112:Z114" si="1136">Y112*M112</f>
        <v>5340.95</v>
      </c>
      <c r="AA112" s="116">
        <v>2.2599999999999999E-3</v>
      </c>
      <c r="AB112" s="18">
        <f t="shared" ref="AB112" si="1137">M112*AA112</f>
        <v>32.623100000000001</v>
      </c>
      <c r="AC112" s="16">
        <v>2.49E-3</v>
      </c>
      <c r="AD112" s="17">
        <f t="shared" ref="AD112:AD114" si="1138">M112*AC112</f>
        <v>35.943150000000003</v>
      </c>
      <c r="AE112" s="26">
        <f>IF(M112&gt;0,(AG112+AP112)/M112,0)</f>
        <v>2.4570822306892968E-3</v>
      </c>
      <c r="AF112" s="16">
        <v>2.5000000000000001E-4</v>
      </c>
      <c r="AG112" s="23">
        <f t="shared" ref="AG112:AG114" si="1139">AF112*M112</f>
        <v>3.6087500000000001</v>
      </c>
      <c r="AH112" s="92">
        <v>0.20860000000000001</v>
      </c>
      <c r="AI112" s="29">
        <f t="shared" ref="AI112:AI114" si="1140">AL112*(1-AM112)*AH112</f>
        <v>30.739296000000003</v>
      </c>
      <c r="AJ112" s="27">
        <f t="shared" ref="AJ112:AJ114" si="1141">IF(AND(AH112&gt;0,AF112&gt;0,AC112&gt;0),((AC112-AF112)*AH112)/((AH112-AF112)*AC112),0)</f>
        <v>0.90067782529204876</v>
      </c>
      <c r="AK112" s="58">
        <f t="shared" si="668"/>
        <v>0.89929318924209689</v>
      </c>
      <c r="AL112" s="11">
        <v>160</v>
      </c>
      <c r="AM112" s="13">
        <v>7.9000000000000001E-2</v>
      </c>
      <c r="AN112" s="14">
        <v>0.2162</v>
      </c>
      <c r="AO112" s="101">
        <v>0.21879999999999999</v>
      </c>
      <c r="AP112" s="29">
        <f>AL112*(1-AM112)*AN112</f>
        <v>31.859232000000002</v>
      </c>
      <c r="AQ112" s="102">
        <f t="shared" ref="AQ112" si="1142">AL112*(1-AM112)*AO112</f>
        <v>32.242367999999999</v>
      </c>
      <c r="AR112" s="18">
        <v>1.55</v>
      </c>
      <c r="AS112" s="18">
        <v>503.92</v>
      </c>
      <c r="AT112" s="79">
        <f>AT110+AL112-AS112</f>
        <v>258.61999999999949</v>
      </c>
      <c r="AU112" s="80"/>
      <c r="AV112" s="11"/>
      <c r="AW112" s="30"/>
      <c r="AX112" s="19"/>
      <c r="AY112" s="19"/>
      <c r="AZ112" s="19"/>
      <c r="BA112" s="19"/>
    </row>
    <row r="113" spans="1:54">
      <c r="A113" s="147"/>
      <c r="B113" s="32">
        <v>2</v>
      </c>
      <c r="C113" s="10" t="s">
        <v>57</v>
      </c>
      <c r="D113" s="33">
        <v>20300</v>
      </c>
      <c r="E113" s="33">
        <v>6</v>
      </c>
      <c r="F113" s="33">
        <v>17348</v>
      </c>
      <c r="G113" s="34">
        <v>0.6</v>
      </c>
      <c r="H113" s="34">
        <v>6</v>
      </c>
      <c r="I113" s="33">
        <v>17408</v>
      </c>
      <c r="J113" s="34">
        <v>2.9</v>
      </c>
      <c r="K113" s="33">
        <v>15668</v>
      </c>
      <c r="L113" s="35">
        <v>6.0999999999999999E-2</v>
      </c>
      <c r="M113" s="36">
        <f>ROUND(K113*(1-L113),0)</f>
        <v>14712</v>
      </c>
      <c r="N113" s="37">
        <v>0.64300000000000002</v>
      </c>
      <c r="O113" s="24">
        <f t="shared" si="1131"/>
        <v>9459.8160000000007</v>
      </c>
      <c r="P113" s="35">
        <v>0.318</v>
      </c>
      <c r="Q113" s="24">
        <f t="shared" si="1132"/>
        <v>4678.4160000000002</v>
      </c>
      <c r="R113" s="38">
        <v>3.9E-2</v>
      </c>
      <c r="S113" s="105">
        <v>0.24909999999999999</v>
      </c>
      <c r="T113" s="24">
        <f t="shared" si="1133"/>
        <v>573.76800000000003</v>
      </c>
      <c r="U113" s="27">
        <v>0.217</v>
      </c>
      <c r="V113" s="24">
        <f t="shared" si="1134"/>
        <v>3192.5039999999999</v>
      </c>
      <c r="W113" s="38">
        <v>0.49199999999999999</v>
      </c>
      <c r="X113" s="24">
        <f t="shared" si="1135"/>
        <v>7238.3040000000001</v>
      </c>
      <c r="Y113" s="38">
        <v>0.39</v>
      </c>
      <c r="Z113" s="24">
        <f t="shared" si="1136"/>
        <v>5737.68</v>
      </c>
      <c r="AA113" s="117">
        <v>2.5400000000000002E-3</v>
      </c>
      <c r="AB113" s="18">
        <f t="shared" si="750"/>
        <v>37.368480000000005</v>
      </c>
      <c r="AC113" s="39">
        <v>2.5899999999999999E-3</v>
      </c>
      <c r="AD113" s="17">
        <f t="shared" si="1138"/>
        <v>38.104079999999996</v>
      </c>
      <c r="AE113" s="26">
        <f>IF(M113&gt;0,(AG113+AP113)/M113,0)</f>
        <v>2.4970149673735728E-3</v>
      </c>
      <c r="AF113" s="39">
        <v>2.5000000000000001E-4</v>
      </c>
      <c r="AG113" s="36">
        <f t="shared" si="1139"/>
        <v>3.6779999999999999</v>
      </c>
      <c r="AH113" s="27">
        <v>0.20760000000000001</v>
      </c>
      <c r="AI113" s="40">
        <f t="shared" si="1140"/>
        <v>31.860994800000004</v>
      </c>
      <c r="AJ113" s="27">
        <f t="shared" si="1141"/>
        <v>0.90456421490904249</v>
      </c>
      <c r="AK113" s="28">
        <f t="shared" si="668"/>
        <v>0.90092609906255794</v>
      </c>
      <c r="AL113" s="33">
        <v>167</v>
      </c>
      <c r="AM113" s="35">
        <v>8.1000000000000003E-2</v>
      </c>
      <c r="AN113" s="37">
        <v>0.21540000000000001</v>
      </c>
      <c r="AO113" s="103">
        <v>0.21759999999999999</v>
      </c>
      <c r="AP113" s="40">
        <f>AL113*(1-AM113)*AN113</f>
        <v>33.058084200000003</v>
      </c>
      <c r="AQ113" s="104">
        <f t="shared" si="712"/>
        <v>33.395724800000004</v>
      </c>
      <c r="AR113" s="41">
        <v>1.55</v>
      </c>
      <c r="AS113" s="41"/>
      <c r="AT113" s="129">
        <f>AT112+AL113-AS113</f>
        <v>425.61999999999949</v>
      </c>
      <c r="AU113" s="82"/>
      <c r="AV113" s="42"/>
      <c r="AW113" s="43"/>
      <c r="AX113" s="44"/>
      <c r="AY113" s="44"/>
      <c r="AZ113" s="44"/>
      <c r="BA113" s="44"/>
    </row>
    <row r="114" spans="1:54">
      <c r="A114" s="147"/>
      <c r="B114" s="32">
        <v>3</v>
      </c>
      <c r="C114" s="10" t="s">
        <v>58</v>
      </c>
      <c r="D114" s="42">
        <v>20506</v>
      </c>
      <c r="E114" s="42">
        <v>2</v>
      </c>
      <c r="F114" s="42">
        <v>18686</v>
      </c>
      <c r="G114" s="36">
        <v>0.4</v>
      </c>
      <c r="H114" s="36">
        <v>4.9000000000000004</v>
      </c>
      <c r="I114" s="42">
        <v>18791</v>
      </c>
      <c r="J114" s="36">
        <v>1.7</v>
      </c>
      <c r="K114" s="42">
        <v>15657</v>
      </c>
      <c r="L114" s="38">
        <v>8.5999999999999993E-2</v>
      </c>
      <c r="M114" s="36">
        <f>ROUND(K114*(1-L114),0)</f>
        <v>14310</v>
      </c>
      <c r="N114" s="27">
        <v>0.70799999999999996</v>
      </c>
      <c r="O114" s="24">
        <f t="shared" si="1131"/>
        <v>10131.48</v>
      </c>
      <c r="P114" s="38">
        <v>0.192</v>
      </c>
      <c r="Q114" s="24">
        <f t="shared" si="1132"/>
        <v>2747.52</v>
      </c>
      <c r="R114" s="38">
        <v>0.1</v>
      </c>
      <c r="S114" s="105">
        <v>0.25</v>
      </c>
      <c r="T114" s="24">
        <f t="shared" si="1133"/>
        <v>1431</v>
      </c>
      <c r="U114" s="27">
        <v>0.23400000000000001</v>
      </c>
      <c r="V114" s="24">
        <f t="shared" si="1134"/>
        <v>3348.5400000000004</v>
      </c>
      <c r="W114" s="38">
        <v>0.47699999999999998</v>
      </c>
      <c r="X114" s="24">
        <f t="shared" si="1135"/>
        <v>6825.87</v>
      </c>
      <c r="Y114" s="38">
        <v>0.4</v>
      </c>
      <c r="Z114" s="24">
        <f t="shared" si="1136"/>
        <v>5724</v>
      </c>
      <c r="AA114" s="118">
        <v>2.3900000000000002E-3</v>
      </c>
      <c r="AB114" s="121">
        <f t="shared" si="750"/>
        <v>34.200900000000004</v>
      </c>
      <c r="AC114" s="45">
        <v>2.5799999999999998E-3</v>
      </c>
      <c r="AD114" s="17">
        <f t="shared" si="1138"/>
        <v>36.919799999999995</v>
      </c>
      <c r="AE114" s="26">
        <f>IF(M114&gt;0,(AG114+AP114)/M114,0)</f>
        <v>2.7993671558350802E-3</v>
      </c>
      <c r="AF114" s="45">
        <v>2.5999999999999998E-4</v>
      </c>
      <c r="AG114" s="36">
        <f t="shared" si="1139"/>
        <v>3.7205999999999997</v>
      </c>
      <c r="AH114" s="27">
        <v>0.2064</v>
      </c>
      <c r="AI114" s="40">
        <f t="shared" si="1140"/>
        <v>33.800064000000006</v>
      </c>
      <c r="AJ114" s="27">
        <f t="shared" si="1141"/>
        <v>0.90035897933443287</v>
      </c>
      <c r="AK114" s="28">
        <f t="shared" si="668"/>
        <v>0.90818598579763443</v>
      </c>
      <c r="AL114" s="42">
        <v>178</v>
      </c>
      <c r="AM114" s="38">
        <v>0.08</v>
      </c>
      <c r="AN114" s="27">
        <v>0.22189999999999999</v>
      </c>
      <c r="AO114" s="105">
        <v>0.22700000000000001</v>
      </c>
      <c r="AP114" s="40">
        <f>AL114*(1-AM114)*AN114</f>
        <v>36.338343999999999</v>
      </c>
      <c r="AQ114" s="106">
        <f t="shared" si="712"/>
        <v>37.173520000000003</v>
      </c>
      <c r="AR114" s="17">
        <v>1.55</v>
      </c>
      <c r="AS114" s="17"/>
      <c r="AT114" s="129">
        <f>AT113+AL114-AS114</f>
        <v>603.61999999999944</v>
      </c>
      <c r="AU114" s="82"/>
      <c r="AV114" s="42"/>
      <c r="AW114" s="46"/>
      <c r="AX114" s="40"/>
      <c r="AY114" s="40"/>
      <c r="AZ114" s="40"/>
      <c r="BA114" s="40"/>
    </row>
    <row r="115" spans="1:54">
      <c r="A115" s="148"/>
      <c r="B115" s="47" t="s">
        <v>56</v>
      </c>
      <c r="C115" s="48"/>
      <c r="D115" s="49">
        <f t="shared" ref="D115" si="1143">SUM(D112:D114)</f>
        <v>46680</v>
      </c>
      <c r="E115" s="49"/>
      <c r="F115" s="49">
        <f t="shared" ref="F115" si="1144">SUM(F112:F114)</f>
        <v>45891</v>
      </c>
      <c r="G115" s="50"/>
      <c r="H115" s="50"/>
      <c r="I115" s="49">
        <f t="shared" ref="I115:K115" si="1145">SUM(I112:I114)</f>
        <v>46376</v>
      </c>
      <c r="J115" s="50"/>
      <c r="K115" s="49">
        <f t="shared" si="1145"/>
        <v>46847</v>
      </c>
      <c r="L115" s="20">
        <f t="shared" ref="L115" si="1146">IF(K115&gt;0,(K112*L112+K113*L113+K114*L114)/K115,0)</f>
        <v>7.2337396204666254E-2</v>
      </c>
      <c r="M115" s="50">
        <f t="shared" ref="M115" si="1147">M112+M113+M114</f>
        <v>43457</v>
      </c>
      <c r="N115" s="51">
        <f t="shared" ref="N115" si="1148">IF(M115&gt;0,O115/M115,0)</f>
        <v>0.67802278113997738</v>
      </c>
      <c r="O115" s="52">
        <f t="shared" ref="O115" si="1149">O112+O113+O114</f>
        <v>29464.835999999999</v>
      </c>
      <c r="P115" s="20">
        <f t="shared" ref="P115" si="1150">IF(M115&gt;0,Q115/M115,0)</f>
        <v>0.25425411326138486</v>
      </c>
      <c r="Q115" s="52">
        <f t="shared" ref="Q115" si="1151">Q112+Q113+Q114</f>
        <v>11049.121000000001</v>
      </c>
      <c r="R115" s="20">
        <f t="shared" ref="R115" si="1152">IF(M115&gt;0,T115/M115,0)</f>
        <v>6.7723105598637742E-2</v>
      </c>
      <c r="S115" s="107"/>
      <c r="T115" s="52">
        <f t="shared" ref="T115" si="1153">T112+T113+T114</f>
        <v>2943.0430000000001</v>
      </c>
      <c r="U115" s="20">
        <f t="shared" ref="U115" si="1154">IF(M115&gt;0,V115/M115,0)</f>
        <v>0.23223080286259981</v>
      </c>
      <c r="V115" s="52">
        <f t="shared" ref="V115" si="1155">V112+V113+V114</f>
        <v>10092.054</v>
      </c>
      <c r="W115" s="20">
        <f t="shared" ref="W115" si="1156">IF(M115&gt;0,X115/M115,0)</f>
        <v>0.48074945348275305</v>
      </c>
      <c r="X115" s="52">
        <f t="shared" ref="X115" si="1157">X112+X113+X114</f>
        <v>20891.929</v>
      </c>
      <c r="Y115" s="20">
        <f t="shared" ref="Y115" si="1158">IF(M115&gt;0,Z115/M115,0)</f>
        <v>0.38664956163563985</v>
      </c>
      <c r="Z115" s="52">
        <f t="shared" ref="Z115" si="1159">Z112+Z113+Z114</f>
        <v>16802.63</v>
      </c>
      <c r="AA115" s="119">
        <f>IF(M115&gt;0,AB115/M115,0)</f>
        <v>2.3975994661389419E-3</v>
      </c>
      <c r="AB115" s="54">
        <f t="shared" ref="AB115" si="1160">SUM(AB112:AB114)</f>
        <v>104.19248</v>
      </c>
      <c r="AC115" s="53">
        <f t="shared" ref="AC115" si="1161">IF(M115&gt;0,AD115/M115,0)</f>
        <v>2.5534903467795749E-3</v>
      </c>
      <c r="AD115" s="54">
        <f t="shared" ref="AD115" si="1162">SUM(AD112:AD114)</f>
        <v>110.96702999999999</v>
      </c>
      <c r="AE115" s="53">
        <f t="shared" ref="AE115" si="1163">IF(M115&gt;0,(AE112*M112+AE113*M113+AE114*M114)/M115,0)</f>
        <v>2.5833124743999815E-3</v>
      </c>
      <c r="AF115" s="53">
        <f t="shared" ref="AF115" si="1164">IF(K115&gt;0,(K112*AF112+K113*AF113+K114*AF114)/K115,0)</f>
        <v>2.5334215638141182E-4</v>
      </c>
      <c r="AG115" s="50">
        <f t="shared" ref="AG115" si="1165">SUM(AG112:AG114)</f>
        <v>11.007349999999999</v>
      </c>
      <c r="AH115" s="51">
        <f t="shared" ref="AH115" si="1166">IF(K115&gt;0,(K112*AH112+K113*AH113+K114*AH114)/K115,0)</f>
        <v>0.20753027515102354</v>
      </c>
      <c r="AI115" s="56">
        <f t="shared" ref="AI115" si="1167">SUM(AI112:AI114)</f>
        <v>96.400354800000017</v>
      </c>
      <c r="AJ115" s="51">
        <f t="shared" ref="AJ115" si="1168">IF(AND(AD115&gt;0),((AD112*AJ112+AD113*AJ113+AD114*AJ114)/AD115),0)</f>
        <v>0.90190625838511362</v>
      </c>
      <c r="AK115" s="55">
        <f t="shared" si="668"/>
        <v>0.90298143236602635</v>
      </c>
      <c r="AL115" s="49">
        <f t="shared" ref="AL115" si="1169">SUM(AL112:AL114)</f>
        <v>505</v>
      </c>
      <c r="AM115" s="20">
        <f t="shared" ref="AM115" si="1170">IF(AL115&gt;0,(AM112*AL112+AM113*AL113+AM114*AL114)/AL115,0)</f>
        <v>8.0013861386138627E-2</v>
      </c>
      <c r="AN115" s="51">
        <f>IF(K115&gt;0,(AN112*K112+AN113*K113+AN114*K114)/K115,0)</f>
        <v>0.21783746878135207</v>
      </c>
      <c r="AO115" s="107">
        <f>IF(L115&gt;0,(AO112*K112+AO113*K113+AO114*K114)/K115,0)</f>
        <v>0.22113922769867866</v>
      </c>
      <c r="AP115" s="56">
        <f t="shared" ref="AP115" si="1171">SUM(AP112:AP114)</f>
        <v>101.25566019999999</v>
      </c>
      <c r="AQ115" s="108">
        <f t="shared" si="1085"/>
        <v>102.81161280000001</v>
      </c>
      <c r="AR115" s="54"/>
      <c r="AS115" s="54">
        <f t="shared" ref="AS115" si="1172">SUM(AS112:AS114)</f>
        <v>503.92</v>
      </c>
      <c r="AT115" s="83"/>
      <c r="AU115" s="84">
        <f>AT114</f>
        <v>603.61999999999944</v>
      </c>
      <c r="AV115" s="49">
        <f t="shared" ref="AV115" si="1173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53</v>
      </c>
      <c r="D116" s="11">
        <v>3400</v>
      </c>
      <c r="E116" s="11">
        <v>1</v>
      </c>
      <c r="F116" s="11">
        <v>8316</v>
      </c>
      <c r="G116" s="12">
        <v>0.7</v>
      </c>
      <c r="H116" s="12">
        <v>5.5</v>
      </c>
      <c r="I116" s="11">
        <v>9523</v>
      </c>
      <c r="J116" s="12">
        <v>4</v>
      </c>
      <c r="K116" s="11">
        <v>15760</v>
      </c>
      <c r="L116" s="13">
        <v>7.4999999999999997E-2</v>
      </c>
      <c r="M116" s="23">
        <f>ROUND(K116*(1-L116),0)</f>
        <v>14578</v>
      </c>
      <c r="N116" s="14">
        <v>0.78600000000000003</v>
      </c>
      <c r="O116" s="24">
        <f t="shared" ref="O116:O118" si="1174">M116*N116</f>
        <v>11458.308000000001</v>
      </c>
      <c r="P116" s="13">
        <v>0.159</v>
      </c>
      <c r="Q116" s="24">
        <f t="shared" ref="Q116:Q118" si="1175">M116*P116</f>
        <v>2317.902</v>
      </c>
      <c r="R116" s="15">
        <v>5.5E-2</v>
      </c>
      <c r="S116" s="112">
        <v>0.21859999999999999</v>
      </c>
      <c r="T116" s="24">
        <f t="shared" ref="T116:T118" si="1176">M116*R116</f>
        <v>801.79</v>
      </c>
      <c r="U116" s="25">
        <v>0.23200000000000001</v>
      </c>
      <c r="V116" s="24">
        <f t="shared" ref="V116:V118" si="1177">M116*U116</f>
        <v>3382.096</v>
      </c>
      <c r="W116" s="15">
        <v>0.48699999999999999</v>
      </c>
      <c r="X116" s="24">
        <f t="shared" ref="X116:X118" si="1178">M116*W116</f>
        <v>7099.4859999999999</v>
      </c>
      <c r="Y116" s="15">
        <v>0.39</v>
      </c>
      <c r="Z116" s="24">
        <f t="shared" ref="Z116:Z118" si="1179">Y116*M116</f>
        <v>5685.42</v>
      </c>
      <c r="AA116" s="116">
        <v>2.6800000000000001E-3</v>
      </c>
      <c r="AB116" s="18">
        <f t="shared" ref="AB116" si="1180">M116*AA116</f>
        <v>39.069040000000001</v>
      </c>
      <c r="AC116" s="16">
        <v>2.65E-3</v>
      </c>
      <c r="AD116" s="17">
        <f t="shared" ref="AD116:AD118" si="1181">M116*AC116</f>
        <v>38.631700000000002</v>
      </c>
      <c r="AE116" s="26">
        <f>IF(M116&gt;0,(AG116+AP116)/M116,0)</f>
        <v>2.9588830292221154E-3</v>
      </c>
      <c r="AF116" s="16">
        <v>2.5000000000000001E-4</v>
      </c>
      <c r="AG116" s="23">
        <f t="shared" ref="AG116:AG118" si="1182">AF116*M116</f>
        <v>3.6445000000000003</v>
      </c>
      <c r="AH116" s="92">
        <v>0.20449999999999999</v>
      </c>
      <c r="AI116" s="29">
        <f t="shared" ref="AI116:AI118" si="1183">AL116*(1-AM116)*AH116</f>
        <v>36.657851999999998</v>
      </c>
      <c r="AJ116" s="27">
        <f t="shared" ref="AJ116:AJ118" si="1184">IF(AND(AH116&gt;0,AF116&gt;0,AC116&gt;0),((AC116-AF116)*AH116)/((AH116-AF116)*AC116),0)</f>
        <v>0.90676889679222195</v>
      </c>
      <c r="AK116" s="58">
        <f t="shared" si="668"/>
        <v>0.91654877166786852</v>
      </c>
      <c r="AL116" s="11">
        <v>194</v>
      </c>
      <c r="AM116" s="13">
        <v>7.5999999999999998E-2</v>
      </c>
      <c r="AN116" s="14">
        <v>0.2203</v>
      </c>
      <c r="AO116" s="101">
        <v>0.219</v>
      </c>
      <c r="AP116" s="29">
        <f>AL116*(1-AM116)*AN116</f>
        <v>39.490096799999996</v>
      </c>
      <c r="AQ116" s="102">
        <f t="shared" ref="AQ116" si="1185">AL116*(1-AM116)*AO116</f>
        <v>39.257064</v>
      </c>
      <c r="AR116" s="18">
        <v>1.6</v>
      </c>
      <c r="AS116" s="18">
        <v>540.44000000000005</v>
      </c>
      <c r="AT116" s="79">
        <f>AT114+AL116-AS116</f>
        <v>257.17999999999938</v>
      </c>
      <c r="AU116" s="134"/>
      <c r="AV116" s="11"/>
      <c r="AW116" s="30"/>
      <c r="AX116" s="19"/>
      <c r="AY116" s="19"/>
      <c r="AZ116" s="19"/>
      <c r="BA116" s="19"/>
    </row>
    <row r="117" spans="1:54">
      <c r="A117" s="147"/>
      <c r="B117" s="32">
        <v>2</v>
      </c>
      <c r="C117" s="10" t="s">
        <v>57</v>
      </c>
      <c r="D117" s="33">
        <v>19700</v>
      </c>
      <c r="E117" s="33">
        <v>6</v>
      </c>
      <c r="F117" s="33">
        <v>17144</v>
      </c>
      <c r="G117" s="34">
        <v>0.6</v>
      </c>
      <c r="H117" s="34">
        <v>6.4</v>
      </c>
      <c r="I117" s="33">
        <v>16213</v>
      </c>
      <c r="J117" s="34">
        <v>4</v>
      </c>
      <c r="K117" s="33">
        <v>15595</v>
      </c>
      <c r="L117" s="35">
        <v>7.3999999999999996E-2</v>
      </c>
      <c r="M117" s="36">
        <f>ROUND(K117*(1-L117),0)</f>
        <v>14441</v>
      </c>
      <c r="N117" s="37">
        <v>0.73199999999999998</v>
      </c>
      <c r="O117" s="24">
        <f t="shared" si="1174"/>
        <v>10570.812</v>
      </c>
      <c r="P117" s="35">
        <v>0.222</v>
      </c>
      <c r="Q117" s="24">
        <f t="shared" si="1175"/>
        <v>3205.902</v>
      </c>
      <c r="R117" s="38">
        <v>4.5999999999999999E-2</v>
      </c>
      <c r="S117" s="105">
        <v>0.18360000000000001</v>
      </c>
      <c r="T117" s="24">
        <f t="shared" si="1176"/>
        <v>664.28599999999994</v>
      </c>
      <c r="U117" s="27">
        <v>0.23</v>
      </c>
      <c r="V117" s="24">
        <f t="shared" si="1177"/>
        <v>3321.4300000000003</v>
      </c>
      <c r="W117" s="38">
        <v>0.47899999999999998</v>
      </c>
      <c r="X117" s="24">
        <f t="shared" si="1178"/>
        <v>6917.2389999999996</v>
      </c>
      <c r="Y117" s="38">
        <v>0.39</v>
      </c>
      <c r="Z117" s="24">
        <f t="shared" si="1179"/>
        <v>5631.99</v>
      </c>
      <c r="AA117" s="117">
        <v>2.7599999999999999E-3</v>
      </c>
      <c r="AB117" s="18">
        <f t="shared" si="750"/>
        <v>39.85716</v>
      </c>
      <c r="AC117" s="39">
        <v>2.7299999999999998E-3</v>
      </c>
      <c r="AD117" s="17">
        <f t="shared" si="1181"/>
        <v>39.423929999999999</v>
      </c>
      <c r="AE117" s="26">
        <f>IF(M117&gt;0,(AG117+AP117)/M117,0)</f>
        <v>2.7671291738799253E-3</v>
      </c>
      <c r="AF117" s="39">
        <v>2.5000000000000001E-4</v>
      </c>
      <c r="AG117" s="36">
        <f t="shared" si="1182"/>
        <v>3.6102500000000002</v>
      </c>
      <c r="AH117" s="27">
        <v>0.2072</v>
      </c>
      <c r="AI117" s="40">
        <f t="shared" si="1183"/>
        <v>34.998566400000001</v>
      </c>
      <c r="AJ117" s="27">
        <f t="shared" si="1184"/>
        <v>0.90952230502846587</v>
      </c>
      <c r="AK117" s="28">
        <f t="shared" si="668"/>
        <v>0.91071164038435937</v>
      </c>
      <c r="AL117" s="33">
        <v>184</v>
      </c>
      <c r="AM117" s="35">
        <v>8.2000000000000003E-2</v>
      </c>
      <c r="AN117" s="37">
        <v>0.2152</v>
      </c>
      <c r="AO117" s="103">
        <v>0.21740000000000001</v>
      </c>
      <c r="AP117" s="40">
        <f>AL117*(1-AM117)*AN117</f>
        <v>36.349862399999999</v>
      </c>
      <c r="AQ117" s="104">
        <f t="shared" si="712"/>
        <v>36.721468800000004</v>
      </c>
      <c r="AR117" s="41">
        <v>1.6</v>
      </c>
      <c r="AS117" s="41"/>
      <c r="AT117" s="129">
        <f>AT116+AL117-AS117</f>
        <v>441.17999999999938</v>
      </c>
      <c r="AU117" s="82"/>
      <c r="AV117" s="42"/>
      <c r="AW117" s="43"/>
      <c r="AX117" s="44"/>
      <c r="AY117" s="44"/>
      <c r="AZ117" s="44"/>
      <c r="BA117" s="44"/>
    </row>
    <row r="118" spans="1:54">
      <c r="A118" s="147"/>
      <c r="B118" s="32">
        <v>3</v>
      </c>
      <c r="C118" s="10" t="s">
        <v>58</v>
      </c>
      <c r="D118" s="42">
        <v>20900</v>
      </c>
      <c r="E118" s="42">
        <v>1</v>
      </c>
      <c r="F118" s="42">
        <v>16684</v>
      </c>
      <c r="G118" s="36">
        <v>0.4</v>
      </c>
      <c r="H118" s="36">
        <v>7.6</v>
      </c>
      <c r="I118" s="42">
        <v>17594</v>
      </c>
      <c r="J118" s="36">
        <v>3.1</v>
      </c>
      <c r="K118" s="42">
        <v>15490</v>
      </c>
      <c r="L118" s="38">
        <v>8.5000000000000006E-2</v>
      </c>
      <c r="M118" s="36">
        <f>ROUND(K118*(1-L118),0)</f>
        <v>14173</v>
      </c>
      <c r="N118" s="27">
        <v>0.68799999999999994</v>
      </c>
      <c r="O118" s="24">
        <f t="shared" si="1174"/>
        <v>9751.0239999999994</v>
      </c>
      <c r="P118" s="38">
        <v>0.221</v>
      </c>
      <c r="Q118" s="24">
        <f t="shared" si="1175"/>
        <v>3132.2330000000002</v>
      </c>
      <c r="R118" s="38">
        <v>9.0999999999999998E-2</v>
      </c>
      <c r="S118" s="105">
        <v>0.20300000000000001</v>
      </c>
      <c r="T118" s="24">
        <f t="shared" si="1176"/>
        <v>1289.7429999999999</v>
      </c>
      <c r="U118" s="27">
        <v>0.23</v>
      </c>
      <c r="V118" s="24">
        <f t="shared" si="1177"/>
        <v>3259.79</v>
      </c>
      <c r="W118" s="38">
        <v>0.48199999999999998</v>
      </c>
      <c r="X118" s="24">
        <f t="shared" si="1178"/>
        <v>6831.3859999999995</v>
      </c>
      <c r="Y118" s="38">
        <v>0.39</v>
      </c>
      <c r="Z118" s="24">
        <f t="shared" si="1179"/>
        <v>5527.47</v>
      </c>
      <c r="AA118" s="118">
        <v>2.3900000000000002E-3</v>
      </c>
      <c r="AB118" s="121">
        <f t="shared" si="750"/>
        <v>33.873470000000005</v>
      </c>
      <c r="AC118" s="45">
        <v>2.4599999999999999E-3</v>
      </c>
      <c r="AD118" s="17">
        <f t="shared" si="1181"/>
        <v>34.865580000000001</v>
      </c>
      <c r="AE118" s="26">
        <f>IF(M118&gt;0,(AG118+AP118)/M118,0)</f>
        <v>2.8919552106117263E-3</v>
      </c>
      <c r="AF118" s="45">
        <v>2.5000000000000001E-4</v>
      </c>
      <c r="AG118" s="36">
        <f t="shared" si="1182"/>
        <v>3.54325</v>
      </c>
      <c r="AH118" s="27">
        <v>0.2041</v>
      </c>
      <c r="AI118" s="40">
        <f t="shared" si="1183"/>
        <v>34.960697199999998</v>
      </c>
      <c r="AJ118" s="27">
        <f t="shared" si="1184"/>
        <v>0.89947574236595951</v>
      </c>
      <c r="AK118" s="28">
        <f t="shared" si="668"/>
        <v>0.91459926818760129</v>
      </c>
      <c r="AL118" s="42">
        <v>187</v>
      </c>
      <c r="AM118" s="38">
        <v>8.4000000000000005E-2</v>
      </c>
      <c r="AN118" s="27">
        <v>0.21859999999999999</v>
      </c>
      <c r="AO118" s="105">
        <v>0.22009999999999999</v>
      </c>
      <c r="AP118" s="40">
        <f>AL118*(1-AM118)*AN118</f>
        <v>37.444431199999997</v>
      </c>
      <c r="AQ118" s="106">
        <f t="shared" si="712"/>
        <v>37.701369200000002</v>
      </c>
      <c r="AR118" s="17">
        <v>1.55</v>
      </c>
      <c r="AS118" s="17"/>
      <c r="AT118" s="129">
        <f>AT117+AL118-AS118</f>
        <v>628.17999999999938</v>
      </c>
      <c r="AU118" s="82"/>
      <c r="AV118" s="42"/>
      <c r="AW118" s="46"/>
      <c r="AX118" s="40"/>
      <c r="AY118" s="40"/>
      <c r="AZ118" s="40"/>
      <c r="BA118" s="40"/>
    </row>
    <row r="119" spans="1:54">
      <c r="A119" s="148"/>
      <c r="B119" s="47" t="s">
        <v>56</v>
      </c>
      <c r="C119" s="48"/>
      <c r="D119" s="49">
        <f t="shared" ref="D119" si="1186">SUM(D116:D118)</f>
        <v>44000</v>
      </c>
      <c r="E119" s="49"/>
      <c r="F119" s="49">
        <f t="shared" ref="F119" si="1187">SUM(F116:F118)</f>
        <v>42144</v>
      </c>
      <c r="G119" s="50"/>
      <c r="H119" s="50"/>
      <c r="I119" s="49">
        <f t="shared" ref="I119:K119" si="1188">SUM(I116:I118)</f>
        <v>43330</v>
      </c>
      <c r="J119" s="50"/>
      <c r="K119" s="49">
        <f t="shared" si="1188"/>
        <v>46845</v>
      </c>
      <c r="L119" s="20">
        <f t="shared" ref="L119" si="1189">IF(K119&gt;0,(K116*L116+K117*L117+K118*L118)/K119,0)</f>
        <v>7.7973743195645207E-2</v>
      </c>
      <c r="M119" s="50">
        <f t="shared" ref="M119" si="1190">M116+M117+M118</f>
        <v>43192</v>
      </c>
      <c r="N119" s="51">
        <f t="shared" ref="N119" si="1191">IF(M119&gt;0,O119/M119,0)</f>
        <v>0.73578773847008705</v>
      </c>
      <c r="O119" s="52">
        <f t="shared" ref="O119" si="1192">O116+O117+O118</f>
        <v>31780.144</v>
      </c>
      <c r="P119" s="20">
        <f t="shared" ref="P119" si="1193">IF(M119&gt;0,Q119/M119,0)</f>
        <v>0.20040833950731618</v>
      </c>
      <c r="Q119" s="52">
        <f t="shared" ref="Q119" si="1194">Q116+Q117+Q118</f>
        <v>8656.0370000000003</v>
      </c>
      <c r="R119" s="20">
        <f t="shared" ref="R119" si="1195">IF(M119&gt;0,T119/M119,0)</f>
        <v>6.3803922022596771E-2</v>
      </c>
      <c r="S119" s="107"/>
      <c r="T119" s="52">
        <f t="shared" ref="T119" si="1196">T116+T117+T118</f>
        <v>2755.819</v>
      </c>
      <c r="U119" s="20">
        <f t="shared" ref="U119" si="1197">IF(M119&gt;0,V119/M119,0)</f>
        <v>0.23067503241340986</v>
      </c>
      <c r="V119" s="52">
        <f t="shared" ref="V119" si="1198">V116+V117+V118</f>
        <v>9963.3159999999989</v>
      </c>
      <c r="W119" s="20">
        <f t="shared" ref="W119" si="1199">IF(M119&gt;0,X119/M119,0)</f>
        <v>0.48268454806445632</v>
      </c>
      <c r="X119" s="52">
        <f t="shared" ref="X119" si="1200">X116+X117+X118</f>
        <v>20848.110999999997</v>
      </c>
      <c r="Y119" s="20">
        <f t="shared" ref="Y119" si="1201">IF(M119&gt;0,Z119/M119,0)</f>
        <v>0.39</v>
      </c>
      <c r="Z119" s="52">
        <f t="shared" ref="Z119" si="1202">Z116+Z117+Z118</f>
        <v>16844.88</v>
      </c>
      <c r="AA119" s="119">
        <f>IF(M119&gt;0,AB119/M119,0)</f>
        <v>2.6115870994628631E-3</v>
      </c>
      <c r="AB119" s="54">
        <f t="shared" ref="AB119" si="1203">SUM(AB116:AB118)</f>
        <v>112.79966999999999</v>
      </c>
      <c r="AC119" s="53">
        <f t="shared" ref="AC119" si="1204">IF(M119&gt;0,AD119/M119,0)</f>
        <v>2.614401046490091E-3</v>
      </c>
      <c r="AD119" s="54">
        <f t="shared" ref="AD119" si="1205">SUM(AD116:AD118)</f>
        <v>112.92121</v>
      </c>
      <c r="AE119" s="53">
        <f t="shared" ref="AE119" si="1206">IF(M119&gt;0,(AE116*M116+AE117*M117+AE118*M118)/M119,0)</f>
        <v>2.8728095573254306E-3</v>
      </c>
      <c r="AF119" s="53">
        <f t="shared" ref="AF119" si="1207">IF(K119&gt;0,(K116*AF116+K117*AF117+K118*AF118)/K119,0)</f>
        <v>2.5000000000000001E-4</v>
      </c>
      <c r="AG119" s="50">
        <f t="shared" ref="AG119" si="1208">SUM(AG116:AG118)</f>
        <v>10.798</v>
      </c>
      <c r="AH119" s="51">
        <f t="shared" ref="AH119" si="1209">IF(K119&gt;0,(K116*AH116+K117*AH117+K118*AH118)/K119,0)</f>
        <v>0.20526658127868502</v>
      </c>
      <c r="AI119" s="56">
        <f t="shared" ref="AI119" si="1210">SUM(AI116:AI118)</f>
        <v>106.61711560000001</v>
      </c>
      <c r="AJ119" s="51">
        <f t="shared" ref="AJ119" si="1211">IF(AND(AD119&gt;0),((AD116*AJ116+AD117*AJ117+AD118*AJ118)/AD119),0)</f>
        <v>0.90547835194653603</v>
      </c>
      <c r="AK119" s="55">
        <f t="shared" si="668"/>
        <v>0.91402517766294722</v>
      </c>
      <c r="AL119" s="49">
        <f t="shared" ref="AL119" si="1212">SUM(AL116:AL118)</f>
        <v>565</v>
      </c>
      <c r="AM119" s="20">
        <f t="shared" ref="AM119" si="1213">IF(AL119&gt;0,(AM116*AL116+AM117*AL117+AM118*AL118)/AL119,0)</f>
        <v>8.0601769911504417E-2</v>
      </c>
      <c r="AN119" s="51">
        <f>IF(K119&gt;0,(AN116*K116+AN117*K117+AN118*K118)/K119,0)</f>
        <v>0.21804004696338988</v>
      </c>
      <c r="AO119" s="107">
        <f>IF(L119&gt;0,(AO116*K116+AO117*K117+AO118*K118)/K119,0)</f>
        <v>0.21883108122531753</v>
      </c>
      <c r="AP119" s="56">
        <f t="shared" ref="AP119" si="1214">SUM(AP116:AP118)</f>
        <v>113.28439039999999</v>
      </c>
      <c r="AQ119" s="108">
        <f t="shared" si="1085"/>
        <v>113.67990200000001</v>
      </c>
      <c r="AR119" s="54"/>
      <c r="AS119" s="54">
        <f t="shared" ref="AS119" si="1215">SUM(AS116:AS118)</f>
        <v>540.44000000000005</v>
      </c>
      <c r="AT119" s="83"/>
      <c r="AU119" s="84">
        <f>AT118</f>
        <v>628.17999999999938</v>
      </c>
      <c r="AV119" s="49">
        <f t="shared" ref="AV119" si="1216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53</v>
      </c>
      <c r="D120" s="11">
        <v>2679</v>
      </c>
      <c r="E120" s="11">
        <v>1</v>
      </c>
      <c r="F120" s="11">
        <v>9509</v>
      </c>
      <c r="G120" s="12">
        <v>0.8</v>
      </c>
      <c r="H120" s="12">
        <v>7.1</v>
      </c>
      <c r="I120" s="11">
        <v>9484</v>
      </c>
      <c r="J120" s="12">
        <v>5</v>
      </c>
      <c r="K120" s="11">
        <v>15536</v>
      </c>
      <c r="L120" s="13">
        <v>7.4999999999999997E-2</v>
      </c>
      <c r="M120" s="36">
        <f>ROUND(K120*(1-L120),0)</f>
        <v>14371</v>
      </c>
      <c r="N120" s="14">
        <v>0.71799999999999997</v>
      </c>
      <c r="O120" s="24">
        <f t="shared" ref="O120:O122" si="1217">M120*N120</f>
        <v>10318.377999999999</v>
      </c>
      <c r="P120" s="13">
        <v>0.20599999999999999</v>
      </c>
      <c r="Q120" s="24">
        <f t="shared" ref="Q120:Q122" si="1218">M120*P120</f>
        <v>2960.4259999999999</v>
      </c>
      <c r="R120" s="15">
        <v>7.5999999999999998E-2</v>
      </c>
      <c r="S120" s="112">
        <v>0.1908</v>
      </c>
      <c r="T120" s="24">
        <f t="shared" ref="T120:T122" si="1219">M120*R120</f>
        <v>1092.1959999999999</v>
      </c>
      <c r="U120" s="25">
        <v>0.22800000000000001</v>
      </c>
      <c r="V120" s="24">
        <f t="shared" ref="V120:V122" si="1220">M120*U120</f>
        <v>3276.5880000000002</v>
      </c>
      <c r="W120" s="15">
        <v>0.49</v>
      </c>
      <c r="X120" s="24">
        <f t="shared" ref="X120:X122" si="1221">M120*W120</f>
        <v>7041.79</v>
      </c>
      <c r="Y120" s="15">
        <v>0.37</v>
      </c>
      <c r="Z120" s="24">
        <f t="shared" ref="Z120:Z122" si="1222">Y120*M120</f>
        <v>5317.2699999999995</v>
      </c>
      <c r="AA120" s="116">
        <v>2.3999999999999998E-3</v>
      </c>
      <c r="AB120" s="18">
        <f t="shared" ref="AB120" si="1223">M120*AA120</f>
        <v>34.490399999999994</v>
      </c>
      <c r="AC120" s="16">
        <v>2.5500000000000002E-3</v>
      </c>
      <c r="AD120" s="17">
        <f t="shared" ref="AD120:AD122" si="1224">M120*AC120</f>
        <v>36.646050000000002</v>
      </c>
      <c r="AE120" s="26">
        <f>IF(M120&gt;0,(AG120+AP120)/M120,0)</f>
        <v>2.6813200194836825E-3</v>
      </c>
      <c r="AF120" s="16">
        <v>2.5999999999999998E-4</v>
      </c>
      <c r="AG120" s="23">
        <f t="shared" ref="AG120:AG122" si="1225">AF120*M120</f>
        <v>3.7364599999999997</v>
      </c>
      <c r="AH120" s="92">
        <v>0.20330000000000001</v>
      </c>
      <c r="AI120" s="29">
        <f t="shared" ref="AI120:AI122" si="1226">AL120*(1-AM120)*AH120</f>
        <v>32.660145</v>
      </c>
      <c r="AJ120" s="27">
        <f t="shared" ref="AJ120:AJ122" si="1227">IF(AND(AH120&gt;0,AF120&gt;0,AC120&gt;0),((AC120-AF120)*AH120)/((AH120-AF120)*AC120),0)</f>
        <v>0.89918918710116047</v>
      </c>
      <c r="AK120" s="58">
        <f t="shared" si="668"/>
        <v>0.90411811094272798</v>
      </c>
      <c r="AL120" s="11">
        <v>175</v>
      </c>
      <c r="AM120" s="13">
        <v>8.2000000000000003E-2</v>
      </c>
      <c r="AN120" s="14">
        <v>0.21659999999999999</v>
      </c>
      <c r="AO120" s="101">
        <v>0.21779999999999999</v>
      </c>
      <c r="AP120" s="29">
        <f>AL120*(1-AM120)*AN120</f>
        <v>34.796790000000001</v>
      </c>
      <c r="AQ120" s="102">
        <f t="shared" ref="AQ120" si="1228">AL120*(1-AM120)*AO120</f>
        <v>34.989570000000001</v>
      </c>
      <c r="AR120" s="18">
        <v>1.6</v>
      </c>
      <c r="AS120" s="18">
        <v>280.32</v>
      </c>
      <c r="AT120" s="79">
        <f>AT118+AL120-AS120</f>
        <v>522.85999999999945</v>
      </c>
      <c r="AU120" s="80"/>
      <c r="AV120" s="11"/>
      <c r="AW120" s="30"/>
      <c r="AX120" s="19"/>
      <c r="AY120" s="19"/>
      <c r="AZ120" s="19"/>
      <c r="BA120" s="19"/>
    </row>
    <row r="121" spans="1:54">
      <c r="A121" s="147"/>
      <c r="B121" s="32">
        <v>2</v>
      </c>
      <c r="C121" s="10" t="s">
        <v>54</v>
      </c>
      <c r="D121" s="33">
        <v>22521</v>
      </c>
      <c r="E121" s="33">
        <v>2</v>
      </c>
      <c r="F121" s="33">
        <v>17011</v>
      </c>
      <c r="G121" s="34">
        <v>0.7</v>
      </c>
      <c r="H121" s="34">
        <v>6.6</v>
      </c>
      <c r="I121" s="33">
        <v>16923</v>
      </c>
      <c r="J121" s="34">
        <v>4.8</v>
      </c>
      <c r="K121" s="33">
        <v>15889</v>
      </c>
      <c r="L121" s="35">
        <v>6.9000000000000006E-2</v>
      </c>
      <c r="M121" s="36">
        <f>ROUND(K121*(1-L121),0)</f>
        <v>14793</v>
      </c>
      <c r="N121" s="37">
        <v>0.63900000000000001</v>
      </c>
      <c r="O121" s="24">
        <f t="shared" si="1217"/>
        <v>9452.7270000000008</v>
      </c>
      <c r="P121" s="35">
        <v>0.28699999999999998</v>
      </c>
      <c r="Q121" s="24">
        <f t="shared" si="1218"/>
        <v>4245.5909999999994</v>
      </c>
      <c r="R121" s="38">
        <v>7.3999999999999996E-2</v>
      </c>
      <c r="S121" s="105">
        <v>0.22639999999999999</v>
      </c>
      <c r="T121" s="24">
        <f t="shared" si="1219"/>
        <v>1094.682</v>
      </c>
      <c r="U121" s="27">
        <v>0.217</v>
      </c>
      <c r="V121" s="24">
        <f t="shared" si="1220"/>
        <v>3210.0810000000001</v>
      </c>
      <c r="W121" s="38">
        <v>0.503</v>
      </c>
      <c r="X121" s="24">
        <f t="shared" si="1221"/>
        <v>7440.8789999999999</v>
      </c>
      <c r="Y121" s="38">
        <v>0.39</v>
      </c>
      <c r="Z121" s="24">
        <f t="shared" si="1222"/>
        <v>5769.27</v>
      </c>
      <c r="AA121" s="117">
        <v>2.4499999999999999E-3</v>
      </c>
      <c r="AB121" s="18">
        <f t="shared" si="750"/>
        <v>36.242849999999997</v>
      </c>
      <c r="AC121" s="39">
        <v>2.5000000000000001E-3</v>
      </c>
      <c r="AD121" s="17">
        <f t="shared" si="1224"/>
        <v>36.982500000000002</v>
      </c>
      <c r="AE121" s="26">
        <f>IF(M121&gt;0,(AG121+AP121)/M121,0)</f>
        <v>2.5395227337254109E-3</v>
      </c>
      <c r="AF121" s="39">
        <v>2.5000000000000001E-4</v>
      </c>
      <c r="AG121" s="36">
        <f t="shared" si="1225"/>
        <v>3.6982500000000003</v>
      </c>
      <c r="AH121" s="27">
        <v>0.2094</v>
      </c>
      <c r="AI121" s="40">
        <f t="shared" si="1226"/>
        <v>32.727963600000002</v>
      </c>
      <c r="AJ121" s="27">
        <f t="shared" si="1227"/>
        <v>0.90107578293091084</v>
      </c>
      <c r="AK121" s="28">
        <f t="shared" si="668"/>
        <v>0.90259760414301071</v>
      </c>
      <c r="AL121" s="33">
        <v>171</v>
      </c>
      <c r="AM121" s="35">
        <v>8.5999999999999993E-2</v>
      </c>
      <c r="AN121" s="37">
        <v>0.2167</v>
      </c>
      <c r="AO121" s="103">
        <v>0.21870000000000001</v>
      </c>
      <c r="AP121" s="40">
        <f>AL121*(1-AM121)*AN121</f>
        <v>33.868909800000004</v>
      </c>
      <c r="AQ121" s="104">
        <f t="shared" si="712"/>
        <v>34.181497800000002</v>
      </c>
      <c r="AR121" s="41">
        <v>1.55</v>
      </c>
      <c r="AS121" s="41"/>
      <c r="AT121" s="129">
        <f>AT120+AL121-AS121</f>
        <v>693.85999999999945</v>
      </c>
      <c r="AU121" s="82"/>
      <c r="AV121" s="42"/>
      <c r="AW121" s="43"/>
      <c r="AX121" s="44"/>
      <c r="AY121" s="44"/>
      <c r="AZ121" s="44"/>
      <c r="BA121" s="44"/>
    </row>
    <row r="122" spans="1:54">
      <c r="A122" s="147"/>
      <c r="B122" s="32">
        <v>3</v>
      </c>
      <c r="C122" s="10" t="s">
        <v>58</v>
      </c>
      <c r="D122" s="42">
        <v>16500</v>
      </c>
      <c r="E122" s="42">
        <v>0</v>
      </c>
      <c r="F122" s="42">
        <v>16777</v>
      </c>
      <c r="G122" s="36">
        <v>0.6</v>
      </c>
      <c r="H122" s="36">
        <v>5.6</v>
      </c>
      <c r="I122" s="42">
        <v>17283</v>
      </c>
      <c r="J122" s="36">
        <v>4.2</v>
      </c>
      <c r="K122" s="42">
        <v>16365</v>
      </c>
      <c r="L122" s="38">
        <v>7.3999999999999996E-2</v>
      </c>
      <c r="M122" s="36">
        <f>ROUND(K122*(1-L122),0)</f>
        <v>15154</v>
      </c>
      <c r="N122" s="27">
        <v>0.67500000000000004</v>
      </c>
      <c r="O122" s="24">
        <f t="shared" si="1217"/>
        <v>10228.950000000001</v>
      </c>
      <c r="P122" s="38">
        <v>0.28899999999999998</v>
      </c>
      <c r="Q122" s="24">
        <f t="shared" si="1218"/>
        <v>4379.5059999999994</v>
      </c>
      <c r="R122" s="38">
        <v>3.5999999999999997E-2</v>
      </c>
      <c r="S122" s="105">
        <v>0.25729999999999997</v>
      </c>
      <c r="T122" s="24">
        <f t="shared" si="1219"/>
        <v>545.54399999999998</v>
      </c>
      <c r="U122" s="27">
        <v>0.23400000000000001</v>
      </c>
      <c r="V122" s="24">
        <f t="shared" si="1220"/>
        <v>3546.0360000000001</v>
      </c>
      <c r="W122" s="38">
        <v>0.48</v>
      </c>
      <c r="X122" s="24">
        <f t="shared" si="1221"/>
        <v>7273.92</v>
      </c>
      <c r="Y122" s="38">
        <v>0.39</v>
      </c>
      <c r="Z122" s="24">
        <f t="shared" si="1222"/>
        <v>5910.06</v>
      </c>
      <c r="AA122" s="118">
        <v>2.2200000000000002E-3</v>
      </c>
      <c r="AB122" s="121">
        <f t="shared" si="750"/>
        <v>33.64188</v>
      </c>
      <c r="AC122" s="45">
        <v>2.48E-3</v>
      </c>
      <c r="AD122" s="17">
        <f t="shared" si="1224"/>
        <v>37.581919999999997</v>
      </c>
      <c r="AE122" s="26">
        <f>IF(M122&gt;0,(AG122+AP122)/M122,0)</f>
        <v>2.5626006598917775E-3</v>
      </c>
      <c r="AF122" s="45">
        <v>2.5000000000000001E-4</v>
      </c>
      <c r="AG122" s="36">
        <f t="shared" si="1225"/>
        <v>3.7885</v>
      </c>
      <c r="AH122" s="27">
        <v>0.20630000000000001</v>
      </c>
      <c r="AI122" s="40">
        <f t="shared" si="1226"/>
        <v>33.301771200000005</v>
      </c>
      <c r="AJ122" s="27">
        <f t="shared" si="1227"/>
        <v>0.90028453789011453</v>
      </c>
      <c r="AK122" s="28">
        <f t="shared" si="668"/>
        <v>0.90348325650188854</v>
      </c>
      <c r="AL122" s="42">
        <v>177</v>
      </c>
      <c r="AM122" s="38">
        <v>8.7999999999999995E-2</v>
      </c>
      <c r="AN122" s="27">
        <v>0.21709999999999999</v>
      </c>
      <c r="AO122" s="105">
        <v>0.2165</v>
      </c>
      <c r="AP122" s="40">
        <f>AL122*(1-AM122)*AN122</f>
        <v>35.045150399999997</v>
      </c>
      <c r="AQ122" s="106">
        <f t="shared" si="712"/>
        <v>34.948295999999999</v>
      </c>
      <c r="AR122" s="17">
        <v>1.55</v>
      </c>
      <c r="AS122" s="17"/>
      <c r="AT122" s="129">
        <f>AT121+AL122-AS122</f>
        <v>870.85999999999945</v>
      </c>
      <c r="AU122" s="82"/>
      <c r="AV122" s="42"/>
      <c r="AW122" s="46"/>
      <c r="AX122" s="40"/>
      <c r="AY122" s="40"/>
      <c r="AZ122" s="40"/>
      <c r="BA122" s="40"/>
    </row>
    <row r="123" spans="1:54">
      <c r="A123" s="148"/>
      <c r="B123" s="47" t="s">
        <v>56</v>
      </c>
      <c r="C123" s="48"/>
      <c r="D123" s="49">
        <f t="shared" ref="D123" si="1229">SUM(D120:D122)</f>
        <v>41700</v>
      </c>
      <c r="E123" s="49"/>
      <c r="F123" s="49">
        <f t="shared" ref="F123" si="1230">SUM(F120:F122)</f>
        <v>43297</v>
      </c>
      <c r="G123" s="50"/>
      <c r="H123" s="50"/>
      <c r="I123" s="49">
        <f t="shared" ref="I123:K123" si="1231">SUM(I120:I122)</f>
        <v>43690</v>
      </c>
      <c r="J123" s="50"/>
      <c r="K123" s="49">
        <f t="shared" si="1231"/>
        <v>47790</v>
      </c>
      <c r="L123" s="20">
        <f t="shared" ref="L123" si="1232">IF(K123&gt;0,(K120*L120+K121*L121+K122*L122)/K123,0)</f>
        <v>7.2662711864406787E-2</v>
      </c>
      <c r="M123" s="50">
        <f t="shared" ref="M123" si="1233">M120+M121+M122</f>
        <v>44318</v>
      </c>
      <c r="N123" s="51">
        <f t="shared" ref="N123" si="1234">IF(M123&gt;0,O123/M123,0)</f>
        <v>0.67692709508551829</v>
      </c>
      <c r="O123" s="52">
        <f t="shared" ref="O123" si="1235">O120+O121+O122</f>
        <v>30000.055</v>
      </c>
      <c r="P123" s="20">
        <f t="shared" ref="P123" si="1236">IF(M123&gt;0,Q123/M123,0)</f>
        <v>0.26141800171487883</v>
      </c>
      <c r="Q123" s="52">
        <f t="shared" ref="Q123" si="1237">Q120+Q121+Q122</f>
        <v>11585.522999999999</v>
      </c>
      <c r="R123" s="20">
        <f t="shared" ref="R123" si="1238">IF(M123&gt;0,T123/M123,0)</f>
        <v>6.1654903199602859E-2</v>
      </c>
      <c r="S123" s="107"/>
      <c r="T123" s="52">
        <f t="shared" ref="T123" si="1239">T120+T121+T122</f>
        <v>2732.4219999999996</v>
      </c>
      <c r="U123" s="20">
        <f t="shared" ref="U123" si="1240">IF(M123&gt;0,V123/M123,0)</f>
        <v>0.22637991335349067</v>
      </c>
      <c r="V123" s="52">
        <f t="shared" ref="V123" si="1241">V120+V121+V122</f>
        <v>10032.705</v>
      </c>
      <c r="W123" s="20">
        <f t="shared" ref="W123" si="1242">IF(M123&gt;0,X123/M123,0)</f>
        <v>0.49091991967146531</v>
      </c>
      <c r="X123" s="52">
        <f t="shared" ref="X123" si="1243">X120+X121+X122</f>
        <v>21756.589</v>
      </c>
      <c r="Y123" s="20">
        <f t="shared" ref="Y123" si="1244">IF(M123&gt;0,Z123/M123,0)</f>
        <v>0.3835145990342525</v>
      </c>
      <c r="Z123" s="52">
        <f t="shared" ref="Z123" si="1245">Z120+Z121+Z122</f>
        <v>16996.600000000002</v>
      </c>
      <c r="AA123" s="119">
        <f>IF(M123&gt;0,AB123/M123,0)</f>
        <v>2.3551408005776432E-3</v>
      </c>
      <c r="AB123" s="54">
        <f t="shared" ref="AB123" si="1246">SUM(AB120:AB122)</f>
        <v>104.37513</v>
      </c>
      <c r="AC123" s="53">
        <f t="shared" ref="AC123" si="1247">IF(M123&gt;0,AD123/M123,0)</f>
        <v>2.5093747461528049E-3</v>
      </c>
      <c r="AD123" s="54">
        <f t="shared" ref="AD123" si="1248">SUM(AD120:AD122)</f>
        <v>111.21047</v>
      </c>
      <c r="AE123" s="53">
        <f t="shared" ref="AE123" si="1249">IF(M123&gt;0,(AE120*M120+AE121*M121+AE122*M122)/M123,0)</f>
        <v>2.5933945620289726E-3</v>
      </c>
      <c r="AF123" s="53">
        <f t="shared" ref="AF123" si="1250">IF(K123&gt;0,(K120*AF120+K121*AF121+K122*AF122)/K123,0)</f>
        <v>2.5325088930738647E-4</v>
      </c>
      <c r="AG123" s="50">
        <f t="shared" ref="AG123" si="1251">SUM(AG120:AG122)</f>
        <v>11.22321</v>
      </c>
      <c r="AH123" s="51">
        <f t="shared" ref="AH123" si="1252">IF(K123&gt;0,(K120*AH120+K121*AH121+K122*AH122)/K123,0)</f>
        <v>0.20635540698890983</v>
      </c>
      <c r="AI123" s="56">
        <f t="shared" ref="AI123" si="1253">SUM(AI120:AI122)</f>
        <v>98.689879800000014</v>
      </c>
      <c r="AJ123" s="51">
        <f t="shared" ref="AJ123" si="1254">IF(AND(AD123&gt;0),((AD120*AJ120+AD121*AJ121+AD122*AJ122)/AD123),0)</f>
        <v>0.900186722818761</v>
      </c>
      <c r="AK123" s="55">
        <f t="shared" si="668"/>
        <v>0.90340299268299595</v>
      </c>
      <c r="AL123" s="49">
        <f t="shared" ref="AL123" si="1255">SUM(AL120:AL122)</f>
        <v>523</v>
      </c>
      <c r="AM123" s="20">
        <f t="shared" ref="AM123" si="1256">IF(AL123&gt;0,(AM120*AL120+AM121*AL121+AM122*AL122)/AL123,0)</f>
        <v>8.5338432122370939E-2</v>
      </c>
      <c r="AN123" s="51">
        <f>IF(K123&gt;0,(AN120*K120+AN121*K121+AN122*K122)/K123,0)</f>
        <v>0.21680446536932413</v>
      </c>
      <c r="AO123" s="107">
        <f>IF(L123&gt;0,(AO120*K120+AO121*K121+AO122*K122)/K123,0)</f>
        <v>0.21765406151914629</v>
      </c>
      <c r="AP123" s="56">
        <f t="shared" ref="AP123:AQ123" si="1257">SUM(AP120:AP122)</f>
        <v>103.7108502</v>
      </c>
      <c r="AQ123" s="108">
        <f t="shared" si="1257"/>
        <v>104.1193638</v>
      </c>
      <c r="AR123" s="54"/>
      <c r="AS123" s="54">
        <f t="shared" ref="AS123" si="1258">SUM(AS120:AS122)</f>
        <v>280.32</v>
      </c>
      <c r="AT123" s="83"/>
      <c r="AU123" s="84">
        <f>AT122</f>
        <v>870.85999999999945</v>
      </c>
      <c r="AV123" s="49">
        <f t="shared" ref="AV123" si="1259">SUM(AV120:AV122)</f>
        <v>0</v>
      </c>
      <c r="AW123" s="57"/>
      <c r="AX123" s="56"/>
      <c r="AY123" s="56"/>
      <c r="AZ123" s="56"/>
      <c r="BA123" s="56"/>
      <c r="BB123" s="21"/>
    </row>
    <row r="124" spans="1:54">
      <c r="A124" s="146">
        <v>31</v>
      </c>
      <c r="B124" s="22">
        <v>1</v>
      </c>
      <c r="C124" s="10" t="s">
        <v>53</v>
      </c>
      <c r="D124" s="11">
        <v>11300</v>
      </c>
      <c r="E124" s="11">
        <v>1</v>
      </c>
      <c r="F124" s="11">
        <v>17154</v>
      </c>
      <c r="G124" s="12">
        <v>1.1000000000000001</v>
      </c>
      <c r="H124" s="12">
        <v>6.4</v>
      </c>
      <c r="I124" s="11">
        <v>17210</v>
      </c>
      <c r="J124" s="12">
        <v>3.7</v>
      </c>
      <c r="K124" s="11">
        <v>16465</v>
      </c>
      <c r="L124" s="13">
        <v>7.1999999999999995E-2</v>
      </c>
      <c r="M124" s="23">
        <f>ROUND(K124*(1-L124),0)</f>
        <v>15280</v>
      </c>
      <c r="N124" s="14">
        <v>0.84499999999999997</v>
      </c>
      <c r="O124" s="24">
        <f t="shared" ref="O124:O126" si="1260">M124*N124</f>
        <v>12911.6</v>
      </c>
      <c r="P124" s="13">
        <v>9.7000000000000003E-2</v>
      </c>
      <c r="Q124" s="24">
        <f t="shared" ref="Q124:Q126" si="1261">M124*P124</f>
        <v>1482.16</v>
      </c>
      <c r="R124" s="15">
        <v>5.8000000000000003E-2</v>
      </c>
      <c r="S124" s="112">
        <v>0.2717</v>
      </c>
      <c r="T124" s="24">
        <f t="shared" ref="T124:T126" si="1262">M124*R124</f>
        <v>886.24</v>
      </c>
      <c r="U124" s="25">
        <v>0.23100000000000001</v>
      </c>
      <c r="V124" s="24">
        <f t="shared" ref="V124:V126" si="1263">M124*U124</f>
        <v>3529.6800000000003</v>
      </c>
      <c r="W124" s="15">
        <v>0.48899999999999999</v>
      </c>
      <c r="X124" s="24">
        <f t="shared" ref="X124:X126" si="1264">M124*W124</f>
        <v>7471.92</v>
      </c>
      <c r="Y124" s="15">
        <v>0.39</v>
      </c>
      <c r="Z124" s="24">
        <f t="shared" ref="Z124:Z126" si="1265">Y124*M124</f>
        <v>5959.2</v>
      </c>
      <c r="AA124" s="116">
        <v>2.4199999999999998E-3</v>
      </c>
      <c r="AB124" s="18">
        <f t="shared" ref="AB124" si="1266">M124*AA124</f>
        <v>36.977599999999995</v>
      </c>
      <c r="AC124" s="16">
        <v>2.48E-3</v>
      </c>
      <c r="AD124" s="17">
        <f t="shared" ref="AD124:AD126" si="1267">M124*AC124</f>
        <v>37.894399999999997</v>
      </c>
      <c r="AE124" s="26">
        <f>IF(M124&gt;0,(AG124+AP124)/M124,0)</f>
        <v>2.6215743455497383E-3</v>
      </c>
      <c r="AF124" s="16">
        <v>2.5000000000000001E-4</v>
      </c>
      <c r="AG124" s="23">
        <f t="shared" ref="AG124:AG126" si="1268">AF124*M124</f>
        <v>3.8200000000000003</v>
      </c>
      <c r="AH124" s="92">
        <v>0.20469999999999999</v>
      </c>
      <c r="AI124" s="29">
        <f t="shared" ref="AI124:AI126" si="1269">AL124*(1-AM124)*AH124</f>
        <v>33.902414</v>
      </c>
      <c r="AJ124" s="27">
        <f t="shared" ref="AJ124:AJ126" si="1270">IF(AND(AH124&gt;0,AF124&gt;0,AC124&gt;0),((AC124-AF124)*AH124)/((AH124-AF124)*AC124),0)</f>
        <v>0.90029307583682427</v>
      </c>
      <c r="AK124" s="58">
        <f t="shared" si="668"/>
        <v>0.90567227306818943</v>
      </c>
      <c r="AL124" s="11">
        <v>182</v>
      </c>
      <c r="AM124" s="13">
        <v>0.09</v>
      </c>
      <c r="AN124" s="14">
        <v>0.21879999999999999</v>
      </c>
      <c r="AO124" s="101">
        <v>0.21690000000000001</v>
      </c>
      <c r="AP124" s="29">
        <f>AL124*(1-AM124)*AN124</f>
        <v>36.237656000000001</v>
      </c>
      <c r="AQ124" s="102">
        <f t="shared" ref="AQ124" si="1271">AL124*(1-AM124)*AO124</f>
        <v>35.922978000000001</v>
      </c>
      <c r="AR124" s="18">
        <v>1.6</v>
      </c>
      <c r="AS124" s="18"/>
      <c r="AT124" s="79">
        <f>AT122+AL124-AS124+AU124</f>
        <v>1066.4599999999994</v>
      </c>
      <c r="AU124" s="80">
        <v>13.6</v>
      </c>
      <c r="AV124" s="11"/>
      <c r="AW124" s="30"/>
      <c r="AX124" s="19"/>
      <c r="AY124" s="19"/>
      <c r="AZ124" s="19"/>
      <c r="BA124" s="19"/>
    </row>
    <row r="125" spans="1:54">
      <c r="A125" s="147"/>
      <c r="B125" s="32">
        <v>2</v>
      </c>
      <c r="C125" s="10" t="s">
        <v>54</v>
      </c>
      <c r="D125" s="33">
        <v>19700</v>
      </c>
      <c r="E125" s="33">
        <v>3</v>
      </c>
      <c r="F125" s="33">
        <v>16953</v>
      </c>
      <c r="G125" s="34">
        <v>0.8</v>
      </c>
      <c r="H125" s="34">
        <v>6.7</v>
      </c>
      <c r="I125" s="33">
        <v>16668</v>
      </c>
      <c r="J125" s="34">
        <v>3.8</v>
      </c>
      <c r="K125" s="33">
        <v>16438</v>
      </c>
      <c r="L125" s="35">
        <v>7.1999999999999995E-2</v>
      </c>
      <c r="M125" s="36">
        <f>ROUND(K125*(1-L125),0)</f>
        <v>15254</v>
      </c>
      <c r="N125" s="37">
        <v>0.66600000000000004</v>
      </c>
      <c r="O125" s="24">
        <f t="shared" si="1260"/>
        <v>10159.164000000001</v>
      </c>
      <c r="P125" s="35">
        <v>0.25800000000000001</v>
      </c>
      <c r="Q125" s="24">
        <f t="shared" si="1261"/>
        <v>3935.5320000000002</v>
      </c>
      <c r="R125" s="38">
        <v>7.5999999999999998E-2</v>
      </c>
      <c r="S125" s="105"/>
      <c r="T125" s="24">
        <f t="shared" si="1262"/>
        <v>1159.3039999999999</v>
      </c>
      <c r="U125" s="27">
        <v>0.22800000000000001</v>
      </c>
      <c r="V125" s="24">
        <f t="shared" si="1263"/>
        <v>3477.9120000000003</v>
      </c>
      <c r="W125" s="38">
        <v>0.48399999999999999</v>
      </c>
      <c r="X125" s="24">
        <f t="shared" si="1264"/>
        <v>7382.9359999999997</v>
      </c>
      <c r="Y125" s="38">
        <v>0.39</v>
      </c>
      <c r="Z125" s="24">
        <f t="shared" si="1265"/>
        <v>5949.06</v>
      </c>
      <c r="AA125" s="117">
        <v>2.49E-3</v>
      </c>
      <c r="AB125" s="18">
        <f t="shared" si="750"/>
        <v>37.982460000000003</v>
      </c>
      <c r="AC125" s="39">
        <v>2.7200000000000002E-3</v>
      </c>
      <c r="AD125" s="17">
        <f t="shared" si="1267"/>
        <v>41.490880000000004</v>
      </c>
      <c r="AE125" s="26">
        <f>IF(M125&gt;0,(AG125+AP125)/M125,0)</f>
        <v>2.6728922774354267E-3</v>
      </c>
      <c r="AF125" s="39">
        <v>2.5000000000000001E-4</v>
      </c>
      <c r="AG125" s="36">
        <f t="shared" si="1268"/>
        <v>3.8134999999999999</v>
      </c>
      <c r="AH125" s="27">
        <v>0.2112</v>
      </c>
      <c r="AI125" s="40">
        <f t="shared" si="1269"/>
        <v>36.204537600000002</v>
      </c>
      <c r="AJ125" s="27">
        <f t="shared" si="1270"/>
        <v>0.90916442424326926</v>
      </c>
      <c r="AK125" s="28">
        <f t="shared" si="668"/>
        <v>0.90752067924305968</v>
      </c>
      <c r="AL125" s="33">
        <v>189</v>
      </c>
      <c r="AM125" s="35">
        <v>9.2999999999999999E-2</v>
      </c>
      <c r="AN125" s="37">
        <v>0.21560000000000001</v>
      </c>
      <c r="AO125" s="103">
        <v>0.214</v>
      </c>
      <c r="AP125" s="40">
        <f>AL125*(1-AM125)*AN125</f>
        <v>36.958798800000004</v>
      </c>
      <c r="AQ125" s="104">
        <f t="shared" si="712"/>
        <v>36.684522000000001</v>
      </c>
      <c r="AR125" s="41">
        <v>1.55</v>
      </c>
      <c r="AS125" s="41"/>
      <c r="AT125" s="129">
        <f>AT124+AL125-AS125</f>
        <v>1255.4599999999994</v>
      </c>
      <c r="AU125" s="82"/>
      <c r="AV125" s="42"/>
      <c r="AW125" s="43"/>
      <c r="AX125" s="44"/>
      <c r="AY125" s="44"/>
      <c r="AZ125" s="44"/>
      <c r="BA125" s="44"/>
    </row>
    <row r="126" spans="1:54">
      <c r="A126" s="147"/>
      <c r="B126" s="32">
        <v>3</v>
      </c>
      <c r="C126" s="10" t="s">
        <v>55</v>
      </c>
      <c r="D126" s="42">
        <v>6700</v>
      </c>
      <c r="E126" s="42">
        <v>10</v>
      </c>
      <c r="F126" s="42">
        <v>17833</v>
      </c>
      <c r="G126" s="36">
        <v>0.7</v>
      </c>
      <c r="H126" s="36">
        <v>6.6</v>
      </c>
      <c r="I126" s="42">
        <v>18300</v>
      </c>
      <c r="J126" s="36">
        <v>2.7</v>
      </c>
      <c r="K126" s="42">
        <v>16409</v>
      </c>
      <c r="L126" s="38">
        <v>7.0999999999999994E-2</v>
      </c>
      <c r="M126" s="36">
        <f>ROUND(K126*(1-L126),0)</f>
        <v>15244</v>
      </c>
      <c r="N126" s="27">
        <v>0.753</v>
      </c>
      <c r="O126" s="24">
        <f t="shared" si="1260"/>
        <v>11478.732</v>
      </c>
      <c r="P126" s="38">
        <v>0.20200000000000001</v>
      </c>
      <c r="Q126" s="24">
        <f t="shared" si="1261"/>
        <v>3079.288</v>
      </c>
      <c r="R126" s="38">
        <v>4.4999999999999998E-2</v>
      </c>
      <c r="S126" s="105"/>
      <c r="T126" s="24">
        <f t="shared" si="1262"/>
        <v>685.98</v>
      </c>
      <c r="U126" s="27">
        <v>0.23200000000000001</v>
      </c>
      <c r="V126" s="24">
        <f t="shared" si="1263"/>
        <v>3536.6080000000002</v>
      </c>
      <c r="W126" s="38">
        <v>0.48699999999999999</v>
      </c>
      <c r="X126" s="24">
        <f t="shared" si="1264"/>
        <v>7423.8279999999995</v>
      </c>
      <c r="Y126" s="38">
        <v>0.4</v>
      </c>
      <c r="Z126" s="24">
        <f t="shared" si="1265"/>
        <v>6097.6</v>
      </c>
      <c r="AA126" s="118">
        <v>2.49E-3</v>
      </c>
      <c r="AB126" s="121">
        <f t="shared" si="750"/>
        <v>37.957560000000001</v>
      </c>
      <c r="AC126" s="45">
        <v>2.81E-3</v>
      </c>
      <c r="AD126" s="17">
        <f t="shared" si="1267"/>
        <v>42.835639999999998</v>
      </c>
      <c r="AE126" s="26">
        <f>IF(M126&gt;0,(AG126+AP126)/M126,0)</f>
        <v>2.8516434662818157E-3</v>
      </c>
      <c r="AF126" s="45">
        <v>2.5999999999999998E-4</v>
      </c>
      <c r="AG126" s="36">
        <f t="shared" si="1268"/>
        <v>3.9634399999999999</v>
      </c>
      <c r="AH126" s="27">
        <v>0.21</v>
      </c>
      <c r="AI126" s="40">
        <f t="shared" si="1269"/>
        <v>36.500099999999996</v>
      </c>
      <c r="AJ126" s="27">
        <f t="shared" si="1270"/>
        <v>0.90859824076377238</v>
      </c>
      <c r="AK126" s="28">
        <f t="shared" si="668"/>
        <v>0.90986526758852648</v>
      </c>
      <c r="AL126" s="42">
        <v>191</v>
      </c>
      <c r="AM126" s="38">
        <v>0.09</v>
      </c>
      <c r="AN126" s="27">
        <v>0.2273</v>
      </c>
      <c r="AO126" s="105">
        <v>0.22270000000000001</v>
      </c>
      <c r="AP126" s="40">
        <f>AL126*(1-AM126)*AN126</f>
        <v>39.507013000000001</v>
      </c>
      <c r="AQ126" s="106">
        <f t="shared" si="712"/>
        <v>38.707487</v>
      </c>
      <c r="AR126" s="17">
        <v>1.58</v>
      </c>
      <c r="AS126" s="17"/>
      <c r="AT126" s="129">
        <f>AT125+AL126-AS126</f>
        <v>1446.4599999999994</v>
      </c>
      <c r="AU126" s="82"/>
      <c r="AV126" s="42"/>
      <c r="AW126" s="46"/>
      <c r="AX126" s="40"/>
      <c r="AY126" s="40"/>
      <c r="AZ126" s="40"/>
      <c r="BA126" s="40"/>
    </row>
    <row r="127" spans="1:54">
      <c r="A127" s="148"/>
      <c r="B127" s="47" t="s">
        <v>56</v>
      </c>
      <c r="C127" s="48"/>
      <c r="D127" s="49">
        <f>SUM(D124:D126)</f>
        <v>37700</v>
      </c>
      <c r="E127" s="137"/>
      <c r="F127" s="49">
        <f>SUM(F124:F126)</f>
        <v>51940</v>
      </c>
      <c r="G127" s="138"/>
      <c r="H127" s="138"/>
      <c r="I127" s="49">
        <f>SUM(I124:I126)</f>
        <v>52178</v>
      </c>
      <c r="J127" s="50"/>
      <c r="K127" s="49">
        <f>SUM(K124:K126)</f>
        <v>49312</v>
      </c>
      <c r="L127" s="20">
        <f>IF(K127&gt;0,(K124*L124+K125*L125+K126*L126)/K127,0)</f>
        <v>7.1667241239454893E-2</v>
      </c>
      <c r="M127" s="50">
        <f>M124+M125+M126</f>
        <v>45778</v>
      </c>
      <c r="N127" s="51">
        <f>IF(M127&gt;0,O127/M127,0)</f>
        <v>0.75471833631875573</v>
      </c>
      <c r="O127" s="52">
        <f t="shared" ref="O127" si="1272">O124+O125+O126</f>
        <v>34549.495999999999</v>
      </c>
      <c r="P127" s="20">
        <f>IF(M127&gt;0,Q127/M127,0)</f>
        <v>0.18561273974398182</v>
      </c>
      <c r="Q127" s="52">
        <f t="shared" ref="Q127" si="1273">Q124+Q125+Q126</f>
        <v>8496.98</v>
      </c>
      <c r="R127" s="20">
        <f>IF(M127&gt;0,T127/M127,0)</f>
        <v>5.966892393726244E-2</v>
      </c>
      <c r="S127" s="107"/>
      <c r="T127" s="52">
        <f t="shared" ref="T127" si="1274">T124+T125+T126</f>
        <v>2731.5239999999999</v>
      </c>
      <c r="U127" s="20">
        <f>IF(M127&gt;0,V127/M127,0)</f>
        <v>0.23033334789636944</v>
      </c>
      <c r="V127" s="52">
        <f t="shared" ref="V127" si="1275">V124+V125+V126</f>
        <v>10544.2</v>
      </c>
      <c r="W127" s="20">
        <f>IF(M127&gt;0,X127/M127,0)</f>
        <v>0.48666791908777146</v>
      </c>
      <c r="X127" s="52">
        <f t="shared" ref="X127" si="1276">X124+X125+X126</f>
        <v>22278.684000000001</v>
      </c>
      <c r="Y127" s="20">
        <f>IF(M127&gt;0,Z127/M127,0)</f>
        <v>0.39332998383502993</v>
      </c>
      <c r="Z127" s="52">
        <f t="shared" ref="Z127" si="1277">Z124+Z125+Z126</f>
        <v>18005.86</v>
      </c>
      <c r="AA127" s="119">
        <f>IF(M127&gt;0,AB127/M127,0)</f>
        <v>2.4666350648783258E-3</v>
      </c>
      <c r="AB127" s="54">
        <f t="shared" ref="AB127" si="1278">SUM(AB124:AB126)</f>
        <v>112.91762</v>
      </c>
      <c r="AC127" s="53">
        <f>IF(M127&gt;0,AD127/M127,0)</f>
        <v>2.6698615055266721E-3</v>
      </c>
      <c r="AD127" s="54">
        <f t="shared" ref="AD127" si="1279">SUM(AD124:AD126)</f>
        <v>122.22091999999999</v>
      </c>
      <c r="AE127" s="53">
        <f t="shared" ref="AE127" si="1280">IF(M127&gt;0,(AE124*M124+AE125*M125+AE126*M126)/M127,0)</f>
        <v>2.7152869893835464E-3</v>
      </c>
      <c r="AF127" s="53">
        <f>IF(K127&gt;0,(K124*AF124+K125*AF125+K126*AF126)/K127,0)</f>
        <v>2.5332758760545097E-4</v>
      </c>
      <c r="AG127" s="50">
        <f t="shared" ref="AG127" si="1281">SUM(AG124:AG126)</f>
        <v>11.59694</v>
      </c>
      <c r="AH127" s="51">
        <f>IF(K127&gt;0,(K124*AH124+K125*AH125+K126*AH126)/K127,0)</f>
        <v>0.20863037597339387</v>
      </c>
      <c r="AI127" s="56">
        <f>SUM(AI124:AI126)</f>
        <v>106.60705160000001</v>
      </c>
      <c r="AJ127" s="51">
        <f>IF(AND(AD127&gt;0),((AD124*AJ124+AD125*AJ125+AD126*AJ126)/AD127),0)</f>
        <v>0.90621544254066988</v>
      </c>
      <c r="AK127" s="55">
        <f t="shared" si="668"/>
        <v>0.90774579705130043</v>
      </c>
      <c r="AL127" s="49">
        <f>SUM(AL124:AL126)</f>
        <v>562</v>
      </c>
      <c r="AM127" s="20">
        <f>IF(AL127&gt;0,(AM124*AL124+AM125*AL125+AM126*AL126)/AL127,0)</f>
        <v>9.1008896797153016E-2</v>
      </c>
      <c r="AN127" s="51">
        <f>IF(K127&gt;0,(AN124*K124+AN125*K125+AN126*K126)/K127,0)</f>
        <v>0.22056173953601557</v>
      </c>
      <c r="AO127" s="107">
        <f>IF(L127&gt;0,(AO124*K124+AO125*K125+AO126*K126)/K127,0)</f>
        <v>0.21786329493835171</v>
      </c>
      <c r="AP127" s="56">
        <f>SUM(AP124:AP126)</f>
        <v>112.7034678</v>
      </c>
      <c r="AQ127" s="108">
        <f t="shared" ref="AQ127" si="1282">SUM(AQ124:AQ126)</f>
        <v>111.314987</v>
      </c>
      <c r="AR127" s="139"/>
      <c r="AS127" s="54">
        <f>SUM(AS124:AS126)</f>
        <v>0</v>
      </c>
      <c r="AT127" s="83"/>
      <c r="AU127" s="84">
        <f>AT126</f>
        <v>1446.4599999999994</v>
      </c>
      <c r="AV127" s="49">
        <f>SUM(AV124:AV126)</f>
        <v>0</v>
      </c>
      <c r="AW127" s="140"/>
      <c r="AX127" s="141"/>
      <c r="AY127" s="141"/>
      <c r="AZ127" s="141"/>
      <c r="BA127" s="141"/>
      <c r="BB127" s="21"/>
    </row>
  </sheetData>
  <protectedRanges>
    <protectedRange sqref="Q1:Q3 V1:V3 X1:X3 Z1:Z3 O1:O3 T1:T3 AG1:AG3 AD1:AE3 AD128:AE1048576 O128:O1048576 Q128:Q1048576 T128:T1048576 V128:V1048576 X128:X1048576 Z128:Z1048576 AG128:AG1048576 AP1:AQ19 M1:M19 AK1:AK19 AP128:AQ1048576 M128:M1048576 AK128:AK1048576" name="Range1_1_1_1_1_1_1_1_1"/>
    <protectedRange sqref="AH3:AJ3 AH7:AJ7 AI1:AJ2 AH4:AI6 AH16:AI18 AH8:AI10 AH11:AJ11 AH15:AJ15 AH19:AJ19 AH12:AI14 AH128:AJ1048576" name="Range1_1_1_1_1_1_1"/>
    <protectedRange sqref="AJ4:AJ6 AJ8:AJ10 AJ12:AJ14 AJ16:AJ18" name="Range1_1_1_1"/>
    <protectedRange sqref="AD7:AE7 AD4:AD6 AD11:AE11 AD8:AD10 AD15:AE15 AD12:AD14 AD19:AE19 AD16:AD18" name="Range1_1_1_1_1_2_2_1"/>
    <protectedRange sqref="O4:O19" name="Range1_1_1_1_1_5_1_1"/>
    <protectedRange sqref="Q4:Q19" name="Range1_1_1_1_1_7_1_1"/>
    <protectedRange sqref="T4:T19" name="Range1_1_1_1_1_8_1_1"/>
    <protectedRange sqref="V4:V19" name="Range1_1_1_1_1_10_1_1"/>
    <protectedRange sqref="X4:X19" name="Range1_1_1_1_1_12_1_1"/>
    <protectedRange sqref="Z4:Z19" name="Range1_1_1_1_1_16_1_1"/>
    <protectedRange sqref="AG4:AG19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A3 AA128:AA1048576" name="Range1_1_1_1_1_1_1_1_1_1_1"/>
    <protectedRange sqref="AB3 AB128:AB1048576" name="Range1_1_1_1_1_1_1_1_1_1_1_1"/>
    <protectedRange sqref="AB4:AB19" name="Range1_1_1_1_1_2_2_1_1_1"/>
    <protectedRange sqref="AB1" name="Range1_1_1_1_1_1_1_1_1_1_1_1_1"/>
    <protectedRange sqref="AK20:AK127 M20:M127 AP20:AQ127" name="Range1_1_1_1_1_1_1_1_1_1"/>
    <protectedRange sqref="AJ127 AH23:AJ23 AH27:AJ27 AH31:AJ31 AH35:AJ35 AH39:AJ39 AH43:AJ43 AH47:AJ47 AH51:AJ51 AH55:AJ55 AH59:AJ59 AH63:AJ63 AH67:AJ67 AH71:AJ71 AH75:AJ75 AH79:AJ79 AH83:AJ83 AH87:AJ87 AH91:AJ91 AH95:AJ95 AH99:AJ99 AH103:AJ103 AH107:AJ107 AH111:AJ111 AH115:AJ115 AH119:AJ119 AH123:AJ123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_1"/>
    <protectedRange sqref="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_1"/>
    <protectedRange sqref="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_1"/>
    <protectedRange sqref="O20:O127" name="Range1_1_1_1_1_5_1_1_1"/>
    <protectedRange sqref="Q20:Q127" name="Range1_1_1_1_1_7_1_1_1"/>
    <protectedRange sqref="T20:T127" name="Range1_1_1_1_1_8_1_1_1"/>
    <protectedRange sqref="V20:V127" name="Range1_1_1_1_1_10_1_1_1"/>
    <protectedRange sqref="X20:X127" name="Range1_1_1_1_1_12_1_1_1"/>
    <protectedRange sqref="Z20:Z127" name="Range1_1_1_1_1_16_1_1_1"/>
    <protectedRange sqref="AG20:AG127" name="Range1_1_1_1_1_18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B20:AB127" name="Range1_1_1_1_1_2_2_1_1_1_1"/>
  </protectedRanges>
  <mergeCells count="36">
    <mergeCell ref="AZ1:BA1"/>
    <mergeCell ref="C1:C2"/>
    <mergeCell ref="A8:A11"/>
    <mergeCell ref="A12:A15"/>
    <mergeCell ref="AX1:AY1"/>
    <mergeCell ref="A4:A7"/>
    <mergeCell ref="A16:A19"/>
    <mergeCell ref="A1:A2"/>
    <mergeCell ref="B1:B2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8759-F2B6-4D20-B60D-069345DD6A20}">
  <dimension ref="A1:BB115"/>
  <sheetViews>
    <sheetView workbookViewId="0">
      <selection sqref="A1:XFD3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57</v>
      </c>
      <c r="D4" s="11">
        <v>20300</v>
      </c>
      <c r="E4" s="11">
        <v>3</v>
      </c>
      <c r="F4" s="11">
        <v>16073</v>
      </c>
      <c r="G4" s="12">
        <v>0.9</v>
      </c>
      <c r="H4" s="12">
        <v>5.4</v>
      </c>
      <c r="I4" s="11">
        <v>15713</v>
      </c>
      <c r="J4" s="12">
        <v>3.6</v>
      </c>
      <c r="K4" s="11">
        <v>16394</v>
      </c>
      <c r="L4" s="13">
        <v>0.08</v>
      </c>
      <c r="M4" s="23">
        <f>ROUND(K4*(1-L4),0)</f>
        <v>15082</v>
      </c>
      <c r="N4" s="14">
        <v>0.69</v>
      </c>
      <c r="O4" s="24">
        <f t="shared" ref="O4:O6" si="0">M4*N4</f>
        <v>10406.58</v>
      </c>
      <c r="P4" s="13">
        <v>0.25800000000000001</v>
      </c>
      <c r="Q4" s="24">
        <f t="shared" ref="Q4:Q6" si="1">M4*P4</f>
        <v>3891.1559999999999</v>
      </c>
      <c r="R4" s="15">
        <v>5.1999999999999998E-2</v>
      </c>
      <c r="S4" s="111"/>
      <c r="T4" s="24">
        <f t="shared" ref="T4:T6" si="2">M4*R4</f>
        <v>784.26400000000001</v>
      </c>
      <c r="U4" s="25">
        <v>0.22500000000000001</v>
      </c>
      <c r="V4" s="24">
        <f t="shared" ref="V4:V6" si="3">M4*U4</f>
        <v>3393.4500000000003</v>
      </c>
      <c r="W4" s="15">
        <v>0.495</v>
      </c>
      <c r="X4" s="24">
        <f>M4*W4</f>
        <v>7465.59</v>
      </c>
      <c r="Y4" s="15">
        <v>0.39</v>
      </c>
      <c r="Z4" s="96">
        <f t="shared" ref="Z4:Z6" si="4">Y4*M4</f>
        <v>5881.9800000000005</v>
      </c>
      <c r="AA4" s="116">
        <v>2.6199999999999999E-3</v>
      </c>
      <c r="AB4" s="18">
        <f>M4*AA4</f>
        <v>39.51484</v>
      </c>
      <c r="AC4" s="16">
        <v>2.7599999999999999E-3</v>
      </c>
      <c r="AD4" s="18">
        <f>M4*AC4</f>
        <v>41.62632</v>
      </c>
      <c r="AE4" s="26">
        <f>IF(M4&gt;0,(AG4+AP4)/M4,0)</f>
        <v>2.8628987136984484E-3</v>
      </c>
      <c r="AF4" s="16">
        <v>2.5000000000000001E-4</v>
      </c>
      <c r="AG4" s="23">
        <f t="shared" ref="AG4:AG6" si="5">AF4*M4</f>
        <v>3.7705000000000002</v>
      </c>
      <c r="AH4" s="92">
        <v>0.2089</v>
      </c>
      <c r="AI4" s="29">
        <f>AL4*(1-AM4)*AH4</f>
        <v>38.041943400000001</v>
      </c>
      <c r="AJ4" s="27">
        <f>IF(AND(AH4&gt;0,AF4&gt;0,AC4&gt;0),((AC4-AF4)*AH4)/((AH4-AF4)*AC4),0)</f>
        <v>0.91050993793781276</v>
      </c>
      <c r="AK4" s="58">
        <f t="shared" ref="AK4:AK67" si="6">IF(AND(AE4&gt;0,AN4&gt;0,AF4&gt;0),((AN4*(AE4-AF4))/(AE4*(AN4-AF4))),0)</f>
        <v>0.91373152351999543</v>
      </c>
      <c r="AL4" s="11">
        <v>201</v>
      </c>
      <c r="AM4" s="13">
        <v>9.4E-2</v>
      </c>
      <c r="AN4" s="14">
        <v>0.21640000000000001</v>
      </c>
      <c r="AO4" s="101">
        <v>0.21149999999999999</v>
      </c>
      <c r="AP4" s="29">
        <f>AL4*(1-AM4)*AN4</f>
        <v>39.4077384</v>
      </c>
      <c r="AQ4" s="102">
        <f>AL4*(1-AM4)*AO4</f>
        <v>38.515418999999994</v>
      </c>
      <c r="AR4" s="18">
        <v>1.58</v>
      </c>
      <c r="AS4" s="18"/>
      <c r="AT4" s="129">
        <f>AT3+AL4-AS4</f>
        <v>1647.4599999999994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54</v>
      </c>
      <c r="D5" s="33">
        <v>19050</v>
      </c>
      <c r="E5" s="33">
        <v>5</v>
      </c>
      <c r="F5" s="33">
        <v>17450</v>
      </c>
      <c r="G5" s="34">
        <v>0.8</v>
      </c>
      <c r="H5" s="34">
        <v>6.7</v>
      </c>
      <c r="I5" s="33">
        <v>17325</v>
      </c>
      <c r="J5" s="34">
        <v>2.7</v>
      </c>
      <c r="K5" s="33">
        <v>16328</v>
      </c>
      <c r="L5" s="35">
        <v>7.5999999999999998E-2</v>
      </c>
      <c r="M5" s="36">
        <f>ROUND(K5*(1-L5),0)</f>
        <v>15087</v>
      </c>
      <c r="N5" s="37">
        <v>0.67</v>
      </c>
      <c r="O5" s="24">
        <f t="shared" si="0"/>
        <v>10108.290000000001</v>
      </c>
      <c r="P5" s="35">
        <v>0.24399999999999999</v>
      </c>
      <c r="Q5" s="24">
        <f t="shared" si="1"/>
        <v>3681.2280000000001</v>
      </c>
      <c r="R5" s="38">
        <v>8.5999999999999993E-2</v>
      </c>
      <c r="S5" s="105"/>
      <c r="T5" s="24">
        <f t="shared" si="2"/>
        <v>1297.482</v>
      </c>
      <c r="U5" s="27">
        <v>0.23300000000000001</v>
      </c>
      <c r="V5" s="24">
        <f t="shared" si="3"/>
        <v>3515.2710000000002</v>
      </c>
      <c r="W5" s="38">
        <v>0.48899999999999999</v>
      </c>
      <c r="X5" s="24">
        <f>M5*W5</f>
        <v>7377.5429999999997</v>
      </c>
      <c r="Y5" s="38">
        <v>0.39</v>
      </c>
      <c r="Z5" s="24">
        <f t="shared" si="4"/>
        <v>5883.93</v>
      </c>
      <c r="AA5" s="117">
        <v>2.6099999999999999E-3</v>
      </c>
      <c r="AB5" s="18">
        <f t="shared" ref="AB5:AB6" si="7">M5*AA5</f>
        <v>39.377069999999996</v>
      </c>
      <c r="AC5" s="39">
        <v>2.7200000000000002E-3</v>
      </c>
      <c r="AD5" s="17">
        <f>M5*AC5</f>
        <v>41.036640000000006</v>
      </c>
      <c r="AE5" s="26">
        <f>IF(M5&gt;0,(AG5+AP5)/M5,0)</f>
        <v>2.6999551401869163E-3</v>
      </c>
      <c r="AF5" s="39">
        <v>2.5999999999999998E-4</v>
      </c>
      <c r="AG5" s="36">
        <f t="shared" si="5"/>
        <v>3.9226199999999998</v>
      </c>
      <c r="AH5" s="27">
        <v>0.20680000000000001</v>
      </c>
      <c r="AI5" s="40">
        <f>AL5*(1-AM5)*AH5</f>
        <v>35.457100800000006</v>
      </c>
      <c r="AJ5" s="27">
        <f>IF(AND(AH5&gt;0,AF5&gt;0,AC5&gt;0),((AC5-AF5)*AH5)/((AH5-AF5)*AC5),0)</f>
        <v>0.90555027084911621</v>
      </c>
      <c r="AK5" s="28">
        <f t="shared" si="6"/>
        <v>0.90479780671838095</v>
      </c>
      <c r="AL5" s="33">
        <v>188</v>
      </c>
      <c r="AM5" s="35">
        <v>8.7999999999999995E-2</v>
      </c>
      <c r="AN5" s="37">
        <v>0.2147</v>
      </c>
      <c r="AO5" s="103">
        <v>0.22359999999999999</v>
      </c>
      <c r="AP5" s="40">
        <f>AL5*(1-AM5)*AN5</f>
        <v>36.811603200000008</v>
      </c>
      <c r="AQ5" s="104">
        <f t="shared" ref="AQ5:AQ6" si="8">AL5*(1-AM5)*AO5</f>
        <v>38.337561600000001</v>
      </c>
      <c r="AR5" s="41">
        <v>1.55</v>
      </c>
      <c r="AS5" s="41"/>
      <c r="AT5" s="88">
        <f>AT4+AL5-AS5</f>
        <v>1835.4599999999994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55</v>
      </c>
      <c r="D6" s="42">
        <v>21400</v>
      </c>
      <c r="E6" s="42">
        <v>3</v>
      </c>
      <c r="F6" s="42">
        <v>18375</v>
      </c>
      <c r="G6" s="36">
        <v>1.5</v>
      </c>
      <c r="H6" s="36">
        <v>6.9</v>
      </c>
      <c r="I6" s="42">
        <v>17912</v>
      </c>
      <c r="J6" s="36">
        <v>1.8</v>
      </c>
      <c r="K6" s="42">
        <v>16238</v>
      </c>
      <c r="L6" s="38">
        <v>7.4999999999999997E-2</v>
      </c>
      <c r="M6" s="36">
        <f>ROUND(K6*(1-L6),0)</f>
        <v>15020</v>
      </c>
      <c r="N6" s="27">
        <v>0.60099999999999998</v>
      </c>
      <c r="O6" s="24">
        <f t="shared" si="0"/>
        <v>9027.02</v>
      </c>
      <c r="P6" s="38">
        <v>0.35299999999999998</v>
      </c>
      <c r="Q6" s="24">
        <f t="shared" si="1"/>
        <v>5302.0599999999995</v>
      </c>
      <c r="R6" s="38">
        <v>4.5999999999999999E-2</v>
      </c>
      <c r="S6" s="105"/>
      <c r="T6" s="24">
        <f t="shared" si="2"/>
        <v>690.92</v>
      </c>
      <c r="U6" s="27">
        <v>0.23899999999999999</v>
      </c>
      <c r="V6" s="24">
        <f t="shared" si="3"/>
        <v>3589.7799999999997</v>
      </c>
      <c r="W6" s="38">
        <v>0.48299999999999998</v>
      </c>
      <c r="X6" s="24">
        <f>M6*W6</f>
        <v>7254.66</v>
      </c>
      <c r="Y6" s="38">
        <v>0.4</v>
      </c>
      <c r="Z6" s="24">
        <f t="shared" si="4"/>
        <v>6008</v>
      </c>
      <c r="AA6" s="118">
        <v>2.7100000000000002E-3</v>
      </c>
      <c r="AB6" s="121">
        <f t="shared" si="7"/>
        <v>40.7042</v>
      </c>
      <c r="AC6" s="45">
        <v>2.7200000000000002E-3</v>
      </c>
      <c r="AD6" s="17">
        <f>M6*AC6</f>
        <v>40.854400000000005</v>
      </c>
      <c r="AE6" s="26">
        <f>IF(M6&gt;0,(AG6+AP6)/M6,0)</f>
        <v>2.5577257390146471E-3</v>
      </c>
      <c r="AF6" s="45">
        <v>2.7E-4</v>
      </c>
      <c r="AG6" s="36">
        <f t="shared" si="5"/>
        <v>4.0553999999999997</v>
      </c>
      <c r="AH6" s="27">
        <v>0.20710000000000001</v>
      </c>
      <c r="AI6" s="40">
        <f>AL6*(1-AM6)*AH6</f>
        <v>32.854551100000002</v>
      </c>
      <c r="AJ6" s="27">
        <f>IF(AND(AH6&gt;0,AF6&gt;0,AC6&gt;0),((AC6-AF6)*AH6)/((AH6-AF6)*AC6),0)</f>
        <v>0.90191113190429206</v>
      </c>
      <c r="AK6" s="28">
        <f t="shared" si="6"/>
        <v>0.89555381133816481</v>
      </c>
      <c r="AL6" s="42">
        <v>173</v>
      </c>
      <c r="AM6" s="38">
        <v>8.3000000000000004E-2</v>
      </c>
      <c r="AN6" s="27">
        <v>0.21659999999999999</v>
      </c>
      <c r="AO6" s="105">
        <v>0.22289999999999999</v>
      </c>
      <c r="AP6" s="40">
        <f>AL6*(1-AM6)*AN6</f>
        <v>34.361640600000001</v>
      </c>
      <c r="AQ6" s="106">
        <f t="shared" si="8"/>
        <v>35.361078900000003</v>
      </c>
      <c r="AR6" s="17">
        <v>1.55</v>
      </c>
      <c r="AS6" s="17"/>
      <c r="AT6" s="88">
        <f>AT5+AL6-AS6</f>
        <v>2008.4599999999994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60750</v>
      </c>
      <c r="E7" s="49"/>
      <c r="F7" s="49">
        <f>SUM(F4:F6)</f>
        <v>51898</v>
      </c>
      <c r="G7" s="50"/>
      <c r="H7" s="50"/>
      <c r="I7" s="49">
        <f>SUM(I4:I6)</f>
        <v>50950</v>
      </c>
      <c r="J7" s="50"/>
      <c r="K7" s="49">
        <f>SUM(K4:K6)</f>
        <v>48960</v>
      </c>
      <c r="L7" s="20">
        <f>IF(K7&gt;0,(K4*L4+K5*L5+K6*L6)/K7,0)</f>
        <v>7.7007720588235296E-2</v>
      </c>
      <c r="M7" s="50">
        <f>M4+M5+M6</f>
        <v>45189</v>
      </c>
      <c r="N7" s="51">
        <f>IF(M7&gt;0,O7/M7,0)</f>
        <v>0.65374073336431437</v>
      </c>
      <c r="O7" s="52">
        <f>O4+O5+O6</f>
        <v>29541.890000000003</v>
      </c>
      <c r="P7" s="20">
        <f>IF(M7&gt;0,Q7/M7,0)</f>
        <v>0.28490216645643851</v>
      </c>
      <c r="Q7" s="52">
        <f>Q4+Q5+Q6</f>
        <v>12874.444</v>
      </c>
      <c r="R7" s="20">
        <f>IF(M7&gt;0,T7/M7,0)</f>
        <v>6.1357100179247163E-2</v>
      </c>
      <c r="S7" s="107"/>
      <c r="T7" s="52">
        <f>T4+T5+T6</f>
        <v>2772.6660000000002</v>
      </c>
      <c r="U7" s="20">
        <f>IF(M7&gt;0,V7/M7,0)</f>
        <v>0.2323242603288411</v>
      </c>
      <c r="V7" s="52">
        <f>V4+V5+V6</f>
        <v>10498.501</v>
      </c>
      <c r="W7" s="20">
        <f>IF(M7&gt;0,X7/M7,0)</f>
        <v>0.48900823209188071</v>
      </c>
      <c r="X7" s="52">
        <f>X4+X5+X6</f>
        <v>22097.792999999998</v>
      </c>
      <c r="Y7" s="20">
        <f>IF(M7&gt;0,Z7/M7,0)</f>
        <v>0.39332381774325609</v>
      </c>
      <c r="Z7" s="52">
        <f>Z4+Z5+Z6</f>
        <v>17773.91</v>
      </c>
      <c r="AA7" s="119">
        <f>IF(M7&gt;0,AB7/M7,0)</f>
        <v>2.6465757153289519E-3</v>
      </c>
      <c r="AB7" s="54">
        <f t="shared" ref="AB7" si="9">SUM(AB4:AB6)</f>
        <v>119.59611</v>
      </c>
      <c r="AC7" s="53">
        <f>IF(M7&gt;0,AD7/M7,0)</f>
        <v>2.733350151585563E-3</v>
      </c>
      <c r="AD7" s="54">
        <f>SUM(AD4:AD6)</f>
        <v>123.51736</v>
      </c>
      <c r="AE7" s="53">
        <f>IF(M7&gt;0,(AE4*M4+AE5*M5+AE6*M6)/M7,0)</f>
        <v>2.7070637146208148E-3</v>
      </c>
      <c r="AF7" s="53">
        <f>IF(K7&gt;0,(K4*AF4+K5*AF5+K6*AF6)/K7,0)</f>
        <v>2.5996813725490196E-4</v>
      </c>
      <c r="AG7" s="50">
        <f>SUM(AG4:AG6)</f>
        <v>11.748519999999999</v>
      </c>
      <c r="AH7" s="51">
        <f>IF(K7&gt;0,(K4*AH4+K5*AH5+K6*AH6)/K7,0)</f>
        <v>0.20760267156862747</v>
      </c>
      <c r="AI7" s="56">
        <f>SUM(AI4:AI6)</f>
        <v>106.35359530000002</v>
      </c>
      <c r="AJ7" s="51">
        <f>IF(AND(AD7&gt;0),((AD4*AJ4+AD5*AJ5+AD6*AJ6)/AD7),0)</f>
        <v>0.90601804194801383</v>
      </c>
      <c r="AK7" s="55">
        <f t="shared" si="6"/>
        <v>0.90505654004454617</v>
      </c>
      <c r="AL7" s="49">
        <f>SUM(AL4:AL6)</f>
        <v>562</v>
      </c>
      <c r="AM7" s="20">
        <f>IF(AL7&gt;0,(AM4*AL4+AM5*AL5+AM6*AL6)/AL7,0)</f>
        <v>8.8606761565836301E-2</v>
      </c>
      <c r="AN7" s="51">
        <f>IF(K7&gt;0,(AN4*K4+AN5*K5+AN6*K6)/K7,0)</f>
        <v>0.21589938725490196</v>
      </c>
      <c r="AO7" s="107">
        <f>IF(K7&gt;0,(AO4*K4+AO5*K5+AO6*K6)/K7,0)</f>
        <v>0.21931621732026144</v>
      </c>
      <c r="AP7" s="56">
        <f>SUM(AP4:AP6)</f>
        <v>110.58098220000001</v>
      </c>
      <c r="AQ7" s="108">
        <f t="shared" ref="AQ7" si="10">SUM(AQ4:AQ6)</f>
        <v>112.21405949999999</v>
      </c>
      <c r="AR7" s="54"/>
      <c r="AS7" s="54">
        <f>SUM(AS4:AS6)</f>
        <v>0</v>
      </c>
      <c r="AT7" s="83"/>
      <c r="AU7" s="84">
        <f>AT6</f>
        <v>2008.4599999999994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0" t="s">
        <v>57</v>
      </c>
      <c r="D8" s="11">
        <v>6586</v>
      </c>
      <c r="E8" s="11">
        <v>0</v>
      </c>
      <c r="F8" s="11">
        <v>13435</v>
      </c>
      <c r="G8" s="12">
        <v>1.6</v>
      </c>
      <c r="H8" s="12">
        <v>8.1</v>
      </c>
      <c r="I8" s="11">
        <v>13145</v>
      </c>
      <c r="J8" s="12">
        <v>1.3</v>
      </c>
      <c r="K8" s="11">
        <v>12880</v>
      </c>
      <c r="L8" s="13">
        <v>7.5999999999999998E-2</v>
      </c>
      <c r="M8" s="23">
        <f>ROUND(K8*(1-L8),0)</f>
        <v>11901</v>
      </c>
      <c r="N8" s="14">
        <v>0.69599999999999995</v>
      </c>
      <c r="O8" s="24">
        <f t="shared" ref="O8:O10" si="11">M8*N8</f>
        <v>8283.0959999999995</v>
      </c>
      <c r="P8" s="13">
        <v>0.27100000000000002</v>
      </c>
      <c r="Q8" s="24">
        <f t="shared" ref="Q8:Q10" si="12">M8*P8</f>
        <v>3225.1710000000003</v>
      </c>
      <c r="R8" s="15">
        <v>3.3000000000000002E-2</v>
      </c>
      <c r="S8" s="112">
        <v>0.2661</v>
      </c>
      <c r="T8" s="24">
        <f t="shared" ref="T8:T10" si="13">M8*R8</f>
        <v>392.733</v>
      </c>
      <c r="U8" s="25">
        <v>0.22600000000000001</v>
      </c>
      <c r="V8" s="24">
        <f t="shared" ref="V8:V10" si="14">M8*U8</f>
        <v>2689.6260000000002</v>
      </c>
      <c r="W8" s="15">
        <v>0.498</v>
      </c>
      <c r="X8" s="24">
        <f t="shared" ref="X8:X10" si="15">M8*W8</f>
        <v>5926.6980000000003</v>
      </c>
      <c r="Y8" s="15">
        <v>0.46</v>
      </c>
      <c r="Z8" s="24">
        <f t="shared" ref="Z8:Z10" si="16">Y8*M8</f>
        <v>5474.46</v>
      </c>
      <c r="AA8" s="116">
        <v>2.66E-3</v>
      </c>
      <c r="AB8" s="18">
        <f>M8*AA8</f>
        <v>31.656659999999999</v>
      </c>
      <c r="AC8" s="16">
        <v>2.9299999999999999E-3</v>
      </c>
      <c r="AD8" s="17">
        <f t="shared" ref="AD8:AD10" si="17">M8*AC8</f>
        <v>34.869929999999997</v>
      </c>
      <c r="AE8" s="26">
        <f>IF(M8&gt;0,(AG8+AP8)/M8,0)</f>
        <v>3.1243240399966388E-3</v>
      </c>
      <c r="AF8" s="16">
        <v>2.7E-4</v>
      </c>
      <c r="AG8" s="23">
        <f t="shared" ref="AG8:AG10" si="18">AF8*M8</f>
        <v>3.2132700000000001</v>
      </c>
      <c r="AH8" s="92">
        <v>0.2127</v>
      </c>
      <c r="AI8" s="29">
        <f t="shared" ref="AI8:AI10" si="19">AL8*(1-AM8)*AH8</f>
        <v>32.342311200000005</v>
      </c>
      <c r="AJ8" s="27">
        <f t="shared" ref="AJ8:AJ10" si="20">IF(AND(AH8&gt;0,AF8&gt;0,AC8&gt;0),((AC8-AF8)*AH8)/((AH8-AF8)*AC8),0)</f>
        <v>0.90900371276689584</v>
      </c>
      <c r="AK8" s="58">
        <f t="shared" si="6"/>
        <v>0.9146867923946439</v>
      </c>
      <c r="AL8" s="11">
        <v>166</v>
      </c>
      <c r="AM8" s="13">
        <v>8.4000000000000005E-2</v>
      </c>
      <c r="AN8" s="14">
        <v>0.22339999999999999</v>
      </c>
      <c r="AO8" s="101">
        <v>0.22700000000000001</v>
      </c>
      <c r="AP8" s="29">
        <f>AL8*(1-AM8)*AN8</f>
        <v>33.969310399999998</v>
      </c>
      <c r="AQ8" s="102">
        <f t="shared" ref="AQ8:AQ70" si="21">AL8*(1-AM8)*AO8</f>
        <v>34.516712000000005</v>
      </c>
      <c r="AR8" s="18">
        <v>1.6</v>
      </c>
      <c r="AS8" s="18">
        <v>1066.46</v>
      </c>
      <c r="AT8" s="79">
        <f>AT6+AL8-AS8</f>
        <v>1107.9999999999991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0" t="s">
        <v>58</v>
      </c>
      <c r="D9" s="33">
        <v>18664</v>
      </c>
      <c r="E9" s="33">
        <v>6</v>
      </c>
      <c r="F9" s="33">
        <v>17812</v>
      </c>
      <c r="G9" s="34">
        <v>0.8</v>
      </c>
      <c r="H9" s="34">
        <v>6.3</v>
      </c>
      <c r="I9" s="33">
        <v>16659</v>
      </c>
      <c r="J9" s="34">
        <v>1.8</v>
      </c>
      <c r="K9" s="33">
        <v>15679</v>
      </c>
      <c r="L9" s="35">
        <v>6.9000000000000006E-2</v>
      </c>
      <c r="M9" s="36">
        <f>ROUND(K9*(1-L9),0)</f>
        <v>14597</v>
      </c>
      <c r="N9" s="37">
        <v>0.72899999999999998</v>
      </c>
      <c r="O9" s="24">
        <f t="shared" si="11"/>
        <v>10641.213</v>
      </c>
      <c r="P9" s="35">
        <v>0.24199999999999999</v>
      </c>
      <c r="Q9" s="24">
        <f t="shared" si="12"/>
        <v>3532.4739999999997</v>
      </c>
      <c r="R9" s="38">
        <v>2.9000000000000001E-2</v>
      </c>
      <c r="S9" s="105">
        <v>0.27550000000000002</v>
      </c>
      <c r="T9" s="24">
        <f t="shared" si="13"/>
        <v>423.31300000000005</v>
      </c>
      <c r="U9" s="27">
        <v>0.222</v>
      </c>
      <c r="V9" s="24">
        <f t="shared" si="14"/>
        <v>3240.5340000000001</v>
      </c>
      <c r="W9" s="38">
        <v>0.50600000000000001</v>
      </c>
      <c r="X9" s="24">
        <f t="shared" si="15"/>
        <v>7386.0820000000003</v>
      </c>
      <c r="Y9" s="38">
        <v>0.41</v>
      </c>
      <c r="Z9" s="24">
        <f t="shared" si="16"/>
        <v>5984.7699999999995</v>
      </c>
      <c r="AA9" s="117">
        <v>2.5500000000000002E-3</v>
      </c>
      <c r="AB9" s="18">
        <f t="shared" ref="AB9:AB10" si="22">M9*AA9</f>
        <v>37.222350000000006</v>
      </c>
      <c r="AC9" s="39">
        <v>2.7100000000000002E-3</v>
      </c>
      <c r="AD9" s="17">
        <f t="shared" si="17"/>
        <v>39.557870000000001</v>
      </c>
      <c r="AE9" s="26">
        <f>IF(M9&gt;0,(AG9+AP9)/M9,0)</f>
        <v>2.6579807494690687E-3</v>
      </c>
      <c r="AF9" s="39">
        <v>2.5999999999999998E-4</v>
      </c>
      <c r="AG9" s="36">
        <f t="shared" si="18"/>
        <v>3.7952199999999996</v>
      </c>
      <c r="AH9" s="27">
        <v>0.21199999999999999</v>
      </c>
      <c r="AI9" s="40">
        <f t="shared" si="19"/>
        <v>33.9465</v>
      </c>
      <c r="AJ9" s="27">
        <f t="shared" si="20"/>
        <v>0.90516915370343853</v>
      </c>
      <c r="AK9" s="28">
        <f t="shared" si="6"/>
        <v>0.9032557039476562</v>
      </c>
      <c r="AL9" s="33">
        <v>175</v>
      </c>
      <c r="AM9" s="35">
        <v>8.5000000000000006E-2</v>
      </c>
      <c r="AN9" s="37">
        <v>0.21859999999999999</v>
      </c>
      <c r="AO9" s="103">
        <v>0.21299999999999999</v>
      </c>
      <c r="AP9" s="40">
        <f>AL9*(1-AM9)*AN9</f>
        <v>35.003324999999997</v>
      </c>
      <c r="AQ9" s="104">
        <f t="shared" si="21"/>
        <v>34.106625000000001</v>
      </c>
      <c r="AR9" s="41">
        <v>1.5</v>
      </c>
      <c r="AS9" s="41"/>
      <c r="AT9" s="88">
        <f>AT8+AL9-AS9</f>
        <v>1282.9999999999991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55</v>
      </c>
      <c r="D10" s="42">
        <v>21290</v>
      </c>
      <c r="E10" s="42">
        <v>1</v>
      </c>
      <c r="F10" s="42">
        <v>17304</v>
      </c>
      <c r="G10" s="36">
        <v>1.3</v>
      </c>
      <c r="H10" s="36">
        <v>7</v>
      </c>
      <c r="I10" s="42">
        <v>17558</v>
      </c>
      <c r="J10" s="36">
        <v>1.3</v>
      </c>
      <c r="K10" s="42">
        <v>15893</v>
      </c>
      <c r="L10" s="38">
        <v>6.5000000000000002E-2</v>
      </c>
      <c r="M10" s="36">
        <f>ROUND(K10*(1-L10),0)</f>
        <v>14860</v>
      </c>
      <c r="N10" s="27">
        <v>0.68899999999999995</v>
      </c>
      <c r="O10" s="24">
        <f t="shared" si="11"/>
        <v>10238.539999999999</v>
      </c>
      <c r="P10" s="38">
        <v>0.26200000000000001</v>
      </c>
      <c r="Q10" s="24">
        <f t="shared" si="12"/>
        <v>3893.32</v>
      </c>
      <c r="R10" s="38">
        <v>4.9000000000000002E-2</v>
      </c>
      <c r="S10" s="105">
        <v>0.27339999999999998</v>
      </c>
      <c r="T10" s="24">
        <f t="shared" si="13"/>
        <v>728.14</v>
      </c>
      <c r="U10" s="27">
        <v>0.24</v>
      </c>
      <c r="V10" s="24">
        <f t="shared" si="14"/>
        <v>3566.4</v>
      </c>
      <c r="W10" s="38">
        <v>0.49</v>
      </c>
      <c r="X10" s="24">
        <f t="shared" si="15"/>
        <v>7281.4</v>
      </c>
      <c r="Y10" s="38">
        <v>0.4</v>
      </c>
      <c r="Z10" s="24">
        <f t="shared" si="16"/>
        <v>5944</v>
      </c>
      <c r="AA10" s="118">
        <v>2.5400000000000002E-3</v>
      </c>
      <c r="AB10" s="121">
        <f t="shared" si="22"/>
        <v>37.744399999999999</v>
      </c>
      <c r="AC10" s="45">
        <v>2.6900000000000001E-3</v>
      </c>
      <c r="AD10" s="17">
        <f t="shared" si="17"/>
        <v>39.973400000000005</v>
      </c>
      <c r="AE10" s="26">
        <f>IF(M10&gt;0,(AG10+AP10)/M10,0)</f>
        <v>2.8955325168236882E-3</v>
      </c>
      <c r="AF10" s="45">
        <v>2.5000000000000001E-4</v>
      </c>
      <c r="AG10" s="36">
        <f t="shared" si="18"/>
        <v>3.7149999999999999</v>
      </c>
      <c r="AH10" s="27">
        <v>0.20910000000000001</v>
      </c>
      <c r="AI10" s="40">
        <f t="shared" si="19"/>
        <v>36.583299600000004</v>
      </c>
      <c r="AJ10" s="27">
        <f t="shared" si="20"/>
        <v>0.90814898012037959</v>
      </c>
      <c r="AK10" s="28">
        <f t="shared" si="6"/>
        <v>0.91467776134924628</v>
      </c>
      <c r="AL10" s="42">
        <v>191</v>
      </c>
      <c r="AM10" s="38">
        <v>8.4000000000000005E-2</v>
      </c>
      <c r="AN10" s="27">
        <v>0.22470000000000001</v>
      </c>
      <c r="AO10" s="105">
        <v>0.22559999999999999</v>
      </c>
      <c r="AP10" s="40">
        <f>AL10*(1-AM10)*AN10</f>
        <v>39.312613200000008</v>
      </c>
      <c r="AQ10" s="106">
        <f t="shared" si="21"/>
        <v>39.470073600000006</v>
      </c>
      <c r="AR10" s="17">
        <v>1.55</v>
      </c>
      <c r="AS10" s="17"/>
      <c r="AT10" s="88">
        <f>AT9+AL10-AS10</f>
        <v>1473.9999999999991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46540</v>
      </c>
      <c r="E11" s="49"/>
      <c r="F11" s="49">
        <f t="shared" ref="F11" si="24">SUM(F8:F10)</f>
        <v>48551</v>
      </c>
      <c r="G11" s="50"/>
      <c r="H11" s="50"/>
      <c r="I11" s="49">
        <f t="shared" ref="I11:K11" si="25">SUM(I8:I10)</f>
        <v>47362</v>
      </c>
      <c r="J11" s="50"/>
      <c r="K11" s="49">
        <f t="shared" si="25"/>
        <v>44452</v>
      </c>
      <c r="L11" s="20">
        <f t="shared" ref="L11" si="26">IF(K11&gt;0,(K8*L8+K9*L9+K10*L10)/K11,0)</f>
        <v>6.9598128318185917E-2</v>
      </c>
      <c r="M11" s="50">
        <f t="shared" ref="M11" si="27">M8+M9+M10</f>
        <v>41358</v>
      </c>
      <c r="N11" s="51">
        <f t="shared" ref="N11" si="28">IF(M11&gt;0,O11/M11,0)</f>
        <v>0.70513199381014557</v>
      </c>
      <c r="O11" s="52">
        <f t="shared" ref="O11" si="29">O8+O9+O10</f>
        <v>29162.849000000002</v>
      </c>
      <c r="P11" s="20">
        <f t="shared" ref="P11" si="30">IF(M11&gt;0,Q11/M11,0)</f>
        <v>0.25753094927220854</v>
      </c>
      <c r="Q11" s="52">
        <f t="shared" ref="Q11" si="31">Q8+Q9+Q10</f>
        <v>10650.965</v>
      </c>
      <c r="R11" s="20">
        <f t="shared" ref="R11" si="32">IF(M11&gt;0,T11/M11,0)</f>
        <v>3.7337056917645925E-2</v>
      </c>
      <c r="S11" s="107"/>
      <c r="T11" s="52">
        <f t="shared" ref="T11" si="33">T8+T9+T10</f>
        <v>1544.1860000000001</v>
      </c>
      <c r="U11" s="20">
        <f t="shared" ref="U11" si="34">IF(M11&gt;0,V11/M11,0)</f>
        <v>0.22961845350355431</v>
      </c>
      <c r="V11" s="52">
        <f t="shared" ref="V11" si="35">V8+V9+V10</f>
        <v>9496.56</v>
      </c>
      <c r="W11" s="20">
        <f t="shared" ref="W11" si="36">IF(M11&gt;0,X11/M11,0)</f>
        <v>0.49794912713380723</v>
      </c>
      <c r="X11" s="52">
        <f t="shared" ref="X11" si="37">X8+X9+X10</f>
        <v>20594.18</v>
      </c>
      <c r="Y11" s="20">
        <f t="shared" ref="Y11" si="38">IF(M11&gt;0,Z11/M11,0)</f>
        <v>0.42079476763866724</v>
      </c>
      <c r="Z11" s="52">
        <f t="shared" ref="Z11" si="39">Z8+Z9+Z10</f>
        <v>17403.23</v>
      </c>
      <c r="AA11" s="119">
        <f>IF(M11&gt;0,AB11/M11,0)</f>
        <v>2.5780601092896178E-3</v>
      </c>
      <c r="AB11" s="54">
        <f t="shared" ref="AB11" si="40">SUM(AB8:AB10)</f>
        <v>106.62341000000001</v>
      </c>
      <c r="AC11" s="53">
        <f t="shared" ref="AC11" si="41">IF(M11&gt;0,AD11/M11,0)</f>
        <v>2.7661202185792345E-3</v>
      </c>
      <c r="AD11" s="54">
        <f t="shared" ref="AD11" si="42">SUM(AD8:AD10)</f>
        <v>114.40119999999999</v>
      </c>
      <c r="AE11" s="53">
        <f t="shared" ref="AE11" si="43">IF(M11&gt;0,(AE8*M8+AE9*M9+AE10*M10)/M11,0)</f>
        <v>2.8775264422844431E-3</v>
      </c>
      <c r="AF11" s="53">
        <f t="shared" ref="AF11" si="44">IF(K11&gt;0,(K8*AF8+K9*AF9+K10*AF10)/K11,0)</f>
        <v>2.593221902276613E-4</v>
      </c>
      <c r="AG11" s="50">
        <f t="shared" ref="AG11" si="45">SUM(AG8:AG10)</f>
        <v>10.72349</v>
      </c>
      <c r="AH11" s="51">
        <f t="shared" ref="AH11" si="46">IF(K11&gt;0,(K8*AH8+K9*AH9+K10*AH10)/K11,0)</f>
        <v>0.21116598353279942</v>
      </c>
      <c r="AI11" s="56">
        <f t="shared" ref="AI11" si="47">SUM(AI8:AI10)</f>
        <v>102.8721108</v>
      </c>
      <c r="AJ11" s="51">
        <f t="shared" ref="AJ11" si="48">IF(AND(AD11&gt;0),((AD8*AJ8+AD9*AJ9+AD10*AJ10)/AD11),0)</f>
        <v>0.90737913576148144</v>
      </c>
      <c r="AK11" s="55">
        <f t="shared" si="6"/>
        <v>0.91094343806364864</v>
      </c>
      <c r="AL11" s="49">
        <f t="shared" ref="AL11" si="49">SUM(AL8:AL10)</f>
        <v>532</v>
      </c>
      <c r="AM11" s="20">
        <f t="shared" ref="AM11" si="50">IF(AL11&gt;0,(AM8*AL8+AM9*AL9+AM10*AL10)/AL11,0)</f>
        <v>8.4328947368421045E-2</v>
      </c>
      <c r="AN11" s="51">
        <f>IF(K11&gt;0,(AN8*K8+AN9*K9+AN10*K10)/K11,0)</f>
        <v>0.22217174705300102</v>
      </c>
      <c r="AO11" s="107">
        <f>IF(K11&gt;0,(AO8*K8+AO9*K9+AO10*K10)/K11,0)</f>
        <v>0.22156141006028973</v>
      </c>
      <c r="AP11" s="56">
        <f t="shared" ref="AP11:AQ23" si="51">SUM(AP8:AP10)</f>
        <v>108.28524860000002</v>
      </c>
      <c r="AQ11" s="108">
        <f t="shared" si="51"/>
        <v>108.09341060000001</v>
      </c>
      <c r="AR11" s="54"/>
      <c r="AS11" s="54">
        <f t="shared" ref="AS11" si="52">SUM(AS8:AS10)</f>
        <v>1066.46</v>
      </c>
      <c r="AT11" s="83"/>
      <c r="AU11" s="84">
        <f>AT10</f>
        <v>1473.9999999999991</v>
      </c>
      <c r="AV11" s="49">
        <f t="shared" ref="AV11" si="53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57</v>
      </c>
      <c r="D12" s="11">
        <v>5300</v>
      </c>
      <c r="E12" s="11">
        <v>0</v>
      </c>
      <c r="F12" s="11">
        <v>4249</v>
      </c>
      <c r="G12" s="12">
        <v>0.8</v>
      </c>
      <c r="H12" s="12">
        <v>6.9</v>
      </c>
      <c r="I12" s="11">
        <v>4404</v>
      </c>
      <c r="J12" s="12">
        <v>5.5</v>
      </c>
      <c r="K12" s="11">
        <v>14108</v>
      </c>
      <c r="L12" s="13">
        <v>7.0999999999999994E-2</v>
      </c>
      <c r="M12" s="23">
        <f>ROUND(K12*(1-L12),0)</f>
        <v>13106</v>
      </c>
      <c r="N12" s="14">
        <v>0.74199999999999999</v>
      </c>
      <c r="O12" s="24">
        <f t="shared" ref="O12:O14" si="54">M12*N12</f>
        <v>9724.652</v>
      </c>
      <c r="P12" s="13">
        <v>0.23499999999999999</v>
      </c>
      <c r="Q12" s="24">
        <f t="shared" ref="Q12:Q14" si="55">M12*P12</f>
        <v>3079.91</v>
      </c>
      <c r="R12" s="15">
        <v>2.3E-2</v>
      </c>
      <c r="S12" s="112">
        <v>0.23280000000000001</v>
      </c>
      <c r="T12" s="24">
        <f t="shared" ref="T12:T14" si="56">M12*R12</f>
        <v>301.43799999999999</v>
      </c>
      <c r="U12" s="25">
        <v>0.224</v>
      </c>
      <c r="V12" s="24">
        <f t="shared" ref="V12:V14" si="57">M12*U12</f>
        <v>2935.7440000000001</v>
      </c>
      <c r="W12" s="15">
        <v>0.49099999999999999</v>
      </c>
      <c r="X12" s="24">
        <f t="shared" ref="X12:X14" si="58">M12*W12</f>
        <v>6435.0460000000003</v>
      </c>
      <c r="Y12" s="15">
        <v>0.39</v>
      </c>
      <c r="Z12" s="24">
        <f t="shared" ref="Z12:Z14" si="59">Y12*M12</f>
        <v>5111.34</v>
      </c>
      <c r="AA12" s="116">
        <v>2.6099999999999999E-3</v>
      </c>
      <c r="AB12" s="18">
        <f t="shared" ref="AB12:AB74" si="60">M12*AA12</f>
        <v>34.206659999999999</v>
      </c>
      <c r="AC12" s="16">
        <v>2.65E-3</v>
      </c>
      <c r="AD12" s="17">
        <f t="shared" ref="AD12:AD14" si="61">M12*AC12</f>
        <v>34.730899999999998</v>
      </c>
      <c r="AE12" s="26">
        <f>IF(M12&gt;0,(AG12+AP12)/M12,0)</f>
        <v>2.7660080344880209E-3</v>
      </c>
      <c r="AF12" s="16">
        <v>2.5000000000000001E-4</v>
      </c>
      <c r="AG12" s="23">
        <f t="shared" ref="AG12:AG14" si="62">AF12*M12</f>
        <v>3.2765</v>
      </c>
      <c r="AH12" s="92">
        <v>0.20830000000000001</v>
      </c>
      <c r="AI12" s="29">
        <f t="shared" ref="AI12:AI14" si="63">AL12*(1-AM12)*AH12</f>
        <v>31.550992700000002</v>
      </c>
      <c r="AJ12" s="27">
        <f t="shared" ref="AJ12:AJ14" si="64">IF(AND(AH12&gt;0,AF12&gt;0,AC12&gt;0),((AC12-AF12)*AH12)/((AH12-AF12)*AC12),0)</f>
        <v>0.90674864986192549</v>
      </c>
      <c r="AK12" s="58">
        <f t="shared" si="6"/>
        <v>0.9106628148982584</v>
      </c>
      <c r="AL12" s="11">
        <v>167</v>
      </c>
      <c r="AM12" s="13">
        <v>9.2999999999999999E-2</v>
      </c>
      <c r="AN12" s="14">
        <v>0.2177</v>
      </c>
      <c r="AO12" s="101">
        <v>0.22470000000000001</v>
      </c>
      <c r="AP12" s="29">
        <f>AL12*(1-AM12)*AN12</f>
        <v>32.974801300000003</v>
      </c>
      <c r="AQ12" s="102">
        <f t="shared" ref="AQ12" si="65">AL12*(1-AM12)*AO12</f>
        <v>34.035084300000001</v>
      </c>
      <c r="AR12" s="18">
        <v>1.5</v>
      </c>
      <c r="AS12" s="18">
        <v>1002.88</v>
      </c>
      <c r="AT12" s="79">
        <f>AT10+AL12-AS12</f>
        <v>638.1199999999991</v>
      </c>
      <c r="AU12" s="80"/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0" t="s">
        <v>58</v>
      </c>
      <c r="D13" s="33">
        <v>7200</v>
      </c>
      <c r="E13" s="33">
        <v>1</v>
      </c>
      <c r="F13" s="33">
        <v>4301</v>
      </c>
      <c r="G13" s="34">
        <v>0.5</v>
      </c>
      <c r="H13" s="34">
        <v>6.8</v>
      </c>
      <c r="I13" s="33">
        <v>5142</v>
      </c>
      <c r="J13" s="34">
        <v>6.7</v>
      </c>
      <c r="K13" s="33">
        <v>14204</v>
      </c>
      <c r="L13" s="35">
        <v>6.5000000000000002E-2</v>
      </c>
      <c r="M13" s="36">
        <f>ROUND(K13*(1-L13),0)</f>
        <v>13281</v>
      </c>
      <c r="N13" s="37">
        <v>0.74</v>
      </c>
      <c r="O13" s="24">
        <f t="shared" si="54"/>
        <v>9827.94</v>
      </c>
      <c r="P13" s="35">
        <v>0.20100000000000001</v>
      </c>
      <c r="Q13" s="24">
        <f t="shared" si="55"/>
        <v>2669.4810000000002</v>
      </c>
      <c r="R13" s="38">
        <v>5.8999999999999997E-2</v>
      </c>
      <c r="S13" s="105">
        <v>0.21379999999999999</v>
      </c>
      <c r="T13" s="24">
        <f t="shared" si="56"/>
        <v>783.57899999999995</v>
      </c>
      <c r="U13" s="27">
        <v>0.22600000000000001</v>
      </c>
      <c r="V13" s="24">
        <f t="shared" si="57"/>
        <v>3001.5060000000003</v>
      </c>
      <c r="W13" s="38">
        <v>0.48699999999999999</v>
      </c>
      <c r="X13" s="24">
        <f t="shared" si="58"/>
        <v>6467.8469999999998</v>
      </c>
      <c r="Y13" s="38">
        <v>0.39</v>
      </c>
      <c r="Z13" s="24">
        <f t="shared" si="59"/>
        <v>5179.59</v>
      </c>
      <c r="AA13" s="117">
        <v>2.5000000000000001E-3</v>
      </c>
      <c r="AB13" s="18">
        <f t="shared" si="60"/>
        <v>33.202500000000001</v>
      </c>
      <c r="AC13" s="39">
        <v>2.5600000000000002E-3</v>
      </c>
      <c r="AD13" s="17">
        <f t="shared" si="61"/>
        <v>33.999360000000003</v>
      </c>
      <c r="AE13" s="26">
        <f>IF(M13&gt;0,(AG13+AP13)/M13,0)</f>
        <v>2.8311662525412249E-3</v>
      </c>
      <c r="AF13" s="39">
        <v>2.5999999999999998E-4</v>
      </c>
      <c r="AG13" s="36">
        <f t="shared" si="62"/>
        <v>3.4530599999999998</v>
      </c>
      <c r="AH13" s="27">
        <v>0.2072</v>
      </c>
      <c r="AI13" s="40">
        <f t="shared" si="63"/>
        <v>31.488184</v>
      </c>
      <c r="AJ13" s="27">
        <f t="shared" si="64"/>
        <v>0.89956629941045718</v>
      </c>
      <c r="AK13" s="28">
        <f t="shared" si="6"/>
        <v>0.90921710758948004</v>
      </c>
      <c r="AL13" s="33">
        <v>167</v>
      </c>
      <c r="AM13" s="35">
        <v>0.09</v>
      </c>
      <c r="AN13" s="37">
        <v>0.22470000000000001</v>
      </c>
      <c r="AO13" s="103">
        <v>0.2288</v>
      </c>
      <c r="AP13" s="40">
        <f>AL13*(1-AM13)*AN13</f>
        <v>34.147659000000004</v>
      </c>
      <c r="AQ13" s="104">
        <f t="shared" si="21"/>
        <v>34.770735999999999</v>
      </c>
      <c r="AR13" s="41">
        <v>1.5</v>
      </c>
      <c r="AS13" s="41"/>
      <c r="AT13" s="88">
        <f>AT12+AL13-AS13</f>
        <v>805.1199999999991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53</v>
      </c>
      <c r="D14" s="42">
        <v>14178</v>
      </c>
      <c r="E14" s="42">
        <v>0</v>
      </c>
      <c r="F14" s="42">
        <v>17881</v>
      </c>
      <c r="G14" s="36">
        <v>1.4</v>
      </c>
      <c r="H14" s="36">
        <v>8</v>
      </c>
      <c r="I14" s="42">
        <v>16306</v>
      </c>
      <c r="J14" s="36">
        <v>5.2</v>
      </c>
      <c r="K14" s="42">
        <v>14446</v>
      </c>
      <c r="L14" s="38">
        <v>6.4000000000000001E-2</v>
      </c>
      <c r="M14" s="36">
        <f>ROUND(K14*(1-L14),0)</f>
        <v>13521</v>
      </c>
      <c r="N14" s="27">
        <v>0.81499999999999995</v>
      </c>
      <c r="O14" s="24">
        <f t="shared" si="54"/>
        <v>11019.615</v>
      </c>
      <c r="P14" s="38">
        <v>0.122</v>
      </c>
      <c r="Q14" s="24">
        <f t="shared" si="55"/>
        <v>1649.5619999999999</v>
      </c>
      <c r="R14" s="38">
        <v>6.3E-2</v>
      </c>
      <c r="S14" s="105">
        <v>0.22689999999999999</v>
      </c>
      <c r="T14" s="24">
        <f t="shared" si="56"/>
        <v>851.82299999999998</v>
      </c>
      <c r="U14" s="27">
        <v>0.221</v>
      </c>
      <c r="V14" s="24">
        <f t="shared" si="57"/>
        <v>2988.1410000000001</v>
      </c>
      <c r="W14" s="38">
        <v>0.497</v>
      </c>
      <c r="X14" s="24">
        <f t="shared" si="58"/>
        <v>6719.9369999999999</v>
      </c>
      <c r="Y14" s="38">
        <v>0.4</v>
      </c>
      <c r="Z14" s="24">
        <f t="shared" si="59"/>
        <v>5408.4000000000005</v>
      </c>
      <c r="AA14" s="118">
        <v>2.4599999999999999E-3</v>
      </c>
      <c r="AB14" s="121">
        <f t="shared" si="60"/>
        <v>33.261659999999999</v>
      </c>
      <c r="AC14" s="45">
        <v>2.7499999999999998E-3</v>
      </c>
      <c r="AD14" s="17">
        <f t="shared" si="61"/>
        <v>37.182749999999999</v>
      </c>
      <c r="AE14" s="26">
        <f>IF(M14&gt;0,(AG14+AP14)/M14,0)</f>
        <v>2.7782461948080762E-3</v>
      </c>
      <c r="AF14" s="45">
        <v>2.7E-4</v>
      </c>
      <c r="AG14" s="36">
        <f t="shared" si="62"/>
        <v>3.6506699999999999</v>
      </c>
      <c r="AH14" s="27">
        <v>0.20269999999999999</v>
      </c>
      <c r="AI14" s="40">
        <f t="shared" si="63"/>
        <v>31.796332799999998</v>
      </c>
      <c r="AJ14" s="27">
        <f t="shared" si="64"/>
        <v>0.90302102185716282</v>
      </c>
      <c r="AK14" s="28">
        <f t="shared" si="6"/>
        <v>0.90394527441309724</v>
      </c>
      <c r="AL14" s="42">
        <v>172</v>
      </c>
      <c r="AM14" s="38">
        <v>8.7999999999999995E-2</v>
      </c>
      <c r="AN14" s="27">
        <v>0.2162</v>
      </c>
      <c r="AO14" s="105">
        <v>0.21970000000000001</v>
      </c>
      <c r="AP14" s="40">
        <f>AL14*(1-AM14)*AN14</f>
        <v>33.9139968</v>
      </c>
      <c r="AQ14" s="106">
        <f t="shared" si="21"/>
        <v>34.463020800000002</v>
      </c>
      <c r="AR14" s="17">
        <v>1.56</v>
      </c>
      <c r="AS14" s="17"/>
      <c r="AT14" s="88">
        <f>AT13+AL14-AS14</f>
        <v>977.1199999999991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6">SUM(D12:D14)</f>
        <v>26678</v>
      </c>
      <c r="E15" s="49"/>
      <c r="F15" s="49">
        <f t="shared" ref="F15" si="67">SUM(F12:F14)</f>
        <v>26431</v>
      </c>
      <c r="G15" s="50"/>
      <c r="H15" s="50"/>
      <c r="I15" s="49">
        <f t="shared" ref="I15:K15" si="68">SUM(I12:I14)</f>
        <v>25852</v>
      </c>
      <c r="J15" s="50"/>
      <c r="K15" s="49">
        <f t="shared" si="68"/>
        <v>42758</v>
      </c>
      <c r="L15" s="20">
        <f t="shared" ref="L15" si="69">IF(K15&gt;0,(K12*L12+K13*L13+K14*L14)/K15,0)</f>
        <v>6.6641844800972905E-2</v>
      </c>
      <c r="M15" s="50">
        <f t="shared" ref="M15" si="70">M12+M13+M14</f>
        <v>39908</v>
      </c>
      <c r="N15" s="51">
        <f t="shared" ref="N15" si="71">IF(M15&gt;0,O15/M15,0)</f>
        <v>0.76606712939761457</v>
      </c>
      <c r="O15" s="52">
        <f t="shared" ref="O15" si="72">O12+O13+O14</f>
        <v>30572.207000000002</v>
      </c>
      <c r="P15" s="20">
        <f t="shared" ref="P15" si="73">IF(M15&gt;0,Q15/M15,0)</f>
        <v>0.18540024556479903</v>
      </c>
      <c r="Q15" s="52">
        <f t="shared" ref="Q15" si="74">Q12+Q13+Q14</f>
        <v>7398.9529999999995</v>
      </c>
      <c r="R15" s="20">
        <f t="shared" ref="R15" si="75">IF(M15&gt;0,T15/M15,0)</f>
        <v>4.8532625037586444E-2</v>
      </c>
      <c r="S15" s="107"/>
      <c r="T15" s="52">
        <f t="shared" ref="T15" si="76">T12+T13+T14</f>
        <v>1936.8399999999997</v>
      </c>
      <c r="U15" s="20">
        <f t="shared" ref="U15" si="77">IF(M15&gt;0,V15/M15,0)</f>
        <v>0.22364916808659918</v>
      </c>
      <c r="V15" s="52">
        <f t="shared" ref="V15" si="78">V12+V13+V14</f>
        <v>8925.3909999999996</v>
      </c>
      <c r="W15" s="20">
        <f t="shared" ref="W15" si="79">IF(M15&gt;0,X15/M15,0)</f>
        <v>0.49170166382680169</v>
      </c>
      <c r="X15" s="52">
        <f t="shared" ref="X15" si="80">X12+X13+X14</f>
        <v>19622.830000000002</v>
      </c>
      <c r="Y15" s="20">
        <f t="shared" ref="Y15" si="81">IF(M15&gt;0,Z15/M15,0)</f>
        <v>0.39338804249774484</v>
      </c>
      <c r="Z15" s="52">
        <f t="shared" ref="Z15" si="82">Z12+Z13+Z14</f>
        <v>15699.330000000002</v>
      </c>
      <c r="AA15" s="119">
        <f>IF(M15&gt;0,AB15/M15,0)</f>
        <v>2.5225724165580834E-3</v>
      </c>
      <c r="AB15" s="54">
        <f t="shared" ref="AB15" si="83">SUM(AB12:AB14)</f>
        <v>100.67081999999999</v>
      </c>
      <c r="AC15" s="53">
        <f t="shared" ref="AC15" si="84">IF(M15&gt;0,AD15/M15,0)</f>
        <v>2.6539292873609299E-3</v>
      </c>
      <c r="AD15" s="54">
        <f t="shared" ref="AD15" si="85">SUM(AD12:AD14)</f>
        <v>105.91301</v>
      </c>
      <c r="AE15" s="53">
        <f t="shared" ref="AE15" si="86">IF(M15&gt;0,(AE12*M12+AE13*M13+AE14*M14)/M15,0)</f>
        <v>2.7918384058334168E-3</v>
      </c>
      <c r="AF15" s="53">
        <f t="shared" ref="AF15" si="87">IF(K15&gt;0,(K12*AF12+K13*AF13+K14*AF14)/K15,0)</f>
        <v>2.6007904953459E-4</v>
      </c>
      <c r="AG15" s="50">
        <f t="shared" ref="AG15" si="88">SUM(AG12:AG14)</f>
        <v>10.380229999999999</v>
      </c>
      <c r="AH15" s="51">
        <f t="shared" ref="AH15" si="89">IF(K15&gt;0,(K12*AH12+K13*AH13+K14*AH14)/K15,0)</f>
        <v>0.20604259787642079</v>
      </c>
      <c r="AI15" s="56">
        <f t="shared" ref="AI15" si="90">SUM(AI12:AI14)</f>
        <v>94.835509500000001</v>
      </c>
      <c r="AJ15" s="51">
        <f t="shared" ref="AJ15" si="91">IF(AND(AD15&gt;0),((AD12*AJ12+AD13*AJ13+AD14*AJ14)/AD15),0)</f>
        <v>0.90313437453503487</v>
      </c>
      <c r="AK15" s="55">
        <f t="shared" si="6"/>
        <v>0.90791876124668947</v>
      </c>
      <c r="AL15" s="49">
        <f t="shared" ref="AL15" si="92">SUM(AL12:AL14)</f>
        <v>506</v>
      </c>
      <c r="AM15" s="20">
        <f t="shared" ref="AM15" si="93">IF(AL15&gt;0,(AM12*AL12+AM13*AL13+AM14*AL14)/AL15,0)</f>
        <v>9.03102766798419E-2</v>
      </c>
      <c r="AN15" s="51">
        <f>IF(K15&gt;0,(AN12*K12+AN13*K13+AN14*K14)/K15,0)</f>
        <v>0.2195185836568595</v>
      </c>
      <c r="AO15" s="107">
        <f>IF(K15&gt;0,(AO12*K12+AO13*K13+AO14*K14)/K15,0)</f>
        <v>0.22437272557182283</v>
      </c>
      <c r="AP15" s="56">
        <f t="shared" ref="AP15" si="94">SUM(AP12:AP14)</f>
        <v>101.03645710000001</v>
      </c>
      <c r="AQ15" s="108">
        <f t="shared" si="51"/>
        <v>103.2688411</v>
      </c>
      <c r="AR15" s="54"/>
      <c r="AS15" s="54">
        <f t="shared" ref="AS15" si="95">SUM(AS12:AS14)</f>
        <v>1002.88</v>
      </c>
      <c r="AT15" s="83"/>
      <c r="AU15" s="84">
        <f>AT14</f>
        <v>977.1199999999991</v>
      </c>
      <c r="AV15" s="49">
        <f t="shared" ref="AV15" si="96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0" t="s">
        <v>59</v>
      </c>
      <c r="D16" s="11">
        <v>4900</v>
      </c>
      <c r="E16" s="11">
        <v>1</v>
      </c>
      <c r="F16" s="11">
        <v>13807</v>
      </c>
      <c r="G16" s="12">
        <v>1.4</v>
      </c>
      <c r="H16" s="12">
        <v>6.3</v>
      </c>
      <c r="I16" s="11">
        <v>13819</v>
      </c>
      <c r="J16" s="12">
        <v>5.7</v>
      </c>
      <c r="K16" s="11">
        <v>14431</v>
      </c>
      <c r="L16" s="13">
        <v>6.9000000000000006E-2</v>
      </c>
      <c r="M16" s="23">
        <f>ROUND(K16*(1-L16),0)</f>
        <v>13435</v>
      </c>
      <c r="N16" s="14">
        <v>0.64900000000000002</v>
      </c>
      <c r="O16" s="24">
        <f t="shared" ref="O16:O18" si="97">M16*N16</f>
        <v>8719.3150000000005</v>
      </c>
      <c r="P16" s="13">
        <v>0.29599999999999999</v>
      </c>
      <c r="Q16" s="24">
        <f t="shared" ref="Q16:Q18" si="98">M16*P16</f>
        <v>3976.7599999999998</v>
      </c>
      <c r="R16" s="15">
        <v>5.5E-2</v>
      </c>
      <c r="S16" s="112">
        <v>0.2351</v>
      </c>
      <c r="T16" s="24">
        <f t="shared" ref="T16:T18" si="99">M16*R16</f>
        <v>738.92499999999995</v>
      </c>
      <c r="U16" s="25">
        <v>0.23300000000000001</v>
      </c>
      <c r="V16" s="24">
        <f t="shared" ref="V16:V18" si="100">M16*U16</f>
        <v>3130.355</v>
      </c>
      <c r="W16" s="15">
        <v>0.49299999999999999</v>
      </c>
      <c r="X16" s="24">
        <f t="shared" ref="X16:X18" si="101">M16*W16</f>
        <v>6623.4549999999999</v>
      </c>
      <c r="Y16" s="15">
        <v>0.41</v>
      </c>
      <c r="Z16" s="24">
        <f t="shared" ref="Z16:Z18" si="102">Y16*M16</f>
        <v>5508.3499999999995</v>
      </c>
      <c r="AA16" s="116">
        <v>2.49E-3</v>
      </c>
      <c r="AB16" s="18">
        <f t="shared" ref="AB16" si="103">M16*AA16</f>
        <v>33.453150000000001</v>
      </c>
      <c r="AC16" s="16">
        <v>2.5699999999999998E-3</v>
      </c>
      <c r="AD16" s="17">
        <f t="shared" ref="AD16:AD18" si="104">M16*AC16</f>
        <v>34.527949999999997</v>
      </c>
      <c r="AE16" s="26">
        <f>IF(M16&gt;0,(AG16+AP16)/M16,0)</f>
        <v>2.5876982359508745E-3</v>
      </c>
      <c r="AF16" s="16">
        <v>2.5999999999999998E-4</v>
      </c>
      <c r="AG16" s="23">
        <f t="shared" ref="AG16:AG18" si="105">AF16*M16</f>
        <v>3.4930999999999996</v>
      </c>
      <c r="AH16" s="92">
        <v>0.20619999999999999</v>
      </c>
      <c r="AI16" s="29">
        <f t="shared" ref="AI16:AI18" si="106">AL16*(1-AM16)*AH16</f>
        <v>30.619256599999996</v>
      </c>
      <c r="AJ16" s="27">
        <f t="shared" ref="AJ16:AJ18" si="107">IF(AND(AH16&gt;0,AF16&gt;0,AC16&gt;0),((AC16-AF16)*AH16)/((AH16-AF16)*AC16),0)</f>
        <v>0.89996746436289676</v>
      </c>
      <c r="AK16" s="58">
        <f t="shared" si="6"/>
        <v>0.90063650284377084</v>
      </c>
      <c r="AL16" s="11">
        <v>163</v>
      </c>
      <c r="AM16" s="13">
        <v>8.8999999999999996E-2</v>
      </c>
      <c r="AN16" s="14">
        <v>0.21060000000000001</v>
      </c>
      <c r="AO16" s="101">
        <v>0.2165</v>
      </c>
      <c r="AP16" s="29">
        <f>AL16*(1-AM16)*AN16</f>
        <v>31.2726258</v>
      </c>
      <c r="AQ16" s="102">
        <f t="shared" ref="AQ16" si="108">AL16*(1-AM16)*AO16</f>
        <v>32.148734499999996</v>
      </c>
      <c r="AR16" s="18">
        <v>1.55</v>
      </c>
      <c r="AS16" s="18">
        <v>1017.32</v>
      </c>
      <c r="AT16" s="79">
        <f>AT14+AL16-AS16+AU16</f>
        <v>135.01999999999893</v>
      </c>
      <c r="AU16" s="80">
        <v>12.22</v>
      </c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0" t="s">
        <v>58</v>
      </c>
      <c r="D17" s="33">
        <v>22500</v>
      </c>
      <c r="E17" s="33">
        <v>4</v>
      </c>
      <c r="F17" s="33">
        <v>15159</v>
      </c>
      <c r="G17" s="34">
        <v>0.4</v>
      </c>
      <c r="H17" s="34">
        <v>6</v>
      </c>
      <c r="I17" s="33">
        <v>15627</v>
      </c>
      <c r="J17" s="34">
        <v>5</v>
      </c>
      <c r="K17" s="33">
        <v>14460</v>
      </c>
      <c r="L17" s="35">
        <v>6.7000000000000004E-2</v>
      </c>
      <c r="M17" s="36">
        <f>ROUND(K17*(1-L17),0)</f>
        <v>13491</v>
      </c>
      <c r="N17" s="37">
        <v>0.72499999999999998</v>
      </c>
      <c r="O17" s="24">
        <f t="shared" si="97"/>
        <v>9780.9750000000004</v>
      </c>
      <c r="P17" s="35">
        <v>0.216</v>
      </c>
      <c r="Q17" s="24">
        <f t="shared" si="98"/>
        <v>2914.056</v>
      </c>
      <c r="R17" s="38">
        <v>5.8999999999999997E-2</v>
      </c>
      <c r="S17" s="105">
        <v>0.23139999999999999</v>
      </c>
      <c r="T17" s="24">
        <f t="shared" si="99"/>
        <v>795.96899999999994</v>
      </c>
      <c r="U17" s="27">
        <v>0.23200000000000001</v>
      </c>
      <c r="V17" s="24">
        <f t="shared" si="100"/>
        <v>3129.9120000000003</v>
      </c>
      <c r="W17" s="38">
        <v>0.48299999999999998</v>
      </c>
      <c r="X17" s="24">
        <f t="shared" si="101"/>
        <v>6516.1530000000002</v>
      </c>
      <c r="Y17" s="38">
        <v>0.4</v>
      </c>
      <c r="Z17" s="24">
        <f t="shared" si="102"/>
        <v>5396.4000000000005</v>
      </c>
      <c r="AA17" s="117">
        <v>2.33E-3</v>
      </c>
      <c r="AB17" s="18">
        <f t="shared" si="60"/>
        <v>31.43403</v>
      </c>
      <c r="AC17" s="39">
        <v>2.5799999999999998E-3</v>
      </c>
      <c r="AD17" s="17">
        <f t="shared" si="104"/>
        <v>34.806779999999996</v>
      </c>
      <c r="AE17" s="26">
        <f>IF(M17&gt;0,(AG17+AP17)/M17,0)</f>
        <v>2.4972300051886447E-3</v>
      </c>
      <c r="AF17" s="39">
        <v>2.5000000000000001E-4</v>
      </c>
      <c r="AG17" s="36">
        <f t="shared" si="105"/>
        <v>3.3727499999999999</v>
      </c>
      <c r="AH17" s="27">
        <v>0.20319999999999999</v>
      </c>
      <c r="AI17" s="40">
        <f t="shared" si="106"/>
        <v>28.787344000000001</v>
      </c>
      <c r="AJ17" s="27">
        <f t="shared" si="107"/>
        <v>0.90421324227336708</v>
      </c>
      <c r="AK17" s="28">
        <f t="shared" si="6"/>
        <v>0.9009415791502321</v>
      </c>
      <c r="AL17" s="33">
        <v>155</v>
      </c>
      <c r="AM17" s="35">
        <v>8.5999999999999993E-2</v>
      </c>
      <c r="AN17" s="37">
        <v>0.214</v>
      </c>
      <c r="AO17" s="103">
        <v>0.21879999999999999</v>
      </c>
      <c r="AP17" s="40">
        <f>AL17*(1-AM17)*AN17</f>
        <v>30.317380000000004</v>
      </c>
      <c r="AQ17" s="104">
        <f t="shared" si="21"/>
        <v>30.997396000000002</v>
      </c>
      <c r="AR17" s="41">
        <v>1.55</v>
      </c>
      <c r="AS17" s="41"/>
      <c r="AT17" s="88">
        <f>AT16+AL17-AS17</f>
        <v>290.01999999999896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53</v>
      </c>
      <c r="D18" s="42">
        <v>18505</v>
      </c>
      <c r="E18" s="42">
        <v>1</v>
      </c>
      <c r="F18" s="42">
        <v>17741</v>
      </c>
      <c r="G18" s="36">
        <v>0.8</v>
      </c>
      <c r="H18" s="36">
        <v>5</v>
      </c>
      <c r="I18" s="42">
        <v>16859</v>
      </c>
      <c r="J18" s="36">
        <v>4.3</v>
      </c>
      <c r="K18" s="42">
        <v>14533</v>
      </c>
      <c r="L18" s="38">
        <v>6.6000000000000003E-2</v>
      </c>
      <c r="M18" s="36">
        <f>ROUND(K18*(1-L18),0)</f>
        <v>13574</v>
      </c>
      <c r="N18" s="27">
        <v>0.78</v>
      </c>
      <c r="O18" s="24">
        <f t="shared" si="97"/>
        <v>10587.720000000001</v>
      </c>
      <c r="P18" s="38">
        <v>0.19500000000000001</v>
      </c>
      <c r="Q18" s="24">
        <f t="shared" si="98"/>
        <v>2646.9300000000003</v>
      </c>
      <c r="R18" s="38">
        <v>2.5000000000000001E-2</v>
      </c>
      <c r="S18" s="105">
        <v>0.24060000000000001</v>
      </c>
      <c r="T18" s="24">
        <f t="shared" si="99"/>
        <v>339.35</v>
      </c>
      <c r="U18" s="27">
        <v>0.22500000000000001</v>
      </c>
      <c r="V18" s="24">
        <f t="shared" si="100"/>
        <v>3054.15</v>
      </c>
      <c r="W18" s="38">
        <v>0.50900000000000001</v>
      </c>
      <c r="X18" s="24">
        <f t="shared" si="101"/>
        <v>6909.1660000000002</v>
      </c>
      <c r="Y18" s="38">
        <v>0.39</v>
      </c>
      <c r="Z18" s="24">
        <f t="shared" si="102"/>
        <v>5293.8600000000006</v>
      </c>
      <c r="AA18" s="118">
        <v>2.48E-3</v>
      </c>
      <c r="AB18" s="121">
        <f t="shared" si="60"/>
        <v>33.663519999999998</v>
      </c>
      <c r="AC18" s="45">
        <v>2.6800000000000001E-3</v>
      </c>
      <c r="AD18" s="17">
        <f t="shared" si="104"/>
        <v>36.378320000000002</v>
      </c>
      <c r="AE18" s="26">
        <f>IF(M18&gt;0,(AG18+AP18)/M18,0)</f>
        <v>2.5752244806247241E-3</v>
      </c>
      <c r="AF18" s="45">
        <v>2.5000000000000001E-4</v>
      </c>
      <c r="AG18" s="36">
        <f t="shared" si="105"/>
        <v>3.3935</v>
      </c>
      <c r="AH18" s="27">
        <v>0.20300000000000001</v>
      </c>
      <c r="AI18" s="40">
        <f t="shared" si="106"/>
        <v>29.404347000000005</v>
      </c>
      <c r="AJ18" s="27">
        <f t="shared" si="107"/>
        <v>0.9078344406205715</v>
      </c>
      <c r="AK18" s="28">
        <f t="shared" si="6"/>
        <v>0.90395820947041405</v>
      </c>
      <c r="AL18" s="42">
        <v>159</v>
      </c>
      <c r="AM18" s="38">
        <v>8.8999999999999996E-2</v>
      </c>
      <c r="AN18" s="27">
        <v>0.21790000000000001</v>
      </c>
      <c r="AO18" s="105">
        <v>0.22270000000000001</v>
      </c>
      <c r="AP18" s="40">
        <f>AL18*(1-AM18)*AN18</f>
        <v>31.562597100000005</v>
      </c>
      <c r="AQ18" s="106">
        <f t="shared" si="21"/>
        <v>32.257872300000002</v>
      </c>
      <c r="AR18" s="17">
        <v>1.55</v>
      </c>
      <c r="AS18" s="17"/>
      <c r="AT18" s="88">
        <f>AT17+AL18-AS18</f>
        <v>449.01999999999896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09">SUM(D16:D18)</f>
        <v>45905</v>
      </c>
      <c r="E19" s="49"/>
      <c r="F19" s="49">
        <f t="shared" ref="F19" si="110">SUM(F16:F18)</f>
        <v>46707</v>
      </c>
      <c r="G19" s="50"/>
      <c r="H19" s="50"/>
      <c r="I19" s="49">
        <f t="shared" ref="I19:K19" si="111">SUM(I16:I18)</f>
        <v>46305</v>
      </c>
      <c r="J19" s="50"/>
      <c r="K19" s="49">
        <f t="shared" si="111"/>
        <v>43424</v>
      </c>
      <c r="L19" s="20">
        <f t="shared" ref="L19" si="112">IF(K19&gt;0,(K16*L16+K17*L17+K18*L18)/K19,0)</f>
        <v>6.732997881355933E-2</v>
      </c>
      <c r="M19" s="50">
        <f t="shared" ref="M19" si="113">M16+M17+M18</f>
        <v>40500</v>
      </c>
      <c r="N19" s="51">
        <f t="shared" ref="N19" si="114">IF(M19&gt;0,O19/M19,0)</f>
        <v>0.71822246913580257</v>
      </c>
      <c r="O19" s="52">
        <f t="shared" ref="O19" si="115">O16+O17+O18</f>
        <v>29088.010000000002</v>
      </c>
      <c r="P19" s="20">
        <f t="shared" ref="P19" si="116">IF(M19&gt;0,Q19/M19,0)</f>
        <v>0.23549990123456788</v>
      </c>
      <c r="Q19" s="52">
        <f t="shared" ref="Q19" si="117">Q16+Q17+Q18</f>
        <v>9537.7459999999992</v>
      </c>
      <c r="R19" s="20">
        <f t="shared" ref="R19" si="118">IF(M19&gt;0,T19/M19,0)</f>
        <v>4.627762962962962E-2</v>
      </c>
      <c r="S19" s="107"/>
      <c r="T19" s="52">
        <f t="shared" ref="T19" si="119">T16+T17+T18</f>
        <v>1874.2439999999997</v>
      </c>
      <c r="U19" s="20">
        <f t="shared" ref="U19" si="120">IF(M19&gt;0,V19/M19,0)</f>
        <v>0.22998560493827158</v>
      </c>
      <c r="V19" s="52">
        <f t="shared" ref="V19" si="121">V16+V17+V18</f>
        <v>9314.4169999999995</v>
      </c>
      <c r="W19" s="20">
        <f t="shared" ref="W19" si="122">IF(M19&gt;0,X19/M19,0)</f>
        <v>0.4950314567901235</v>
      </c>
      <c r="X19" s="52">
        <f t="shared" ref="X19" si="123">X16+X17+X18</f>
        <v>20048.774000000001</v>
      </c>
      <c r="Y19" s="20">
        <f t="shared" ref="Y19" si="124">IF(M19&gt;0,Z19/M19,0)</f>
        <v>0.3999656790123457</v>
      </c>
      <c r="Z19" s="52">
        <f t="shared" ref="Z19" si="125">Z16+Z17+Z18</f>
        <v>16198.61</v>
      </c>
      <c r="AA19" s="119">
        <f>IF(M19&gt;0,AB19/M19,0)</f>
        <v>2.4333506172839509E-3</v>
      </c>
      <c r="AB19" s="54">
        <f t="shared" ref="AB19" si="126">SUM(AB16:AB18)</f>
        <v>98.550700000000006</v>
      </c>
      <c r="AC19" s="53">
        <f t="shared" ref="AC19" si="127">IF(M19&gt;0,AD19/M19,0)</f>
        <v>2.6101987654320986E-3</v>
      </c>
      <c r="AD19" s="54">
        <f t="shared" ref="AD19" si="128">SUM(AD16:AD18)</f>
        <v>105.71305</v>
      </c>
      <c r="AE19" s="53">
        <f t="shared" ref="AE19" si="129">IF(M19&gt;0,(AE16*M16+AE17*M17+AE18*M18)/M19,0)</f>
        <v>2.5533815530864199E-3</v>
      </c>
      <c r="AF19" s="53">
        <f t="shared" ref="AF19" si="130">IF(K19&gt;0,(K16*AF16+K17*AF17+K18*AF18)/K19,0)</f>
        <v>2.5332327745025793E-4</v>
      </c>
      <c r="AG19" s="50">
        <f t="shared" ref="AG19" si="131">SUM(AG16:AG18)</f>
        <v>10.25935</v>
      </c>
      <c r="AH19" s="51">
        <f t="shared" ref="AH19" si="132">IF(K19&gt;0,(K16*AH16+K17*AH17+K18*AH18)/K19,0)</f>
        <v>0.20413004789977893</v>
      </c>
      <c r="AI19" s="56">
        <f t="shared" ref="AI19" si="133">SUM(AI16:AI18)</f>
        <v>88.810947600000006</v>
      </c>
      <c r="AJ19" s="51">
        <f t="shared" ref="AJ19" si="134">IF(AND(AD19&gt;0),((AD16*AJ16+AD17*AJ17+AD18*AJ18)/AD19),0)</f>
        <v>0.90407262675668543</v>
      </c>
      <c r="AK19" s="55">
        <f t="shared" si="6"/>
        <v>0.90185580291473644</v>
      </c>
      <c r="AL19" s="49">
        <f t="shared" ref="AL19" si="135">SUM(AL16:AL18)</f>
        <v>477</v>
      </c>
      <c r="AM19" s="20">
        <f t="shared" ref="AM19" si="136">IF(AL19&gt;0,(AM16*AL16+AM17*AL17+AM18*AL18)/AL19,0)</f>
        <v>8.8025157232704404E-2</v>
      </c>
      <c r="AN19" s="51">
        <f>IF(K19&gt;0,(AN16*K16+AN17*K17+AN18*K18)/K19,0)</f>
        <v>0.21417532470523212</v>
      </c>
      <c r="AO19" s="107">
        <f>IF(K19&gt;0,(AO16*K16+AO17*K17+AO18*K18)/K19,0)</f>
        <v>0.21934088522476047</v>
      </c>
      <c r="AP19" s="56">
        <f t="shared" ref="AP19" si="137">SUM(AP16:AP18)</f>
        <v>93.152602900000005</v>
      </c>
      <c r="AQ19" s="108">
        <f t="shared" si="51"/>
        <v>95.404002800000001</v>
      </c>
      <c r="AR19" s="54"/>
      <c r="AS19" s="54">
        <f t="shared" ref="AS19" si="138">SUM(AS16:AS18)</f>
        <v>1017.32</v>
      </c>
      <c r="AT19" s="83"/>
      <c r="AU19" s="84">
        <f>AT18</f>
        <v>449.01999999999896</v>
      </c>
      <c r="AV19" s="49">
        <f t="shared" ref="AV19" si="139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59</v>
      </c>
      <c r="D20" s="11">
        <v>5200</v>
      </c>
      <c r="E20" s="11">
        <v>0</v>
      </c>
      <c r="F20" s="11">
        <v>13109</v>
      </c>
      <c r="G20" s="12">
        <v>1</v>
      </c>
      <c r="H20" s="12">
        <v>7.1</v>
      </c>
      <c r="I20" s="11">
        <v>13366</v>
      </c>
      <c r="J20" s="12">
        <v>4.7</v>
      </c>
      <c r="K20" s="11">
        <v>14184</v>
      </c>
      <c r="L20" s="13">
        <v>6.7000000000000004E-2</v>
      </c>
      <c r="M20" s="23">
        <f>ROUND(K20*(1-L20),0)</f>
        <v>13234</v>
      </c>
      <c r="N20" s="14">
        <v>0.68100000000000005</v>
      </c>
      <c r="O20" s="24">
        <f t="shared" ref="O20:O22" si="140">M20*N20</f>
        <v>9012.3540000000012</v>
      </c>
      <c r="P20" s="13">
        <v>0.26700000000000002</v>
      </c>
      <c r="Q20" s="24">
        <f t="shared" ref="Q20:Q22" si="141">M20*P20</f>
        <v>3533.4780000000001</v>
      </c>
      <c r="R20" s="15">
        <v>5.1999999999999998E-2</v>
      </c>
      <c r="S20" s="112">
        <v>0.24279999999999999</v>
      </c>
      <c r="T20" s="24">
        <f t="shared" ref="T20:T22" si="142">M20*R20</f>
        <v>688.16800000000001</v>
      </c>
      <c r="U20" s="25">
        <v>0.214</v>
      </c>
      <c r="V20" s="24">
        <f t="shared" ref="V20:V22" si="143">M20*U20</f>
        <v>2832.076</v>
      </c>
      <c r="W20" s="15">
        <v>0.51400000000000001</v>
      </c>
      <c r="X20" s="24">
        <f t="shared" ref="X20:X22" si="144">M20*W20</f>
        <v>6802.2759999999998</v>
      </c>
      <c r="Y20" s="15">
        <v>0.4</v>
      </c>
      <c r="Z20" s="24">
        <f t="shared" ref="Z20:Z22" si="145">Y20*M20</f>
        <v>5293.6</v>
      </c>
      <c r="AA20" s="116">
        <v>2.66E-3</v>
      </c>
      <c r="AB20" s="18">
        <f t="shared" ref="AB20" si="146">M20*AA20</f>
        <v>35.202440000000003</v>
      </c>
      <c r="AC20" s="16">
        <v>2.63E-3</v>
      </c>
      <c r="AD20" s="17">
        <f t="shared" ref="AD20:AD22" si="147">M20*AC20</f>
        <v>34.805419999999998</v>
      </c>
      <c r="AE20" s="26">
        <f>IF(M20&gt;0,(AG20+AP20)/M20,0)</f>
        <v>2.8440370485114108E-3</v>
      </c>
      <c r="AF20" s="16">
        <v>2.5000000000000001E-4</v>
      </c>
      <c r="AG20" s="23">
        <f t="shared" ref="AG20:AG22" si="148">AF20*M20</f>
        <v>3.3085</v>
      </c>
      <c r="AH20" s="92">
        <v>0.20730000000000001</v>
      </c>
      <c r="AI20" s="29">
        <f t="shared" ref="AI20:AI22" si="149">AL20*(1-AM20)*AH20</f>
        <v>33.426503100000005</v>
      </c>
      <c r="AJ20" s="27">
        <f t="shared" ref="AJ20:AJ22" si="150">IF(AND(AH20&gt;0,AF20&gt;0,AC20&gt;0),((AC20-AF20)*AH20)/((AH20-AF20)*AC20),0)</f>
        <v>0.906035628138535</v>
      </c>
      <c r="AK20" s="58">
        <f t="shared" si="6"/>
        <v>0.91316908317528567</v>
      </c>
      <c r="AL20" s="11">
        <v>177</v>
      </c>
      <c r="AM20" s="13">
        <v>8.8999999999999996E-2</v>
      </c>
      <c r="AN20" s="14">
        <v>0.21290000000000001</v>
      </c>
      <c r="AO20" s="101">
        <v>0.2142</v>
      </c>
      <c r="AP20" s="29">
        <f>AL20*(1-AM20)*AN20</f>
        <v>34.329486300000006</v>
      </c>
      <c r="AQ20" s="102">
        <f t="shared" ref="AQ20" si="151">AL20*(1-AM20)*AO20</f>
        <v>34.539107400000006</v>
      </c>
      <c r="AR20" s="18">
        <v>1.55</v>
      </c>
      <c r="AS20" s="18">
        <v>503.68</v>
      </c>
      <c r="AT20" s="79">
        <f>AT18+AL20-AS20+AU20</f>
        <v>110.51999999999896</v>
      </c>
      <c r="AU20" s="130">
        <v>-11.82</v>
      </c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55</v>
      </c>
      <c r="D21" s="33">
        <v>19600</v>
      </c>
      <c r="E21" s="33">
        <v>4</v>
      </c>
      <c r="F21" s="33">
        <v>16435</v>
      </c>
      <c r="G21" s="34">
        <v>1.2</v>
      </c>
      <c r="H21" s="34">
        <v>6.2</v>
      </c>
      <c r="I21" s="33">
        <v>15963</v>
      </c>
      <c r="J21" s="34">
        <v>4.3</v>
      </c>
      <c r="K21" s="33">
        <v>14760</v>
      </c>
      <c r="L21" s="35">
        <v>6.8000000000000005E-2</v>
      </c>
      <c r="M21" s="36">
        <f>ROUND(K21*(1-L21),0)</f>
        <v>13756</v>
      </c>
      <c r="N21" s="37">
        <v>0.65100000000000002</v>
      </c>
      <c r="O21" s="24">
        <f t="shared" si="140"/>
        <v>8955.1560000000009</v>
      </c>
      <c r="P21" s="35">
        <v>0.28199999999999997</v>
      </c>
      <c r="Q21" s="24">
        <f t="shared" si="141"/>
        <v>3879.1919999999996</v>
      </c>
      <c r="R21" s="38">
        <v>6.7000000000000004E-2</v>
      </c>
      <c r="S21" s="105">
        <v>0.27929999999999999</v>
      </c>
      <c r="T21" s="24">
        <f t="shared" si="142"/>
        <v>921.65200000000004</v>
      </c>
      <c r="U21" s="27">
        <v>0.23699999999999999</v>
      </c>
      <c r="V21" s="24">
        <f t="shared" si="143"/>
        <v>3260.172</v>
      </c>
      <c r="W21" s="38">
        <v>0.48</v>
      </c>
      <c r="X21" s="24">
        <f t="shared" si="144"/>
        <v>6602.88</v>
      </c>
      <c r="Y21" s="38">
        <v>0.38</v>
      </c>
      <c r="Z21" s="24">
        <f t="shared" si="145"/>
        <v>5227.28</v>
      </c>
      <c r="AA21" s="117">
        <v>2.2499999999999998E-3</v>
      </c>
      <c r="AB21" s="18">
        <f t="shared" si="60"/>
        <v>30.950999999999997</v>
      </c>
      <c r="AC21" s="39">
        <v>2.4399999999999999E-3</v>
      </c>
      <c r="AD21" s="17">
        <f t="shared" si="147"/>
        <v>33.564639999999997</v>
      </c>
      <c r="AE21" s="26">
        <f>IF(M21&gt;0,(AG21+AP21)/M21,0)</f>
        <v>2.4802898517010761E-3</v>
      </c>
      <c r="AF21" s="39">
        <v>2.5000000000000001E-4</v>
      </c>
      <c r="AG21" s="36">
        <f t="shared" si="148"/>
        <v>3.4390000000000001</v>
      </c>
      <c r="AH21" s="27">
        <v>0.21360000000000001</v>
      </c>
      <c r="AI21" s="40">
        <f t="shared" si="149"/>
        <v>28.704422400000006</v>
      </c>
      <c r="AJ21" s="27">
        <f t="shared" si="150"/>
        <v>0.89859270728080942</v>
      </c>
      <c r="AK21" s="28">
        <f t="shared" si="6"/>
        <v>0.90019108341447573</v>
      </c>
      <c r="AL21" s="33">
        <v>148</v>
      </c>
      <c r="AM21" s="35">
        <v>9.1999999999999998E-2</v>
      </c>
      <c r="AN21" s="37">
        <v>0.2283</v>
      </c>
      <c r="AO21" s="103">
        <v>0.22770000000000001</v>
      </c>
      <c r="AP21" s="40">
        <f>AL21*(1-AM21)*AN21</f>
        <v>30.679867200000004</v>
      </c>
      <c r="AQ21" s="104">
        <f t="shared" si="21"/>
        <v>30.599236800000003</v>
      </c>
      <c r="AR21" s="41">
        <v>1.55</v>
      </c>
      <c r="AS21" s="41"/>
      <c r="AT21" s="129">
        <f>AT20+AL21-AS21</f>
        <v>258.51999999999896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53</v>
      </c>
      <c r="D22" s="42">
        <v>19417</v>
      </c>
      <c r="E22" s="42">
        <v>0</v>
      </c>
      <c r="F22" s="42">
        <v>16490</v>
      </c>
      <c r="G22" s="36">
        <v>1.7</v>
      </c>
      <c r="H22" s="36">
        <v>6.5</v>
      </c>
      <c r="I22" s="42">
        <v>16555</v>
      </c>
      <c r="J22" s="36">
        <v>3.7</v>
      </c>
      <c r="K22" s="42">
        <v>15480</v>
      </c>
      <c r="L22" s="38">
        <v>6.3E-2</v>
      </c>
      <c r="M22" s="36">
        <f>ROUND(K22*(1-L22),0)</f>
        <v>14505</v>
      </c>
      <c r="N22" s="27">
        <v>0.71799999999999997</v>
      </c>
      <c r="O22" s="24">
        <f t="shared" si="140"/>
        <v>10414.59</v>
      </c>
      <c r="P22" s="38">
        <v>0.23100000000000001</v>
      </c>
      <c r="Q22" s="24">
        <f t="shared" si="141"/>
        <v>3350.6550000000002</v>
      </c>
      <c r="R22" s="38">
        <v>5.0999999999999997E-2</v>
      </c>
      <c r="S22" s="105">
        <v>0.23719999999999999</v>
      </c>
      <c r="T22" s="24">
        <f t="shared" si="142"/>
        <v>739.755</v>
      </c>
      <c r="U22" s="27">
        <v>0.22500000000000001</v>
      </c>
      <c r="V22" s="24">
        <f t="shared" si="143"/>
        <v>3263.625</v>
      </c>
      <c r="W22" s="38">
        <v>0.48699999999999999</v>
      </c>
      <c r="X22" s="24">
        <f t="shared" si="144"/>
        <v>7063.9349999999995</v>
      </c>
      <c r="Y22" s="38">
        <v>0.39</v>
      </c>
      <c r="Z22" s="24">
        <f t="shared" si="145"/>
        <v>5656.95</v>
      </c>
      <c r="AA22" s="118">
        <v>2.47E-3</v>
      </c>
      <c r="AB22" s="121">
        <f t="shared" si="60"/>
        <v>35.827350000000003</v>
      </c>
      <c r="AC22" s="45">
        <v>2.5400000000000002E-3</v>
      </c>
      <c r="AD22" s="17">
        <f t="shared" si="147"/>
        <v>36.842700000000001</v>
      </c>
      <c r="AE22" s="26">
        <f>IF(M22&gt;0,(AG22+AP22)/M22,0)</f>
        <v>2.6883314994829367E-3</v>
      </c>
      <c r="AF22" s="45">
        <v>2.5000000000000001E-4</v>
      </c>
      <c r="AG22" s="36">
        <f t="shared" si="148"/>
        <v>3.6262500000000002</v>
      </c>
      <c r="AH22" s="27">
        <v>0.20519999999999999</v>
      </c>
      <c r="AI22" s="40">
        <f t="shared" si="149"/>
        <v>33.124204800000001</v>
      </c>
      <c r="AJ22" s="27">
        <f t="shared" si="150"/>
        <v>0.90267455284849596</v>
      </c>
      <c r="AK22" s="28">
        <f t="shared" si="6"/>
        <v>0.90804162031415236</v>
      </c>
      <c r="AL22" s="42">
        <v>177</v>
      </c>
      <c r="AM22" s="38">
        <v>8.7999999999999995E-2</v>
      </c>
      <c r="AN22" s="27">
        <v>0.21909999999999999</v>
      </c>
      <c r="AO22" s="105">
        <v>0.22059999999999999</v>
      </c>
      <c r="AP22" s="40">
        <f>AL22*(1-AM22)*AN22</f>
        <v>35.367998399999998</v>
      </c>
      <c r="AQ22" s="106">
        <f t="shared" si="21"/>
        <v>35.6101344</v>
      </c>
      <c r="AR22" s="17">
        <v>1.62</v>
      </c>
      <c r="AS22" s="17"/>
      <c r="AT22" s="129">
        <f>AT21+AL22-AS22</f>
        <v>435.51999999999896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2">SUM(D20:D22)</f>
        <v>44217</v>
      </c>
      <c r="E23" s="49"/>
      <c r="F23" s="49">
        <f t="shared" ref="F23" si="153">SUM(F20:F22)</f>
        <v>46034</v>
      </c>
      <c r="G23" s="50"/>
      <c r="H23" s="50"/>
      <c r="I23" s="49">
        <f t="shared" ref="I23:K23" si="154">SUM(I20:I22)</f>
        <v>45884</v>
      </c>
      <c r="J23" s="50"/>
      <c r="K23" s="49">
        <f t="shared" si="154"/>
        <v>44424</v>
      </c>
      <c r="L23" s="20">
        <f t="shared" ref="L23" si="155">IF(K23&gt;0,(K20*L20+K21*L21+K22*L22)/K23,0)</f>
        <v>6.5938411669367925E-2</v>
      </c>
      <c r="M23" s="50">
        <f t="shared" ref="M23" si="156">M20+M21+M22</f>
        <v>41495</v>
      </c>
      <c r="N23" s="51">
        <f t="shared" ref="N23" si="157">IF(M23&gt;0,O23/M23,0)</f>
        <v>0.68398843234124596</v>
      </c>
      <c r="O23" s="52">
        <f t="shared" ref="O23" si="158">O20+O21+O22</f>
        <v>28382.100000000002</v>
      </c>
      <c r="P23" s="20">
        <f t="shared" ref="P23" si="159">IF(M23&gt;0,Q23/M23,0)</f>
        <v>0.25938848053982411</v>
      </c>
      <c r="Q23" s="52">
        <f t="shared" ref="Q23" si="160">Q20+Q21+Q22</f>
        <v>10763.325000000001</v>
      </c>
      <c r="R23" s="20">
        <f t="shared" ref="R23" si="161">IF(M23&gt;0,T23/M23,0)</f>
        <v>5.662308711893E-2</v>
      </c>
      <c r="S23" s="107"/>
      <c r="T23" s="52">
        <f t="shared" ref="T23" si="162">T20+T21+T22</f>
        <v>2349.5750000000003</v>
      </c>
      <c r="U23" s="20">
        <f t="shared" ref="U23" si="163">IF(M23&gt;0,V23/M23,0)</f>
        <v>0.2254698879383058</v>
      </c>
      <c r="V23" s="52">
        <f t="shared" ref="V23" si="164">V20+V21+V22</f>
        <v>9355.8729999999996</v>
      </c>
      <c r="W23" s="20">
        <f t="shared" ref="W23" si="165">IF(M23&gt;0,X23/M23,0)</f>
        <v>0.49329054102903963</v>
      </c>
      <c r="X23" s="52">
        <f t="shared" ref="X23" si="166">X20+X21+X22</f>
        <v>20469.091</v>
      </c>
      <c r="Y23" s="20">
        <f t="shared" ref="Y23" si="167">IF(M23&gt;0,Z23/M23,0)</f>
        <v>0.38987420171104958</v>
      </c>
      <c r="Z23" s="52">
        <f t="shared" ref="Z23" si="168">Z20+Z21+Z22</f>
        <v>16177.830000000002</v>
      </c>
      <c r="AA23" s="119">
        <f>IF(M23&gt;0,AB23/M23,0)</f>
        <v>2.4576645378961322E-3</v>
      </c>
      <c r="AB23" s="54">
        <f t="shared" ref="AB23" si="169">SUM(AB20:AB22)</f>
        <v>101.98079000000001</v>
      </c>
      <c r="AC23" s="53">
        <f t="shared" ref="AC23" si="170">IF(M23&gt;0,AD23/M23,0)</f>
        <v>2.535552717194843E-3</v>
      </c>
      <c r="AD23" s="54">
        <f t="shared" ref="AD23" si="171">SUM(AD20:AD22)</f>
        <v>105.21276</v>
      </c>
      <c r="AE23" s="53">
        <f t="shared" ref="AE23" si="172">IF(M23&gt;0,(AE20*M20+AE21*M21+AE22*M22)/M23,0)</f>
        <v>2.6690228196168215E-3</v>
      </c>
      <c r="AF23" s="53">
        <f t="shared" ref="AF23" si="173">IF(K23&gt;0,(K20*AF20+K21*AF21+K22*AF22)/K23,0)</f>
        <v>2.5000000000000006E-4</v>
      </c>
      <c r="AG23" s="50">
        <f t="shared" ref="AG23" si="174">SUM(AG20:AG22)</f>
        <v>10.373750000000001</v>
      </c>
      <c r="AH23" s="51">
        <f t="shared" ref="AH23" si="175">IF(K23&gt;0,(K20*AH20+K21*AH21+K22*AH22)/K23,0)</f>
        <v>0.20866142625607778</v>
      </c>
      <c r="AI23" s="56">
        <f t="shared" ref="AI23" si="176">SUM(AI20:AI22)</f>
        <v>95.255130300000019</v>
      </c>
      <c r="AJ23" s="51">
        <f t="shared" ref="AJ23" si="177">IF(AND(AD23&gt;0),((AD20*AJ20+AD21*AJ21+AD22*AJ22)/AD23),0)</f>
        <v>0.90248425235743801</v>
      </c>
      <c r="AK23" s="55">
        <f t="shared" si="6"/>
        <v>0.90736302513984279</v>
      </c>
      <c r="AL23" s="49">
        <f t="shared" ref="AL23" si="178">SUM(AL20:AL22)</f>
        <v>502</v>
      </c>
      <c r="AM23" s="20">
        <f t="shared" ref="AM23" si="179">IF(AL23&gt;0,(AM20*AL20+AM21*AL21+AM22*AL22)/AL23,0)</f>
        <v>8.9531872509960156E-2</v>
      </c>
      <c r="AN23" s="51">
        <f>IF(K23&gt;0,(AN20*K20+AN21*K21+AN22*K22)/K23,0)</f>
        <v>0.22017714748784442</v>
      </c>
      <c r="AO23" s="107">
        <f>IF(K23&gt;0,(AO20*K20+AO21*K21+AO22*K22)/K23,0)</f>
        <v>0.22091555915721231</v>
      </c>
      <c r="AP23" s="56">
        <f t="shared" ref="AP23" si="180">SUM(AP20:AP22)</f>
        <v>100.37735190000001</v>
      </c>
      <c r="AQ23" s="108">
        <f t="shared" si="51"/>
        <v>100.7484786</v>
      </c>
      <c r="AR23" s="54"/>
      <c r="AS23" s="54">
        <f t="shared" ref="AS23" si="181">SUM(AS20:AS22)</f>
        <v>503.68</v>
      </c>
      <c r="AT23" s="83"/>
      <c r="AU23" s="84">
        <f>AT22</f>
        <v>435.51999999999896</v>
      </c>
      <c r="AV23" s="49">
        <f t="shared" ref="AV23" si="182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59</v>
      </c>
      <c r="D24" s="11">
        <v>3650</v>
      </c>
      <c r="E24" s="11">
        <v>1</v>
      </c>
      <c r="F24" s="11">
        <v>10778</v>
      </c>
      <c r="G24" s="12">
        <v>0.9</v>
      </c>
      <c r="H24" s="12">
        <v>5.8</v>
      </c>
      <c r="I24" s="11">
        <v>11249</v>
      </c>
      <c r="J24" s="12">
        <v>5</v>
      </c>
      <c r="K24" s="11">
        <v>15354</v>
      </c>
      <c r="L24" s="13">
        <v>7.1999999999999995E-2</v>
      </c>
      <c r="M24" s="23">
        <f>ROUND(K24*(1-L24),0)</f>
        <v>14249</v>
      </c>
      <c r="N24" s="14">
        <v>0.65800000000000003</v>
      </c>
      <c r="O24" s="24">
        <f t="shared" ref="O24:O26" si="183">M24*N24</f>
        <v>9375.8420000000006</v>
      </c>
      <c r="P24" s="13">
        <v>0.28199999999999997</v>
      </c>
      <c r="Q24" s="24">
        <f t="shared" ref="Q24:Q26" si="184">M24*P24</f>
        <v>4018.2179999999994</v>
      </c>
      <c r="R24" s="15">
        <v>0.06</v>
      </c>
      <c r="S24" s="112">
        <v>0.25540000000000002</v>
      </c>
      <c r="T24" s="24">
        <f t="shared" ref="T24:T26" si="185">M24*R24</f>
        <v>854.93999999999994</v>
      </c>
      <c r="U24" s="25">
        <v>0.217</v>
      </c>
      <c r="V24" s="24">
        <f t="shared" ref="V24:V26" si="186">M24*U24</f>
        <v>3092.0329999999999</v>
      </c>
      <c r="W24" s="15">
        <v>0.499</v>
      </c>
      <c r="X24" s="24">
        <f t="shared" ref="X24:X26" si="187">M24*W24</f>
        <v>7110.2510000000002</v>
      </c>
      <c r="Y24" s="15">
        <v>0.38</v>
      </c>
      <c r="Z24" s="24">
        <f t="shared" ref="Z24:Z26" si="188">Y24*M24</f>
        <v>5414.62</v>
      </c>
      <c r="AA24" s="116">
        <v>2.5000000000000001E-3</v>
      </c>
      <c r="AB24" s="18">
        <f t="shared" ref="AB24" si="189">M24*AA24</f>
        <v>35.622500000000002</v>
      </c>
      <c r="AC24" s="16">
        <v>2.5400000000000002E-3</v>
      </c>
      <c r="AD24" s="17">
        <f t="shared" ref="AD24:AD26" si="190">M24*AC24</f>
        <v>36.192460000000004</v>
      </c>
      <c r="AE24" s="26">
        <f>IF(M24&gt;0,(AG24+AP24)/M24,0)</f>
        <v>2.5863479542424027E-3</v>
      </c>
      <c r="AF24" s="16">
        <v>2.5000000000000001E-4</v>
      </c>
      <c r="AG24" s="23">
        <f t="shared" ref="AG24:AG26" si="191">AF24*M24</f>
        <v>3.5622500000000001</v>
      </c>
      <c r="AH24" s="92">
        <v>0.2087</v>
      </c>
      <c r="AI24" s="29">
        <f t="shared" ref="AI24:AI26" si="192">AL24*(1-AM24)*AH24</f>
        <v>32.618557800000005</v>
      </c>
      <c r="AJ24" s="27">
        <f t="shared" ref="AJ24:AJ26" si="193">IF(AND(AH24&gt;0,AF24&gt;0,AC24&gt;0),((AC24-AF24)*AH24)/((AH24-AF24)*AC24),0)</f>
        <v>0.90265608739420899</v>
      </c>
      <c r="AK24" s="58">
        <f t="shared" si="6"/>
        <v>0.90440010794290648</v>
      </c>
      <c r="AL24" s="11">
        <v>171</v>
      </c>
      <c r="AM24" s="13">
        <v>8.5999999999999993E-2</v>
      </c>
      <c r="AN24" s="14">
        <v>0.21299999999999999</v>
      </c>
      <c r="AO24" s="101">
        <v>0.21460000000000001</v>
      </c>
      <c r="AP24" s="29">
        <f>AL24*(1-AM24)*AN24</f>
        <v>33.290621999999999</v>
      </c>
      <c r="AQ24" s="102">
        <f t="shared" ref="AQ24" si="194">AL24*(1-AM24)*AO24</f>
        <v>33.540692400000005</v>
      </c>
      <c r="AR24" s="18">
        <v>1.55</v>
      </c>
      <c r="AS24" s="18">
        <v>510.82</v>
      </c>
      <c r="AT24" s="79">
        <f>AT22+AL24-AS24</f>
        <v>95.699999999998965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60</v>
      </c>
      <c r="D25" s="33">
        <v>18900</v>
      </c>
      <c r="E25" s="33">
        <v>4</v>
      </c>
      <c r="F25" s="33">
        <v>16595</v>
      </c>
      <c r="G25" s="34">
        <v>0.8</v>
      </c>
      <c r="H25" s="34">
        <v>5.4</v>
      </c>
      <c r="I25" s="33">
        <v>15172</v>
      </c>
      <c r="J25" s="34">
        <v>5.3</v>
      </c>
      <c r="K25" s="33">
        <v>15279</v>
      </c>
      <c r="L25" s="35">
        <v>7.6999999999999999E-2</v>
      </c>
      <c r="M25" s="36">
        <f>ROUND(K25*(1-L25),0)</f>
        <v>14103</v>
      </c>
      <c r="N25" s="37">
        <v>0.55100000000000005</v>
      </c>
      <c r="O25" s="24">
        <f t="shared" si="183"/>
        <v>7770.7530000000006</v>
      </c>
      <c r="P25" s="35">
        <v>0.41099999999999998</v>
      </c>
      <c r="Q25" s="24">
        <f t="shared" si="184"/>
        <v>5796.3329999999996</v>
      </c>
      <c r="R25" s="38">
        <v>3.7999999999999999E-2</v>
      </c>
      <c r="S25" s="105"/>
      <c r="T25" s="24">
        <f t="shared" si="185"/>
        <v>535.91399999999999</v>
      </c>
      <c r="U25" s="27">
        <v>0.21299999999999999</v>
      </c>
      <c r="V25" s="24">
        <f t="shared" si="186"/>
        <v>3003.9389999999999</v>
      </c>
      <c r="W25" s="38">
        <v>0.5</v>
      </c>
      <c r="X25" s="24">
        <f t="shared" si="187"/>
        <v>7051.5</v>
      </c>
      <c r="Y25" s="38">
        <v>0.37</v>
      </c>
      <c r="Z25" s="24">
        <f t="shared" si="188"/>
        <v>5218.1099999999997</v>
      </c>
      <c r="AA25" s="117">
        <v>2.5799999999999998E-3</v>
      </c>
      <c r="AB25" s="18">
        <f t="shared" si="60"/>
        <v>36.385739999999998</v>
      </c>
      <c r="AC25" s="39">
        <v>2.6800000000000001E-3</v>
      </c>
      <c r="AD25" s="17">
        <f t="shared" si="190"/>
        <v>37.796039999999998</v>
      </c>
      <c r="AE25" s="26">
        <f>IF(M25&gt;0,(AG25+AP25)/M25,0)</f>
        <v>2.7000095724313976E-3</v>
      </c>
      <c r="AF25" s="39">
        <v>2.5000000000000001E-4</v>
      </c>
      <c r="AG25" s="36">
        <f t="shared" si="191"/>
        <v>3.5257499999999999</v>
      </c>
      <c r="AH25" s="27">
        <v>0.20599999999999999</v>
      </c>
      <c r="AI25" s="40">
        <f t="shared" si="192"/>
        <v>32.725572</v>
      </c>
      <c r="AJ25" s="27">
        <f t="shared" si="193"/>
        <v>0.90781813895286612</v>
      </c>
      <c r="AK25" s="28">
        <f t="shared" si="6"/>
        <v>0.90845193330341201</v>
      </c>
      <c r="AL25" s="33">
        <v>174</v>
      </c>
      <c r="AM25" s="35">
        <v>8.6999999999999994E-2</v>
      </c>
      <c r="AN25" s="37">
        <v>0.2175</v>
      </c>
      <c r="AO25" s="103">
        <v>0.22450000000000001</v>
      </c>
      <c r="AP25" s="40">
        <f>AL25*(1-AM25)*AN25</f>
        <v>34.552484999999997</v>
      </c>
      <c r="AQ25" s="104">
        <f t="shared" si="21"/>
        <v>35.664518999999999</v>
      </c>
      <c r="AR25" s="41">
        <v>1.5</v>
      </c>
      <c r="AS25" s="41"/>
      <c r="AT25" s="129">
        <f>AT24+AL25-AS25</f>
        <v>269.69999999999897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57</v>
      </c>
      <c r="D26" s="42">
        <v>17000</v>
      </c>
      <c r="E26" s="42">
        <v>1</v>
      </c>
      <c r="F26" s="42">
        <v>15890</v>
      </c>
      <c r="G26" s="36">
        <v>0.6</v>
      </c>
      <c r="H26" s="36">
        <v>5.8</v>
      </c>
      <c r="I26" s="42">
        <v>15562</v>
      </c>
      <c r="J26" s="36">
        <v>5</v>
      </c>
      <c r="K26" s="42">
        <v>15253</v>
      </c>
      <c r="L26" s="38">
        <v>6.8000000000000005E-2</v>
      </c>
      <c r="M26" s="36">
        <f>ROUND(K26*(1-L26),0)</f>
        <v>14216</v>
      </c>
      <c r="N26" s="27">
        <v>0.60399999999999998</v>
      </c>
      <c r="O26" s="24">
        <f t="shared" si="183"/>
        <v>8586.4639999999999</v>
      </c>
      <c r="P26" s="38">
        <v>0.35899999999999999</v>
      </c>
      <c r="Q26" s="24">
        <f t="shared" si="184"/>
        <v>5103.5439999999999</v>
      </c>
      <c r="R26" s="38">
        <v>3.6999999999999998E-2</v>
      </c>
      <c r="S26" s="105"/>
      <c r="T26" s="24">
        <f t="shared" si="185"/>
        <v>525.99199999999996</v>
      </c>
      <c r="U26" s="27">
        <v>0.21099999999999999</v>
      </c>
      <c r="V26" s="24">
        <f t="shared" si="186"/>
        <v>2999.576</v>
      </c>
      <c r="W26" s="38">
        <v>0.51100000000000001</v>
      </c>
      <c r="X26" s="24">
        <f t="shared" si="187"/>
        <v>7264.3760000000002</v>
      </c>
      <c r="Y26" s="38">
        <v>0.39</v>
      </c>
      <c r="Z26" s="24">
        <f t="shared" si="188"/>
        <v>5544.24</v>
      </c>
      <c r="AA26" s="118">
        <v>2.6099999999999999E-3</v>
      </c>
      <c r="AB26" s="121">
        <f t="shared" si="60"/>
        <v>37.103760000000001</v>
      </c>
      <c r="AC26" s="45">
        <v>2.7399999999999998E-3</v>
      </c>
      <c r="AD26" s="17">
        <f t="shared" si="190"/>
        <v>38.951839999999997</v>
      </c>
      <c r="AE26" s="26">
        <f>IF(M26&gt;0,(AG26+AP26)/M26,0)</f>
        <v>2.6137971370287006E-3</v>
      </c>
      <c r="AF26" s="45">
        <v>2.5000000000000001E-4</v>
      </c>
      <c r="AG26" s="36">
        <f t="shared" si="191"/>
        <v>3.5540000000000003</v>
      </c>
      <c r="AH26" s="27">
        <v>0.20730000000000001</v>
      </c>
      <c r="AI26" s="40">
        <f t="shared" si="192"/>
        <v>32.506091100000006</v>
      </c>
      <c r="AJ26" s="27">
        <f t="shared" si="193"/>
        <v>0.90985639422051523</v>
      </c>
      <c r="AK26" s="28">
        <f t="shared" si="6"/>
        <v>0.90540995079890008</v>
      </c>
      <c r="AL26" s="42">
        <v>171</v>
      </c>
      <c r="AM26" s="38">
        <v>8.3000000000000004E-2</v>
      </c>
      <c r="AN26" s="27">
        <v>0.21429999999999999</v>
      </c>
      <c r="AO26" s="105">
        <v>0.22289999999999999</v>
      </c>
      <c r="AP26" s="40">
        <f>AL26*(1-AM26)*AN26</f>
        <v>33.603740100000003</v>
      </c>
      <c r="AQ26" s="106">
        <f t="shared" si="21"/>
        <v>34.952280299999998</v>
      </c>
      <c r="AR26" s="17">
        <v>1.5</v>
      </c>
      <c r="AS26" s="17"/>
      <c r="AT26" s="129">
        <f>AT25+AL26-AS26</f>
        <v>440.69999999999897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5">SUM(D24:D26)</f>
        <v>39550</v>
      </c>
      <c r="E27" s="49"/>
      <c r="F27" s="49">
        <f t="shared" ref="F27" si="196">SUM(F24:F26)</f>
        <v>43263</v>
      </c>
      <c r="G27" s="50"/>
      <c r="H27" s="50"/>
      <c r="I27" s="49">
        <f t="shared" ref="I27:K27" si="197">SUM(I24:I26)</f>
        <v>41983</v>
      </c>
      <c r="J27" s="50"/>
      <c r="K27" s="49">
        <f t="shared" si="197"/>
        <v>45886</v>
      </c>
      <c r="L27" s="20">
        <f t="shared" ref="L27" si="198">IF(K27&gt;0,(K24*L24+K25*L25+K26*L26)/K27,0)</f>
        <v>7.2335243865231214E-2</v>
      </c>
      <c r="M27" s="50">
        <f t="shared" ref="M27" si="199">M24+M25+M26</f>
        <v>42568</v>
      </c>
      <c r="N27" s="51">
        <f t="shared" ref="N27" si="200">IF(M27&gt;0,O27/M27,0)</f>
        <v>0.60451651475286605</v>
      </c>
      <c r="O27" s="52">
        <f t="shared" ref="O27" si="201">O24+O25+O26</f>
        <v>25733.059000000001</v>
      </c>
      <c r="P27" s="20">
        <f t="shared" ref="P27" si="202">IF(M27&gt;0,Q27/M27,0)</f>
        <v>0.35045327476038335</v>
      </c>
      <c r="Q27" s="52">
        <f t="shared" ref="Q27" si="203">Q24+Q25+Q26</f>
        <v>14918.094999999999</v>
      </c>
      <c r="R27" s="20">
        <f t="shared" ref="R27" si="204">IF(M27&gt;0,T27/M27,0)</f>
        <v>4.5030210486750606E-2</v>
      </c>
      <c r="S27" s="107"/>
      <c r="T27" s="52">
        <f t="shared" ref="T27" si="205">T24+T25+T26</f>
        <v>1916.8459999999998</v>
      </c>
      <c r="U27" s="20">
        <f t="shared" ref="U27" si="206">IF(M27&gt;0,V27/M27,0)</f>
        <v>0.21367102048487124</v>
      </c>
      <c r="V27" s="52">
        <f t="shared" ref="V27" si="207">V24+V25+V26</f>
        <v>9095.5479999999989</v>
      </c>
      <c r="W27" s="20">
        <f t="shared" ref="W27" si="208">IF(M27&gt;0,X27/M27,0)</f>
        <v>0.50333882258973883</v>
      </c>
      <c r="X27" s="52">
        <f t="shared" ref="X27" si="209">X24+X25+X26</f>
        <v>21426.127</v>
      </c>
      <c r="Y27" s="20">
        <f t="shared" ref="Y27" si="210">IF(M27&gt;0,Z27/M27,0)</f>
        <v>0.38002654576207479</v>
      </c>
      <c r="Z27" s="52">
        <f t="shared" ref="Z27" si="211">Z24+Z25+Z26</f>
        <v>16176.97</v>
      </c>
      <c r="AA27" s="119">
        <f>IF(M27&gt;0,AB27/M27,0)</f>
        <v>2.5632399924826158E-3</v>
      </c>
      <c r="AB27" s="54">
        <f t="shared" ref="AB27" si="212">SUM(AB24:AB26)</f>
        <v>109.11199999999999</v>
      </c>
      <c r="AC27" s="53">
        <f t="shared" ref="AC27" si="213">IF(M27&gt;0,AD27/M27,0)</f>
        <v>2.653174685209547E-3</v>
      </c>
      <c r="AD27" s="54">
        <f t="shared" ref="AD27" si="214">SUM(AD24:AD26)</f>
        <v>112.94033999999999</v>
      </c>
      <c r="AE27" s="53">
        <f t="shared" ref="AE27" si="215">IF(M27&gt;0,(AE24*M24+AE25*M25+AE26*M26)/M27,0)</f>
        <v>2.6331715631460256E-3</v>
      </c>
      <c r="AF27" s="53">
        <f t="shared" ref="AF27" si="216">IF(K27&gt;0,(K24*AF24+K25*AF25+K26*AF26)/K27,0)</f>
        <v>2.5000000000000001E-4</v>
      </c>
      <c r="AG27" s="50">
        <f t="shared" ref="AG27" si="217">SUM(AG24:AG26)</f>
        <v>10.641999999999999</v>
      </c>
      <c r="AH27" s="51">
        <f t="shared" ref="AH27" si="218">IF(K27&gt;0,(K24*AH24+K25*AH25+K26*AH26)/K27,0)</f>
        <v>0.20733558601752167</v>
      </c>
      <c r="AI27" s="56">
        <f t="shared" ref="AI27" si="219">SUM(AI24:AI26)</f>
        <v>97.850220900000011</v>
      </c>
      <c r="AJ27" s="51">
        <f t="shared" ref="AJ27" si="220">IF(AND(AD27&gt;0),((AD24*AJ24+AD25*AJ25+AD26*AJ26)/AD27),0)</f>
        <v>0.90686689733724846</v>
      </c>
      <c r="AK27" s="55">
        <f t="shared" si="6"/>
        <v>0.90611141712323551</v>
      </c>
      <c r="AL27" s="49">
        <f t="shared" ref="AL27" si="221">SUM(AL24:AL26)</f>
        <v>516</v>
      </c>
      <c r="AM27" s="20">
        <f t="shared" ref="AM27" si="222">IF(AL27&gt;0,(AM24*AL24+AM25*AL25+AM26*AL26)/AL27,0)</f>
        <v>8.5343023255813957E-2</v>
      </c>
      <c r="AN27" s="51">
        <f>IF(K27&gt;0,(AN24*K24+AN25*K25+AN26*K26)/K27,0)</f>
        <v>0.21493053218846708</v>
      </c>
      <c r="AO27" s="107">
        <f>IF(K27&gt;0,(AO24*K24+AO25*K25+AO26*K26)/K27,0)</f>
        <v>0.22065548533321708</v>
      </c>
      <c r="AP27" s="56">
        <f t="shared" ref="AP27:AQ39" si="223">SUM(AP24:AP26)</f>
        <v>101.44684710000001</v>
      </c>
      <c r="AQ27" s="108">
        <f t="shared" si="223"/>
        <v>104.15749169999999</v>
      </c>
      <c r="AR27" s="54"/>
      <c r="AS27" s="54">
        <f t="shared" ref="AS27" si="224">SUM(AS24:AS26)</f>
        <v>510.82</v>
      </c>
      <c r="AT27" s="83"/>
      <c r="AU27" s="84">
        <f>AT26</f>
        <v>440.69999999999897</v>
      </c>
      <c r="AV27" s="49">
        <f t="shared" ref="AV27" si="225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58</v>
      </c>
      <c r="D28" s="11">
        <v>14630</v>
      </c>
      <c r="E28" s="11">
        <v>0</v>
      </c>
      <c r="F28" s="11">
        <v>17611</v>
      </c>
      <c r="G28" s="12">
        <v>1.1000000000000001</v>
      </c>
      <c r="H28" s="12">
        <v>7</v>
      </c>
      <c r="I28" s="11">
        <v>17358</v>
      </c>
      <c r="J28" s="12">
        <v>4.0999999999999996</v>
      </c>
      <c r="K28" s="11">
        <v>15231</v>
      </c>
      <c r="L28" s="13">
        <v>7.0000000000000007E-2</v>
      </c>
      <c r="M28" s="23">
        <f>ROUND(K28*(1-L28),0)</f>
        <v>14165</v>
      </c>
      <c r="N28" s="14">
        <v>0.81299999999999994</v>
      </c>
      <c r="O28" s="24">
        <f t="shared" ref="O28:O30" si="226">M28*N28</f>
        <v>11516.144999999999</v>
      </c>
      <c r="P28" s="13">
        <v>0.13100000000000001</v>
      </c>
      <c r="Q28" s="24">
        <f t="shared" ref="Q28:Q30" si="227">M28*P28</f>
        <v>1855.615</v>
      </c>
      <c r="R28" s="15">
        <v>5.6000000000000001E-2</v>
      </c>
      <c r="S28" s="112"/>
      <c r="T28" s="24">
        <f t="shared" ref="T28:T30" si="228">M28*R28</f>
        <v>793.24</v>
      </c>
      <c r="U28" s="25">
        <v>0.224</v>
      </c>
      <c r="V28" s="24">
        <f t="shared" ref="V28:V30" si="229">M28*U28</f>
        <v>3172.96</v>
      </c>
      <c r="W28" s="15">
        <v>0.48199999999999998</v>
      </c>
      <c r="X28" s="24">
        <f t="shared" ref="X28:X30" si="230">M28*W28</f>
        <v>6827.53</v>
      </c>
      <c r="Y28" s="15">
        <v>0.38</v>
      </c>
      <c r="Z28" s="24">
        <f t="shared" ref="Z28:Z30" si="231">Y28*M28</f>
        <v>5382.7</v>
      </c>
      <c r="AA28" s="116">
        <v>2.5600000000000002E-3</v>
      </c>
      <c r="AB28" s="18">
        <f t="shared" ref="AB28" si="232">M28*AA28</f>
        <v>36.2624</v>
      </c>
      <c r="AC28" s="16">
        <v>2.7299999999999998E-3</v>
      </c>
      <c r="AD28" s="17">
        <f t="shared" ref="AD28:AD30" si="233">M28*AC28</f>
        <v>38.670449999999995</v>
      </c>
      <c r="AE28" s="26">
        <f>IF(M28&gt;0,(AG28+AP28)/M28,0)</f>
        <v>2.7703989975291208E-3</v>
      </c>
      <c r="AF28" s="16">
        <v>2.4000000000000001E-4</v>
      </c>
      <c r="AG28" s="23">
        <f t="shared" ref="AG28:AG30" si="234">AF28*M28</f>
        <v>3.3996</v>
      </c>
      <c r="AH28" s="92">
        <v>0.20580000000000001</v>
      </c>
      <c r="AI28" s="29">
        <f t="shared" ref="AI28:AI30" si="235">AL28*(1-AM28)*AH28</f>
        <v>33.257485800000005</v>
      </c>
      <c r="AJ28" s="27">
        <f t="shared" ref="AJ28:AJ30" si="236">IF(AND(AH28&gt;0,AF28&gt;0,AC28&gt;0),((AC28-AF28)*AH28)/((AH28-AF28)*AC28),0)</f>
        <v>0.9131528133279444</v>
      </c>
      <c r="AK28" s="58">
        <f t="shared" si="6"/>
        <v>0.91435926698032488</v>
      </c>
      <c r="AL28" s="11">
        <v>177</v>
      </c>
      <c r="AM28" s="13">
        <v>8.6999999999999994E-2</v>
      </c>
      <c r="AN28" s="14">
        <v>0.2218</v>
      </c>
      <c r="AO28" s="101">
        <v>0.224</v>
      </c>
      <c r="AP28" s="29">
        <f>AL28*(1-AM28)*AN28</f>
        <v>35.843101799999999</v>
      </c>
      <c r="AQ28" s="102">
        <f t="shared" ref="AQ28" si="237">AL28*(1-AM28)*AO28</f>
        <v>36.198624000000002</v>
      </c>
      <c r="AR28" s="18">
        <v>1.55</v>
      </c>
      <c r="AS28" s="18"/>
      <c r="AT28" s="79">
        <f>AT26+AL28-AS28</f>
        <v>617.69999999999891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60</v>
      </c>
      <c r="D29" s="33">
        <v>20930</v>
      </c>
      <c r="E29" s="33">
        <v>2</v>
      </c>
      <c r="F29" s="33">
        <v>18165</v>
      </c>
      <c r="G29" s="34">
        <v>0.5</v>
      </c>
      <c r="H29" s="34">
        <v>5.5</v>
      </c>
      <c r="I29" s="33">
        <v>17289</v>
      </c>
      <c r="J29" s="34">
        <v>3.5</v>
      </c>
      <c r="K29" s="33">
        <v>15126</v>
      </c>
      <c r="L29" s="35">
        <v>5.6000000000000001E-2</v>
      </c>
      <c r="M29" s="36">
        <f>ROUND(K29*(1-L29),0)</f>
        <v>14279</v>
      </c>
      <c r="N29" s="37">
        <v>0.68300000000000005</v>
      </c>
      <c r="O29" s="24">
        <f t="shared" si="226"/>
        <v>9752.5570000000007</v>
      </c>
      <c r="P29" s="35">
        <v>0.23599999999999999</v>
      </c>
      <c r="Q29" s="24">
        <f t="shared" si="227"/>
        <v>3369.8439999999996</v>
      </c>
      <c r="R29" s="38">
        <v>8.1000000000000003E-2</v>
      </c>
      <c r="S29" s="105"/>
      <c r="T29" s="24">
        <f t="shared" si="228"/>
        <v>1156.5989999999999</v>
      </c>
      <c r="U29" s="27">
        <v>0.215</v>
      </c>
      <c r="V29" s="24">
        <f t="shared" si="229"/>
        <v>3069.9850000000001</v>
      </c>
      <c r="W29" s="38">
        <v>0.498</v>
      </c>
      <c r="X29" s="24">
        <f t="shared" si="230"/>
        <v>7110.942</v>
      </c>
      <c r="Y29" s="38">
        <v>0.39</v>
      </c>
      <c r="Z29" s="24">
        <f t="shared" si="231"/>
        <v>5568.81</v>
      </c>
      <c r="AA29" s="117">
        <v>2.6199999999999999E-3</v>
      </c>
      <c r="AB29" s="18">
        <f t="shared" si="60"/>
        <v>37.410980000000002</v>
      </c>
      <c r="AC29" s="39">
        <v>2.7200000000000002E-3</v>
      </c>
      <c r="AD29" s="17">
        <f t="shared" si="233"/>
        <v>38.838880000000003</v>
      </c>
      <c r="AE29" s="26">
        <f>IF(M29&gt;0,(AG29+AP29)/M29,0)</f>
        <v>2.6762260662511381E-3</v>
      </c>
      <c r="AF29" s="39">
        <v>2.4000000000000001E-4</v>
      </c>
      <c r="AG29" s="36">
        <f t="shared" si="234"/>
        <v>3.4269600000000002</v>
      </c>
      <c r="AH29" s="27">
        <v>0.20380000000000001</v>
      </c>
      <c r="AI29" s="40">
        <f t="shared" si="235"/>
        <v>32.898211200000006</v>
      </c>
      <c r="AJ29" s="27">
        <f t="shared" si="236"/>
        <v>0.91283968883289202</v>
      </c>
      <c r="AK29" s="28">
        <f t="shared" si="6"/>
        <v>0.91133642274820148</v>
      </c>
      <c r="AL29" s="33">
        <v>177</v>
      </c>
      <c r="AM29" s="35">
        <v>8.7999999999999995E-2</v>
      </c>
      <c r="AN29" s="37">
        <v>0.2155</v>
      </c>
      <c r="AO29" s="103">
        <v>0.221</v>
      </c>
      <c r="AP29" s="40">
        <f>AL29*(1-AM29)*AN29</f>
        <v>34.786872000000002</v>
      </c>
      <c r="AQ29" s="104">
        <f t="shared" si="21"/>
        <v>35.674703999999998</v>
      </c>
      <c r="AR29" s="41">
        <v>1.55</v>
      </c>
      <c r="AS29" s="41"/>
      <c r="AT29" s="129">
        <f>AT28+AL29-AS29</f>
        <v>794.69999999999891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0" t="s">
        <v>57</v>
      </c>
      <c r="D30" s="42">
        <v>16500</v>
      </c>
      <c r="E30" s="42">
        <v>0</v>
      </c>
      <c r="F30" s="42">
        <v>16597</v>
      </c>
      <c r="G30" s="36">
        <v>0.8</v>
      </c>
      <c r="H30" s="36">
        <v>5.9</v>
      </c>
      <c r="I30" s="42">
        <v>16532</v>
      </c>
      <c r="J30" s="36">
        <v>2.7</v>
      </c>
      <c r="K30" s="42">
        <v>14958</v>
      </c>
      <c r="L30" s="38">
        <v>0.06</v>
      </c>
      <c r="M30" s="36">
        <f>ROUND(K30*(1-L30),0)</f>
        <v>14061</v>
      </c>
      <c r="N30" s="27">
        <v>0.51500000000000001</v>
      </c>
      <c r="O30" s="24">
        <f t="shared" si="226"/>
        <v>7241.415</v>
      </c>
      <c r="P30" s="38">
        <v>0.40799999999999997</v>
      </c>
      <c r="Q30" s="24">
        <f t="shared" si="227"/>
        <v>5736.8879999999999</v>
      </c>
      <c r="R30" s="38">
        <v>7.6999999999999999E-2</v>
      </c>
      <c r="S30" s="105"/>
      <c r="T30" s="24">
        <f t="shared" si="228"/>
        <v>1082.6969999999999</v>
      </c>
      <c r="U30" s="27">
        <v>0.21299999999999999</v>
      </c>
      <c r="V30" s="24">
        <f t="shared" si="229"/>
        <v>2994.9929999999999</v>
      </c>
      <c r="W30" s="38">
        <v>0.49399999999999999</v>
      </c>
      <c r="X30" s="24">
        <f t="shared" si="230"/>
        <v>6946.134</v>
      </c>
      <c r="Y30" s="38">
        <v>0.39</v>
      </c>
      <c r="Z30" s="24">
        <f t="shared" si="231"/>
        <v>5483.79</v>
      </c>
      <c r="AA30" s="118">
        <v>2.6199999999999999E-3</v>
      </c>
      <c r="AB30" s="121">
        <f t="shared" si="60"/>
        <v>36.839819999999996</v>
      </c>
      <c r="AC30" s="45">
        <v>2.6800000000000001E-3</v>
      </c>
      <c r="AD30" s="17">
        <f t="shared" si="233"/>
        <v>37.683480000000003</v>
      </c>
      <c r="AE30" s="26">
        <f>IF(M30&gt;0,(AG30+AP30)/M30,0)</f>
        <v>2.6323257805277007E-3</v>
      </c>
      <c r="AF30" s="45">
        <v>2.4000000000000001E-4</v>
      </c>
      <c r="AG30" s="36">
        <f t="shared" si="234"/>
        <v>3.3746400000000003</v>
      </c>
      <c r="AH30" s="27">
        <v>0.20530000000000001</v>
      </c>
      <c r="AI30" s="40">
        <f t="shared" si="235"/>
        <v>32.916980800000005</v>
      </c>
      <c r="AJ30" s="27">
        <f t="shared" si="236"/>
        <v>0.9115133393793734</v>
      </c>
      <c r="AK30" s="28">
        <f t="shared" si="6"/>
        <v>0.90986671385492324</v>
      </c>
      <c r="AL30" s="42">
        <v>176</v>
      </c>
      <c r="AM30" s="38">
        <v>8.8999999999999996E-2</v>
      </c>
      <c r="AN30" s="27">
        <v>0.20979999999999999</v>
      </c>
      <c r="AO30" s="105">
        <v>0.22059999999999999</v>
      </c>
      <c r="AP30" s="40">
        <f>AL30*(1-AM30)*AN30</f>
        <v>33.638492800000002</v>
      </c>
      <c r="AQ30" s="106">
        <f t="shared" si="21"/>
        <v>35.370121600000004</v>
      </c>
      <c r="AR30" s="17">
        <v>1.5</v>
      </c>
      <c r="AS30" s="17"/>
      <c r="AT30" s="129">
        <f>AT29+AL30-AS30</f>
        <v>970.69999999999891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38">SUM(D28:D30)</f>
        <v>52060</v>
      </c>
      <c r="E31" s="49"/>
      <c r="F31" s="49">
        <f t="shared" ref="F31" si="239">SUM(F28:F30)</f>
        <v>52373</v>
      </c>
      <c r="G31" s="50"/>
      <c r="H31" s="50"/>
      <c r="I31" s="49">
        <f t="shared" ref="I31:K31" si="240">SUM(I28:I30)</f>
        <v>51179</v>
      </c>
      <c r="J31" s="50"/>
      <c r="K31" s="49">
        <f t="shared" si="240"/>
        <v>45315</v>
      </c>
      <c r="L31" s="20">
        <f t="shared" ref="L31" si="241">IF(K31&gt;0,(K28*L28+K29*L29+K30*L30)/K31,0)</f>
        <v>6.2025951671631913E-2</v>
      </c>
      <c r="M31" s="50">
        <f t="shared" ref="M31" si="242">M28+M29+M30</f>
        <v>42505</v>
      </c>
      <c r="N31" s="51">
        <f t="shared" ref="N31" si="243">IF(M31&gt;0,O31/M31,0)</f>
        <v>0.67074737089754144</v>
      </c>
      <c r="O31" s="52">
        <f t="shared" ref="O31" si="244">O28+O29+O30</f>
        <v>28510.116999999998</v>
      </c>
      <c r="P31" s="20">
        <f t="shared" ref="P31" si="245">IF(M31&gt;0,Q31/M31,0)</f>
        <v>0.25790723444300667</v>
      </c>
      <c r="Q31" s="52">
        <f t="shared" ref="Q31" si="246">Q28+Q29+Q30</f>
        <v>10962.347</v>
      </c>
      <c r="R31" s="20">
        <f t="shared" ref="R31" si="247">IF(M31&gt;0,T31/M31,0)</f>
        <v>7.1345394659451833E-2</v>
      </c>
      <c r="S31" s="107"/>
      <c r="T31" s="52">
        <f t="shared" ref="T31" si="248">T28+T29+T30</f>
        <v>3032.5360000000001</v>
      </c>
      <c r="U31" s="20">
        <f t="shared" ref="U31" si="249">IF(M31&gt;0,V31/M31,0)</f>
        <v>0.21733767792024469</v>
      </c>
      <c r="V31" s="52">
        <f t="shared" ref="V31" si="250">V28+V29+V30</f>
        <v>9237.9380000000001</v>
      </c>
      <c r="W31" s="20">
        <f t="shared" ref="W31" si="251">IF(M31&gt;0,X31/M31,0)</f>
        <v>0.4913446888601341</v>
      </c>
      <c r="X31" s="52">
        <f t="shared" ref="X31" si="252">X28+X29+X30</f>
        <v>20884.606</v>
      </c>
      <c r="Y31" s="20">
        <f t="shared" ref="Y31" si="253">IF(M31&gt;0,Z31/M31,0)</f>
        <v>0.38666745088813081</v>
      </c>
      <c r="Z31" s="52">
        <f t="shared" ref="Z31" si="254">Z28+Z29+Z30</f>
        <v>16435.3</v>
      </c>
      <c r="AA31" s="119">
        <f>IF(M31&gt;0,AB31/M31,0)</f>
        <v>2.6000047053287853E-3</v>
      </c>
      <c r="AB31" s="54">
        <f t="shared" ref="AB31" si="255">SUM(AB28:AB30)</f>
        <v>110.51320000000001</v>
      </c>
      <c r="AC31" s="53">
        <f t="shared" ref="AC31" si="256">IF(M31&gt;0,AD31/M31,0)</f>
        <v>2.7101002235031175E-3</v>
      </c>
      <c r="AD31" s="54">
        <f t="shared" ref="AD31" si="257">SUM(AD28:AD30)</f>
        <v>115.19281000000001</v>
      </c>
      <c r="AE31" s="53">
        <f t="shared" ref="AE31" si="258">IF(M31&gt;0,(AE28*M28+AE29*M29+AE30*M30)/M31,0)</f>
        <v>2.6930870862251501E-3</v>
      </c>
      <c r="AF31" s="53">
        <f t="shared" ref="AF31" si="259">IF(K31&gt;0,(K28*AF28+K29*AF29+K30*AF30)/K31,0)</f>
        <v>2.4000000000000001E-4</v>
      </c>
      <c r="AG31" s="50">
        <f t="shared" ref="AG31" si="260">SUM(AG28:AG30)</f>
        <v>10.2012</v>
      </c>
      <c r="AH31" s="51">
        <f t="shared" ref="AH31" si="261">IF(K31&gt;0,(K28*AH28+K29*AH29+K30*AH30)/K31,0)</f>
        <v>0.20496736180072828</v>
      </c>
      <c r="AI31" s="56">
        <f t="shared" ref="AI31" si="262">SUM(AI28:AI30)</f>
        <v>99.072677800000008</v>
      </c>
      <c r="AJ31" s="51">
        <f t="shared" ref="AJ31" si="263">IF(AND(AD31&gt;0),((AD28*AJ28+AD29*AJ29+AD30*AJ30)/AD31),0)</f>
        <v>0.91251091138597495</v>
      </c>
      <c r="AK31" s="55">
        <f t="shared" si="6"/>
        <v>0.91189740047155843</v>
      </c>
      <c r="AL31" s="49">
        <f t="shared" ref="AL31" si="264">SUM(AL28:AL30)</f>
        <v>530</v>
      </c>
      <c r="AM31" s="20">
        <f t="shared" ref="AM31" si="265">IF(AL31&gt;0,(AM28*AL28+AM29*AL29+AM30*AL30)/AL31,0)</f>
        <v>8.7998113207547163E-2</v>
      </c>
      <c r="AN31" s="51">
        <f>IF(K31&gt;0,(AN28*K28+AN29*K29+AN30*K30)/K31,0)</f>
        <v>0.21573600794438927</v>
      </c>
      <c r="AO31" s="107">
        <f>IF(L31&gt;0,(AO28*K28+AO29*K29+AO30*K30)/K31,0)</f>
        <v>0.2218763058589871</v>
      </c>
      <c r="AP31" s="56">
        <f t="shared" ref="AP31" si="266">SUM(AP28:AP30)</f>
        <v>104.26846660000001</v>
      </c>
      <c r="AQ31" s="108">
        <f t="shared" si="223"/>
        <v>107.24344960000001</v>
      </c>
      <c r="AR31" s="54"/>
      <c r="AS31" s="54">
        <f t="shared" ref="AS31" si="267">SUM(AS28:AS30)</f>
        <v>0</v>
      </c>
      <c r="AT31" s="83"/>
      <c r="AU31" s="84">
        <f>AT30</f>
        <v>970.69999999999891</v>
      </c>
      <c r="AV31" s="49">
        <f t="shared" ref="AV31" si="268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58</v>
      </c>
      <c r="D32" s="11">
        <v>12900</v>
      </c>
      <c r="E32" s="11">
        <v>0</v>
      </c>
      <c r="F32" s="11">
        <v>16957</v>
      </c>
      <c r="G32" s="12">
        <v>0.5</v>
      </c>
      <c r="H32" s="12">
        <v>5.5</v>
      </c>
      <c r="I32" s="11">
        <v>16154</v>
      </c>
      <c r="J32" s="12">
        <v>2.1</v>
      </c>
      <c r="K32" s="11">
        <v>14955</v>
      </c>
      <c r="L32" s="13">
        <v>6.6000000000000003E-2</v>
      </c>
      <c r="M32" s="23">
        <f>ROUND(K32*(1-L32),0)</f>
        <v>13968</v>
      </c>
      <c r="N32" s="14">
        <v>0.69599999999999995</v>
      </c>
      <c r="O32" s="24">
        <f t="shared" ref="O32:O34" si="269">M32*N32</f>
        <v>9721.7279999999992</v>
      </c>
      <c r="P32" s="13">
        <v>0.20599999999999999</v>
      </c>
      <c r="Q32" s="24">
        <f t="shared" ref="Q32:Q34" si="270">M32*P32</f>
        <v>2877.4079999999999</v>
      </c>
      <c r="R32" s="15">
        <v>9.8000000000000004E-2</v>
      </c>
      <c r="S32" s="112"/>
      <c r="T32" s="24">
        <f t="shared" ref="T32:T34" si="271">M32*R32</f>
        <v>1368.864</v>
      </c>
      <c r="U32" s="25">
        <v>0.21099999999999999</v>
      </c>
      <c r="V32" s="24">
        <f t="shared" ref="V32:V34" si="272">M32*U32</f>
        <v>2947.248</v>
      </c>
      <c r="W32" s="15">
        <v>0.496</v>
      </c>
      <c r="X32" s="24">
        <f t="shared" ref="X32:X34" si="273">M32*W32</f>
        <v>6928.1279999999997</v>
      </c>
      <c r="Y32" s="15">
        <v>0.39</v>
      </c>
      <c r="Z32" s="24">
        <f t="shared" ref="Z32:Z34" si="274">Y32*M32</f>
        <v>5447.52</v>
      </c>
      <c r="AA32" s="116">
        <v>2.5000000000000001E-3</v>
      </c>
      <c r="AB32" s="18">
        <f t="shared" ref="AB32" si="275">M32*AA32</f>
        <v>34.92</v>
      </c>
      <c r="AC32" s="16">
        <v>2.6099999999999999E-3</v>
      </c>
      <c r="AD32" s="17">
        <f t="shared" ref="AD32:AD34" si="276">M32*AC32</f>
        <v>36.456479999999999</v>
      </c>
      <c r="AE32" s="26">
        <f>IF(M32&gt;0,(AG32+AP32)/M32,0)</f>
        <v>2.7375663230240553E-3</v>
      </c>
      <c r="AF32" s="16">
        <v>2.4000000000000001E-4</v>
      </c>
      <c r="AG32" s="23">
        <f t="shared" ref="AG32:AG34" si="277">AF32*M32</f>
        <v>3.3523200000000002</v>
      </c>
      <c r="AH32" s="92">
        <v>0.2056</v>
      </c>
      <c r="AI32" s="29">
        <f t="shared" ref="AI32:AI34" si="278">AL32*(1-AM32)*AH32</f>
        <v>33.376281600000006</v>
      </c>
      <c r="AJ32" s="27">
        <f t="shared" ref="AJ32:AJ34" si="279">IF(AND(AH32&gt;0,AF32&gt;0,AC32&gt;0),((AC32-AF32)*AH32)/((AH32-AF32)*AC32),0)</f>
        <v>0.90910719163207632</v>
      </c>
      <c r="AK32" s="58">
        <f t="shared" si="6"/>
        <v>0.91335092008190755</v>
      </c>
      <c r="AL32" s="11">
        <v>178</v>
      </c>
      <c r="AM32" s="13">
        <v>8.7999999999999995E-2</v>
      </c>
      <c r="AN32" s="14">
        <v>0.21490000000000001</v>
      </c>
      <c r="AO32" s="101">
        <v>0.22189999999999999</v>
      </c>
      <c r="AP32" s="29">
        <f>AL32*(1-AM32)*AN32</f>
        <v>34.886006400000007</v>
      </c>
      <c r="AQ32" s="102">
        <f t="shared" ref="AQ32" si="280">AL32*(1-AM32)*AO32</f>
        <v>36.022358400000002</v>
      </c>
      <c r="AR32" s="18">
        <v>1.55</v>
      </c>
      <c r="AS32" s="18"/>
      <c r="AT32" s="79">
        <f>AT30+AL32-AS32</f>
        <v>1148.6999999999989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53</v>
      </c>
      <c r="D33" s="33">
        <v>18315</v>
      </c>
      <c r="E33" s="33">
        <v>0</v>
      </c>
      <c r="F33" s="33">
        <v>13891</v>
      </c>
      <c r="G33" s="34">
        <v>0.8</v>
      </c>
      <c r="H33" s="34">
        <v>5.4</v>
      </c>
      <c r="I33" s="33">
        <v>13873</v>
      </c>
      <c r="J33" s="34">
        <v>3</v>
      </c>
      <c r="K33" s="33">
        <v>14947</v>
      </c>
      <c r="L33" s="35">
        <v>6.2E-2</v>
      </c>
      <c r="M33" s="36">
        <f>ROUND(K33*(1-L33),0)</f>
        <v>14020</v>
      </c>
      <c r="N33" s="37">
        <v>0.72199999999999998</v>
      </c>
      <c r="O33" s="24">
        <f t="shared" si="269"/>
        <v>10122.44</v>
      </c>
      <c r="P33" s="35">
        <v>0.19500000000000001</v>
      </c>
      <c r="Q33" s="24">
        <f t="shared" si="270"/>
        <v>2733.9</v>
      </c>
      <c r="R33" s="38">
        <v>8.3000000000000004E-2</v>
      </c>
      <c r="S33" s="105"/>
      <c r="T33" s="24">
        <f t="shared" si="271"/>
        <v>1163.6600000000001</v>
      </c>
      <c r="U33" s="27">
        <v>0.20699999999999999</v>
      </c>
      <c r="V33" s="24">
        <f t="shared" si="272"/>
        <v>2902.14</v>
      </c>
      <c r="W33" s="38">
        <v>0.502</v>
      </c>
      <c r="X33" s="24">
        <f t="shared" si="273"/>
        <v>7038.04</v>
      </c>
      <c r="Y33" s="38">
        <v>0.38</v>
      </c>
      <c r="Z33" s="24">
        <f t="shared" si="274"/>
        <v>5327.6</v>
      </c>
      <c r="AA33" s="117">
        <v>2.5300000000000001E-3</v>
      </c>
      <c r="AB33" s="18">
        <f t="shared" si="60"/>
        <v>35.470600000000005</v>
      </c>
      <c r="AC33" s="39">
        <v>2.47E-3</v>
      </c>
      <c r="AD33" s="17">
        <f t="shared" si="276"/>
        <v>34.629399999999997</v>
      </c>
      <c r="AE33" s="26">
        <f>IF(M33&gt;0,(AG33+AP33)/M33,0)</f>
        <v>2.6159876747503569E-3</v>
      </c>
      <c r="AF33" s="39">
        <v>2.4000000000000001E-4</v>
      </c>
      <c r="AG33" s="36">
        <f t="shared" si="277"/>
        <v>3.3648000000000002</v>
      </c>
      <c r="AH33" s="27">
        <v>0.2036</v>
      </c>
      <c r="AI33" s="40">
        <f t="shared" si="278"/>
        <v>31.751827200000001</v>
      </c>
      <c r="AJ33" s="27">
        <f t="shared" si="279"/>
        <v>0.90389950850011291</v>
      </c>
      <c r="AK33" s="28">
        <f t="shared" si="6"/>
        <v>0.9092781092823532</v>
      </c>
      <c r="AL33" s="33">
        <v>171</v>
      </c>
      <c r="AM33" s="35">
        <v>8.7999999999999995E-2</v>
      </c>
      <c r="AN33" s="37">
        <v>0.21360000000000001</v>
      </c>
      <c r="AO33" s="103">
        <v>0.2167</v>
      </c>
      <c r="AP33" s="40">
        <f>AL33*(1-AM33)*AN33</f>
        <v>33.3113472</v>
      </c>
      <c r="AQ33" s="104">
        <f t="shared" si="21"/>
        <v>33.794798399999998</v>
      </c>
      <c r="AR33" s="41">
        <v>1.58</v>
      </c>
      <c r="AS33" s="41"/>
      <c r="AT33" s="129">
        <f>AT32+AL33-AS33</f>
        <v>1319.6999999999989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0" t="s">
        <v>57</v>
      </c>
      <c r="D34" s="42">
        <v>13100</v>
      </c>
      <c r="E34" s="42">
        <v>1</v>
      </c>
      <c r="F34" s="42">
        <v>16245</v>
      </c>
      <c r="G34" s="36">
        <v>0.8</v>
      </c>
      <c r="H34" s="36">
        <v>6.5</v>
      </c>
      <c r="I34" s="42">
        <v>15746</v>
      </c>
      <c r="J34" s="36">
        <v>2.5</v>
      </c>
      <c r="K34" s="42">
        <v>14874</v>
      </c>
      <c r="L34" s="38">
        <v>5.2999999999999999E-2</v>
      </c>
      <c r="M34" s="36">
        <f>ROUND(K34*(1-L34),0)</f>
        <v>14086</v>
      </c>
      <c r="N34" s="27">
        <v>0.70099999999999996</v>
      </c>
      <c r="O34" s="24">
        <f t="shared" si="269"/>
        <v>9874.2860000000001</v>
      </c>
      <c r="P34" s="38">
        <v>0.25700000000000001</v>
      </c>
      <c r="Q34" s="24">
        <f t="shared" si="270"/>
        <v>3620.1019999999999</v>
      </c>
      <c r="R34" s="38">
        <v>4.2000000000000003E-2</v>
      </c>
      <c r="S34" s="105"/>
      <c r="T34" s="24">
        <f t="shared" si="271"/>
        <v>591.61200000000008</v>
      </c>
      <c r="U34" s="27">
        <v>0.224</v>
      </c>
      <c r="V34" s="24">
        <f t="shared" si="272"/>
        <v>3155.2640000000001</v>
      </c>
      <c r="W34" s="38">
        <v>0.48199999999999998</v>
      </c>
      <c r="X34" s="24">
        <f t="shared" si="273"/>
        <v>6789.4520000000002</v>
      </c>
      <c r="Y34" s="38">
        <v>0.39</v>
      </c>
      <c r="Z34" s="24">
        <f t="shared" si="274"/>
        <v>5493.54</v>
      </c>
      <c r="AA34" s="118">
        <v>2.4099999999999998E-3</v>
      </c>
      <c r="AB34" s="121">
        <f t="shared" si="60"/>
        <v>33.94726</v>
      </c>
      <c r="AC34" s="45">
        <v>2.4299999999999999E-3</v>
      </c>
      <c r="AD34" s="17">
        <f t="shared" si="276"/>
        <v>34.22898</v>
      </c>
      <c r="AE34" s="26">
        <f>IF(M34&gt;0,(AG34+AP34)/M34,0)</f>
        <v>2.5260059633678833E-3</v>
      </c>
      <c r="AF34" s="45">
        <v>2.4000000000000001E-4</v>
      </c>
      <c r="AG34" s="36">
        <f t="shared" si="277"/>
        <v>3.3806400000000001</v>
      </c>
      <c r="AH34" s="27">
        <v>0.20419999999999999</v>
      </c>
      <c r="AI34" s="40">
        <f t="shared" si="278"/>
        <v>31.015938000000002</v>
      </c>
      <c r="AJ34" s="27">
        <f t="shared" si="279"/>
        <v>0.90229505180149094</v>
      </c>
      <c r="AK34" s="28">
        <f t="shared" si="6"/>
        <v>0.9060140240721285</v>
      </c>
      <c r="AL34" s="42">
        <v>166</v>
      </c>
      <c r="AM34" s="38">
        <v>8.5000000000000006E-2</v>
      </c>
      <c r="AN34" s="27">
        <v>0.21199999999999999</v>
      </c>
      <c r="AO34" s="105">
        <v>0.21809999999999999</v>
      </c>
      <c r="AP34" s="40">
        <f>AL34*(1-AM34)*AN34</f>
        <v>32.200680000000006</v>
      </c>
      <c r="AQ34" s="106">
        <f t="shared" si="21"/>
        <v>33.127209000000001</v>
      </c>
      <c r="AR34" s="17">
        <v>1.5</v>
      </c>
      <c r="AS34" s="17"/>
      <c r="AT34" s="129">
        <f>AT33+AL34-AS34</f>
        <v>1485.6999999999989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1">SUM(D32:D34)</f>
        <v>44315</v>
      </c>
      <c r="E35" s="49"/>
      <c r="F35" s="49">
        <f t="shared" ref="F35" si="282">SUM(F32:F34)</f>
        <v>47093</v>
      </c>
      <c r="G35" s="50"/>
      <c r="H35" s="50"/>
      <c r="I35" s="49">
        <f t="shared" ref="I35:K35" si="283">SUM(I32:I34)</f>
        <v>45773</v>
      </c>
      <c r="J35" s="50"/>
      <c r="K35" s="49">
        <f t="shared" si="283"/>
        <v>44776</v>
      </c>
      <c r="L35" s="20">
        <f t="shared" ref="L35" si="284">IF(K35&gt;0,(K32*L32+K33*L33+K34*L34)/K35,0)</f>
        <v>6.0346301590137583E-2</v>
      </c>
      <c r="M35" s="50">
        <f t="shared" ref="M35" si="285">M32+M33+M34</f>
        <v>42074</v>
      </c>
      <c r="N35" s="51">
        <f t="shared" ref="N35" si="286">IF(M35&gt;0,O35/M35,0)</f>
        <v>0.70633773827066593</v>
      </c>
      <c r="O35" s="52">
        <f t="shared" ref="O35" si="287">O32+O33+O34</f>
        <v>29718.453999999998</v>
      </c>
      <c r="P35" s="20">
        <f t="shared" ref="P35" si="288">IF(M35&gt;0,Q35/M35,0)</f>
        <v>0.21940889860721585</v>
      </c>
      <c r="Q35" s="52">
        <f t="shared" ref="Q35" si="289">Q32+Q33+Q34</f>
        <v>9231.41</v>
      </c>
      <c r="R35" s="20">
        <f t="shared" ref="R35" si="290">IF(M35&gt;0,T35/M35,0)</f>
        <v>7.4253363122118179E-2</v>
      </c>
      <c r="S35" s="107"/>
      <c r="T35" s="52">
        <f t="shared" ref="T35" si="291">T32+T33+T34</f>
        <v>3124.1360000000004</v>
      </c>
      <c r="U35" s="20">
        <f t="shared" ref="U35" si="292">IF(M35&gt;0,V35/M35,0)</f>
        <v>0.21401939440034226</v>
      </c>
      <c r="V35" s="52">
        <f t="shared" ref="V35" si="293">V32+V33+V34</f>
        <v>9004.652</v>
      </c>
      <c r="W35" s="20">
        <f t="shared" ref="W35" si="294">IF(M35&gt;0,X35/M35,0)</f>
        <v>0.49331225935256928</v>
      </c>
      <c r="X35" s="52">
        <f t="shared" ref="X35" si="295">X32+X33+X34</f>
        <v>20755.62</v>
      </c>
      <c r="Y35" s="20">
        <f t="shared" ref="Y35" si="296">IF(M35&gt;0,Z35/M35,0)</f>
        <v>0.386667775823549</v>
      </c>
      <c r="Z35" s="52">
        <f t="shared" ref="Z35" si="297">Z32+Z33+Z34</f>
        <v>16268.66</v>
      </c>
      <c r="AA35" s="119">
        <f>IF(M35&gt;0,AB35/M35,0)</f>
        <v>2.4798654751152734E-3</v>
      </c>
      <c r="AB35" s="54">
        <f t="shared" ref="AB35" si="298">SUM(AB32:AB34)</f>
        <v>104.33786000000001</v>
      </c>
      <c r="AC35" s="53">
        <f t="shared" ref="AC35" si="299">IF(M35&gt;0,AD35/M35,0)</f>
        <v>2.5030864667015262E-3</v>
      </c>
      <c r="AD35" s="54">
        <f t="shared" ref="AD35" si="300">SUM(AD32:AD34)</f>
        <v>105.31486000000001</v>
      </c>
      <c r="AE35" s="53">
        <f t="shared" ref="AE35" si="301">IF(M35&gt;0,(AE32*M32+AE33*M33+AE34*M34)/M35,0)</f>
        <v>2.6262250701145603E-3</v>
      </c>
      <c r="AF35" s="53">
        <f t="shared" ref="AF35" si="302">IF(K35&gt;0,(K32*AF32+K33*AF33+K34*AF34)/K35,0)</f>
        <v>2.4000000000000001E-4</v>
      </c>
      <c r="AG35" s="50">
        <f t="shared" ref="AG35" si="303">SUM(AG32:AG34)</f>
        <v>10.097760000000001</v>
      </c>
      <c r="AH35" s="51">
        <f t="shared" ref="AH35" si="304">IF(K35&gt;0,(K32*AH32+K33*AH33+K34*AH34)/K35,0)</f>
        <v>0.20446730391281046</v>
      </c>
      <c r="AI35" s="56">
        <f t="shared" ref="AI35" si="305">SUM(AI32:AI34)</f>
        <v>96.144046800000012</v>
      </c>
      <c r="AJ35" s="51">
        <f t="shared" ref="AJ35" si="306">IF(AND(AD35&gt;0),((AD32*AJ32+AD33*AJ33+AD34*AJ34)/AD35),0)</f>
        <v>0.90518076054468444</v>
      </c>
      <c r="AK35" s="55">
        <f t="shared" si="6"/>
        <v>0.90963660718757</v>
      </c>
      <c r="AL35" s="49">
        <f t="shared" ref="AL35" si="307">SUM(AL32:AL34)</f>
        <v>515</v>
      </c>
      <c r="AM35" s="20">
        <f t="shared" ref="AM35" si="308">IF(AL35&gt;0,(AM32*AL32+AM33*AL33+AM34*AL34)/AL35,0)</f>
        <v>8.7033009708737855E-2</v>
      </c>
      <c r="AN35" s="51">
        <f>IF(K35&gt;0,(AN32*K32+AN33*K33+AN34*K34)/K35,0)</f>
        <v>0.21350269564052174</v>
      </c>
      <c r="AO35" s="107">
        <f>IF(L35&gt;0,(AO32*K32+AO33*K33+AO34*K34)/K35,0)</f>
        <v>0.21890184027157403</v>
      </c>
      <c r="AP35" s="56">
        <f t="shared" ref="AP35" si="309">SUM(AP32:AP34)</f>
        <v>100.39803360000002</v>
      </c>
      <c r="AQ35" s="108">
        <f t="shared" si="223"/>
        <v>102.94436579999999</v>
      </c>
      <c r="AR35" s="54"/>
      <c r="AS35" s="54">
        <f t="shared" ref="AS35" si="310">SUM(AS32:AS34)</f>
        <v>0</v>
      </c>
      <c r="AT35" s="83"/>
      <c r="AU35" s="84">
        <f>AT34</f>
        <v>1485.6999999999989</v>
      </c>
      <c r="AV35" s="49">
        <f t="shared" ref="AV35" si="311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58</v>
      </c>
      <c r="D36" s="11">
        <v>4000</v>
      </c>
      <c r="E36" s="11">
        <v>0</v>
      </c>
      <c r="F36" s="11">
        <v>11467</v>
      </c>
      <c r="G36" s="12">
        <v>0.6</v>
      </c>
      <c r="H36" s="12">
        <v>5.3</v>
      </c>
      <c r="I36" s="11">
        <v>11536</v>
      </c>
      <c r="J36" s="12">
        <v>4.0999999999999996</v>
      </c>
      <c r="K36" s="11">
        <v>15031</v>
      </c>
      <c r="L36" s="13">
        <v>0.06</v>
      </c>
      <c r="M36" s="23">
        <f>ROUND(K36*(1-L36),0)</f>
        <v>14129</v>
      </c>
      <c r="N36" s="14">
        <v>0.65900000000000003</v>
      </c>
      <c r="O36" s="24">
        <f t="shared" ref="O36:O38" si="312">M36*N36</f>
        <v>9311.0110000000004</v>
      </c>
      <c r="P36" s="13">
        <v>0.24199999999999999</v>
      </c>
      <c r="Q36" s="24">
        <f t="shared" ref="Q36:Q38" si="313">M36*P36</f>
        <v>3419.2179999999998</v>
      </c>
      <c r="R36" s="15">
        <v>9.9000000000000005E-2</v>
      </c>
      <c r="S36" s="112"/>
      <c r="T36" s="24">
        <f t="shared" ref="T36:T38" si="314">M36*R36</f>
        <v>1398.771</v>
      </c>
      <c r="U36" s="25">
        <v>0.20699999999999999</v>
      </c>
      <c r="V36" s="24">
        <f t="shared" ref="V36:V38" si="315">M36*U36</f>
        <v>2924.703</v>
      </c>
      <c r="W36" s="15">
        <v>0.496</v>
      </c>
      <c r="X36" s="24">
        <f t="shared" ref="X36:X38" si="316">M36*W36</f>
        <v>7007.9840000000004</v>
      </c>
      <c r="Y36" s="15">
        <v>0.38</v>
      </c>
      <c r="Z36" s="24">
        <f t="shared" ref="Z36:Z38" si="317">Y36*M36</f>
        <v>5369.02</v>
      </c>
      <c r="AA36" s="116">
        <v>2.66E-3</v>
      </c>
      <c r="AB36" s="18">
        <f t="shared" ref="AB36" si="318">M36*AA36</f>
        <v>37.58314</v>
      </c>
      <c r="AC36" s="16">
        <v>2.5500000000000002E-3</v>
      </c>
      <c r="AD36" s="17">
        <f t="shared" ref="AD36:AD38" si="319">M36*AC36</f>
        <v>36.028950000000002</v>
      </c>
      <c r="AE36" s="26">
        <f>IF(M36&gt;0,(AG36+AP36)/M36,0)</f>
        <v>2.5796793828296418E-3</v>
      </c>
      <c r="AF36" s="16">
        <v>2.3000000000000001E-4</v>
      </c>
      <c r="AG36" s="23">
        <f t="shared" ref="AG36:AG38" si="320">AF36*M36</f>
        <v>3.2496700000000001</v>
      </c>
      <c r="AH36" s="92">
        <v>0.2039</v>
      </c>
      <c r="AI36" s="29">
        <f t="shared" ref="AI36:AI38" si="321">AL36*(1-AM36)*AH36</f>
        <v>31.543330000000005</v>
      </c>
      <c r="AJ36" s="27">
        <f t="shared" ref="AJ36:AJ38" si="322">IF(AND(AH36&gt;0,AF36&gt;0,AC36&gt;0),((AC36-AF36)*AH36)/((AH36-AF36)*AC36),0)</f>
        <v>0.9108313428970547</v>
      </c>
      <c r="AK36" s="58">
        <f t="shared" si="6"/>
        <v>0.91181888574903613</v>
      </c>
      <c r="AL36" s="11">
        <v>170</v>
      </c>
      <c r="AM36" s="13">
        <v>0.09</v>
      </c>
      <c r="AN36" s="14">
        <v>0.21460000000000001</v>
      </c>
      <c r="AO36" s="101">
        <v>0.22059999999999999</v>
      </c>
      <c r="AP36" s="29">
        <f>AL36*(1-AM36)*AN36</f>
        <v>33.198620000000005</v>
      </c>
      <c r="AQ36" s="102">
        <f t="shared" ref="AQ36" si="323">AL36*(1-AM36)*AO36</f>
        <v>34.126820000000002</v>
      </c>
      <c r="AR36" s="18">
        <v>1.55</v>
      </c>
      <c r="AS36" s="18">
        <v>1009.86</v>
      </c>
      <c r="AT36" s="79">
        <f>AT34+AL36-AS36</f>
        <v>645.83999999999889</v>
      </c>
      <c r="AU36" s="80"/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53</v>
      </c>
      <c r="D37" s="33">
        <v>17255</v>
      </c>
      <c r="E37" s="33">
        <v>5</v>
      </c>
      <c r="F37" s="33">
        <v>17323</v>
      </c>
      <c r="G37" s="34">
        <v>0.5</v>
      </c>
      <c r="H37" s="34">
        <v>5.0999999999999996</v>
      </c>
      <c r="I37" s="33">
        <v>16390</v>
      </c>
      <c r="J37" s="34">
        <v>3.2</v>
      </c>
      <c r="K37" s="33">
        <v>15451</v>
      </c>
      <c r="L37" s="35">
        <v>6.3E-2</v>
      </c>
      <c r="M37" s="36">
        <f>ROUND(K37*(1-L37),0)</f>
        <v>14478</v>
      </c>
      <c r="N37" s="37">
        <v>0.65900000000000003</v>
      </c>
      <c r="O37" s="24">
        <f t="shared" si="312"/>
        <v>9541.0020000000004</v>
      </c>
      <c r="P37" s="35">
        <v>0.19700000000000001</v>
      </c>
      <c r="Q37" s="24">
        <f t="shared" si="313"/>
        <v>2852.1660000000002</v>
      </c>
      <c r="R37" s="38">
        <v>0.114</v>
      </c>
      <c r="S37" s="105"/>
      <c r="T37" s="24">
        <f t="shared" si="314"/>
        <v>1650.492</v>
      </c>
      <c r="U37" s="27">
        <v>0.22</v>
      </c>
      <c r="V37" s="24">
        <f t="shared" si="315"/>
        <v>3185.16</v>
      </c>
      <c r="W37" s="38">
        <v>0.48499999999999999</v>
      </c>
      <c r="X37" s="24">
        <f t="shared" si="316"/>
        <v>7021.83</v>
      </c>
      <c r="Y37" s="38">
        <v>0.4</v>
      </c>
      <c r="Z37" s="24">
        <f t="shared" si="317"/>
        <v>5791.2000000000007</v>
      </c>
      <c r="AA37" s="117">
        <v>2.5000000000000001E-3</v>
      </c>
      <c r="AB37" s="18">
        <f t="shared" si="60"/>
        <v>36.195</v>
      </c>
      <c r="AC37" s="39">
        <v>2.5300000000000001E-3</v>
      </c>
      <c r="AD37" s="17">
        <f t="shared" si="319"/>
        <v>36.629339999999999</v>
      </c>
      <c r="AE37" s="26">
        <f>IF(M37&gt;0,(AG37+AP37)/M37,0)</f>
        <v>2.6661543307086614E-3</v>
      </c>
      <c r="AF37" s="39">
        <v>2.4000000000000001E-4</v>
      </c>
      <c r="AG37" s="36">
        <f t="shared" si="320"/>
        <v>3.47472</v>
      </c>
      <c r="AH37" s="27">
        <v>0.20549999999999999</v>
      </c>
      <c r="AI37" s="40">
        <f t="shared" si="321"/>
        <v>33.172632</v>
      </c>
      <c r="AJ37" s="27">
        <f t="shared" si="322"/>
        <v>0.9061966718004234</v>
      </c>
      <c r="AK37" s="28">
        <f t="shared" si="6"/>
        <v>0.91098747093160271</v>
      </c>
      <c r="AL37" s="33">
        <v>177</v>
      </c>
      <c r="AM37" s="35">
        <v>8.7999999999999995E-2</v>
      </c>
      <c r="AN37" s="37">
        <v>0.21759999999999999</v>
      </c>
      <c r="AO37" s="103">
        <v>0.2215</v>
      </c>
      <c r="AP37" s="40">
        <f>AL37*(1-AM37)*AN37</f>
        <v>35.125862400000003</v>
      </c>
      <c r="AQ37" s="104">
        <f t="shared" si="21"/>
        <v>35.755416000000004</v>
      </c>
      <c r="AR37" s="41">
        <v>1.6</v>
      </c>
      <c r="AS37" s="41"/>
      <c r="AT37" s="129">
        <f>AT36+AL37-AS37</f>
        <v>822.83999999999889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0" t="s">
        <v>54</v>
      </c>
      <c r="D38" s="42">
        <v>22100</v>
      </c>
      <c r="E38" s="42">
        <v>0</v>
      </c>
      <c r="F38" s="42">
        <v>17244</v>
      </c>
      <c r="G38" s="36">
        <v>0.9</v>
      </c>
      <c r="H38" s="36">
        <v>7.6</v>
      </c>
      <c r="I38" s="42">
        <v>16827</v>
      </c>
      <c r="J38" s="36">
        <v>2.6</v>
      </c>
      <c r="K38" s="42">
        <v>15679</v>
      </c>
      <c r="L38" s="38">
        <v>6.2E-2</v>
      </c>
      <c r="M38" s="36">
        <f>ROUND(K38*(1-L38),0)</f>
        <v>14707</v>
      </c>
      <c r="N38" s="27">
        <v>0.78200000000000003</v>
      </c>
      <c r="O38" s="24">
        <f t="shared" si="312"/>
        <v>11500.874</v>
      </c>
      <c r="P38" s="38">
        <v>0.17299999999999999</v>
      </c>
      <c r="Q38" s="24">
        <f t="shared" si="313"/>
        <v>2544.3109999999997</v>
      </c>
      <c r="R38" s="38">
        <v>4.4999999999999998E-2</v>
      </c>
      <c r="S38" s="105"/>
      <c r="T38" s="24">
        <f t="shared" si="314"/>
        <v>661.81499999999994</v>
      </c>
      <c r="U38" s="27">
        <v>0.22700000000000001</v>
      </c>
      <c r="V38" s="24">
        <f t="shared" si="315"/>
        <v>3338.489</v>
      </c>
      <c r="W38" s="38">
        <v>0.48599999999999999</v>
      </c>
      <c r="X38" s="24">
        <f t="shared" si="316"/>
        <v>7147.6019999999999</v>
      </c>
      <c r="Y38" s="38">
        <v>0.41</v>
      </c>
      <c r="Z38" s="24">
        <f t="shared" si="317"/>
        <v>6029.87</v>
      </c>
      <c r="AA38" s="118">
        <v>2.64E-3</v>
      </c>
      <c r="AB38" s="121">
        <f t="shared" si="60"/>
        <v>38.826479999999997</v>
      </c>
      <c r="AC38" s="45">
        <v>2.5799999999999998E-3</v>
      </c>
      <c r="AD38" s="17">
        <f t="shared" si="319"/>
        <v>37.94406</v>
      </c>
      <c r="AE38" s="26">
        <f>IF(M38&gt;0,(AG38+AP38)/M38,0)</f>
        <v>2.5539414904467259E-3</v>
      </c>
      <c r="AF38" s="45">
        <v>2.4000000000000001E-4</v>
      </c>
      <c r="AG38" s="36">
        <f t="shared" si="320"/>
        <v>3.5296799999999999</v>
      </c>
      <c r="AH38" s="27">
        <v>0.2056</v>
      </c>
      <c r="AI38" s="40">
        <f t="shared" si="321"/>
        <v>32.169204000000001</v>
      </c>
      <c r="AJ38" s="27">
        <f t="shared" si="322"/>
        <v>0.9080367092162599</v>
      </c>
      <c r="AK38" s="28">
        <f t="shared" si="6"/>
        <v>0.90702846342525789</v>
      </c>
      <c r="AL38" s="42">
        <v>171</v>
      </c>
      <c r="AM38" s="38">
        <v>8.5000000000000006E-2</v>
      </c>
      <c r="AN38" s="27">
        <v>0.2175</v>
      </c>
      <c r="AO38" s="105">
        <v>0.21829999999999999</v>
      </c>
      <c r="AP38" s="40">
        <f>AL38*(1-AM38)*AN38</f>
        <v>34.0311375</v>
      </c>
      <c r="AQ38" s="106">
        <f t="shared" si="21"/>
        <v>34.156309499999999</v>
      </c>
      <c r="AR38" s="17">
        <v>1.55</v>
      </c>
      <c r="AS38" s="17"/>
      <c r="AT38" s="129">
        <f>AT37+AL38-AS38</f>
        <v>993.83999999999889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24">SUM(D36:D38)</f>
        <v>43355</v>
      </c>
      <c r="E39" s="49"/>
      <c r="F39" s="49">
        <f t="shared" ref="F39" si="325">SUM(F36:F38)</f>
        <v>46034</v>
      </c>
      <c r="G39" s="50"/>
      <c r="H39" s="50"/>
      <c r="I39" s="49">
        <f t="shared" ref="I39:K39" si="326">SUM(I36:I38)</f>
        <v>44753</v>
      </c>
      <c r="J39" s="50"/>
      <c r="K39" s="49">
        <f t="shared" si="326"/>
        <v>46161</v>
      </c>
      <c r="L39" s="20">
        <f t="shared" ref="L39" si="327">IF(K39&gt;0,(K36*L36+K37*L37+K38*L38)/K39,0)</f>
        <v>6.1683477394337216E-2</v>
      </c>
      <c r="M39" s="50">
        <f t="shared" ref="M39" si="328">M36+M37+M38</f>
        <v>43314</v>
      </c>
      <c r="N39" s="51">
        <f t="shared" ref="N39" si="329">IF(M39&gt;0,O39/M39,0)</f>
        <v>0.70076388696495362</v>
      </c>
      <c r="O39" s="52">
        <f t="shared" ref="O39" si="330">O36+O37+O38</f>
        <v>30352.886999999999</v>
      </c>
      <c r="P39" s="20">
        <f t="shared" ref="P39" si="331">IF(M39&gt;0,Q39/M39,0)</f>
        <v>0.20352992104169551</v>
      </c>
      <c r="Q39" s="52">
        <f t="shared" ref="Q39" si="332">Q36+Q37+Q38</f>
        <v>8815.6949999999997</v>
      </c>
      <c r="R39" s="20">
        <f t="shared" ref="R39" si="333">IF(M39&gt;0,T39/M39,0)</f>
        <v>8.567848732511428E-2</v>
      </c>
      <c r="S39" s="107"/>
      <c r="T39" s="52">
        <f t="shared" ref="T39" si="334">T36+T37+T38</f>
        <v>3711.078</v>
      </c>
      <c r="U39" s="20">
        <f t="shared" ref="U39" si="335">IF(M39&gt;0,V39/M39,0)</f>
        <v>0.21813621461882993</v>
      </c>
      <c r="V39" s="52">
        <f t="shared" ref="V39" si="336">V36+V37+V38</f>
        <v>9448.351999999999</v>
      </c>
      <c r="W39" s="20">
        <f t="shared" ref="W39" si="337">IF(M39&gt;0,X39/M39,0)</f>
        <v>0.48892773699034958</v>
      </c>
      <c r="X39" s="52">
        <f t="shared" ref="X39" si="338">X36+X37+X38</f>
        <v>21177.416000000001</v>
      </c>
      <c r="Y39" s="20">
        <f t="shared" ref="Y39" si="339">IF(M39&gt;0,Z39/M39,0)</f>
        <v>0.3968714503393822</v>
      </c>
      <c r="Z39" s="52">
        <f t="shared" ref="Z39" si="340">Z36+Z37+Z38</f>
        <v>17190.09</v>
      </c>
      <c r="AA39" s="119">
        <f>IF(M39&gt;0,AB39/M39,0)</f>
        <v>2.599728032506811E-3</v>
      </c>
      <c r="AB39" s="54">
        <f t="shared" ref="AB39" si="341">SUM(AB36:AB38)</f>
        <v>112.60462000000001</v>
      </c>
      <c r="AC39" s="53">
        <f t="shared" ref="AC39" si="342">IF(M39&gt;0,AD39/M39,0)</f>
        <v>2.5535011774484003E-3</v>
      </c>
      <c r="AD39" s="54">
        <f t="shared" ref="AD39" si="343">SUM(AD36:AD38)</f>
        <v>110.60235</v>
      </c>
      <c r="AE39" s="53">
        <f t="shared" ref="AE39" si="344">IF(M39&gt;0,(AE36*M36+AE37*M37+AE38*M38)/M39,0)</f>
        <v>2.5998450824213882E-3</v>
      </c>
      <c r="AF39" s="53">
        <f t="shared" ref="AF39" si="345">IF(K39&gt;0,(K36*AF36+K37*AF37+K38*AF38)/K39,0)</f>
        <v>2.367437880461862E-4</v>
      </c>
      <c r="AG39" s="50">
        <f t="shared" ref="AG39" si="346">SUM(AG36:AG38)</f>
        <v>10.254069999999999</v>
      </c>
      <c r="AH39" s="51">
        <f t="shared" ref="AH39" si="347">IF(K39&gt;0,(K36*AH36+K37*AH37+K38*AH38)/K39,0)</f>
        <v>0.20501297198934168</v>
      </c>
      <c r="AI39" s="56">
        <f t="shared" ref="AI39" si="348">SUM(AI36:AI38)</f>
        <v>96.885165999999998</v>
      </c>
      <c r="AJ39" s="51">
        <f t="shared" ref="AJ39" si="349">IF(AND(AD39&gt;0),((AD36*AJ36+AD37*AJ37+AD38*AJ38)/AD39),0)</f>
        <v>0.90833768257746139</v>
      </c>
      <c r="AK39" s="55">
        <f t="shared" si="6"/>
        <v>0.90993387857870278</v>
      </c>
      <c r="AL39" s="49">
        <f t="shared" ref="AL39" si="350">SUM(AL36:AL38)</f>
        <v>518</v>
      </c>
      <c r="AM39" s="20">
        <f t="shared" ref="AM39" si="351">IF(AL39&gt;0,(AM36*AL36+AM37*AL37+AM38*AL38)/AL39,0)</f>
        <v>8.7666023166023163E-2</v>
      </c>
      <c r="AN39" s="51">
        <f>IF(K39&gt;0,(AN36*K36+AN37*K37+AN38*K38)/K39,0)</f>
        <v>0.21658917051190399</v>
      </c>
      <c r="AO39" s="107">
        <f>IF(L39&gt;0,(AO36*K36+AO37*K37+AO38*K38)/K39,0)</f>
        <v>0.22012003206169711</v>
      </c>
      <c r="AP39" s="56">
        <f t="shared" ref="AP39" si="352">SUM(AP36:AP38)</f>
        <v>102.35561990000001</v>
      </c>
      <c r="AQ39" s="108">
        <f t="shared" si="223"/>
        <v>104.0385455</v>
      </c>
      <c r="AR39" s="54"/>
      <c r="AS39" s="54">
        <f t="shared" ref="AS39" si="353">SUM(AS36:AS38)</f>
        <v>1009.86</v>
      </c>
      <c r="AT39" s="83"/>
      <c r="AU39" s="84">
        <f>AT38</f>
        <v>993.83999999999889</v>
      </c>
      <c r="AV39" s="49">
        <f t="shared" ref="AV39" si="354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55</v>
      </c>
      <c r="D40" s="11">
        <v>5500</v>
      </c>
      <c r="E40" s="11">
        <v>1</v>
      </c>
      <c r="F40" s="11">
        <v>5764</v>
      </c>
      <c r="G40" s="12">
        <v>1</v>
      </c>
      <c r="H40" s="12">
        <v>7</v>
      </c>
      <c r="I40" s="11">
        <v>6193</v>
      </c>
      <c r="J40" s="12">
        <v>6.9</v>
      </c>
      <c r="K40" s="11">
        <v>15455</v>
      </c>
      <c r="L40" s="13">
        <v>6.4000000000000001E-2</v>
      </c>
      <c r="M40" s="23">
        <f>ROUND(K40*(1-L40),0)</f>
        <v>14466</v>
      </c>
      <c r="N40" s="14">
        <v>0.746</v>
      </c>
      <c r="O40" s="24">
        <f t="shared" ref="O40:O42" si="355">M40*N40</f>
        <v>10791.636</v>
      </c>
      <c r="P40" s="13">
        <v>0.20699999999999999</v>
      </c>
      <c r="Q40" s="24">
        <f t="shared" ref="Q40:Q42" si="356">M40*P40</f>
        <v>2994.462</v>
      </c>
      <c r="R40" s="15">
        <v>4.7E-2</v>
      </c>
      <c r="S40" s="112"/>
      <c r="T40" s="24">
        <f t="shared" ref="T40:T42" si="357">M40*R40</f>
        <v>679.90200000000004</v>
      </c>
      <c r="U40" s="25">
        <v>0.22800000000000001</v>
      </c>
      <c r="V40" s="24">
        <f t="shared" ref="V40:V42" si="358">M40*U40</f>
        <v>3298.248</v>
      </c>
      <c r="W40" s="15">
        <v>0.48699999999999999</v>
      </c>
      <c r="X40" s="24">
        <f t="shared" ref="X40:X42" si="359">M40*W40</f>
        <v>7044.942</v>
      </c>
      <c r="Y40" s="15">
        <v>0.42</v>
      </c>
      <c r="Z40" s="24">
        <f t="shared" ref="Z40:Z42" si="360">Y40*M40</f>
        <v>6075.7199999999993</v>
      </c>
      <c r="AA40" s="116">
        <v>2.6700000000000001E-3</v>
      </c>
      <c r="AB40" s="18">
        <f t="shared" ref="AB40" si="361">M40*AA40</f>
        <v>38.624220000000001</v>
      </c>
      <c r="AC40" s="16">
        <v>2.5600000000000002E-3</v>
      </c>
      <c r="AD40" s="17">
        <f t="shared" ref="AD40:AD42" si="362">M40*AC40</f>
        <v>37.032960000000003</v>
      </c>
      <c r="AE40" s="26">
        <f>IF(M40&gt;0,(AG40+AP40)/M40,0)</f>
        <v>2.531124326005807E-3</v>
      </c>
      <c r="AF40" s="16">
        <v>2.4000000000000001E-4</v>
      </c>
      <c r="AG40" s="23">
        <f t="shared" ref="AG40:AG42" si="363">AF40*M40</f>
        <v>3.4718400000000003</v>
      </c>
      <c r="AH40" s="92">
        <v>0.20610000000000001</v>
      </c>
      <c r="AI40" s="29">
        <f t="shared" ref="AI40:AI42" si="364">AL40*(1-AM40)*AH40</f>
        <v>31.493110500000004</v>
      </c>
      <c r="AJ40" s="27">
        <f t="shared" ref="AJ40:AJ42" si="365">IF(AND(AH40&gt;0,AF40&gt;0,AC40&gt;0),((AC40-AF40)*AH40)/((AH40-AF40)*AC40),0)</f>
        <v>0.9073065432818419</v>
      </c>
      <c r="AK40" s="58">
        <f t="shared" si="6"/>
        <v>0.90618316979616242</v>
      </c>
      <c r="AL40" s="11">
        <v>167</v>
      </c>
      <c r="AM40" s="13">
        <v>8.5000000000000006E-2</v>
      </c>
      <c r="AN40" s="14">
        <v>0.21690000000000001</v>
      </c>
      <c r="AO40" s="101">
        <v>0.22009999999999999</v>
      </c>
      <c r="AP40" s="29">
        <f>AL40*(1-AM40)*AN40</f>
        <v>33.143404500000003</v>
      </c>
      <c r="AQ40" s="102">
        <f t="shared" ref="AQ40" si="366">AL40*(1-AM40)*AO40</f>
        <v>33.632380499999996</v>
      </c>
      <c r="AR40" s="18">
        <v>1.56</v>
      </c>
      <c r="AS40" s="18">
        <v>905.2</v>
      </c>
      <c r="AT40" s="79">
        <f>AT38+AL40-AS40+AU40</f>
        <v>295.11999999999875</v>
      </c>
      <c r="AU40" s="80">
        <v>39.479999999999997</v>
      </c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0" t="s">
        <v>53</v>
      </c>
      <c r="D41" s="33">
        <v>16996</v>
      </c>
      <c r="E41" s="33">
        <v>1</v>
      </c>
      <c r="F41" s="33">
        <v>15956</v>
      </c>
      <c r="G41" s="34">
        <v>1</v>
      </c>
      <c r="H41" s="34">
        <v>5.7</v>
      </c>
      <c r="I41" s="33">
        <v>15220</v>
      </c>
      <c r="J41" s="34">
        <v>5.0999999999999996</v>
      </c>
      <c r="K41" s="33">
        <v>15653</v>
      </c>
      <c r="L41" s="35">
        <v>6.2E-2</v>
      </c>
      <c r="M41" s="36">
        <f>ROUND(K41*(1-L41),0)</f>
        <v>14683</v>
      </c>
      <c r="N41" s="37">
        <v>0.79800000000000004</v>
      </c>
      <c r="O41" s="24">
        <f t="shared" si="355"/>
        <v>11717.034000000001</v>
      </c>
      <c r="P41" s="35">
        <v>0.129</v>
      </c>
      <c r="Q41" s="24">
        <f t="shared" si="356"/>
        <v>1894.107</v>
      </c>
      <c r="R41" s="38">
        <v>7.2999999999999995E-2</v>
      </c>
      <c r="S41" s="105"/>
      <c r="T41" s="24">
        <f t="shared" si="357"/>
        <v>1071.8589999999999</v>
      </c>
      <c r="U41" s="27">
        <v>0.219</v>
      </c>
      <c r="V41" s="24">
        <f t="shared" si="358"/>
        <v>3215.5770000000002</v>
      </c>
      <c r="W41" s="38">
        <v>0.502</v>
      </c>
      <c r="X41" s="24">
        <f t="shared" si="359"/>
        <v>7370.866</v>
      </c>
      <c r="Y41" s="38">
        <v>0.43</v>
      </c>
      <c r="Z41" s="24">
        <f t="shared" si="360"/>
        <v>6313.69</v>
      </c>
      <c r="AA41" s="117">
        <v>2.6700000000000001E-3</v>
      </c>
      <c r="AB41" s="18">
        <f t="shared" si="60"/>
        <v>39.203609999999998</v>
      </c>
      <c r="AC41" s="39">
        <v>2.5999999999999999E-3</v>
      </c>
      <c r="AD41" s="17">
        <f t="shared" si="362"/>
        <v>38.175799999999995</v>
      </c>
      <c r="AE41" s="26">
        <f>IF(M41&gt;0,(AG41+AP41)/M41,0)</f>
        <v>2.5972972280869032E-3</v>
      </c>
      <c r="AF41" s="39">
        <v>2.4000000000000001E-4</v>
      </c>
      <c r="AG41" s="36">
        <f t="shared" si="363"/>
        <v>3.5239199999999999</v>
      </c>
      <c r="AH41" s="27">
        <v>0.20349999999999999</v>
      </c>
      <c r="AI41" s="40">
        <f t="shared" si="364"/>
        <v>32.700008000000004</v>
      </c>
      <c r="AJ41" s="27">
        <f t="shared" si="365"/>
        <v>0.90876406875619697</v>
      </c>
      <c r="AK41" s="28">
        <f t="shared" si="6"/>
        <v>0.90860862874211434</v>
      </c>
      <c r="AL41" s="33">
        <v>176</v>
      </c>
      <c r="AM41" s="35">
        <v>8.6999999999999994E-2</v>
      </c>
      <c r="AN41" s="37">
        <v>0.21540000000000001</v>
      </c>
      <c r="AO41" s="103">
        <v>0.221</v>
      </c>
      <c r="AP41" s="40">
        <f>AL41*(1-AM41)*AN41</f>
        <v>34.612195200000002</v>
      </c>
      <c r="AQ41" s="104">
        <f t="shared" si="21"/>
        <v>35.512048000000007</v>
      </c>
      <c r="AR41" s="41">
        <v>1.6</v>
      </c>
      <c r="AS41" s="41"/>
      <c r="AT41" s="129">
        <f>AT40+AL41-AS41</f>
        <v>471.11999999999875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54</v>
      </c>
      <c r="D42" s="42">
        <v>16074</v>
      </c>
      <c r="E42" s="42">
        <v>0</v>
      </c>
      <c r="F42" s="42">
        <v>18582</v>
      </c>
      <c r="G42" s="36">
        <v>1.3</v>
      </c>
      <c r="H42" s="36">
        <v>7.2</v>
      </c>
      <c r="I42" s="42">
        <v>17931</v>
      </c>
      <c r="J42" s="36">
        <v>4.3</v>
      </c>
      <c r="K42" s="42">
        <v>15879</v>
      </c>
      <c r="L42" s="38">
        <v>6.3E-2</v>
      </c>
      <c r="M42" s="36">
        <f>ROUND(K42*(1-L42),0)</f>
        <v>14879</v>
      </c>
      <c r="N42" s="27">
        <v>0.66600000000000004</v>
      </c>
      <c r="O42" s="24">
        <f t="shared" si="355"/>
        <v>9909.4140000000007</v>
      </c>
      <c r="P42" s="38">
        <v>0.29499999999999998</v>
      </c>
      <c r="Q42" s="24">
        <f t="shared" si="356"/>
        <v>4389.3049999999994</v>
      </c>
      <c r="R42" s="38">
        <v>3.9E-2</v>
      </c>
      <c r="S42" s="105"/>
      <c r="T42" s="24">
        <f t="shared" si="357"/>
        <v>580.28099999999995</v>
      </c>
      <c r="U42" s="27">
        <v>0.217</v>
      </c>
      <c r="V42" s="24">
        <f t="shared" si="358"/>
        <v>3228.7429999999999</v>
      </c>
      <c r="W42" s="38">
        <v>0.505</v>
      </c>
      <c r="X42" s="24">
        <f t="shared" si="359"/>
        <v>7513.8950000000004</v>
      </c>
      <c r="Y42" s="38">
        <v>0.41</v>
      </c>
      <c r="Z42" s="24">
        <f t="shared" si="360"/>
        <v>6100.3899999999994</v>
      </c>
      <c r="AA42" s="118">
        <v>2.65E-3</v>
      </c>
      <c r="AB42" s="121">
        <f t="shared" si="60"/>
        <v>39.429349999999999</v>
      </c>
      <c r="AC42" s="45">
        <v>2.5899999999999999E-3</v>
      </c>
      <c r="AD42" s="17">
        <f t="shared" si="362"/>
        <v>38.536609999999996</v>
      </c>
      <c r="AE42" s="26">
        <f>IF(M42&gt;0,(AG42+AP42)/M42,0)</f>
        <v>2.6318157806304188E-3</v>
      </c>
      <c r="AF42" s="45">
        <v>2.4000000000000001E-4</v>
      </c>
      <c r="AG42" s="36">
        <f t="shared" si="363"/>
        <v>3.5709599999999999</v>
      </c>
      <c r="AH42" s="27">
        <v>0.2046</v>
      </c>
      <c r="AI42" s="40">
        <f t="shared" si="364"/>
        <v>34.184363400000002</v>
      </c>
      <c r="AJ42" s="27">
        <f t="shared" si="365"/>
        <v>0.90840148092056472</v>
      </c>
      <c r="AK42" s="28">
        <f t="shared" si="6"/>
        <v>0.90983337131697661</v>
      </c>
      <c r="AL42" s="42">
        <v>183</v>
      </c>
      <c r="AM42" s="38">
        <v>8.6999999999999994E-2</v>
      </c>
      <c r="AN42" s="27">
        <v>0.21299999999999999</v>
      </c>
      <c r="AO42" s="105">
        <v>0.21809999999999999</v>
      </c>
      <c r="AP42" s="40">
        <f>AL42*(1-AM42)*AN42</f>
        <v>35.587827000000004</v>
      </c>
      <c r="AQ42" s="106">
        <f t="shared" si="21"/>
        <v>36.439929900000003</v>
      </c>
      <c r="AR42" s="17">
        <v>1.55</v>
      </c>
      <c r="AS42" s="17"/>
      <c r="AT42" s="129">
        <f>AT41+AL42-AS42</f>
        <v>654.11999999999875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67">SUM(D40:D42)</f>
        <v>38570</v>
      </c>
      <c r="E43" s="49"/>
      <c r="F43" s="49">
        <f t="shared" ref="F43" si="368">SUM(F40:F42)</f>
        <v>40302</v>
      </c>
      <c r="G43" s="50"/>
      <c r="H43" s="50"/>
      <c r="I43" s="49">
        <f t="shared" ref="I43:K43" si="369">SUM(I40:I42)</f>
        <v>39344</v>
      </c>
      <c r="J43" s="50"/>
      <c r="K43" s="49">
        <f t="shared" si="369"/>
        <v>46987</v>
      </c>
      <c r="L43" s="20">
        <f t="shared" ref="L43" si="370">IF(K43&gt;0,(K40*L40+K41*L41+K42*L42)/K43,0)</f>
        <v>6.2995786068487034E-2</v>
      </c>
      <c r="M43" s="50">
        <f t="shared" ref="M43" si="371">M40+M41+M42</f>
        <v>44028</v>
      </c>
      <c r="N43" s="51">
        <f t="shared" ref="N43" si="372">IF(M43&gt;0,O43/M43,0)</f>
        <v>0.73630607795039527</v>
      </c>
      <c r="O43" s="52">
        <f t="shared" ref="O43" si="373">O40+O41+O42</f>
        <v>32418.084000000003</v>
      </c>
      <c r="P43" s="20">
        <f t="shared" ref="P43" si="374">IF(M43&gt;0,Q43/M43,0)</f>
        <v>0.21072667393476877</v>
      </c>
      <c r="Q43" s="52">
        <f t="shared" ref="Q43" si="375">Q40+Q41+Q42</f>
        <v>9277.8739999999998</v>
      </c>
      <c r="R43" s="20">
        <f t="shared" ref="R43" si="376">IF(M43&gt;0,T43/M43,0)</f>
        <v>5.296724811483601E-2</v>
      </c>
      <c r="S43" s="107"/>
      <c r="T43" s="52">
        <f t="shared" ref="T43" si="377">T40+T41+T42</f>
        <v>2332.0419999999999</v>
      </c>
      <c r="U43" s="20">
        <f t="shared" ref="U43" si="378">IF(M43&gt;0,V43/M43,0)</f>
        <v>0.22128118470064506</v>
      </c>
      <c r="V43" s="52">
        <f t="shared" ref="V43" si="379">V40+V41+V42</f>
        <v>9742.5680000000011</v>
      </c>
      <c r="W43" s="20">
        <f t="shared" ref="W43" si="380">IF(M43&gt;0,X43/M43,0)</f>
        <v>0.49808537748705373</v>
      </c>
      <c r="X43" s="52">
        <f t="shared" ref="X43" si="381">X40+X41+X42</f>
        <v>21929.703000000001</v>
      </c>
      <c r="Y43" s="20">
        <f t="shared" ref="Y43" si="382">IF(M43&gt;0,Z43/M43,0)</f>
        <v>0.41995548287453438</v>
      </c>
      <c r="Z43" s="52">
        <f t="shared" ref="Z43" si="383">Z40+Z41+Z42</f>
        <v>18489.8</v>
      </c>
      <c r="AA43" s="119">
        <f>IF(M43&gt;0,AB43/M43,0)</f>
        <v>2.6632411192877262E-3</v>
      </c>
      <c r="AB43" s="54">
        <f t="shared" ref="AB43" si="384">SUM(AB40:AB42)</f>
        <v>117.25718000000001</v>
      </c>
      <c r="AC43" s="53">
        <f t="shared" ref="AC43" si="385">IF(M43&gt;0,AD43/M43,0)</f>
        <v>2.5834780139910966E-3</v>
      </c>
      <c r="AD43" s="54">
        <f t="shared" ref="AD43" si="386">SUM(AD40:AD42)</f>
        <v>113.74536999999999</v>
      </c>
      <c r="AE43" s="53">
        <f t="shared" ref="AE43" si="387">IF(M43&gt;0,(AE40*M40+AE41*M41+AE42*M42)/M43,0)</f>
        <v>2.5872205573725811E-3</v>
      </c>
      <c r="AF43" s="53">
        <f t="shared" ref="AF43" si="388">IF(K43&gt;0,(K40*AF40+K41*AF41+K42*AF42)/K43,0)</f>
        <v>2.4000000000000001E-4</v>
      </c>
      <c r="AG43" s="50">
        <f t="shared" ref="AG43" si="389">SUM(AG40:AG42)</f>
        <v>10.56672</v>
      </c>
      <c r="AH43" s="51">
        <f t="shared" ref="AH43" si="390">IF(K43&gt;0,(K40*AH40+K41*AH41+K42*AH42)/K43,0)</f>
        <v>0.20472693298146297</v>
      </c>
      <c r="AI43" s="56">
        <f t="shared" ref="AI43" si="391">SUM(AI40:AI42)</f>
        <v>98.377481900000021</v>
      </c>
      <c r="AJ43" s="51">
        <f t="shared" ref="AJ43" si="392">IF(AND(AD43&gt;0),((AD40*AJ40+AD41*AJ41+AD42*AJ42)/AD43),0)</f>
        <v>0.90816668717835092</v>
      </c>
      <c r="AK43" s="55">
        <f t="shared" si="6"/>
        <v>0.90824983086398892</v>
      </c>
      <c r="AL43" s="49">
        <f t="shared" ref="AL43" si="393">SUM(AL40:AL42)</f>
        <v>526</v>
      </c>
      <c r="AM43" s="20">
        <f t="shared" ref="AM43" si="394">IF(AL43&gt;0,(AM40*AL40+AM41*AL41+AM42*AL42)/AL43,0)</f>
        <v>8.6365019011406835E-2</v>
      </c>
      <c r="AN43" s="51">
        <f>IF(K43&gt;0,(AN40*K40+AN41*K41+AN42*K42)/K43,0)</f>
        <v>0.21508231425713498</v>
      </c>
      <c r="AO43" s="107">
        <f>IF(L43&gt;0,(AO40*K40+AO41*K41+AO42*K42)/K43,0)</f>
        <v>0.21972393215144612</v>
      </c>
      <c r="AP43" s="56">
        <f t="shared" ref="AP43:AQ55" si="395">SUM(AP40:AP42)</f>
        <v>103.34342670000001</v>
      </c>
      <c r="AQ43" s="108">
        <f t="shared" si="395"/>
        <v>105.58435840000001</v>
      </c>
      <c r="AR43" s="54"/>
      <c r="AS43" s="54">
        <f t="shared" ref="AS43" si="396">SUM(AS40:AS42)</f>
        <v>905.2</v>
      </c>
      <c r="AT43" s="83"/>
      <c r="AU43" s="84">
        <f>AT42</f>
        <v>654.11999999999875</v>
      </c>
      <c r="AV43" s="49">
        <f t="shared" ref="AV43" si="397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4200</v>
      </c>
      <c r="E44" s="11">
        <v>1</v>
      </c>
      <c r="F44" s="11">
        <v>15040</v>
      </c>
      <c r="G44" s="12">
        <v>1</v>
      </c>
      <c r="H44" s="12">
        <v>5.0999999999999996</v>
      </c>
      <c r="I44" s="11">
        <v>14789</v>
      </c>
      <c r="J44" s="12">
        <v>4.5</v>
      </c>
      <c r="K44" s="11">
        <v>15801</v>
      </c>
      <c r="L44" s="13">
        <v>7.0999999999999994E-2</v>
      </c>
      <c r="M44" s="23">
        <f>ROUND(K44*(1-L44),0)</f>
        <v>14679</v>
      </c>
      <c r="N44" s="14">
        <v>0.60199999999999998</v>
      </c>
      <c r="O44" s="24">
        <f t="shared" ref="O44:O46" si="398">M44*N44</f>
        <v>8836.7579999999998</v>
      </c>
      <c r="P44" s="13">
        <v>0.376</v>
      </c>
      <c r="Q44" s="24">
        <f t="shared" ref="Q44:Q46" si="399">M44*P44</f>
        <v>5519.3040000000001</v>
      </c>
      <c r="R44" s="15">
        <v>2.1999999999999999E-2</v>
      </c>
      <c r="S44" s="112"/>
      <c r="T44" s="24">
        <f t="shared" ref="T44:T46" si="400">M44*R44</f>
        <v>322.93799999999999</v>
      </c>
      <c r="U44" s="25">
        <v>0.22500000000000001</v>
      </c>
      <c r="V44" s="24">
        <f t="shared" ref="V44:V46" si="401">M44*U44</f>
        <v>3302.7750000000001</v>
      </c>
      <c r="W44" s="15">
        <v>0.498</v>
      </c>
      <c r="X44" s="24">
        <f t="shared" ref="X44:X46" si="402">M44*W44</f>
        <v>7310.1419999999998</v>
      </c>
      <c r="Y44" s="15">
        <v>0.41</v>
      </c>
      <c r="Z44" s="24">
        <f t="shared" ref="Z44:Z46" si="403">Y44*M44</f>
        <v>6018.3899999999994</v>
      </c>
      <c r="AA44" s="116">
        <v>2.7000000000000001E-3</v>
      </c>
      <c r="AB44" s="18">
        <f t="shared" ref="AB44" si="404">M44*AA44</f>
        <v>39.633300000000006</v>
      </c>
      <c r="AC44" s="16">
        <v>2.5699999999999998E-3</v>
      </c>
      <c r="AD44" s="17">
        <f t="shared" ref="AD44:AD46" si="405">M44*AC44</f>
        <v>37.725029999999997</v>
      </c>
      <c r="AE44" s="26">
        <f>IF(M44&gt;0,(AG44+AP44)/M44,0)</f>
        <v>2.4774044553443693E-3</v>
      </c>
      <c r="AF44" s="16">
        <v>2.5999999999999998E-4</v>
      </c>
      <c r="AG44" s="23">
        <f t="shared" ref="AG44:AG46" si="406">AF44*M44</f>
        <v>3.8165399999999998</v>
      </c>
      <c r="AH44" s="92">
        <v>0.20480000000000001</v>
      </c>
      <c r="AI44" s="29">
        <f t="shared" ref="AI44:AI46" si="407">AL44*(1-AM44)*AH44</f>
        <v>31.0050816</v>
      </c>
      <c r="AJ44" s="27">
        <f t="shared" ref="AJ44:AJ46" si="408">IF(AND(AH44&gt;0,AF44&gt;0,AC44&gt;0),((AC44-AF44)*AH44)/((AH44-AF44)*AC44),0)</f>
        <v>0.89997523150552505</v>
      </c>
      <c r="AK44" s="58">
        <f t="shared" si="6"/>
        <v>0.89613515048181069</v>
      </c>
      <c r="AL44" s="11">
        <v>166</v>
      </c>
      <c r="AM44" s="13">
        <v>8.7999999999999995E-2</v>
      </c>
      <c r="AN44" s="14">
        <v>0.215</v>
      </c>
      <c r="AO44" s="101">
        <v>0.2155</v>
      </c>
      <c r="AP44" s="29">
        <f>AL44*(1-AM44)*AN44</f>
        <v>32.549279999999996</v>
      </c>
      <c r="AQ44" s="102">
        <f t="shared" ref="AQ44" si="409">AL44*(1-AM44)*AO44</f>
        <v>32.624975999999997</v>
      </c>
      <c r="AR44" s="18">
        <v>1.6</v>
      </c>
      <c r="AS44" s="18">
        <v>812.46</v>
      </c>
      <c r="AT44" s="79">
        <f>AT42+AL44-AS44+AU44</f>
        <v>-1.2825296380469808E-12</v>
      </c>
      <c r="AU44" s="130">
        <v>-7.66</v>
      </c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57</v>
      </c>
      <c r="D45" s="33">
        <v>21200</v>
      </c>
      <c r="E45" s="33">
        <v>4</v>
      </c>
      <c r="F45" s="33">
        <v>17302</v>
      </c>
      <c r="G45" s="34">
        <v>0.7</v>
      </c>
      <c r="H45" s="34">
        <v>6</v>
      </c>
      <c r="I45" s="33">
        <v>17479</v>
      </c>
      <c r="J45" s="34">
        <v>3.7</v>
      </c>
      <c r="K45" s="33">
        <v>15812</v>
      </c>
      <c r="L45" s="35">
        <v>6.6000000000000003E-2</v>
      </c>
      <c r="M45" s="36">
        <f>ROUND(K45*(1-L45),0)</f>
        <v>14768</v>
      </c>
      <c r="N45" s="37">
        <v>0.64300000000000002</v>
      </c>
      <c r="O45" s="24">
        <f t="shared" si="398"/>
        <v>9495.8240000000005</v>
      </c>
      <c r="P45" s="35">
        <v>0.308</v>
      </c>
      <c r="Q45" s="24">
        <f t="shared" si="399"/>
        <v>4548.5439999999999</v>
      </c>
      <c r="R45" s="38">
        <v>4.9000000000000002E-2</v>
      </c>
      <c r="S45" s="105"/>
      <c r="T45" s="24">
        <f t="shared" si="400"/>
        <v>723.63200000000006</v>
      </c>
      <c r="U45" s="27">
        <v>0.216</v>
      </c>
      <c r="V45" s="24">
        <f t="shared" si="401"/>
        <v>3189.8879999999999</v>
      </c>
      <c r="W45" s="38">
        <v>0.495</v>
      </c>
      <c r="X45" s="24">
        <f t="shared" si="402"/>
        <v>7310.16</v>
      </c>
      <c r="Y45" s="38">
        <v>0.41</v>
      </c>
      <c r="Z45" s="24">
        <f t="shared" si="403"/>
        <v>6054.8799999999992</v>
      </c>
      <c r="AA45" s="117">
        <v>2.63E-3</v>
      </c>
      <c r="AB45" s="18">
        <f t="shared" si="60"/>
        <v>38.839840000000002</v>
      </c>
      <c r="AC45" s="39">
        <v>2.5899999999999999E-3</v>
      </c>
      <c r="AD45" s="17">
        <f t="shared" si="405"/>
        <v>38.249119999999998</v>
      </c>
      <c r="AE45" s="26">
        <f>IF(M45&gt;0,(AG45+AP45)/M45,0)</f>
        <v>2.7855099674972917E-3</v>
      </c>
      <c r="AF45" s="39">
        <v>2.5000000000000001E-4</v>
      </c>
      <c r="AG45" s="36">
        <f t="shared" si="406"/>
        <v>3.6920000000000002</v>
      </c>
      <c r="AH45" s="27">
        <v>0.21010000000000001</v>
      </c>
      <c r="AI45" s="40">
        <f t="shared" si="407"/>
        <v>36.220399600000007</v>
      </c>
      <c r="AJ45" s="27">
        <f t="shared" si="408"/>
        <v>0.90455123764630563</v>
      </c>
      <c r="AK45" s="28">
        <f t="shared" si="6"/>
        <v>0.91129874413228529</v>
      </c>
      <c r="AL45" s="33">
        <v>188</v>
      </c>
      <c r="AM45" s="35">
        <v>8.3000000000000004E-2</v>
      </c>
      <c r="AN45" s="37">
        <v>0.2172</v>
      </c>
      <c r="AO45" s="103">
        <v>0.22140000000000001</v>
      </c>
      <c r="AP45" s="40">
        <f>AL45*(1-AM45)*AN45</f>
        <v>37.444411200000005</v>
      </c>
      <c r="AQ45" s="104">
        <f t="shared" si="21"/>
        <v>38.168474400000008</v>
      </c>
      <c r="AR45" s="41">
        <v>1.65</v>
      </c>
      <c r="AS45" s="41"/>
      <c r="AT45" s="129">
        <f>AT44+AL45-AS45</f>
        <v>187.99999999999872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54</v>
      </c>
      <c r="D46" s="42">
        <v>22820</v>
      </c>
      <c r="E46" s="42">
        <v>1</v>
      </c>
      <c r="F46" s="42">
        <v>19304</v>
      </c>
      <c r="G46" s="36">
        <v>0.5</v>
      </c>
      <c r="H46" s="36">
        <v>5.5</v>
      </c>
      <c r="I46" s="42">
        <v>18766</v>
      </c>
      <c r="J46" s="36">
        <v>2.1</v>
      </c>
      <c r="K46" s="42">
        <v>16009</v>
      </c>
      <c r="L46" s="38">
        <v>6.2E-2</v>
      </c>
      <c r="M46" s="36">
        <f>ROUND(K46*(1-L46),0)</f>
        <v>15016</v>
      </c>
      <c r="N46" s="27">
        <v>0.67700000000000005</v>
      </c>
      <c r="O46" s="24">
        <f t="shared" si="398"/>
        <v>10165.832</v>
      </c>
      <c r="P46" s="38">
        <v>0.26</v>
      </c>
      <c r="Q46" s="24">
        <f t="shared" si="399"/>
        <v>3904.1600000000003</v>
      </c>
      <c r="R46" s="38">
        <v>6.3E-2</v>
      </c>
      <c r="S46" s="105"/>
      <c r="T46" s="24">
        <f t="shared" si="400"/>
        <v>946.00800000000004</v>
      </c>
      <c r="U46" s="27">
        <v>0.216</v>
      </c>
      <c r="V46" s="24">
        <f t="shared" si="401"/>
        <v>3243.4560000000001</v>
      </c>
      <c r="W46" s="38">
        <v>0.48199999999999998</v>
      </c>
      <c r="X46" s="24">
        <f t="shared" si="402"/>
        <v>7237.7119999999995</v>
      </c>
      <c r="Y46" s="38">
        <v>0.4</v>
      </c>
      <c r="Z46" s="24">
        <f t="shared" si="403"/>
        <v>6006.4000000000005</v>
      </c>
      <c r="AA46" s="118">
        <v>2.7299999999999998E-3</v>
      </c>
      <c r="AB46" s="121">
        <f t="shared" si="60"/>
        <v>40.993679999999998</v>
      </c>
      <c r="AC46" s="45">
        <v>2.7000000000000001E-3</v>
      </c>
      <c r="AD46" s="17">
        <f t="shared" si="405"/>
        <v>40.543199999999999</v>
      </c>
      <c r="AE46" s="26">
        <f>IF(M46&gt;0,(AG46+AP46)/M46,0)</f>
        <v>2.6786139318060735E-3</v>
      </c>
      <c r="AF46" s="45">
        <v>2.5000000000000001E-4</v>
      </c>
      <c r="AG46" s="36">
        <f t="shared" si="406"/>
        <v>3.754</v>
      </c>
      <c r="AH46" s="27">
        <v>0.2056</v>
      </c>
      <c r="AI46" s="40">
        <f t="shared" si="407"/>
        <v>35.217635200000004</v>
      </c>
      <c r="AJ46" s="27">
        <f t="shared" si="408"/>
        <v>0.90851211571932289</v>
      </c>
      <c r="AK46" s="28">
        <f t="shared" si="6"/>
        <v>0.90773406364246656</v>
      </c>
      <c r="AL46" s="42">
        <v>187</v>
      </c>
      <c r="AM46" s="38">
        <v>8.4000000000000005E-2</v>
      </c>
      <c r="AN46" s="27">
        <v>0.21290000000000001</v>
      </c>
      <c r="AO46" s="105">
        <v>0.21909999999999999</v>
      </c>
      <c r="AP46" s="40">
        <f>AL46*(1-AM46)*AN46</f>
        <v>36.468066800000003</v>
      </c>
      <c r="AQ46" s="106">
        <f t="shared" si="21"/>
        <v>37.530077200000001</v>
      </c>
      <c r="AR46" s="17">
        <v>1.55</v>
      </c>
      <c r="AS46" s="17"/>
      <c r="AT46" s="129">
        <f>AT45+AL46-AS46</f>
        <v>374.99999999999875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0">SUM(D44:D46)</f>
        <v>48220</v>
      </c>
      <c r="E47" s="49"/>
      <c r="F47" s="49">
        <f t="shared" ref="F47" si="411">SUM(F44:F46)</f>
        <v>51646</v>
      </c>
      <c r="G47" s="50"/>
      <c r="H47" s="50"/>
      <c r="I47" s="49">
        <f t="shared" ref="I47:K47" si="412">SUM(I44:I46)</f>
        <v>51034</v>
      </c>
      <c r="J47" s="50"/>
      <c r="K47" s="49">
        <f t="shared" si="412"/>
        <v>47622</v>
      </c>
      <c r="L47" s="20">
        <f t="shared" ref="L47" si="413">IF(K47&gt;0,(K44*L44+K45*L45+K46*L46)/K47,0)</f>
        <v>6.6314329511570277E-2</v>
      </c>
      <c r="M47" s="50">
        <f t="shared" ref="M47" si="414">M44+M45+M46</f>
        <v>44463</v>
      </c>
      <c r="N47" s="51">
        <f t="shared" ref="N47" si="415">IF(M47&gt;0,O47/M47,0)</f>
        <v>0.64094671974450679</v>
      </c>
      <c r="O47" s="52">
        <f t="shared" ref="O47" si="416">O44+O45+O46</f>
        <v>28498.414000000004</v>
      </c>
      <c r="P47" s="20">
        <f t="shared" ref="P47" si="417">IF(M47&gt;0,Q47/M47,0)</f>
        <v>0.31423898522366911</v>
      </c>
      <c r="Q47" s="52">
        <f t="shared" ref="Q47" si="418">Q44+Q45+Q46</f>
        <v>13972.008</v>
      </c>
      <c r="R47" s="20">
        <f t="shared" ref="R47" si="419">IF(M47&gt;0,T47/M47,0)</f>
        <v>4.4814295031824221E-2</v>
      </c>
      <c r="S47" s="107"/>
      <c r="T47" s="52">
        <f t="shared" ref="T47" si="420">T44+T45+T46</f>
        <v>1992.5780000000002</v>
      </c>
      <c r="U47" s="20">
        <f t="shared" ref="U47" si="421">IF(M47&gt;0,V47/M47,0)</f>
        <v>0.21897125700020242</v>
      </c>
      <c r="V47" s="52">
        <f t="shared" ref="V47" si="422">V44+V45+V46</f>
        <v>9736.1190000000006</v>
      </c>
      <c r="W47" s="20">
        <f t="shared" ref="W47" si="423">IF(M47&gt;0,X47/M47,0)</f>
        <v>0.49160007196995253</v>
      </c>
      <c r="X47" s="52">
        <f t="shared" ref="X47" si="424">X44+X45+X46</f>
        <v>21858.013999999999</v>
      </c>
      <c r="Y47" s="20">
        <f t="shared" ref="Y47" si="425">IF(M47&gt;0,Z47/M47,0)</f>
        <v>0.40662280997683464</v>
      </c>
      <c r="Z47" s="52">
        <f t="shared" ref="Z47" si="426">Z44+Z45+Z46</f>
        <v>18079.669999999998</v>
      </c>
      <c r="AA47" s="119">
        <f>IF(M47&gt;0,AB47/M47,0)</f>
        <v>2.6868816768998941E-3</v>
      </c>
      <c r="AB47" s="54">
        <f t="shared" ref="AB47" si="427">SUM(AB44:AB46)</f>
        <v>119.46682</v>
      </c>
      <c r="AC47" s="53">
        <f t="shared" ref="AC47" si="428">IF(M47&gt;0,AD47/M47,0)</f>
        <v>2.6205462969210351E-3</v>
      </c>
      <c r="AD47" s="54">
        <f t="shared" ref="AD47" si="429">SUM(AD44:AD46)</f>
        <v>116.51734999999999</v>
      </c>
      <c r="AE47" s="53">
        <f t="shared" ref="AE47" si="430">IF(M47&gt;0,(AE44*M44+AE45*M45+AE46*M46)/M47,0)</f>
        <v>2.6476912938848034E-3</v>
      </c>
      <c r="AF47" s="53">
        <f t="shared" ref="AF47" si="431">IF(K47&gt;0,(K44*AF44+K45*AF45+K46*AF46)/K47,0)</f>
        <v>2.5331800428373444E-4</v>
      </c>
      <c r="AG47" s="50">
        <f t="shared" ref="AG47" si="432">SUM(AG44:AG46)</f>
        <v>11.26254</v>
      </c>
      <c r="AH47" s="51">
        <f t="shared" ref="AH47" si="433">IF(K47&gt;0,(K44*AH44+K45*AH45+K46*AH46)/K47,0)</f>
        <v>0.20682870102053674</v>
      </c>
      <c r="AI47" s="56">
        <f t="shared" ref="AI47" si="434">SUM(AI44:AI46)</f>
        <v>102.44311640000001</v>
      </c>
      <c r="AJ47" s="51">
        <f t="shared" ref="AJ47" si="435">IF(AND(AD47&gt;0),((AD44*AJ44+AD45*AJ45+AD46*AJ46)/AD47),0)</f>
        <v>0.90444787709913232</v>
      </c>
      <c r="AK47" s="55">
        <f t="shared" si="6"/>
        <v>0.90539157902782541</v>
      </c>
      <c r="AL47" s="49">
        <f t="shared" ref="AL47" si="436">SUM(AL44:AL46)</f>
        <v>541</v>
      </c>
      <c r="AM47" s="20">
        <f t="shared" ref="AM47" si="437">IF(AL47&gt;0,(AM44*AL44+AM45*AL45+AM46*AL46)/AL47,0)</f>
        <v>8.487985212569317E-2</v>
      </c>
      <c r="AN47" s="51">
        <f>IF(K47&gt;0,(AN44*K44+AN45*K45+AN46*K46)/K47,0)</f>
        <v>0.21502451598000921</v>
      </c>
      <c r="AO47" s="107">
        <f>IF(L47&gt;0,(AO44*K44+AO45*K45+AO46*K46)/K47,0)</f>
        <v>0.21866919071017593</v>
      </c>
      <c r="AP47" s="56">
        <f t="shared" ref="AP47" si="438">SUM(AP44:AP46)</f>
        <v>106.461758</v>
      </c>
      <c r="AQ47" s="108">
        <f t="shared" si="395"/>
        <v>108.32352760000001</v>
      </c>
      <c r="AR47" s="54"/>
      <c r="AS47" s="54">
        <f t="shared" ref="AS47" si="439">SUM(AS44:AS46)</f>
        <v>812.46</v>
      </c>
      <c r="AT47" s="83"/>
      <c r="AU47" s="84">
        <f>AT46</f>
        <v>374.99999999999875</v>
      </c>
      <c r="AV47" s="49">
        <f t="shared" ref="AV47" si="440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6002</v>
      </c>
      <c r="E48" s="11">
        <v>0</v>
      </c>
      <c r="F48" s="11">
        <v>13465</v>
      </c>
      <c r="G48" s="12">
        <v>0.5</v>
      </c>
      <c r="H48" s="12">
        <v>4.3</v>
      </c>
      <c r="I48" s="11">
        <v>13457</v>
      </c>
      <c r="J48" s="12">
        <v>3.7</v>
      </c>
      <c r="K48" s="11">
        <v>16057</v>
      </c>
      <c r="L48" s="13">
        <v>6.6000000000000003E-2</v>
      </c>
      <c r="M48" s="23">
        <f>ROUND(K48*(1-L48),0)</f>
        <v>14997</v>
      </c>
      <c r="N48" s="14">
        <v>0.77800000000000002</v>
      </c>
      <c r="O48" s="24">
        <f t="shared" ref="O48:O50" si="441">M48*N48</f>
        <v>11667.666000000001</v>
      </c>
      <c r="P48" s="13">
        <v>0.185</v>
      </c>
      <c r="Q48" s="24">
        <f t="shared" ref="Q48:Q50" si="442">M48*P48</f>
        <v>2774.4450000000002</v>
      </c>
      <c r="R48" s="15">
        <v>3.6999999999999998E-2</v>
      </c>
      <c r="S48" s="112"/>
      <c r="T48" s="24">
        <f t="shared" ref="T48:T50" si="443">M48*R48</f>
        <v>554.88900000000001</v>
      </c>
      <c r="U48" s="25">
        <v>0.21099999999999999</v>
      </c>
      <c r="V48" s="24">
        <f t="shared" ref="V48:V50" si="444">M48*U48</f>
        <v>3164.3669999999997</v>
      </c>
      <c r="W48" s="15">
        <v>0.498</v>
      </c>
      <c r="X48" s="24">
        <f t="shared" ref="X48:X50" si="445">M48*W48</f>
        <v>7468.5060000000003</v>
      </c>
      <c r="Y48" s="15">
        <v>0.39</v>
      </c>
      <c r="Z48" s="24">
        <f t="shared" ref="Z48:Z50" si="446">Y48*M48</f>
        <v>5848.83</v>
      </c>
      <c r="AA48" s="116">
        <v>2.7699999999999999E-3</v>
      </c>
      <c r="AB48" s="18">
        <f t="shared" ref="AB48" si="447">M48*AA48</f>
        <v>41.541689999999996</v>
      </c>
      <c r="AC48" s="16">
        <v>2.7200000000000002E-3</v>
      </c>
      <c r="AD48" s="17">
        <f t="shared" ref="AD48:AD50" si="448">M48*AC48</f>
        <v>40.791840000000001</v>
      </c>
      <c r="AE48" s="26">
        <f>IF(M48&gt;0,(AG48+AP48)/M48,0)</f>
        <v>2.6449424884976993E-3</v>
      </c>
      <c r="AF48" s="16">
        <v>2.5000000000000001E-4</v>
      </c>
      <c r="AG48" s="23">
        <f t="shared" ref="AG48:AG50" si="449">AF48*M48</f>
        <v>3.74925</v>
      </c>
      <c r="AH48" s="92">
        <v>0.20599999999999999</v>
      </c>
      <c r="AI48" s="29">
        <f t="shared" ref="AI48:AI50" si="450">AL48*(1-AM48)*AH48</f>
        <v>34.493669999999995</v>
      </c>
      <c r="AJ48" s="27">
        <f t="shared" ref="AJ48:AJ50" si="451">IF(AND(AH48&gt;0,AF48&gt;0,AC48&gt;0),((AC48-AF48)*AH48)/((AH48-AF48)*AC48),0)</f>
        <v>0.90919162318633406</v>
      </c>
      <c r="AK48" s="58">
        <f t="shared" si="6"/>
        <v>0.9065365558063202</v>
      </c>
      <c r="AL48" s="11">
        <v>183</v>
      </c>
      <c r="AM48" s="13">
        <v>8.5000000000000006E-2</v>
      </c>
      <c r="AN48" s="14">
        <v>0.2145</v>
      </c>
      <c r="AO48" s="101">
        <v>0.21890000000000001</v>
      </c>
      <c r="AP48" s="29">
        <f>AL48*(1-AM48)*AN48</f>
        <v>35.916952500000001</v>
      </c>
      <c r="AQ48" s="102">
        <f t="shared" ref="AQ48" si="452">AL48*(1-AM48)*AO48</f>
        <v>36.653710500000003</v>
      </c>
      <c r="AR48" s="18">
        <v>1.55</v>
      </c>
      <c r="AS48" s="18">
        <v>504.12</v>
      </c>
      <c r="AT48" s="79">
        <f>AT46+AL48-AS48</f>
        <v>53.879999999998745</v>
      </c>
      <c r="AU48" s="80"/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0" t="s">
        <v>57</v>
      </c>
      <c r="D49" s="33">
        <v>18700</v>
      </c>
      <c r="E49" s="33">
        <v>7</v>
      </c>
      <c r="F49" s="33">
        <v>17775</v>
      </c>
      <c r="G49" s="34">
        <v>0.7</v>
      </c>
      <c r="H49" s="34">
        <v>6.1</v>
      </c>
      <c r="I49" s="33">
        <v>16832</v>
      </c>
      <c r="J49" s="34">
        <v>3</v>
      </c>
      <c r="K49" s="33">
        <v>16054</v>
      </c>
      <c r="L49" s="35">
        <v>7.1999999999999995E-2</v>
      </c>
      <c r="M49" s="36">
        <f>ROUND(K49*(1-L49),0)</f>
        <v>14898</v>
      </c>
      <c r="N49" s="37">
        <v>0.76100000000000001</v>
      </c>
      <c r="O49" s="24">
        <f t="shared" si="441"/>
        <v>11337.378000000001</v>
      </c>
      <c r="P49" s="35">
        <v>0.19600000000000001</v>
      </c>
      <c r="Q49" s="24">
        <f t="shared" si="442"/>
        <v>2920.0080000000003</v>
      </c>
      <c r="R49" s="38">
        <v>4.2999999999999997E-2</v>
      </c>
      <c r="S49" s="105"/>
      <c r="T49" s="24">
        <f t="shared" si="443"/>
        <v>640.61399999999992</v>
      </c>
      <c r="U49" s="27">
        <v>0.20899999999999999</v>
      </c>
      <c r="V49" s="24">
        <f t="shared" si="444"/>
        <v>3113.6819999999998</v>
      </c>
      <c r="W49" s="38">
        <v>0.51100000000000001</v>
      </c>
      <c r="X49" s="24">
        <f t="shared" si="445"/>
        <v>7612.8779999999997</v>
      </c>
      <c r="Y49" s="38">
        <v>0.41</v>
      </c>
      <c r="Z49" s="24">
        <f t="shared" si="446"/>
        <v>6108.1799999999994</v>
      </c>
      <c r="AA49" s="117">
        <v>2.7799999999999999E-3</v>
      </c>
      <c r="AB49" s="18">
        <f t="shared" si="60"/>
        <v>41.416440000000001</v>
      </c>
      <c r="AC49" s="39">
        <v>2.7000000000000001E-3</v>
      </c>
      <c r="AD49" s="17">
        <f t="shared" si="448"/>
        <v>40.224600000000002</v>
      </c>
      <c r="AE49" s="26">
        <f>IF(M49&gt;0,(AG49+AP49)/M49,0)</f>
        <v>2.6238014498590413E-3</v>
      </c>
      <c r="AF49" s="39">
        <v>2.4000000000000001E-4</v>
      </c>
      <c r="AG49" s="36">
        <f t="shared" si="449"/>
        <v>3.57552</v>
      </c>
      <c r="AH49" s="27">
        <v>0.20599999999999999</v>
      </c>
      <c r="AI49" s="40">
        <f t="shared" si="450"/>
        <v>33.854039999999998</v>
      </c>
      <c r="AJ49" s="27">
        <f t="shared" si="451"/>
        <v>0.91217383791256246</v>
      </c>
      <c r="AK49" s="28">
        <f t="shared" si="6"/>
        <v>0.90953979620208147</v>
      </c>
      <c r="AL49" s="33">
        <v>180</v>
      </c>
      <c r="AM49" s="35">
        <v>8.6999999999999994E-2</v>
      </c>
      <c r="AN49" s="37">
        <v>0.21609999999999999</v>
      </c>
      <c r="AO49" s="103">
        <v>0.21929999999999999</v>
      </c>
      <c r="AP49" s="40">
        <f>AL49*(1-AM49)*AN49</f>
        <v>35.513874000000001</v>
      </c>
      <c r="AQ49" s="104">
        <f t="shared" si="21"/>
        <v>36.039762000000003</v>
      </c>
      <c r="AR49" s="41">
        <v>1.6</v>
      </c>
      <c r="AS49" s="41"/>
      <c r="AT49" s="129">
        <f>AT48+AL49-AS49</f>
        <v>233.87999999999874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0" t="s">
        <v>58</v>
      </c>
      <c r="D50" s="42">
        <v>21458</v>
      </c>
      <c r="E50" s="42">
        <v>1</v>
      </c>
      <c r="F50" s="42">
        <v>17896</v>
      </c>
      <c r="G50" s="36">
        <v>0.4</v>
      </c>
      <c r="H50" s="36">
        <v>5.6</v>
      </c>
      <c r="I50" s="42">
        <v>17935</v>
      </c>
      <c r="J50" s="36">
        <v>1.7</v>
      </c>
      <c r="K50" s="42">
        <v>16053</v>
      </c>
      <c r="L50" s="38">
        <v>7.4999999999999997E-2</v>
      </c>
      <c r="M50" s="36">
        <f>ROUND(K50*(1-L50),0)</f>
        <v>14849</v>
      </c>
      <c r="N50" s="27">
        <v>0.74099999999999999</v>
      </c>
      <c r="O50" s="24">
        <f t="shared" si="441"/>
        <v>11003.109</v>
      </c>
      <c r="P50" s="38">
        <v>0.19800000000000001</v>
      </c>
      <c r="Q50" s="24">
        <f t="shared" si="442"/>
        <v>2940.1020000000003</v>
      </c>
      <c r="R50" s="38">
        <v>6.0999999999999999E-2</v>
      </c>
      <c r="S50" s="105"/>
      <c r="T50" s="24">
        <f t="shared" si="443"/>
        <v>905.78899999999999</v>
      </c>
      <c r="U50" s="27">
        <v>0.21199999999999999</v>
      </c>
      <c r="V50" s="24">
        <f t="shared" si="444"/>
        <v>3147.9879999999998</v>
      </c>
      <c r="W50" s="38">
        <v>0.499</v>
      </c>
      <c r="X50" s="24">
        <f t="shared" si="445"/>
        <v>7409.6509999999998</v>
      </c>
      <c r="Y50" s="38">
        <v>0.39</v>
      </c>
      <c r="Z50" s="24">
        <f t="shared" si="446"/>
        <v>5791.1100000000006</v>
      </c>
      <c r="AA50" s="118">
        <v>2.7000000000000001E-3</v>
      </c>
      <c r="AB50" s="121">
        <f t="shared" si="60"/>
        <v>40.092300000000002</v>
      </c>
      <c r="AC50" s="45">
        <v>2.7200000000000002E-3</v>
      </c>
      <c r="AD50" s="17">
        <f t="shared" si="448"/>
        <v>40.389279999999999</v>
      </c>
      <c r="AE50" s="26">
        <f>IF(M50&gt;0,(AG50+AP50)/M50,0)</f>
        <v>2.4886343861539499E-3</v>
      </c>
      <c r="AF50" s="45">
        <v>2.4000000000000001E-4</v>
      </c>
      <c r="AG50" s="36">
        <f t="shared" si="449"/>
        <v>3.5637600000000003</v>
      </c>
      <c r="AH50" s="27">
        <v>0.20169999999999999</v>
      </c>
      <c r="AI50" s="40">
        <f t="shared" si="450"/>
        <v>34.3610069</v>
      </c>
      <c r="AJ50" s="27">
        <f t="shared" si="451"/>
        <v>0.9128508943535717</v>
      </c>
      <c r="AK50" s="28">
        <f t="shared" si="6"/>
        <v>0.90466932556300639</v>
      </c>
      <c r="AL50" s="42">
        <v>187</v>
      </c>
      <c r="AM50" s="38">
        <v>8.8999999999999996E-2</v>
      </c>
      <c r="AN50" s="27">
        <v>0.19600000000000001</v>
      </c>
      <c r="AO50" s="105">
        <v>0.22</v>
      </c>
      <c r="AP50" s="40">
        <f>AL50*(1-AM50)*AN50</f>
        <v>33.389972</v>
      </c>
      <c r="AQ50" s="106">
        <f t="shared" si="21"/>
        <v>37.478540000000002</v>
      </c>
      <c r="AR50" s="17">
        <v>1.55</v>
      </c>
      <c r="AS50" s="17"/>
      <c r="AT50" s="129">
        <f>AT49+AL50-AS50</f>
        <v>420.87999999999874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53">SUM(D48:D50)</f>
        <v>46160</v>
      </c>
      <c r="E51" s="49"/>
      <c r="F51" s="49">
        <f t="shared" ref="F51" si="454">SUM(F48:F50)</f>
        <v>49136</v>
      </c>
      <c r="G51" s="50"/>
      <c r="H51" s="50"/>
      <c r="I51" s="49">
        <f t="shared" ref="I51:K51" si="455">SUM(I48:I50)</f>
        <v>48224</v>
      </c>
      <c r="J51" s="50"/>
      <c r="K51" s="49">
        <f t="shared" si="455"/>
        <v>48164</v>
      </c>
      <c r="L51" s="20">
        <f t="shared" ref="L51" si="456">IF(K51&gt;0,(K48*L48+K49*L49+K50*L50)/K51,0)</f>
        <v>7.0999605514492137E-2</v>
      </c>
      <c r="M51" s="50">
        <f t="shared" ref="M51" si="457">M48+M49+M50</f>
        <v>44744</v>
      </c>
      <c r="N51" s="51">
        <f t="shared" ref="N51" si="458">IF(M51&gt;0,O51/M51,0)</f>
        <v>0.76006063382799938</v>
      </c>
      <c r="O51" s="52">
        <f t="shared" ref="O51" si="459">O48+O49+O50</f>
        <v>34008.153000000006</v>
      </c>
      <c r="P51" s="20">
        <f t="shared" ref="P51" si="460">IF(M51&gt;0,Q51/M51,0)</f>
        <v>0.19297682370820671</v>
      </c>
      <c r="Q51" s="52">
        <f t="shared" ref="Q51" si="461">Q48+Q49+Q50</f>
        <v>8634.5550000000003</v>
      </c>
      <c r="R51" s="20">
        <f t="shared" ref="R51" si="462">IF(M51&gt;0,T51/M51,0)</f>
        <v>4.6962542463794027E-2</v>
      </c>
      <c r="S51" s="107"/>
      <c r="T51" s="52">
        <f t="shared" ref="T51" si="463">T48+T49+T50</f>
        <v>2101.2919999999999</v>
      </c>
      <c r="U51" s="20">
        <f t="shared" ref="U51" si="464">IF(M51&gt;0,V51/M51,0)</f>
        <v>0.2106659440371893</v>
      </c>
      <c r="V51" s="52">
        <f t="shared" ref="V51" si="465">V48+V49+V50</f>
        <v>9426.0369999999984</v>
      </c>
      <c r="W51" s="20">
        <f t="shared" ref="W51" si="466">IF(M51&gt;0,X51/M51,0)</f>
        <v>0.50266035669586984</v>
      </c>
      <c r="X51" s="52">
        <f t="shared" ref="X51" si="467">X48+X49+X50</f>
        <v>22491.035</v>
      </c>
      <c r="Y51" s="20">
        <f t="shared" ref="Y51" si="468">IF(M51&gt;0,Z51/M51,0)</f>
        <v>0.39665921687824063</v>
      </c>
      <c r="Z51" s="52">
        <f t="shared" ref="Z51" si="469">Z48+Z49+Z50</f>
        <v>17748.12</v>
      </c>
      <c r="AA51" s="119">
        <f t="shared" ref="AA51" si="470">IF(M51&gt;0,AB51/M51,0)</f>
        <v>2.7500990076881819E-3</v>
      </c>
      <c r="AB51" s="54">
        <f t="shared" ref="AB51" si="471">SUM(AB48:AB50)</f>
        <v>123.05043000000001</v>
      </c>
      <c r="AC51" s="53">
        <f t="shared" ref="AC51" si="472">IF(M51&gt;0,AD51/M51,0)</f>
        <v>2.7133407831217596E-3</v>
      </c>
      <c r="AD51" s="54">
        <f t="shared" ref="AD51" si="473">SUM(AD48:AD50)</f>
        <v>121.40572</v>
      </c>
      <c r="AE51" s="53">
        <f t="shared" ref="AE51" si="474">IF(M51&gt;0,(AE48*M48+AE49*M49+AE50*M50)/M51,0)</f>
        <v>2.5860300487216162E-3</v>
      </c>
      <c r="AF51" s="53">
        <f t="shared" ref="AF51" si="475">IF(K51&gt;0,(K48*AF48+K49*AF49+K50*AF50)/K51,0)</f>
        <v>2.4333381778922017E-4</v>
      </c>
      <c r="AG51" s="50">
        <f t="shared" ref="AG51" si="476">SUM(AG48:AG50)</f>
        <v>10.888529999999999</v>
      </c>
      <c r="AH51" s="51">
        <f t="shared" ref="AH51" si="477">IF(K51&gt;0,(K48*AH48+K49*AH49+K50*AH50)/K51,0)</f>
        <v>0.20456681546383187</v>
      </c>
      <c r="AI51" s="56">
        <f t="shared" ref="AI51" si="478">SUM(AI48:AI50)</f>
        <v>102.70871689999998</v>
      </c>
      <c r="AJ51" s="51">
        <f t="shared" ref="AJ51" si="479">IF(AND(AD51&gt;0),((AD48*AJ48+AD49*AJ49+AD50*AJ50)/AD51),0)</f>
        <v>0.91139706887905869</v>
      </c>
      <c r="AK51" s="55">
        <f t="shared" si="6"/>
        <v>0.90696111402465296</v>
      </c>
      <c r="AL51" s="49">
        <f t="shared" ref="AL51" si="480">SUM(AL48:AL50)</f>
        <v>550</v>
      </c>
      <c r="AM51" s="20">
        <f t="shared" ref="AM51" si="481">IF(AL51&gt;0,(AM48*AL48+AM49*AL49+AM50*AL50)/AL51,0)</f>
        <v>8.7014545454545456E-2</v>
      </c>
      <c r="AN51" s="51">
        <f>IF(K51&gt;0,(AN48*K48+AN49*K49+AN50*K50)/K51,0)</f>
        <v>0.20886728469396232</v>
      </c>
      <c r="AO51" s="107">
        <f>IF(L51&gt;0,(AO48*K48+AO49*K49+AO50*K50)/K51,0)</f>
        <v>0.2193999563989702</v>
      </c>
      <c r="AP51" s="56">
        <f t="shared" ref="AP51" si="482">SUM(AP48:AP50)</f>
        <v>104.8207985</v>
      </c>
      <c r="AQ51" s="108">
        <f t="shared" si="395"/>
        <v>110.17201250000002</v>
      </c>
      <c r="AR51" s="54"/>
      <c r="AS51" s="54">
        <f t="shared" ref="AS51" si="483">SUM(AS48:AS50)</f>
        <v>504.12</v>
      </c>
      <c r="AT51" s="83"/>
      <c r="AU51" s="84">
        <f>AT50</f>
        <v>420.87999999999874</v>
      </c>
      <c r="AV51" s="49">
        <f t="shared" ref="AV51" si="48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53</v>
      </c>
      <c r="D52" s="11">
        <v>5515</v>
      </c>
      <c r="E52" s="11">
        <v>0</v>
      </c>
      <c r="F52" s="11">
        <v>10002</v>
      </c>
      <c r="G52" s="12">
        <v>0.6</v>
      </c>
      <c r="H52" s="12">
        <v>5.2</v>
      </c>
      <c r="I52" s="11">
        <v>9924</v>
      </c>
      <c r="J52" s="12">
        <v>4</v>
      </c>
      <c r="K52" s="11">
        <v>16055</v>
      </c>
      <c r="L52" s="13">
        <v>7.3999999999999996E-2</v>
      </c>
      <c r="M52" s="23">
        <f>ROUND(K52*(1-L52),0)</f>
        <v>14867</v>
      </c>
      <c r="N52" s="14">
        <v>0.77900000000000003</v>
      </c>
      <c r="O52" s="24">
        <f t="shared" ref="O52:O54" si="485">M52*N52</f>
        <v>11581.393</v>
      </c>
      <c r="P52" s="13">
        <v>0.16200000000000001</v>
      </c>
      <c r="Q52" s="24">
        <f t="shared" ref="Q52:Q54" si="486">M52*P52</f>
        <v>2408.4540000000002</v>
      </c>
      <c r="R52" s="15">
        <v>5.8999999999999997E-2</v>
      </c>
      <c r="S52" s="112"/>
      <c r="T52" s="24">
        <f t="shared" ref="T52:T54" si="487">M52*R52</f>
        <v>877.15299999999991</v>
      </c>
      <c r="U52" s="25">
        <v>0.21199999999999999</v>
      </c>
      <c r="V52" s="24">
        <f t="shared" ref="V52:V54" si="488">M52*U52</f>
        <v>3151.8040000000001</v>
      </c>
      <c r="W52" s="15">
        <v>0.501</v>
      </c>
      <c r="X52" s="24">
        <f t="shared" ref="X52:X54" si="489">M52*W52</f>
        <v>7448.3670000000002</v>
      </c>
      <c r="Y52" s="15">
        <v>0.39</v>
      </c>
      <c r="Z52" s="24">
        <f t="shared" ref="Z52:Z54" si="490">Y52*M52</f>
        <v>5798.13</v>
      </c>
      <c r="AA52" s="116">
        <v>2.8600000000000001E-3</v>
      </c>
      <c r="AB52" s="18">
        <f t="shared" ref="AB52" si="491">M52*AA52</f>
        <v>42.519620000000003</v>
      </c>
      <c r="AC52" s="16">
        <v>2.7899999999999999E-3</v>
      </c>
      <c r="AD52" s="17">
        <f t="shared" ref="AD52:AD54" si="492">M52*AC52</f>
        <v>41.478929999999998</v>
      </c>
      <c r="AE52" s="26">
        <f>IF(M52&gt;0,(AG52+AP52)/M52,0)</f>
        <v>2.7494516445819603E-3</v>
      </c>
      <c r="AF52" s="16">
        <v>2.4000000000000001E-4</v>
      </c>
      <c r="AG52" s="23">
        <f t="shared" ref="AG52:AG54" si="493">AF52*M52</f>
        <v>3.5680800000000001</v>
      </c>
      <c r="AH52" s="92">
        <v>0.20280000000000001</v>
      </c>
      <c r="AI52" s="29">
        <f t="shared" ref="AI52:AI54" si="494">AL52*(1-AM52)*AH52</f>
        <v>36.5157624</v>
      </c>
      <c r="AJ52" s="27">
        <f t="shared" ref="AJ52:AJ54" si="495">IF(AND(AH52&gt;0,AF52&gt;0,AC52&gt;0),((AC52-AF52)*AH52)/((AH52-AF52)*AC52),0)</f>
        <v>0.91506140753197751</v>
      </c>
      <c r="AK52" s="58">
        <f t="shared" si="6"/>
        <v>0.91376828576657676</v>
      </c>
      <c r="AL52" s="11">
        <v>197</v>
      </c>
      <c r="AM52" s="13">
        <v>8.5999999999999993E-2</v>
      </c>
      <c r="AN52" s="14">
        <v>0.2072</v>
      </c>
      <c r="AO52" s="101">
        <v>0.20979999999999999</v>
      </c>
      <c r="AP52" s="29">
        <f>AL52*(1-AM52)*AN52</f>
        <v>37.308017599999999</v>
      </c>
      <c r="AQ52" s="102">
        <f t="shared" ref="AQ52" si="496">AL52*(1-AM52)*AO52</f>
        <v>37.776168399999996</v>
      </c>
      <c r="AR52" s="18">
        <v>1.7</v>
      </c>
      <c r="AS52" s="18">
        <v>502.68</v>
      </c>
      <c r="AT52" s="79">
        <f>AT50+AL52-AS52</f>
        <v>115.19999999999874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0" t="s">
        <v>57</v>
      </c>
      <c r="D53" s="33">
        <v>18900</v>
      </c>
      <c r="E53" s="33">
        <v>6</v>
      </c>
      <c r="F53" s="33">
        <v>17750</v>
      </c>
      <c r="G53" s="34">
        <v>0.7</v>
      </c>
      <c r="H53" s="34">
        <v>6.1</v>
      </c>
      <c r="I53" s="33">
        <v>16993</v>
      </c>
      <c r="J53" s="34">
        <v>3.4</v>
      </c>
      <c r="K53" s="33">
        <v>16106</v>
      </c>
      <c r="L53" s="35">
        <v>6.5000000000000002E-2</v>
      </c>
      <c r="M53" s="36">
        <f>ROUND(K53*(1-L53),0)</f>
        <v>15059</v>
      </c>
      <c r="N53" s="37">
        <v>0.57399999999999995</v>
      </c>
      <c r="O53" s="24">
        <f t="shared" si="485"/>
        <v>8643.866</v>
      </c>
      <c r="P53" s="35">
        <v>0.378</v>
      </c>
      <c r="Q53" s="24">
        <f t="shared" si="486"/>
        <v>5692.3019999999997</v>
      </c>
      <c r="R53" s="38">
        <v>4.8000000000000001E-2</v>
      </c>
      <c r="S53" s="105"/>
      <c r="T53" s="24">
        <f t="shared" si="487"/>
        <v>722.83199999999999</v>
      </c>
      <c r="U53" s="27">
        <v>0.21299999999999999</v>
      </c>
      <c r="V53" s="24">
        <f t="shared" si="488"/>
        <v>3207.567</v>
      </c>
      <c r="W53" s="38">
        <v>0.499</v>
      </c>
      <c r="X53" s="24">
        <f t="shared" si="489"/>
        <v>7514.4409999999998</v>
      </c>
      <c r="Y53" s="38">
        <v>0.4</v>
      </c>
      <c r="Z53" s="24">
        <f t="shared" si="490"/>
        <v>6023.6</v>
      </c>
      <c r="AA53" s="117">
        <v>2.7599999999999999E-3</v>
      </c>
      <c r="AB53" s="18">
        <f t="shared" si="60"/>
        <v>41.562840000000001</v>
      </c>
      <c r="AC53" s="39">
        <v>2.6700000000000001E-3</v>
      </c>
      <c r="AD53" s="17">
        <f t="shared" si="492"/>
        <v>40.207529999999998</v>
      </c>
      <c r="AE53" s="26">
        <f>IF(M53&gt;0,(AG53+AP53)/M53,0)</f>
        <v>2.5225964937910885E-3</v>
      </c>
      <c r="AF53" s="39">
        <v>2.4000000000000001E-4</v>
      </c>
      <c r="AG53" s="36">
        <f t="shared" si="493"/>
        <v>3.61416</v>
      </c>
      <c r="AH53" s="27">
        <v>0.20580000000000001</v>
      </c>
      <c r="AI53" s="40">
        <f t="shared" si="494"/>
        <v>33.6701148</v>
      </c>
      <c r="AJ53" s="27">
        <f t="shared" si="495"/>
        <v>0.91117495424939488</v>
      </c>
      <c r="AK53" s="28">
        <f t="shared" si="6"/>
        <v>0.90589474828979744</v>
      </c>
      <c r="AL53" s="33">
        <v>179</v>
      </c>
      <c r="AM53" s="35">
        <v>8.5999999999999993E-2</v>
      </c>
      <c r="AN53" s="37">
        <v>0.21010000000000001</v>
      </c>
      <c r="AO53" s="103">
        <v>0.21210000000000001</v>
      </c>
      <c r="AP53" s="40">
        <f>AL53*(1-AM53)*AN53</f>
        <v>34.373620600000002</v>
      </c>
      <c r="AQ53" s="104">
        <f t="shared" si="21"/>
        <v>34.700832599999998</v>
      </c>
      <c r="AR53" s="41">
        <v>1.6</v>
      </c>
      <c r="AS53" s="41"/>
      <c r="AT53" s="129">
        <f>AT52+AL53-AS53</f>
        <v>294.19999999999874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0" t="s">
        <v>58</v>
      </c>
      <c r="D54" s="42">
        <v>19665</v>
      </c>
      <c r="E54" s="42">
        <v>0</v>
      </c>
      <c r="F54" s="42">
        <v>17564</v>
      </c>
      <c r="G54" s="36">
        <v>0.5</v>
      </c>
      <c r="H54" s="36">
        <v>5.2</v>
      </c>
      <c r="I54" s="42">
        <v>17413</v>
      </c>
      <c r="J54" s="36">
        <v>2.2999999999999998</v>
      </c>
      <c r="K54" s="42">
        <v>16074</v>
      </c>
      <c r="L54" s="38">
        <v>7.1999999999999995E-2</v>
      </c>
      <c r="M54" s="36">
        <f>ROUND(K54*(1-L54),0)</f>
        <v>14917</v>
      </c>
      <c r="N54" s="27">
        <v>0.69099999999999995</v>
      </c>
      <c r="O54" s="24">
        <f t="shared" si="485"/>
        <v>10307.646999999999</v>
      </c>
      <c r="P54" s="38">
        <v>0.24099999999999999</v>
      </c>
      <c r="Q54" s="24">
        <f t="shared" si="486"/>
        <v>3594.9969999999998</v>
      </c>
      <c r="R54" s="38">
        <v>6.8000000000000005E-2</v>
      </c>
      <c r="S54" s="105"/>
      <c r="T54" s="24">
        <f t="shared" si="487"/>
        <v>1014.3560000000001</v>
      </c>
      <c r="U54" s="27">
        <v>0.215</v>
      </c>
      <c r="V54" s="24">
        <f t="shared" si="488"/>
        <v>3207.1549999999997</v>
      </c>
      <c r="W54" s="38">
        <v>0.495</v>
      </c>
      <c r="X54" s="24">
        <f t="shared" si="489"/>
        <v>7383.915</v>
      </c>
      <c r="Y54" s="38">
        <v>0.39</v>
      </c>
      <c r="Z54" s="24">
        <f t="shared" si="490"/>
        <v>5817.63</v>
      </c>
      <c r="AA54" s="118">
        <v>2.5300000000000001E-3</v>
      </c>
      <c r="AB54" s="121">
        <f t="shared" si="60"/>
        <v>37.740010000000005</v>
      </c>
      <c r="AC54" s="45">
        <v>2.5200000000000001E-3</v>
      </c>
      <c r="AD54" s="17">
        <f t="shared" si="492"/>
        <v>37.59084</v>
      </c>
      <c r="AE54" s="26">
        <f>IF(M54&gt;0,(AG54+AP54)/M54,0)</f>
        <v>2.3703522692230341E-3</v>
      </c>
      <c r="AF54" s="45">
        <v>2.3000000000000001E-4</v>
      </c>
      <c r="AG54" s="36">
        <f t="shared" si="493"/>
        <v>3.4309099999999999</v>
      </c>
      <c r="AH54" s="27">
        <v>0.20180000000000001</v>
      </c>
      <c r="AI54" s="40">
        <f t="shared" si="494"/>
        <v>30.149727200000001</v>
      </c>
      <c r="AJ54" s="27">
        <f t="shared" si="495"/>
        <v>0.90976705874756181</v>
      </c>
      <c r="AK54" s="28">
        <f t="shared" si="6"/>
        <v>0.90394089815044509</v>
      </c>
      <c r="AL54" s="42">
        <v>164</v>
      </c>
      <c r="AM54" s="38">
        <v>8.8999999999999996E-2</v>
      </c>
      <c r="AN54" s="27">
        <v>0.2137</v>
      </c>
      <c r="AO54" s="105">
        <v>0.22370000000000001</v>
      </c>
      <c r="AP54" s="40">
        <f>AL54*(1-AM54)*AN54</f>
        <v>31.9276348</v>
      </c>
      <c r="AQ54" s="106">
        <f t="shared" si="21"/>
        <v>33.421674799999998</v>
      </c>
      <c r="AR54" s="17">
        <v>1.58</v>
      </c>
      <c r="AS54" s="17"/>
      <c r="AT54" s="129">
        <f>AT53+AL54-AS54</f>
        <v>458.19999999999874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497">SUM(D52:D54)</f>
        <v>44080</v>
      </c>
      <c r="E55" s="49"/>
      <c r="F55" s="49">
        <f t="shared" ref="F55" si="498">SUM(F52:F54)</f>
        <v>45316</v>
      </c>
      <c r="G55" s="50"/>
      <c r="H55" s="50"/>
      <c r="I55" s="49">
        <f t="shared" ref="I55:K55" si="499">SUM(I52:I54)</f>
        <v>44330</v>
      </c>
      <c r="J55" s="50"/>
      <c r="K55" s="49">
        <f t="shared" si="499"/>
        <v>48235</v>
      </c>
      <c r="L55" s="20">
        <f t="shared" ref="L55" si="500">IF(K55&gt;0,(K52*L52+K53*L53+K54*L54)/K55,0)</f>
        <v>7.0328350782626725E-2</v>
      </c>
      <c r="M55" s="50">
        <f t="shared" ref="M55" si="501">M52+M53+M54</f>
        <v>44843</v>
      </c>
      <c r="N55" s="51">
        <f t="shared" ref="N55" si="502">IF(M55&gt;0,O55/M55,0)</f>
        <v>0.68088455277300797</v>
      </c>
      <c r="O55" s="52">
        <f t="shared" ref="O55" si="503">O52+O53+O54</f>
        <v>30532.905999999995</v>
      </c>
      <c r="P55" s="20">
        <f t="shared" ref="P55" si="504">IF(M55&gt;0,Q55/M55,0)</f>
        <v>0.26081557879713663</v>
      </c>
      <c r="Q55" s="52">
        <f t="shared" ref="Q55" si="505">Q52+Q53+Q54</f>
        <v>11695.752999999999</v>
      </c>
      <c r="R55" s="20">
        <f t="shared" ref="R55" si="506">IF(M55&gt;0,T55/M55,0)</f>
        <v>5.8299868429855267E-2</v>
      </c>
      <c r="S55" s="107"/>
      <c r="T55" s="52">
        <f t="shared" ref="T55" si="507">T52+T53+T54</f>
        <v>2614.3409999999999</v>
      </c>
      <c r="U55" s="20">
        <f t="shared" ref="U55" si="508">IF(M55&gt;0,V55/M55,0)</f>
        <v>0.21333376446714092</v>
      </c>
      <c r="V55" s="52">
        <f t="shared" ref="V55" si="509">V52+V53+V54</f>
        <v>9566.5259999999998</v>
      </c>
      <c r="W55" s="20">
        <f t="shared" ref="W55" si="510">IF(M55&gt;0,X55/M55,0)</f>
        <v>0.49833247106571821</v>
      </c>
      <c r="X55" s="52">
        <f t="shared" ref="X55" si="511">X52+X53+X54</f>
        <v>22346.723000000002</v>
      </c>
      <c r="Y55" s="20">
        <f t="shared" ref="Y55" si="512">IF(M55&gt;0,Z55/M55,0)</f>
        <v>0.39335816069397678</v>
      </c>
      <c r="Z55" s="52">
        <f t="shared" ref="Z55" si="513">Z52+Z53+Z54</f>
        <v>17639.36</v>
      </c>
      <c r="AA55" s="119">
        <f t="shared" ref="AA55" si="514">IF(M55&gt;0,AB55/M55,0)</f>
        <v>2.7166440693084763E-3</v>
      </c>
      <c r="AB55" s="54">
        <f t="shared" ref="AB55" si="515">SUM(AB52:AB54)</f>
        <v>121.82247000000001</v>
      </c>
      <c r="AC55" s="53">
        <f t="shared" ref="AC55" si="516">IF(M55&gt;0,AD55/M55,0)</f>
        <v>2.6598867158753874E-3</v>
      </c>
      <c r="AD55" s="54">
        <f t="shared" ref="AD55" si="517">SUM(AD52:AD54)</f>
        <v>119.2773</v>
      </c>
      <c r="AE55" s="53">
        <f t="shared" ref="AE55" si="518">IF(M55&gt;0,(AE52*M52+AE53*M53+AE54*M54)/M55,0)</f>
        <v>2.5471628347791182E-3</v>
      </c>
      <c r="AF55" s="53">
        <f t="shared" ref="AF55" si="519">IF(K55&gt;0,(K52*AF52+K53*AF53+K54*AF54)/K55,0)</f>
        <v>2.3666756504612835E-4</v>
      </c>
      <c r="AG55" s="50">
        <f t="shared" ref="AG55" si="520">SUM(AG52:AG54)</f>
        <v>10.613150000000001</v>
      </c>
      <c r="AH55" s="51">
        <f t="shared" ref="AH55" si="521">IF(K55&gt;0,(K52*AH52+K53*AH53+K54*AH54)/K55,0)</f>
        <v>0.20346847724681252</v>
      </c>
      <c r="AI55" s="56">
        <f t="shared" ref="AI55" si="522">SUM(AI52:AI54)</f>
        <v>100.33560439999999</v>
      </c>
      <c r="AJ55" s="51">
        <f t="shared" ref="AJ55" si="523">IF(AND(AD55&gt;0),((AD52*AJ52+AD53*AJ53+AD54*AJ54)/AD55),0)</f>
        <v>0.91208277115261438</v>
      </c>
      <c r="AK55" s="55">
        <f t="shared" si="6"/>
        <v>0.9081076121627476</v>
      </c>
      <c r="AL55" s="49">
        <f t="shared" ref="AL55" si="524">SUM(AL52:AL54)</f>
        <v>540</v>
      </c>
      <c r="AM55" s="20">
        <f t="shared" ref="AM55" si="525">IF(AL55&gt;0,(AM52*AL52+AM53*AL53+AM54*AL54)/AL55,0)</f>
        <v>8.691111111111112E-2</v>
      </c>
      <c r="AN55" s="51">
        <f>IF(K55&gt;0,(AN52*K52+AN53*K53+AN54*K54)/K55,0)</f>
        <v>0.21033441277080958</v>
      </c>
      <c r="AO55" s="107">
        <f>IF(L55&gt;0,(AO52*K52+AO53*K53+AO54*K54)/K55,0)</f>
        <v>0.2152000704882347</v>
      </c>
      <c r="AP55" s="56">
        <f t="shared" ref="AP55" si="526">SUM(AP52:AP54)</f>
        <v>103.609273</v>
      </c>
      <c r="AQ55" s="108">
        <f t="shared" si="395"/>
        <v>105.89867580000001</v>
      </c>
      <c r="AR55" s="54"/>
      <c r="AS55" s="54">
        <f t="shared" ref="AS55" si="527">SUM(AS52:AS54)</f>
        <v>502.68</v>
      </c>
      <c r="AT55" s="83"/>
      <c r="AU55" s="84">
        <f>AT54</f>
        <v>458.19999999999874</v>
      </c>
      <c r="AV55" s="49">
        <f t="shared" ref="AV55" si="528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53</v>
      </c>
      <c r="D56" s="11">
        <v>12600</v>
      </c>
      <c r="E56" s="11">
        <v>0</v>
      </c>
      <c r="F56" s="11">
        <v>18041</v>
      </c>
      <c r="G56" s="12">
        <v>1</v>
      </c>
      <c r="H56" s="12">
        <v>4.5999999999999996</v>
      </c>
      <c r="I56" s="11">
        <v>17856</v>
      </c>
      <c r="J56" s="12">
        <v>1.5</v>
      </c>
      <c r="K56" s="11">
        <v>16088</v>
      </c>
      <c r="L56" s="13">
        <v>6.2E-2</v>
      </c>
      <c r="M56" s="23">
        <f>ROUND(K56*(1-L56),0)</f>
        <v>15091</v>
      </c>
      <c r="N56" s="14">
        <v>0.75600000000000001</v>
      </c>
      <c r="O56" s="24">
        <f t="shared" ref="O56:O58" si="529">M56*N56</f>
        <v>11408.796</v>
      </c>
      <c r="P56" s="13">
        <v>0.20899999999999999</v>
      </c>
      <c r="Q56" s="24">
        <f t="shared" ref="Q56:Q58" si="530">M56*P56</f>
        <v>3154.0189999999998</v>
      </c>
      <c r="R56" s="15">
        <v>3.5000000000000003E-2</v>
      </c>
      <c r="S56" s="112"/>
      <c r="T56" s="24">
        <f t="shared" ref="T56:T58" si="531">M56*R56</f>
        <v>528.18500000000006</v>
      </c>
      <c r="U56" s="25">
        <v>0.217</v>
      </c>
      <c r="V56" s="24">
        <f t="shared" ref="V56:V58" si="532">M56*U56</f>
        <v>3274.7469999999998</v>
      </c>
      <c r="W56" s="15">
        <v>0.497</v>
      </c>
      <c r="X56" s="24">
        <f t="shared" ref="X56:X58" si="533">M56*W56</f>
        <v>7500.2269999999999</v>
      </c>
      <c r="Y56" s="15">
        <v>0.39</v>
      </c>
      <c r="Z56" s="24">
        <f t="shared" ref="Z56:Z58" si="534">Y56*M56</f>
        <v>5885.49</v>
      </c>
      <c r="AA56" s="116">
        <v>2.7299999999999998E-3</v>
      </c>
      <c r="AB56" s="18">
        <f t="shared" ref="AB56" si="535">M56*AA56</f>
        <v>41.198429999999995</v>
      </c>
      <c r="AC56" s="16">
        <v>2.5699999999999998E-3</v>
      </c>
      <c r="AD56" s="17">
        <f t="shared" ref="AD56:AD58" si="536">M56*AC56</f>
        <v>38.78387</v>
      </c>
      <c r="AE56" s="26">
        <f>IF(M56&gt;0,(AG56+AP56)/M56,0)</f>
        <v>2.4083832482936851E-3</v>
      </c>
      <c r="AF56" s="16">
        <v>2.3000000000000001E-4</v>
      </c>
      <c r="AG56" s="23">
        <f t="shared" ref="AG56:AG58" si="537">AF56*M56</f>
        <v>3.4709300000000001</v>
      </c>
      <c r="AH56" s="92">
        <v>0.20630000000000001</v>
      </c>
      <c r="AI56" s="29">
        <f t="shared" ref="AI56:AI58" si="538">AL56*(1-AM56)*AH56</f>
        <v>32.325559600000005</v>
      </c>
      <c r="AJ56" s="27">
        <f t="shared" ref="AJ56:AJ58" si="539">IF(AND(AH56&gt;0,AF56&gt;0,AC56&gt;0),((AC56-AF56)*AH56)/((AH56-AF56)*AC56),0)</f>
        <v>0.91152207543845831</v>
      </c>
      <c r="AK56" s="58">
        <f t="shared" si="6"/>
        <v>0.90549292496970335</v>
      </c>
      <c r="AL56" s="11">
        <v>172</v>
      </c>
      <c r="AM56" s="13">
        <v>8.8999999999999996E-2</v>
      </c>
      <c r="AN56" s="14">
        <v>0.20979999999999999</v>
      </c>
      <c r="AO56" s="101">
        <v>0.21840000000000001</v>
      </c>
      <c r="AP56" s="29">
        <f>AL56*(1-AM56)*AN56</f>
        <v>32.8739816</v>
      </c>
      <c r="AQ56" s="102">
        <f t="shared" ref="AQ56" si="540">AL56*(1-AM56)*AO56</f>
        <v>34.221532800000006</v>
      </c>
      <c r="AR56" s="18">
        <v>1.6</v>
      </c>
      <c r="AS56" s="18"/>
      <c r="AT56" s="79">
        <f>AT54+AL56-AS56</f>
        <v>630.19999999999868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54</v>
      </c>
      <c r="D57" s="33">
        <v>18800</v>
      </c>
      <c r="E57" s="33">
        <v>2</v>
      </c>
      <c r="F57" s="33">
        <v>12720</v>
      </c>
      <c r="G57" s="34">
        <v>1.1000000000000001</v>
      </c>
      <c r="H57" s="34">
        <v>6.7</v>
      </c>
      <c r="I57" s="33">
        <v>11841</v>
      </c>
      <c r="J57" s="34">
        <v>3.1</v>
      </c>
      <c r="K57" s="33">
        <v>16097</v>
      </c>
      <c r="L57" s="35">
        <v>6.8000000000000005E-2</v>
      </c>
      <c r="M57" s="36">
        <f>ROUND(K57*(1-L57),0)</f>
        <v>15002</v>
      </c>
      <c r="N57" s="37">
        <v>0.72699999999999998</v>
      </c>
      <c r="O57" s="24">
        <f t="shared" si="529"/>
        <v>10906.454</v>
      </c>
      <c r="P57" s="35">
        <v>0.224</v>
      </c>
      <c r="Q57" s="24">
        <f t="shared" si="530"/>
        <v>3360.4479999999999</v>
      </c>
      <c r="R57" s="38">
        <v>4.9000000000000002E-2</v>
      </c>
      <c r="S57" s="105"/>
      <c r="T57" s="24">
        <f t="shared" si="531"/>
        <v>735.09800000000007</v>
      </c>
      <c r="U57" s="27">
        <v>0.21099999999999999</v>
      </c>
      <c r="V57" s="24">
        <f t="shared" si="532"/>
        <v>3165.422</v>
      </c>
      <c r="W57" s="38">
        <v>0.5</v>
      </c>
      <c r="X57" s="24">
        <f t="shared" si="533"/>
        <v>7501</v>
      </c>
      <c r="Y57" s="38">
        <v>0.39</v>
      </c>
      <c r="Z57" s="24">
        <f t="shared" si="534"/>
        <v>5850.7800000000007</v>
      </c>
      <c r="AA57" s="117">
        <v>2.7399999999999998E-3</v>
      </c>
      <c r="AB57" s="18">
        <f t="shared" si="60"/>
        <v>41.10548</v>
      </c>
      <c r="AC57" s="39">
        <v>2.5699999999999998E-3</v>
      </c>
      <c r="AD57" s="17">
        <f t="shared" si="536"/>
        <v>38.555139999999994</v>
      </c>
      <c r="AE57" s="26">
        <f>IF(M57&gt;0,(AG57+AP57)/M57,0)</f>
        <v>2.3319883882149048E-3</v>
      </c>
      <c r="AF57" s="39">
        <v>2.4000000000000001E-4</v>
      </c>
      <c r="AG57" s="36">
        <f t="shared" si="537"/>
        <v>3.6004800000000001</v>
      </c>
      <c r="AH57" s="27">
        <v>0.20169999999999999</v>
      </c>
      <c r="AI57" s="40">
        <f t="shared" si="538"/>
        <v>31.121704899999997</v>
      </c>
      <c r="AJ57" s="27">
        <f t="shared" si="539"/>
        <v>0.90769483934592632</v>
      </c>
      <c r="AK57" s="28">
        <f t="shared" si="6"/>
        <v>0.89814329166932039</v>
      </c>
      <c r="AL57" s="33">
        <v>169</v>
      </c>
      <c r="AM57" s="35">
        <v>8.6999999999999994E-2</v>
      </c>
      <c r="AN57" s="37">
        <v>0.2034</v>
      </c>
      <c r="AO57" s="103">
        <v>0.20699999999999999</v>
      </c>
      <c r="AP57" s="40">
        <f>AL57*(1-AM57)*AN57</f>
        <v>31.384009799999998</v>
      </c>
      <c r="AQ57" s="104">
        <f t="shared" si="21"/>
        <v>31.939478999999999</v>
      </c>
      <c r="AR57" s="41">
        <v>1.58</v>
      </c>
      <c r="AS57" s="41"/>
      <c r="AT57" s="129">
        <f>AT56+AL57-AS57</f>
        <v>799.19999999999868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0" t="s">
        <v>58</v>
      </c>
      <c r="D58" s="42">
        <v>13600</v>
      </c>
      <c r="E58" s="42">
        <v>0</v>
      </c>
      <c r="F58" s="42">
        <v>17503</v>
      </c>
      <c r="G58" s="36">
        <v>0.4</v>
      </c>
      <c r="H58" s="36">
        <v>5.9</v>
      </c>
      <c r="I58" s="42">
        <v>17576</v>
      </c>
      <c r="J58" s="36">
        <v>1.6</v>
      </c>
      <c r="K58" s="42">
        <v>16114</v>
      </c>
      <c r="L58" s="38">
        <v>7.0999999999999994E-2</v>
      </c>
      <c r="M58" s="36">
        <f>ROUND(K58*(1-L58),0)</f>
        <v>14970</v>
      </c>
      <c r="N58" s="27">
        <v>0.80600000000000005</v>
      </c>
      <c r="O58" s="24">
        <f t="shared" si="529"/>
        <v>12065.820000000002</v>
      </c>
      <c r="P58" s="38">
        <v>0.16300000000000001</v>
      </c>
      <c r="Q58" s="24">
        <f t="shared" si="530"/>
        <v>2440.11</v>
      </c>
      <c r="R58" s="38">
        <v>3.1E-2</v>
      </c>
      <c r="S58" s="105"/>
      <c r="T58" s="24">
        <f t="shared" si="531"/>
        <v>464.07</v>
      </c>
      <c r="U58" s="27">
        <v>0.214</v>
      </c>
      <c r="V58" s="24">
        <f t="shared" si="532"/>
        <v>3203.58</v>
      </c>
      <c r="W58" s="38">
        <v>0.498</v>
      </c>
      <c r="X58" s="24">
        <f t="shared" si="533"/>
        <v>7455.06</v>
      </c>
      <c r="Y58" s="38">
        <v>0.38</v>
      </c>
      <c r="Z58" s="24">
        <f t="shared" si="534"/>
        <v>5688.6</v>
      </c>
      <c r="AA58" s="118">
        <v>2.5600000000000002E-3</v>
      </c>
      <c r="AB58" s="121">
        <f t="shared" si="60"/>
        <v>38.3232</v>
      </c>
      <c r="AC58" s="45">
        <v>2.5699999999999998E-3</v>
      </c>
      <c r="AD58" s="17">
        <f t="shared" si="536"/>
        <v>38.472899999999996</v>
      </c>
      <c r="AE58" s="26">
        <f>IF(M58&gt;0,(AG58+AP58)/M58,0)</f>
        <v>2.4819150300601201E-3</v>
      </c>
      <c r="AF58" s="45">
        <v>2.4000000000000001E-4</v>
      </c>
      <c r="AG58" s="36">
        <f t="shared" si="537"/>
        <v>3.5928</v>
      </c>
      <c r="AH58" s="27">
        <v>0.20269999999999999</v>
      </c>
      <c r="AI58" s="40">
        <f t="shared" si="538"/>
        <v>32.271867</v>
      </c>
      <c r="AJ58" s="27">
        <f t="shared" si="539"/>
        <v>0.90768950469535969</v>
      </c>
      <c r="AK58" s="28">
        <f t="shared" si="6"/>
        <v>0.90433007461989368</v>
      </c>
      <c r="AL58" s="42">
        <v>174</v>
      </c>
      <c r="AM58" s="38">
        <v>8.5000000000000006E-2</v>
      </c>
      <c r="AN58" s="27">
        <v>0.21079999999999999</v>
      </c>
      <c r="AO58" s="105">
        <v>0.2198</v>
      </c>
      <c r="AP58" s="40">
        <f>AL58*(1-AM58)*AN58</f>
        <v>33.561467999999998</v>
      </c>
      <c r="AQ58" s="106">
        <f t="shared" si="21"/>
        <v>34.994357999999998</v>
      </c>
      <c r="AR58" s="17">
        <v>1.55</v>
      </c>
      <c r="AS58" s="17"/>
      <c r="AT58" s="129">
        <f>AT57+AL58-AS58</f>
        <v>973.19999999999868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41">SUM(D56:D58)</f>
        <v>45000</v>
      </c>
      <c r="E59" s="49"/>
      <c r="F59" s="49">
        <f t="shared" ref="F59" si="542">SUM(F56:F58)</f>
        <v>48264</v>
      </c>
      <c r="G59" s="50"/>
      <c r="H59" s="50"/>
      <c r="I59" s="49">
        <f t="shared" ref="I59:K59" si="543">SUM(I56:I58)</f>
        <v>47273</v>
      </c>
      <c r="J59" s="50"/>
      <c r="K59" s="49">
        <f t="shared" si="543"/>
        <v>48299</v>
      </c>
      <c r="L59" s="20">
        <f t="shared" ref="L59" si="544">IF(K59&gt;0,(K56*L56+K57*L57+K58*L58)/K59,0)</f>
        <v>6.7002339592952223E-2</v>
      </c>
      <c r="M59" s="50">
        <f t="shared" ref="M59" si="545">M56+M57+M58</f>
        <v>45063</v>
      </c>
      <c r="N59" s="51">
        <f t="shared" ref="N59" si="546">IF(M59&gt;0,O59/M59,0)</f>
        <v>0.76295563988194304</v>
      </c>
      <c r="O59" s="52">
        <f t="shared" ref="O59" si="547">O56+O57+O58</f>
        <v>34381.07</v>
      </c>
      <c r="P59" s="20">
        <f t="shared" ref="P59" si="548">IF(M59&gt;0,Q59/M59,0)</f>
        <v>0.19871240263630915</v>
      </c>
      <c r="Q59" s="52">
        <f t="shared" ref="Q59" si="549">Q56+Q57+Q58</f>
        <v>8954.5769999999993</v>
      </c>
      <c r="R59" s="20">
        <f t="shared" ref="R59" si="550">IF(M59&gt;0,T59/M59,0)</f>
        <v>3.8331957481747773E-2</v>
      </c>
      <c r="S59" s="107"/>
      <c r="T59" s="52">
        <f t="shared" ref="T59" si="551">T56+T57+T58</f>
        <v>1727.3530000000001</v>
      </c>
      <c r="U59" s="20">
        <f t="shared" ref="U59" si="552">IF(M59&gt;0,V59/M59,0)</f>
        <v>0.21400592503827973</v>
      </c>
      <c r="V59" s="52">
        <f t="shared" ref="V59" si="553">V56+V57+V58</f>
        <v>9643.7489999999998</v>
      </c>
      <c r="W59" s="20">
        <f t="shared" ref="W59" si="554">IF(M59&gt;0,X59/M59,0)</f>
        <v>0.49833093668863593</v>
      </c>
      <c r="X59" s="52">
        <f t="shared" ref="X59" si="555">X56+X57+X58</f>
        <v>22456.287</v>
      </c>
      <c r="Y59" s="20">
        <f t="shared" ref="Y59" si="556">IF(M59&gt;0,Z59/M59,0)</f>
        <v>0.38667798415551569</v>
      </c>
      <c r="Z59" s="52">
        <f t="shared" ref="Z59" si="557">Z56+Z57+Z58</f>
        <v>17424.870000000003</v>
      </c>
      <c r="AA59" s="119">
        <f t="shared" ref="AA59" si="558">IF(M59&gt;0,AB59/M59,0)</f>
        <v>2.6768548476577237E-3</v>
      </c>
      <c r="AB59" s="54">
        <f t="shared" ref="AB59" si="559">SUM(AB56:AB58)</f>
        <v>120.62711</v>
      </c>
      <c r="AC59" s="53">
        <f t="shared" ref="AC59" si="560">IF(M59&gt;0,AD59/M59,0)</f>
        <v>2.5699999999999998E-3</v>
      </c>
      <c r="AD59" s="54">
        <f t="shared" ref="AD59" si="561">SUM(AD56:AD58)</f>
        <v>115.81191</v>
      </c>
      <c r="AE59" s="53">
        <f t="shared" ref="AE59" si="562">IF(M59&gt;0,(AE56*M56+AE57*M57+AE58*M58)/M59,0)</f>
        <v>2.4073778798570887E-3</v>
      </c>
      <c r="AF59" s="53">
        <f t="shared" ref="AF59" si="563">IF(K59&gt;0,(K56*AF56+K57*AF57+K58*AF58)/K59,0)</f>
        <v>2.3666908217561441E-4</v>
      </c>
      <c r="AG59" s="50">
        <f t="shared" ref="AG59" si="564">SUM(AG56:AG58)</f>
        <v>10.664210000000001</v>
      </c>
      <c r="AH59" s="51">
        <f t="shared" ref="AH59" si="565">IF(K59&gt;0,(K56*AH56+K57*AH57+K58*AH58)/K59,0)</f>
        <v>0.20356585229507856</v>
      </c>
      <c r="AI59" s="56">
        <f t="shared" ref="AI59" si="566">SUM(AI56:AI58)</f>
        <v>95.719131500000003</v>
      </c>
      <c r="AJ59" s="51">
        <f t="shared" ref="AJ59" si="567">IF(AND(AD59&gt;0),((AD56*AJ56+AD57*AJ57+AD58*AJ58)/AD59),0)</f>
        <v>0.90897475768588176</v>
      </c>
      <c r="AK59" s="55">
        <f t="shared" si="6"/>
        <v>0.90271723598886722</v>
      </c>
      <c r="AL59" s="49">
        <f t="shared" ref="AL59" si="568">SUM(AL56:AL58)</f>
        <v>515</v>
      </c>
      <c r="AM59" s="20">
        <f t="shared" ref="AM59" si="569">IF(AL59&gt;0,(AM56*AL56+AM57*AL57+AM58*AL58)/AL59,0)</f>
        <v>8.6992233009708736E-2</v>
      </c>
      <c r="AN59" s="51">
        <f>IF(K59&gt;0,(AN56*K56+AN57*K57+AN58*K58)/K59,0)</f>
        <v>0.20800065011697963</v>
      </c>
      <c r="AO59" s="107">
        <f>IF(L59&gt;0,(AO56*K56+AO57*K57+AO58*K58)/K59,0)</f>
        <v>0.21506771154682289</v>
      </c>
      <c r="AP59" s="56">
        <f t="shared" ref="AP59:AQ71" si="570">SUM(AP56:AP58)</f>
        <v>97.8194594</v>
      </c>
      <c r="AQ59" s="108">
        <f t="shared" si="570"/>
        <v>101.15536980000002</v>
      </c>
      <c r="AR59" s="54"/>
      <c r="AS59" s="54">
        <f t="shared" ref="AS59" si="571">SUM(AS56:AS58)</f>
        <v>0</v>
      </c>
      <c r="AT59" s="83"/>
      <c r="AU59" s="84">
        <f>AT58</f>
        <v>973.19999999999868</v>
      </c>
      <c r="AV59" s="49">
        <f t="shared" ref="AV59" si="572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59</v>
      </c>
      <c r="D60" s="11">
        <v>12200</v>
      </c>
      <c r="E60" s="11">
        <v>1</v>
      </c>
      <c r="F60" s="11">
        <v>14998</v>
      </c>
      <c r="G60" s="12">
        <v>0.6</v>
      </c>
      <c r="H60" s="12">
        <v>5.6</v>
      </c>
      <c r="I60" s="11">
        <v>15020</v>
      </c>
      <c r="J60" s="12">
        <v>2</v>
      </c>
      <c r="K60" s="11">
        <v>16115</v>
      </c>
      <c r="L60" s="13">
        <v>7.1999999999999995E-2</v>
      </c>
      <c r="M60" s="23">
        <f>ROUND(K60*(1-L60),0)</f>
        <v>14955</v>
      </c>
      <c r="N60" s="14">
        <v>0.78500000000000003</v>
      </c>
      <c r="O60" s="24">
        <f t="shared" ref="O60:O62" si="573">M60*N60</f>
        <v>11739.675000000001</v>
      </c>
      <c r="P60" s="13">
        <v>0.16600000000000001</v>
      </c>
      <c r="Q60" s="24">
        <f t="shared" ref="Q60:Q62" si="574">M60*P60</f>
        <v>2482.5300000000002</v>
      </c>
      <c r="R60" s="15">
        <v>4.9000000000000002E-2</v>
      </c>
      <c r="S60" s="112"/>
      <c r="T60" s="24">
        <f t="shared" ref="T60:T62" si="575">M60*R60</f>
        <v>732.79500000000007</v>
      </c>
      <c r="U60" s="25">
        <v>0.21299999999999999</v>
      </c>
      <c r="V60" s="24">
        <f t="shared" ref="V60:V62" si="576">M60*U60</f>
        <v>3185.415</v>
      </c>
      <c r="W60" s="15">
        <v>0.50600000000000001</v>
      </c>
      <c r="X60" s="24">
        <f t="shared" ref="X60:X62" si="577">M60*W60</f>
        <v>7567.2300000000005</v>
      </c>
      <c r="Y60" s="15">
        <v>0.39</v>
      </c>
      <c r="Z60" s="24">
        <f t="shared" ref="Z60:Z62" si="578">Y60*M60</f>
        <v>5832.45</v>
      </c>
      <c r="AA60" s="116">
        <v>2.7000000000000001E-3</v>
      </c>
      <c r="AB60" s="18">
        <f t="shared" ref="AB60" si="579">M60*AA60</f>
        <v>40.378500000000003</v>
      </c>
      <c r="AC60" s="16">
        <v>2.5899999999999999E-3</v>
      </c>
      <c r="AD60" s="17">
        <f t="shared" ref="AD60:AD62" si="580">M60*AC60</f>
        <v>38.733449999999998</v>
      </c>
      <c r="AE60" s="26">
        <f>IF(M60&gt;0,(AG60+AP60)/M60,0)</f>
        <v>2.4979999598796396E-3</v>
      </c>
      <c r="AF60" s="16">
        <v>2.5000000000000001E-4</v>
      </c>
      <c r="AG60" s="23">
        <f t="shared" ref="AG60:AG62" si="581">AF60*M60</f>
        <v>3.73875</v>
      </c>
      <c r="AH60" s="92">
        <v>0.2077</v>
      </c>
      <c r="AI60" s="29">
        <f t="shared" ref="AI60:AI62" si="582">AL60*(1-AM60)*AH60</f>
        <v>32.462263800000002</v>
      </c>
      <c r="AJ60" s="27">
        <f t="shared" ref="AJ60:AJ62" si="583">IF(AND(AH60&gt;0,AF60&gt;0,AC60&gt;0),((AC60-AF60)*AH60)/((AH60-AF60)*AC60),0)</f>
        <v>0.90456368981314761</v>
      </c>
      <c r="AK60" s="58">
        <f t="shared" si="6"/>
        <v>0.9009670834388156</v>
      </c>
      <c r="AL60" s="11">
        <v>171</v>
      </c>
      <c r="AM60" s="13">
        <v>8.5999999999999993E-2</v>
      </c>
      <c r="AN60" s="14">
        <v>0.21510000000000001</v>
      </c>
      <c r="AO60" s="101">
        <v>0.2266</v>
      </c>
      <c r="AP60" s="29">
        <f>AL60*(1-AM60)*AN60</f>
        <v>33.618839400000006</v>
      </c>
      <c r="AQ60" s="102">
        <f t="shared" ref="AQ60" si="584">AL60*(1-AM60)*AO60</f>
        <v>35.4162204</v>
      </c>
      <c r="AR60" s="18">
        <v>1.63</v>
      </c>
      <c r="AS60" s="18"/>
      <c r="AT60" s="79">
        <f>AT58+AL60-AS60</f>
        <v>1144.1999999999987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54</v>
      </c>
      <c r="D61" s="33">
        <v>19100</v>
      </c>
      <c r="E61" s="33">
        <v>3</v>
      </c>
      <c r="F61" s="33">
        <v>17220</v>
      </c>
      <c r="G61" s="34">
        <v>0.8</v>
      </c>
      <c r="H61" s="34">
        <v>6.2</v>
      </c>
      <c r="I61" s="33">
        <v>16302</v>
      </c>
      <c r="J61" s="34">
        <v>2.1</v>
      </c>
      <c r="K61" s="33">
        <v>16158</v>
      </c>
      <c r="L61" s="35">
        <v>6.5000000000000002E-2</v>
      </c>
      <c r="M61" s="36">
        <f>ROUND(K61*(1-L61),0)</f>
        <v>15108</v>
      </c>
      <c r="N61" s="37">
        <v>0.63800000000000001</v>
      </c>
      <c r="O61" s="24">
        <f t="shared" si="573"/>
        <v>9638.9040000000005</v>
      </c>
      <c r="P61" s="35">
        <v>0.30399999999999999</v>
      </c>
      <c r="Q61" s="24">
        <f t="shared" si="574"/>
        <v>4592.8320000000003</v>
      </c>
      <c r="R61" s="38">
        <v>5.8000000000000003E-2</v>
      </c>
      <c r="S61" s="105"/>
      <c r="T61" s="24">
        <f t="shared" si="575"/>
        <v>876.26400000000001</v>
      </c>
      <c r="U61" s="27">
        <v>0.215</v>
      </c>
      <c r="V61" s="24">
        <f t="shared" si="576"/>
        <v>3248.22</v>
      </c>
      <c r="W61" s="38">
        <v>0.502</v>
      </c>
      <c r="X61" s="24">
        <f t="shared" si="577"/>
        <v>7584.2160000000003</v>
      </c>
      <c r="Y61" s="38">
        <v>0.39</v>
      </c>
      <c r="Z61" s="24">
        <f t="shared" si="578"/>
        <v>5892.12</v>
      </c>
      <c r="AA61" s="117">
        <v>2.6800000000000001E-3</v>
      </c>
      <c r="AB61" s="18">
        <f t="shared" si="60"/>
        <v>40.489440000000002</v>
      </c>
      <c r="AC61" s="39">
        <v>2.5699999999999998E-3</v>
      </c>
      <c r="AD61" s="17">
        <f t="shared" si="580"/>
        <v>38.827559999999998</v>
      </c>
      <c r="AE61" s="26">
        <f>IF(M61&gt;0,(AG61+AP61)/M61,0)</f>
        <v>2.6082086576648135E-3</v>
      </c>
      <c r="AF61" s="39">
        <v>2.5000000000000001E-4</v>
      </c>
      <c r="AG61" s="36">
        <f t="shared" si="581"/>
        <v>3.7770000000000001</v>
      </c>
      <c r="AH61" s="27">
        <v>0.2044</v>
      </c>
      <c r="AI61" s="40">
        <f t="shared" si="582"/>
        <v>34.710799200000004</v>
      </c>
      <c r="AJ61" s="27">
        <f t="shared" si="583"/>
        <v>0.90382920165324387</v>
      </c>
      <c r="AK61" s="28">
        <f t="shared" si="6"/>
        <v>0.90522745208391087</v>
      </c>
      <c r="AL61" s="33">
        <v>186</v>
      </c>
      <c r="AM61" s="35">
        <v>8.6999999999999994E-2</v>
      </c>
      <c r="AN61" s="37">
        <v>0.20979999999999999</v>
      </c>
      <c r="AO61" s="103">
        <v>0.21790000000000001</v>
      </c>
      <c r="AP61" s="40">
        <f>AL61*(1-AM61)*AN61</f>
        <v>35.6278164</v>
      </c>
      <c r="AQ61" s="104">
        <f t="shared" si="21"/>
        <v>37.003342200000006</v>
      </c>
      <c r="AR61" s="41">
        <v>1.55</v>
      </c>
      <c r="AS61" s="41"/>
      <c r="AT61" s="129">
        <f>AT60+AL61-AS61</f>
        <v>1330.1999999999987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0" t="s">
        <v>55</v>
      </c>
      <c r="D62" s="42">
        <v>17500</v>
      </c>
      <c r="E62" s="42">
        <v>2</v>
      </c>
      <c r="F62" s="42">
        <v>17763</v>
      </c>
      <c r="G62" s="36">
        <v>0.7</v>
      </c>
      <c r="H62" s="36">
        <v>6.8</v>
      </c>
      <c r="I62" s="42">
        <v>17814</v>
      </c>
      <c r="J62" s="36">
        <v>1</v>
      </c>
      <c r="K62" s="42">
        <v>16154</v>
      </c>
      <c r="L62" s="38">
        <v>6.4000000000000001E-2</v>
      </c>
      <c r="M62" s="36">
        <f>ROUND(K62*(1-L62),0)</f>
        <v>15120</v>
      </c>
      <c r="N62" s="27">
        <v>0.70399999999999996</v>
      </c>
      <c r="O62" s="24">
        <f t="shared" si="573"/>
        <v>10644.48</v>
      </c>
      <c r="P62" s="38">
        <v>0.249</v>
      </c>
      <c r="Q62" s="24">
        <f t="shared" si="574"/>
        <v>3764.88</v>
      </c>
      <c r="R62" s="38">
        <v>4.7E-2</v>
      </c>
      <c r="S62" s="105"/>
      <c r="T62" s="24">
        <f t="shared" si="575"/>
        <v>710.64</v>
      </c>
      <c r="U62" s="27">
        <v>0.216</v>
      </c>
      <c r="V62" s="24">
        <f t="shared" si="576"/>
        <v>3265.92</v>
      </c>
      <c r="W62" s="38">
        <v>0.51700000000000002</v>
      </c>
      <c r="X62" s="24">
        <f t="shared" si="577"/>
        <v>7817.04</v>
      </c>
      <c r="Y62" s="38">
        <v>0.37</v>
      </c>
      <c r="Z62" s="24">
        <f t="shared" si="578"/>
        <v>5594.4</v>
      </c>
      <c r="AA62" s="118">
        <v>2.5200000000000001E-3</v>
      </c>
      <c r="AB62" s="121">
        <f t="shared" si="60"/>
        <v>38.102400000000003</v>
      </c>
      <c r="AC62" s="45">
        <v>2.3400000000000001E-3</v>
      </c>
      <c r="AD62" s="17">
        <f t="shared" si="580"/>
        <v>35.380800000000001</v>
      </c>
      <c r="AE62" s="26">
        <f>IF(M62&gt;0,(AG62+AP62)/M62,0)</f>
        <v>2.0137562433862432E-3</v>
      </c>
      <c r="AF62" s="45">
        <v>2.7E-4</v>
      </c>
      <c r="AG62" s="36">
        <f t="shared" si="581"/>
        <v>4.0823999999999998</v>
      </c>
      <c r="AH62" s="27">
        <v>0.20200000000000001</v>
      </c>
      <c r="AI62" s="40">
        <f t="shared" si="582"/>
        <v>26.274544000000002</v>
      </c>
      <c r="AJ62" s="27">
        <f t="shared" si="583"/>
        <v>0.88579937387749819</v>
      </c>
      <c r="AK62" s="28">
        <f t="shared" si="6"/>
        <v>0.8670771655854066</v>
      </c>
      <c r="AL62" s="42">
        <v>142</v>
      </c>
      <c r="AM62" s="38">
        <v>8.4000000000000005E-2</v>
      </c>
      <c r="AN62" s="27">
        <v>0.20269999999999999</v>
      </c>
      <c r="AO62" s="105">
        <v>0.22339999999999999</v>
      </c>
      <c r="AP62" s="40">
        <f>AL62*(1-AM62)*AN62</f>
        <v>26.365594399999999</v>
      </c>
      <c r="AQ62" s="106">
        <f t="shared" si="21"/>
        <v>29.0580848</v>
      </c>
      <c r="AR62" s="17">
        <v>1.55</v>
      </c>
      <c r="AS62" s="17"/>
      <c r="AT62" s="129">
        <f>AT61+AL62-AS62</f>
        <v>1472.1999999999987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85">SUM(D60:D62)</f>
        <v>48800</v>
      </c>
      <c r="E63" s="49"/>
      <c r="F63" s="49">
        <f t="shared" ref="F63" si="586">SUM(F60:F62)</f>
        <v>49981</v>
      </c>
      <c r="G63" s="50"/>
      <c r="H63" s="50"/>
      <c r="I63" s="49">
        <f t="shared" ref="I63:K63" si="587">SUM(I60:I62)</f>
        <v>49136</v>
      </c>
      <c r="J63" s="50"/>
      <c r="K63" s="49">
        <f t="shared" si="587"/>
        <v>48427</v>
      </c>
      <c r="L63" s="20">
        <f t="shared" ref="L63" si="588">IF(K63&gt;0,(K60*L60+K61*L61+K62*L62)/K63,0)</f>
        <v>6.6995808123567424E-2</v>
      </c>
      <c r="M63" s="50">
        <f t="shared" ref="M63" si="589">M60+M61+M62</f>
        <v>45183</v>
      </c>
      <c r="N63" s="51">
        <f t="shared" ref="N63" si="590">IF(M63&gt;0,O63/M63,0)</f>
        <v>0.70874131863754064</v>
      </c>
      <c r="O63" s="52">
        <f t="shared" ref="O63" si="591">O60+O61+O62</f>
        <v>32023.059000000001</v>
      </c>
      <c r="P63" s="20">
        <f t="shared" ref="P63" si="592">IF(M63&gt;0,Q63/M63,0)</f>
        <v>0.23991859770267582</v>
      </c>
      <c r="Q63" s="52">
        <f t="shared" ref="Q63" si="593">Q60+Q61+Q62</f>
        <v>10840.242000000002</v>
      </c>
      <c r="R63" s="20">
        <f t="shared" ref="R63" si="594">IF(M63&gt;0,T63/M63,0)</f>
        <v>5.1340083659783549E-2</v>
      </c>
      <c r="S63" s="107"/>
      <c r="T63" s="52">
        <f t="shared" ref="T63" si="595">T60+T61+T62</f>
        <v>2319.6990000000001</v>
      </c>
      <c r="U63" s="20">
        <f t="shared" ref="U63" si="596">IF(M63&gt;0,V63/M63,0)</f>
        <v>0.21467266449770933</v>
      </c>
      <c r="V63" s="52">
        <f t="shared" ref="V63" si="597">V60+V61+V62</f>
        <v>9699.5550000000003</v>
      </c>
      <c r="W63" s="20">
        <f t="shared" ref="W63" si="598">IF(M63&gt;0,X63/M63,0)</f>
        <v>0.50834353628577122</v>
      </c>
      <c r="X63" s="52">
        <f t="shared" ref="X63" si="599">X60+X61+X62</f>
        <v>22968.486000000001</v>
      </c>
      <c r="Y63" s="20">
        <f t="shared" ref="Y63" si="600">IF(M63&gt;0,Z63/M63,0)</f>
        <v>0.38330721731624728</v>
      </c>
      <c r="Z63" s="52">
        <f t="shared" ref="Z63" si="601">Z60+Z61+Z62</f>
        <v>17318.97</v>
      </c>
      <c r="AA63" s="119">
        <f t="shared" ref="AA63" si="602">IF(M63&gt;0,AB63/M63,0)</f>
        <v>2.6330774848947617E-3</v>
      </c>
      <c r="AB63" s="54">
        <f t="shared" ref="AB63" si="603">SUM(AB60:AB62)</f>
        <v>118.97034000000001</v>
      </c>
      <c r="AC63" s="53">
        <f t="shared" ref="AC63" si="604">IF(M63&gt;0,AD63/M63,0)</f>
        <v>2.4996527455016268E-3</v>
      </c>
      <c r="AD63" s="54">
        <f t="shared" ref="AD63" si="605">SUM(AD60:AD62)</f>
        <v>112.94181</v>
      </c>
      <c r="AE63" s="53">
        <f t="shared" ref="AE63" si="606">IF(M63&gt;0,(AE60*M60+AE61*M61+AE62*M62)/M63,0)</f>
        <v>2.3728039351083373E-3</v>
      </c>
      <c r="AF63" s="53">
        <f t="shared" ref="AF63" si="607">IF(K63&gt;0,(K60*AF60+K61*AF61+K62*AF62)/K63,0)</f>
        <v>2.5667148491543976E-4</v>
      </c>
      <c r="AG63" s="50">
        <f t="shared" ref="AG63" si="608">SUM(AG60:AG62)</f>
        <v>11.59815</v>
      </c>
      <c r="AH63" s="51">
        <f t="shared" ref="AH63" si="609">IF(K63&gt;0,(K60*AH60+K61*AH61+K62*AH62)/K63,0)</f>
        <v>0.20469755921283581</v>
      </c>
      <c r="AI63" s="56">
        <f t="shared" ref="AI63" si="610">SUM(AI60:AI62)</f>
        <v>93.447607000000019</v>
      </c>
      <c r="AJ63" s="51">
        <f t="shared" ref="AJ63" si="611">IF(AND(AD63&gt;0),((AD60*AJ60+AD61*AJ61+AD62*AJ62)/AD63),0)</f>
        <v>0.89843296734328482</v>
      </c>
      <c r="AK63" s="55">
        <f t="shared" si="6"/>
        <v>0.89292334277990293</v>
      </c>
      <c r="AL63" s="49">
        <f t="shared" ref="AL63" si="612">SUM(AL60:AL62)</f>
        <v>499</v>
      </c>
      <c r="AM63" s="20">
        <f t="shared" ref="AM63" si="613">IF(AL63&gt;0,(AM60*AL60+AM61*AL61+AM62*AL62)/AL63,0)</f>
        <v>8.5803607214428868E-2</v>
      </c>
      <c r="AN63" s="51">
        <f>IF(K63&gt;0,(AN60*K60+AN61*K61+AN62*K62)/K63,0)</f>
        <v>0.20919529807751877</v>
      </c>
      <c r="AO63" s="107">
        <f>IF(L63&gt;0,(AO60*K60+AO61*K61+AO62*K62)/K63,0)</f>
        <v>0.22262974786792494</v>
      </c>
      <c r="AP63" s="56">
        <f t="shared" ref="AP63" si="614">SUM(AP60:AP62)</f>
        <v>95.612250200000005</v>
      </c>
      <c r="AQ63" s="108">
        <f t="shared" si="570"/>
        <v>101.47764740000001</v>
      </c>
      <c r="AR63" s="54"/>
      <c r="AS63" s="54">
        <f t="shared" ref="AS63" si="615">SUM(AS60:AS62)</f>
        <v>0</v>
      </c>
      <c r="AT63" s="83"/>
      <c r="AU63" s="84">
        <f>AT62</f>
        <v>1472.1999999999987</v>
      </c>
      <c r="AV63" s="49">
        <f t="shared" ref="AV63" si="616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57</v>
      </c>
      <c r="D64" s="11">
        <v>5400</v>
      </c>
      <c r="E64" s="11">
        <v>0</v>
      </c>
      <c r="F64" s="11">
        <v>9073</v>
      </c>
      <c r="G64" s="12">
        <v>0.7</v>
      </c>
      <c r="H64" s="12">
        <v>7.7</v>
      </c>
      <c r="I64" s="11">
        <v>8883</v>
      </c>
      <c r="J64" s="12">
        <v>3.9</v>
      </c>
      <c r="K64" s="11">
        <v>15884</v>
      </c>
      <c r="L64" s="13">
        <v>7.1999999999999995E-2</v>
      </c>
      <c r="M64" s="23">
        <f>ROUND(K64*(1-L64),0)</f>
        <v>14740</v>
      </c>
      <c r="N64" s="14">
        <v>0.65500000000000003</v>
      </c>
      <c r="O64" s="24">
        <f t="shared" ref="O64:O66" si="617">M64*N64</f>
        <v>9654.7000000000007</v>
      </c>
      <c r="P64" s="13">
        <v>0.3</v>
      </c>
      <c r="Q64" s="24">
        <f t="shared" ref="Q64:Q66" si="618">M64*P64</f>
        <v>4422</v>
      </c>
      <c r="R64" s="15">
        <v>4.4999999999999998E-2</v>
      </c>
      <c r="S64" s="112">
        <v>0.24099999999999999</v>
      </c>
      <c r="T64" s="24">
        <f t="shared" ref="T64:T66" si="619">M64*R64</f>
        <v>663.3</v>
      </c>
      <c r="U64" s="25">
        <v>0.214</v>
      </c>
      <c r="V64" s="24">
        <f t="shared" ref="V64:V66" si="620">M64*U64</f>
        <v>3154.36</v>
      </c>
      <c r="W64" s="15">
        <v>0.50800000000000001</v>
      </c>
      <c r="X64" s="24">
        <f t="shared" ref="X64:X66" si="621">M64*W64</f>
        <v>7487.92</v>
      </c>
      <c r="Y64" s="15">
        <v>0.39</v>
      </c>
      <c r="Z64" s="24">
        <f t="shared" ref="Z64:Z66" si="622">Y64*M64</f>
        <v>5748.6</v>
      </c>
      <c r="AA64" s="116">
        <v>2.7100000000000002E-3</v>
      </c>
      <c r="AB64" s="18">
        <f t="shared" ref="AB64" si="623">M64*AA64</f>
        <v>39.945399999999999</v>
      </c>
      <c r="AC64" s="16">
        <v>2.4399999999999999E-3</v>
      </c>
      <c r="AD64" s="17">
        <f t="shared" ref="AD64:AD66" si="624">M64*AC64</f>
        <v>35.965599999999995</v>
      </c>
      <c r="AE64" s="26">
        <f>IF(M64&gt;0,(AG64+AP64)/M64,0)</f>
        <v>2.7041214654002716E-3</v>
      </c>
      <c r="AF64" s="16">
        <v>2.7999999999999998E-4</v>
      </c>
      <c r="AG64" s="23">
        <f t="shared" ref="AG64:AG66" si="625">AF64*M64</f>
        <v>4.1271999999999993</v>
      </c>
      <c r="AH64" s="92">
        <v>0.2064</v>
      </c>
      <c r="AI64" s="29">
        <f t="shared" ref="AI64:AI66" si="626">AL64*(1-AM64)*AH64</f>
        <v>34.334227200000001</v>
      </c>
      <c r="AJ64" s="27">
        <f t="shared" ref="AJ64:AJ66" si="627">IF(AND(AH64&gt;0,AF64&gt;0,AC64&gt;0),((AC64-AF64)*AH64)/((AH64-AF64)*AC64),0)</f>
        <v>0.88644844798350808</v>
      </c>
      <c r="AK64" s="58">
        <f t="shared" si="6"/>
        <v>0.89762444320681389</v>
      </c>
      <c r="AL64" s="42">
        <v>182</v>
      </c>
      <c r="AM64" s="13">
        <v>8.5999999999999993E-2</v>
      </c>
      <c r="AN64" s="14">
        <v>0.21479999999999999</v>
      </c>
      <c r="AO64" s="101">
        <v>0.22070000000000001</v>
      </c>
      <c r="AP64" s="29">
        <f>AL64*(1-AM64)*AN64</f>
        <v>35.731550400000003</v>
      </c>
      <c r="AQ64" s="102">
        <f t="shared" ref="AQ64" si="628">AL64*(1-AM64)*AO64</f>
        <v>36.713003600000008</v>
      </c>
      <c r="AR64" s="18">
        <v>1.6</v>
      </c>
      <c r="AS64" s="18">
        <v>1062.9000000000001</v>
      </c>
      <c r="AT64" s="79">
        <f>AT62+AL64-AS64</f>
        <v>591.29999999999859</v>
      </c>
      <c r="AU64" s="80"/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54</v>
      </c>
      <c r="D65" s="33">
        <v>18300</v>
      </c>
      <c r="E65" s="33">
        <v>3</v>
      </c>
      <c r="F65" s="33">
        <v>17939</v>
      </c>
      <c r="G65" s="34">
        <v>1</v>
      </c>
      <c r="H65" s="34">
        <v>6.6</v>
      </c>
      <c r="I65" s="33">
        <v>17204</v>
      </c>
      <c r="J65" s="34">
        <v>2.7</v>
      </c>
      <c r="K65" s="33">
        <v>16078</v>
      </c>
      <c r="L65" s="35">
        <v>7.1999999999999995E-2</v>
      </c>
      <c r="M65" s="36">
        <f>ROUND(K65*(1-L65),0)</f>
        <v>14920</v>
      </c>
      <c r="N65" s="37">
        <v>0.63500000000000001</v>
      </c>
      <c r="O65" s="24">
        <f t="shared" si="617"/>
        <v>9474.2000000000007</v>
      </c>
      <c r="P65" s="35">
        <v>0.29099999999999998</v>
      </c>
      <c r="Q65" s="24">
        <f t="shared" si="618"/>
        <v>4341.7199999999993</v>
      </c>
      <c r="R65" s="38">
        <v>7.3999999999999996E-2</v>
      </c>
      <c r="S65" s="105">
        <v>0.2389</v>
      </c>
      <c r="T65" s="24">
        <f t="shared" si="619"/>
        <v>1104.08</v>
      </c>
      <c r="U65" s="27">
        <v>0.22500000000000001</v>
      </c>
      <c r="V65" s="24">
        <f t="shared" si="620"/>
        <v>3357</v>
      </c>
      <c r="W65" s="38">
        <v>0.501</v>
      </c>
      <c r="X65" s="24">
        <f t="shared" si="621"/>
        <v>7474.92</v>
      </c>
      <c r="Y65" s="38">
        <v>0.39</v>
      </c>
      <c r="Z65" s="24">
        <f t="shared" si="622"/>
        <v>5818.8</v>
      </c>
      <c r="AA65" s="117">
        <v>2.5400000000000002E-3</v>
      </c>
      <c r="AB65" s="18">
        <f t="shared" si="60"/>
        <v>37.896799999999999</v>
      </c>
      <c r="AC65" s="39">
        <v>2.5500000000000002E-3</v>
      </c>
      <c r="AD65" s="17">
        <f t="shared" si="624"/>
        <v>38.045999999999999</v>
      </c>
      <c r="AE65" s="26">
        <f>IF(M65&gt;0,(AG65+AP65)/M65,0)</f>
        <v>2.731899584450402E-3</v>
      </c>
      <c r="AF65" s="39">
        <v>2.5999999999999998E-4</v>
      </c>
      <c r="AG65" s="36">
        <f t="shared" si="625"/>
        <v>3.8791999999999995</v>
      </c>
      <c r="AH65" s="27">
        <v>0.20669999999999999</v>
      </c>
      <c r="AI65" s="40">
        <f t="shared" si="626"/>
        <v>35.589399299999997</v>
      </c>
      <c r="AJ65" s="27">
        <f t="shared" si="627"/>
        <v>0.89917024744406582</v>
      </c>
      <c r="AK65" s="28">
        <f>IF(AND(AE65&gt;0,AN65&gt;0,AF65&gt;0),((AN65*(AE65-AF65))/(AE65*(AN65-AF65))),0)</f>
        <v>0.90592775931068226</v>
      </c>
      <c r="AL65" s="33">
        <v>189</v>
      </c>
      <c r="AM65" s="35">
        <v>8.8999999999999996E-2</v>
      </c>
      <c r="AN65" s="37">
        <v>0.2142</v>
      </c>
      <c r="AO65" s="103">
        <v>0.22020000000000001</v>
      </c>
      <c r="AP65" s="40">
        <f>AL65*(1-AM65)*AN65</f>
        <v>36.880741800000003</v>
      </c>
      <c r="AQ65" s="104">
        <f t="shared" si="21"/>
        <v>37.913815800000002</v>
      </c>
      <c r="AR65" s="41">
        <v>1.55</v>
      </c>
      <c r="AS65" s="41"/>
      <c r="AT65" s="129">
        <f>AT64+AL65-AS65</f>
        <v>780.29999999999859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0" t="s">
        <v>55</v>
      </c>
      <c r="D66" s="42">
        <v>18300</v>
      </c>
      <c r="E66" s="42">
        <v>2</v>
      </c>
      <c r="F66" s="42">
        <v>16671</v>
      </c>
      <c r="G66" s="36">
        <v>1.2</v>
      </c>
      <c r="H66" s="36">
        <v>7</v>
      </c>
      <c r="I66" s="42">
        <v>16894</v>
      </c>
      <c r="J66" s="36">
        <v>2</v>
      </c>
      <c r="K66" s="42">
        <v>15888</v>
      </c>
      <c r="L66" s="38">
        <v>6.8000000000000005E-2</v>
      </c>
      <c r="M66" s="36">
        <f>ROUND(K66*(1-L66),0)</f>
        <v>14808</v>
      </c>
      <c r="N66" s="27">
        <v>0.39900000000000002</v>
      </c>
      <c r="O66" s="24">
        <f t="shared" si="617"/>
        <v>5908.3920000000007</v>
      </c>
      <c r="P66" s="38">
        <v>0.54600000000000004</v>
      </c>
      <c r="Q66" s="24">
        <f t="shared" si="618"/>
        <v>8085.1680000000006</v>
      </c>
      <c r="R66" s="38">
        <v>5.5E-2</v>
      </c>
      <c r="S66" s="105">
        <v>0.22969999999999999</v>
      </c>
      <c r="T66" s="24">
        <f t="shared" si="619"/>
        <v>814.44</v>
      </c>
      <c r="U66" s="27">
        <v>0.22700000000000001</v>
      </c>
      <c r="V66" s="24">
        <f t="shared" si="620"/>
        <v>3361.4160000000002</v>
      </c>
      <c r="W66" s="38">
        <v>0.49</v>
      </c>
      <c r="X66" s="24">
        <f t="shared" si="621"/>
        <v>7255.92</v>
      </c>
      <c r="Y66" s="38">
        <v>0.38</v>
      </c>
      <c r="Z66" s="24">
        <f t="shared" si="622"/>
        <v>5627.04</v>
      </c>
      <c r="AA66" s="118">
        <v>2.6099999999999999E-3</v>
      </c>
      <c r="AB66" s="121">
        <f t="shared" si="60"/>
        <v>38.648879999999998</v>
      </c>
      <c r="AC66" s="45">
        <v>2.5999999999999999E-3</v>
      </c>
      <c r="AD66" s="17">
        <f t="shared" si="624"/>
        <v>38.500799999999998</v>
      </c>
      <c r="AE66" s="26">
        <f>IF(M66&gt;0,(AG66+AP66)/M66,0)</f>
        <v>2.4319363857374389E-3</v>
      </c>
      <c r="AF66" s="45">
        <v>2.5000000000000001E-4</v>
      </c>
      <c r="AG66" s="36">
        <f t="shared" si="625"/>
        <v>3.702</v>
      </c>
      <c r="AH66" s="27">
        <v>0.20660000000000001</v>
      </c>
      <c r="AI66" s="40">
        <f t="shared" si="626"/>
        <v>32.514707999999999</v>
      </c>
      <c r="AJ66" s="27">
        <f t="shared" si="627"/>
        <v>0.90494119401315898</v>
      </c>
      <c r="AK66" s="28">
        <f t="shared" si="6"/>
        <v>0.89829513951908846</v>
      </c>
      <c r="AL66" s="42">
        <v>172</v>
      </c>
      <c r="AM66" s="38">
        <v>8.5000000000000006E-2</v>
      </c>
      <c r="AN66" s="27">
        <v>0.20530000000000001</v>
      </c>
      <c r="AO66" s="105">
        <v>0.2084</v>
      </c>
      <c r="AP66" s="40">
        <f>AL66*(1-AM66)*AN66</f>
        <v>32.310113999999999</v>
      </c>
      <c r="AQ66" s="106">
        <f t="shared" si="21"/>
        <v>32.797992000000001</v>
      </c>
      <c r="AR66" s="17">
        <v>1.55</v>
      </c>
      <c r="AS66" s="17"/>
      <c r="AT66" s="129">
        <f>AT65+AL66-AS66</f>
        <v>952.29999999999859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29">SUM(D64:D66)</f>
        <v>42000</v>
      </c>
      <c r="E67" s="49"/>
      <c r="F67" s="49">
        <f t="shared" ref="F67" si="630">SUM(F64:F66)</f>
        <v>43683</v>
      </c>
      <c r="G67" s="50"/>
      <c r="H67" s="50"/>
      <c r="I67" s="49">
        <f t="shared" ref="I67:K67" si="631">SUM(I64:I66)</f>
        <v>42981</v>
      </c>
      <c r="J67" s="50"/>
      <c r="K67" s="49">
        <f t="shared" si="631"/>
        <v>47850</v>
      </c>
      <c r="L67" s="20">
        <f t="shared" ref="L67" si="632">IF(K67&gt;0,(K64*L64+K65*L65+K66*L66)/K67,0)</f>
        <v>7.0671849529780562E-2</v>
      </c>
      <c r="M67" s="50">
        <f t="shared" ref="M67" si="633">M64+M65+M66</f>
        <v>44468</v>
      </c>
      <c r="N67" s="51">
        <f t="shared" ref="N67" si="634">IF(M67&gt;0,O67/M67,0)</f>
        <v>0.56304065845102103</v>
      </c>
      <c r="O67" s="52">
        <f t="shared" ref="O67" si="635">O64+O65+O66</f>
        <v>25037.292000000001</v>
      </c>
      <c r="P67" s="20">
        <f t="shared" ref="P67" si="636">IF(M67&gt;0,Q67/M67,0)</f>
        <v>0.37889916344337499</v>
      </c>
      <c r="Q67" s="52">
        <f t="shared" ref="Q67" si="637">Q64+Q65+Q66</f>
        <v>16848.887999999999</v>
      </c>
      <c r="R67" s="20">
        <f t="shared" ref="R67" si="638">IF(M67&gt;0,T67/M67,0)</f>
        <v>5.8060178105604023E-2</v>
      </c>
      <c r="S67" s="107"/>
      <c r="T67" s="52">
        <f t="shared" ref="T67" si="639">T64+T65+T66</f>
        <v>2581.8199999999997</v>
      </c>
      <c r="U67" s="20">
        <f t="shared" ref="U67" si="640">IF(M67&gt;0,V67/M67,0)</f>
        <v>0.2220197895115589</v>
      </c>
      <c r="V67" s="52">
        <f t="shared" ref="V67" si="641">V64+V65+V66</f>
        <v>9872.7760000000017</v>
      </c>
      <c r="W67" s="20">
        <f t="shared" ref="W67" si="642">IF(M67&gt;0,X67/M67,0)</f>
        <v>0.49965728164073048</v>
      </c>
      <c r="X67" s="52">
        <f t="shared" ref="X67" si="643">X64+X65+X66</f>
        <v>22218.760000000002</v>
      </c>
      <c r="Y67" s="20">
        <f t="shared" ref="Y67" si="644">IF(M67&gt;0,Z67/M67,0)</f>
        <v>0.38666996491859318</v>
      </c>
      <c r="Z67" s="52">
        <f t="shared" ref="Z67" si="645">Z64+Z65+Z66</f>
        <v>17194.440000000002</v>
      </c>
      <c r="AA67" s="119">
        <f t="shared" ref="AA67" si="646">IF(M67&gt;0,AB67/M67,0)</f>
        <v>2.6196608797337409E-3</v>
      </c>
      <c r="AB67" s="54">
        <f t="shared" ref="AB67" si="647">SUM(AB64:AB66)</f>
        <v>116.49107999999998</v>
      </c>
      <c r="AC67" s="53">
        <f t="shared" ref="AC67" si="648">IF(M67&gt;0,AD67/M67,0)</f>
        <v>2.530188000359809E-3</v>
      </c>
      <c r="AD67" s="54">
        <f t="shared" ref="AD67" si="649">SUM(AD64:AD66)</f>
        <v>112.51239999999999</v>
      </c>
      <c r="AE67" s="53">
        <f t="shared" ref="AE67" si="650">IF(M67&gt;0,(AE64*M64+AE65*M65+AE66*M66)/M67,0)</f>
        <v>2.6228030538814427E-3</v>
      </c>
      <c r="AF67" s="53">
        <f t="shared" ref="AF67" si="651">IF(K67&gt;0,(K64*AF64+K65*AF65+K66*AF66)/K67,0)</f>
        <v>2.6331870428422151E-4</v>
      </c>
      <c r="AG67" s="50">
        <f t="shared" ref="AG67" si="652">SUM(AG64:AG66)</f>
        <v>11.708399999999999</v>
      </c>
      <c r="AH67" s="51">
        <f t="shared" ref="AH67" si="653">IF(K67&gt;0,(K64*AH64+K65*AH65+K66*AH66)/K67,0)</f>
        <v>0.20656721003134795</v>
      </c>
      <c r="AI67" s="56">
        <f t="shared" ref="AI67" si="654">SUM(AI64:AI66)</f>
        <v>102.4383345</v>
      </c>
      <c r="AJ67" s="51">
        <f t="shared" ref="AJ67" si="655">IF(AND(AD67&gt;0),((AD64*AJ64+AD65*AJ65+AD66*AJ66)/AD67),0)</f>
        <v>0.89707837942764024</v>
      </c>
      <c r="AK67" s="55">
        <f t="shared" si="6"/>
        <v>0.90072579365928851</v>
      </c>
      <c r="AL67" s="49">
        <f t="shared" ref="AL67" si="656">SUM(AL64:AL66)</f>
        <v>543</v>
      </c>
      <c r="AM67" s="20">
        <f t="shared" ref="AM67" si="657">IF(AL67&gt;0,(AM64*AL64+AM65*AL65+AM66*AL66)/AL67,0)</f>
        <v>8.6727440147329651E-2</v>
      </c>
      <c r="AN67" s="51">
        <f>IF(K67&gt;0,(AN64*K64+AN65*K65+AN66*K66)/K67,0)</f>
        <v>0.21144403761755487</v>
      </c>
      <c r="AO67" s="107">
        <f>IF(L67&gt;0,(AO64*K64+AO65*K65+AO66*K66)/K67,0)</f>
        <v>0.21644793312434693</v>
      </c>
      <c r="AP67" s="56">
        <f t="shared" ref="AP67" si="658">SUM(AP64:AP66)</f>
        <v>104.92240620000001</v>
      </c>
      <c r="AQ67" s="108">
        <f t="shared" si="570"/>
        <v>107.42481140000001</v>
      </c>
      <c r="AR67" s="54"/>
      <c r="AS67" s="54">
        <f t="shared" ref="AS67" si="659">SUM(AS64:AS66)</f>
        <v>1062.9000000000001</v>
      </c>
      <c r="AT67" s="83"/>
      <c r="AU67" s="84">
        <f>AT66</f>
        <v>952.29999999999859</v>
      </c>
      <c r="AV67" s="49">
        <f t="shared" ref="AV67" si="660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57</v>
      </c>
      <c r="D68" s="11">
        <v>5200</v>
      </c>
      <c r="E68" s="11">
        <v>0</v>
      </c>
      <c r="F68" s="11">
        <v>11445</v>
      </c>
      <c r="G68" s="12">
        <v>0.9</v>
      </c>
      <c r="H68" s="12">
        <v>6.1</v>
      </c>
      <c r="I68" s="11">
        <v>11143</v>
      </c>
      <c r="J68" s="12">
        <v>3.6</v>
      </c>
      <c r="K68" s="11">
        <v>15582</v>
      </c>
      <c r="L68" s="13">
        <v>7.2999999999999995E-2</v>
      </c>
      <c r="M68" s="23">
        <f>ROUND(K68*(1-L68),0)</f>
        <v>14445</v>
      </c>
      <c r="N68" s="14">
        <v>0.61</v>
      </c>
      <c r="O68" s="24">
        <f t="shared" ref="O68:O70" si="661">M68*N68</f>
        <v>8811.4499999999989</v>
      </c>
      <c r="P68" s="13">
        <v>0.33400000000000002</v>
      </c>
      <c r="Q68" s="24">
        <f t="shared" ref="Q68:Q70" si="662">M68*P68</f>
        <v>4824.63</v>
      </c>
      <c r="R68" s="15">
        <v>5.6000000000000001E-2</v>
      </c>
      <c r="S68" s="112">
        <v>0.24299999999999999</v>
      </c>
      <c r="T68" s="24">
        <f t="shared" ref="T68:T70" si="663">M68*R68</f>
        <v>808.92000000000007</v>
      </c>
      <c r="U68" s="25">
        <v>0.224</v>
      </c>
      <c r="V68" s="24">
        <f t="shared" ref="V68:V70" si="664">M68*U68</f>
        <v>3235.6800000000003</v>
      </c>
      <c r="W68" s="15">
        <v>0.49</v>
      </c>
      <c r="X68" s="24">
        <f t="shared" ref="X68:X70" si="665">M68*W68</f>
        <v>7078.05</v>
      </c>
      <c r="Y68" s="15">
        <v>0.39</v>
      </c>
      <c r="Z68" s="24">
        <f t="shared" ref="Z68:Z70" si="666">Y68*M68</f>
        <v>5633.55</v>
      </c>
      <c r="AA68" s="116">
        <v>2.5899999999999999E-3</v>
      </c>
      <c r="AB68" s="18">
        <f t="shared" ref="AB68" si="667">M68*AA68</f>
        <v>37.412549999999996</v>
      </c>
      <c r="AC68" s="16">
        <v>2.5600000000000002E-3</v>
      </c>
      <c r="AD68" s="17">
        <f t="shared" ref="AD68:AD70" si="668">M68*AC68</f>
        <v>36.979200000000006</v>
      </c>
      <c r="AE68" s="26">
        <f>IF(M68&gt;0,(AG68+AP68)/M68,0)</f>
        <v>2.7790797923156804E-3</v>
      </c>
      <c r="AF68" s="16">
        <v>2.5000000000000001E-4</v>
      </c>
      <c r="AG68" s="23">
        <f t="shared" ref="AG68:AG70" si="669">AF68*M68</f>
        <v>3.6112500000000001</v>
      </c>
      <c r="AH68" s="92">
        <v>0.20030000000000001</v>
      </c>
      <c r="AI68" s="29">
        <f t="shared" ref="AI68:AI70" si="670">AL68*(1-AM68)*AH68</f>
        <v>33.940033800000002</v>
      </c>
      <c r="AJ68" s="27">
        <f t="shared" ref="AJ68:AJ70" si="671">IF(AND(AH68&gt;0,AF68&gt;0,AC68&gt;0),((AC68-AF68)*AH68)/((AH68-AF68)*AC68),0)</f>
        <v>0.90347139777555618</v>
      </c>
      <c r="AK68" s="58">
        <f t="shared" ref="AK68:AK115" si="672">IF(AND(AE68&gt;0,AN68&gt;0,AF68&gt;0),((AN68*(AE68-AF68))/(AE68*(AN68-AF68))),0)</f>
        <v>0.91109863423871473</v>
      </c>
      <c r="AL68" s="11">
        <v>186</v>
      </c>
      <c r="AM68" s="13">
        <v>8.8999999999999996E-2</v>
      </c>
      <c r="AN68" s="14">
        <v>0.21560000000000001</v>
      </c>
      <c r="AO68" s="101">
        <v>0.215</v>
      </c>
      <c r="AP68" s="29">
        <f>AL68*(1-AM68)*AN68</f>
        <v>36.532557600000004</v>
      </c>
      <c r="AQ68" s="102">
        <f t="shared" ref="AQ68" si="673">AL68*(1-AM68)*AO68</f>
        <v>36.430889999999998</v>
      </c>
      <c r="AR68" s="18">
        <v>1.5</v>
      </c>
      <c r="AS68" s="18">
        <v>1062.56</v>
      </c>
      <c r="AT68" s="79">
        <f>AT66+AL68-AS68+AU68</f>
        <v>157.03999999999866</v>
      </c>
      <c r="AU68" s="80">
        <v>81.3</v>
      </c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58</v>
      </c>
      <c r="D69" s="33">
        <v>18500</v>
      </c>
      <c r="E69" s="33">
        <v>2</v>
      </c>
      <c r="F69" s="33">
        <v>13759</v>
      </c>
      <c r="G69" s="34">
        <v>0.4</v>
      </c>
      <c r="H69" s="34">
        <v>6.2</v>
      </c>
      <c r="I69" s="33">
        <v>12500</v>
      </c>
      <c r="J69" s="34">
        <v>4.3</v>
      </c>
      <c r="K69" s="33">
        <v>15505</v>
      </c>
      <c r="L69" s="35">
        <v>6.9000000000000006E-2</v>
      </c>
      <c r="M69" s="36">
        <f>ROUND(K69*(1-L69),0)</f>
        <v>14435</v>
      </c>
      <c r="N69" s="37">
        <v>0.61699999999999999</v>
      </c>
      <c r="O69" s="24">
        <f t="shared" si="661"/>
        <v>8906.3950000000004</v>
      </c>
      <c r="P69" s="35">
        <v>0.30499999999999999</v>
      </c>
      <c r="Q69" s="24">
        <f t="shared" si="662"/>
        <v>4402.6750000000002</v>
      </c>
      <c r="R69" s="38">
        <v>7.8E-2</v>
      </c>
      <c r="S69" s="105">
        <v>0.23749999999999999</v>
      </c>
      <c r="T69" s="24">
        <f t="shared" si="663"/>
        <v>1125.93</v>
      </c>
      <c r="U69" s="27">
        <v>0.216</v>
      </c>
      <c r="V69" s="24">
        <f t="shared" si="664"/>
        <v>3117.96</v>
      </c>
      <c r="W69" s="38">
        <v>0.498</v>
      </c>
      <c r="X69" s="24">
        <f t="shared" si="665"/>
        <v>7188.63</v>
      </c>
      <c r="Y69" s="38">
        <v>0.37</v>
      </c>
      <c r="Z69" s="24">
        <f t="shared" si="666"/>
        <v>5340.95</v>
      </c>
      <c r="AA69" s="117">
        <v>2.64E-3</v>
      </c>
      <c r="AB69" s="18">
        <f t="shared" si="60"/>
        <v>38.108400000000003</v>
      </c>
      <c r="AC69" s="39">
        <v>2.5999999999999999E-3</v>
      </c>
      <c r="AD69" s="17">
        <f t="shared" si="668"/>
        <v>37.530999999999999</v>
      </c>
      <c r="AE69" s="26">
        <f>IF(M69&gt;0,(AG69+AP69)/M69,0)</f>
        <v>2.6996023484586072E-3</v>
      </c>
      <c r="AF69" s="39">
        <v>2.5999999999999998E-4</v>
      </c>
      <c r="AG69" s="36">
        <f t="shared" si="669"/>
        <v>3.7530999999999999</v>
      </c>
      <c r="AH69" s="27">
        <v>0.20630000000000001</v>
      </c>
      <c r="AI69" s="40">
        <f t="shared" si="670"/>
        <v>34.3173861</v>
      </c>
      <c r="AJ69" s="27">
        <f t="shared" si="671"/>
        <v>0.90113570180547464</v>
      </c>
      <c r="AK69" s="28">
        <f t="shared" si="672"/>
        <v>0.90480075305672192</v>
      </c>
      <c r="AL69" s="33">
        <v>183</v>
      </c>
      <c r="AM69" s="35">
        <v>9.0999999999999998E-2</v>
      </c>
      <c r="AN69" s="37">
        <v>0.2117</v>
      </c>
      <c r="AO69" s="103">
        <v>0.21479999999999999</v>
      </c>
      <c r="AP69" s="40">
        <f>AL69*(1-AM69)*AN69</f>
        <v>35.215659899999999</v>
      </c>
      <c r="AQ69" s="104">
        <f t="shared" si="21"/>
        <v>35.731335600000001</v>
      </c>
      <c r="AR69" s="41">
        <v>1.55</v>
      </c>
      <c r="AS69" s="41"/>
      <c r="AT69" s="129">
        <f>AT68+AL69-AS69</f>
        <v>340.03999999999866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55</v>
      </c>
      <c r="D70" s="42">
        <v>15800</v>
      </c>
      <c r="E70" s="42">
        <v>2</v>
      </c>
      <c r="F70" s="42">
        <v>17429</v>
      </c>
      <c r="G70" s="36">
        <v>0.5</v>
      </c>
      <c r="H70" s="36">
        <v>5.7</v>
      </c>
      <c r="I70" s="42">
        <v>16857</v>
      </c>
      <c r="J70" s="36">
        <v>3.5</v>
      </c>
      <c r="K70" s="42">
        <v>15535</v>
      </c>
      <c r="L70" s="38">
        <v>6.7000000000000004E-2</v>
      </c>
      <c r="M70" s="36">
        <f>ROUND(K70*(1-L70),0)</f>
        <v>14494</v>
      </c>
      <c r="N70" s="27">
        <v>0.66100000000000003</v>
      </c>
      <c r="O70" s="24">
        <f t="shared" si="661"/>
        <v>9580.5339999999997</v>
      </c>
      <c r="P70" s="38">
        <v>0.29699999999999999</v>
      </c>
      <c r="Q70" s="24">
        <f t="shared" si="662"/>
        <v>4304.7179999999998</v>
      </c>
      <c r="R70" s="38">
        <v>4.2000000000000003E-2</v>
      </c>
      <c r="S70" s="105">
        <v>0.24260000000000001</v>
      </c>
      <c r="T70" s="24">
        <f t="shared" si="663"/>
        <v>608.74800000000005</v>
      </c>
      <c r="U70" s="27">
        <v>0.20599999999999999</v>
      </c>
      <c r="V70" s="24">
        <f t="shared" si="664"/>
        <v>2985.7639999999997</v>
      </c>
      <c r="W70" s="38">
        <v>0.503</v>
      </c>
      <c r="X70" s="24">
        <f t="shared" si="665"/>
        <v>7290.482</v>
      </c>
      <c r="Y70" s="38">
        <v>0.39</v>
      </c>
      <c r="Z70" s="24">
        <f t="shared" si="666"/>
        <v>5652.66</v>
      </c>
      <c r="AA70" s="118">
        <v>2.63E-3</v>
      </c>
      <c r="AB70" s="121">
        <f t="shared" si="60"/>
        <v>38.119219999999999</v>
      </c>
      <c r="AC70" s="45">
        <v>2.5899999999999999E-3</v>
      </c>
      <c r="AD70" s="17">
        <f t="shared" si="668"/>
        <v>37.539459999999998</v>
      </c>
      <c r="AE70" s="26">
        <f>IF(M70&gt;0,(AG70+AP70)/M70,0)</f>
        <v>2.6772950186283984E-3</v>
      </c>
      <c r="AF70" s="45">
        <v>2.5999999999999998E-4</v>
      </c>
      <c r="AG70" s="36">
        <f t="shared" si="669"/>
        <v>3.7684399999999996</v>
      </c>
      <c r="AH70" s="27">
        <v>0.2051</v>
      </c>
      <c r="AI70" s="40">
        <f t="shared" si="670"/>
        <v>33.222098000000003</v>
      </c>
      <c r="AJ70" s="27">
        <f t="shared" si="671"/>
        <v>0.90075576455189832</v>
      </c>
      <c r="AK70" s="28">
        <f t="shared" si="672"/>
        <v>0.90397366372432886</v>
      </c>
      <c r="AL70" s="42">
        <v>178</v>
      </c>
      <c r="AM70" s="38">
        <v>0.09</v>
      </c>
      <c r="AN70" s="27">
        <v>0.21629999999999999</v>
      </c>
      <c r="AO70" s="105">
        <v>0.21909999999999999</v>
      </c>
      <c r="AP70" s="40">
        <f>AL70*(1-AM70)*AN70</f>
        <v>35.036274000000006</v>
      </c>
      <c r="AQ70" s="106">
        <f t="shared" si="21"/>
        <v>35.489818</v>
      </c>
      <c r="AR70" s="17">
        <v>1.55</v>
      </c>
      <c r="AS70" s="17"/>
      <c r="AT70" s="129">
        <f>AT69+AL70-AS70</f>
        <v>518.0399999999986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74">SUM(D68:D70)</f>
        <v>39500</v>
      </c>
      <c r="E71" s="49"/>
      <c r="F71" s="49">
        <f t="shared" ref="F71" si="675">SUM(F68:F70)</f>
        <v>42633</v>
      </c>
      <c r="G71" s="50"/>
      <c r="H71" s="50"/>
      <c r="I71" s="49">
        <f t="shared" ref="I71:K71" si="676">SUM(I68:I70)</f>
        <v>40500</v>
      </c>
      <c r="J71" s="50"/>
      <c r="K71" s="49">
        <f t="shared" si="676"/>
        <v>46622</v>
      </c>
      <c r="L71" s="20">
        <f t="shared" ref="L71" si="677">IF(K71&gt;0,(K68*L68+K69*L69+K70*L70)/K71,0)</f>
        <v>6.9670456007893275E-2</v>
      </c>
      <c r="M71" s="50">
        <f t="shared" ref="M71" si="678">M68+M69+M70</f>
        <v>43374</v>
      </c>
      <c r="N71" s="51">
        <f t="shared" ref="N71" si="679">IF(M71&gt;0,O71/M71,0)</f>
        <v>0.62937195093835019</v>
      </c>
      <c r="O71" s="52">
        <f t="shared" ref="O71" si="680">O68+O69+O70</f>
        <v>27298.379000000001</v>
      </c>
      <c r="P71" s="20">
        <f t="shared" ref="P71" si="681">IF(M71&gt;0,Q71/M71,0)</f>
        <v>0.31198466823442617</v>
      </c>
      <c r="Q71" s="52">
        <f t="shared" ref="Q71" si="682">Q68+Q69+Q70</f>
        <v>13532.023000000001</v>
      </c>
      <c r="R71" s="20">
        <f t="shared" ref="R71" si="683">IF(M71&gt;0,T71/M71,0)</f>
        <v>5.864338082722368E-2</v>
      </c>
      <c r="S71" s="107"/>
      <c r="T71" s="52">
        <f t="shared" ref="T71" si="684">T68+T69+T70</f>
        <v>2543.598</v>
      </c>
      <c r="U71" s="20">
        <f t="shared" ref="U71" si="685">IF(M71&gt;0,V71/M71,0)</f>
        <v>0.21532263568036153</v>
      </c>
      <c r="V71" s="52">
        <f t="shared" ref="V71" si="686">V68+V69+V70</f>
        <v>9339.4040000000005</v>
      </c>
      <c r="W71" s="20">
        <f t="shared" ref="W71" si="687">IF(M71&gt;0,X71/M71,0)</f>
        <v>0.49700654770138791</v>
      </c>
      <c r="X71" s="52">
        <f t="shared" ref="X71" si="688">X68+X69+X70</f>
        <v>21557.162</v>
      </c>
      <c r="Y71" s="20">
        <f t="shared" ref="Y71" si="689">IF(M71&gt;0,Z71/M71,0)</f>
        <v>0.38334393876515882</v>
      </c>
      <c r="Z71" s="52">
        <f t="shared" ref="Z71" si="690">Z68+Z69+Z70</f>
        <v>16627.16</v>
      </c>
      <c r="AA71" s="119">
        <f t="shared" ref="AA71" si="691">IF(M71&gt;0,AB71/M71,0)</f>
        <v>2.6200066860331073E-3</v>
      </c>
      <c r="AB71" s="54">
        <f t="shared" ref="AB71" si="692">SUM(AB68:AB70)</f>
        <v>113.64017</v>
      </c>
      <c r="AC71" s="53">
        <f t="shared" ref="AC71" si="693">IF(M71&gt;0,AD71/M71,0)</f>
        <v>2.5833370221791854E-3</v>
      </c>
      <c r="AD71" s="54">
        <f t="shared" ref="AD71" si="694">SUM(AD68:AD70)</f>
        <v>112.04965999999999</v>
      </c>
      <c r="AE71" s="53">
        <f t="shared" ref="AE71" si="695">IF(M71&gt;0,(AE68*M68+AE69*M69+AE70*M70)/M71,0)</f>
        <v>2.7186167173882973E-3</v>
      </c>
      <c r="AF71" s="53">
        <f t="shared" ref="AF71" si="696">IF(K71&gt;0,(K68*AF68+K69*AF69+K70*AF70)/K71,0)</f>
        <v>2.5665780103813652E-4</v>
      </c>
      <c r="AG71" s="50">
        <f t="shared" ref="AG71" si="697">SUM(AG68:AG70)</f>
        <v>11.13279</v>
      </c>
      <c r="AH71" s="51">
        <f t="shared" ref="AH71" si="698">IF(K71&gt;0,(K68*AH68+K69*AH69+K70*AH70)/K71,0)</f>
        <v>0.20389482647677062</v>
      </c>
      <c r="AI71" s="56">
        <f t="shared" ref="AI71" si="699">SUM(AI68:AI70)</f>
        <v>101.4795179</v>
      </c>
      <c r="AJ71" s="51">
        <f t="shared" ref="AJ71" si="700">IF(AND(AD71&gt;0),((AD68*AJ68+AD69*AJ69+AD70*AJ70)/AD71),0)</f>
        <v>0.90177925154122318</v>
      </c>
      <c r="AK71" s="55">
        <f t="shared" si="672"/>
        <v>0.90667719465723606</v>
      </c>
      <c r="AL71" s="49">
        <f t="shared" ref="AL71" si="701">SUM(AL68:AL70)</f>
        <v>547</v>
      </c>
      <c r="AM71" s="20">
        <f t="shared" ref="AM71" si="702">IF(AL71&gt;0,(AM68*AL68+AM69*AL69+AM70*AL70)/AL71,0)</f>
        <v>8.9994515539305278E-2</v>
      </c>
      <c r="AN71" s="51">
        <f>IF(K71&gt;0,(AN68*K68+AN69*K69+AN70*K70)/K71,0)</f>
        <v>0.21453623182188666</v>
      </c>
      <c r="AO71" s="107">
        <f>IF(L71&gt;0,(AO68*K68+AO69*K69+AO70*K70)/K71,0)</f>
        <v>0.21629965466946932</v>
      </c>
      <c r="AP71" s="56">
        <f t="shared" ref="AP71" si="703">SUM(AP68:AP70)</f>
        <v>106.78449150000002</v>
      </c>
      <c r="AQ71" s="108">
        <f t="shared" si="570"/>
        <v>107.6520436</v>
      </c>
      <c r="AR71" s="54"/>
      <c r="AS71" s="54">
        <f t="shared" ref="AS71" si="704">SUM(AS68:AS70)</f>
        <v>1062.56</v>
      </c>
      <c r="AT71" s="83"/>
      <c r="AU71" s="84">
        <f>AT70</f>
        <v>518.0399999999986</v>
      </c>
      <c r="AV71" s="49">
        <f t="shared" ref="AV71" si="705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57</v>
      </c>
      <c r="D72" s="11">
        <v>3700</v>
      </c>
      <c r="E72" s="11">
        <v>0</v>
      </c>
      <c r="F72" s="11">
        <v>9291</v>
      </c>
      <c r="G72" s="12">
        <v>0.5</v>
      </c>
      <c r="H72" s="12">
        <v>5.8</v>
      </c>
      <c r="I72" s="11">
        <v>8960</v>
      </c>
      <c r="J72" s="131">
        <v>5.4</v>
      </c>
      <c r="K72" s="11">
        <v>15287</v>
      </c>
      <c r="L72" s="13">
        <v>7.4999999999999997E-2</v>
      </c>
      <c r="M72" s="23">
        <f>ROUND(K72*(1-L72),0)</f>
        <v>14140</v>
      </c>
      <c r="N72" s="14">
        <v>0.627</v>
      </c>
      <c r="O72" s="24">
        <f t="shared" ref="O72:O74" si="706">M72*N72</f>
        <v>8865.7800000000007</v>
      </c>
      <c r="P72" s="13">
        <v>0.314</v>
      </c>
      <c r="Q72" s="24">
        <f t="shared" ref="Q72:Q74" si="707">M72*P72</f>
        <v>4439.96</v>
      </c>
      <c r="R72" s="15">
        <v>5.8999999999999997E-2</v>
      </c>
      <c r="S72" s="112">
        <v>0.2422</v>
      </c>
      <c r="T72" s="24">
        <f t="shared" ref="T72:T74" si="708">M72*R72</f>
        <v>834.26</v>
      </c>
      <c r="U72" s="25">
        <v>0.21299999999999999</v>
      </c>
      <c r="V72" s="24">
        <f t="shared" ref="V72:V74" si="709">M72*U72</f>
        <v>3011.8199999999997</v>
      </c>
      <c r="W72" s="15">
        <v>0.497</v>
      </c>
      <c r="X72" s="24">
        <f t="shared" ref="X72:X74" si="710">M72*W72</f>
        <v>7027.58</v>
      </c>
      <c r="Y72" s="15">
        <v>0.39</v>
      </c>
      <c r="Z72" s="24">
        <f t="shared" ref="Z72:Z74" si="711">Y72*M72</f>
        <v>5514.6</v>
      </c>
      <c r="AA72" s="116">
        <v>2.5400000000000002E-3</v>
      </c>
      <c r="AB72" s="18">
        <f t="shared" ref="AB72" si="712">M72*AA72</f>
        <v>35.915600000000005</v>
      </c>
      <c r="AC72" s="16">
        <v>2.5400000000000002E-3</v>
      </c>
      <c r="AD72" s="17">
        <f t="shared" ref="AD72:AD74" si="713">M72*AC72</f>
        <v>35.915600000000005</v>
      </c>
      <c r="AE72" s="26">
        <f>IF(M72&gt;0,(AG72+AP72)/M72,0)</f>
        <v>2.6080983734087697E-3</v>
      </c>
      <c r="AF72" s="16">
        <v>2.5000000000000001E-4</v>
      </c>
      <c r="AG72" s="23">
        <f t="shared" ref="AG72:AG74" si="714">AF72*M72</f>
        <v>3.5350000000000001</v>
      </c>
      <c r="AH72" s="92">
        <v>0.2099</v>
      </c>
      <c r="AI72" s="29">
        <f t="shared" ref="AI72:AI74" si="715">AL72*(1-AM72)*AH72</f>
        <v>32.507213</v>
      </c>
      <c r="AJ72" s="27">
        <f t="shared" ref="AJ72:AJ74" si="716">IF(AND(AH72&gt;0,AF72&gt;0,AC72&gt;0),((AC72-AF72)*AH72)/((AH72-AF72)*AC72),0)</f>
        <v>0.90264989831195974</v>
      </c>
      <c r="AK72" s="58">
        <f t="shared" si="672"/>
        <v>0.90519580657368237</v>
      </c>
      <c r="AL72" s="11">
        <v>170</v>
      </c>
      <c r="AM72" s="13">
        <v>8.8999999999999996E-2</v>
      </c>
      <c r="AN72" s="14">
        <v>0.21529999999999999</v>
      </c>
      <c r="AO72" s="101">
        <v>0.2205</v>
      </c>
      <c r="AP72" s="29">
        <f>AL72*(1-AM72)*AN72</f>
        <v>33.343510999999999</v>
      </c>
      <c r="AQ72" s="102">
        <f t="shared" ref="AQ72:AQ115" si="717">AL72*(1-AM72)*AO72</f>
        <v>34.148834999999998</v>
      </c>
      <c r="AR72" s="18">
        <v>1.5</v>
      </c>
      <c r="AS72" s="18">
        <v>532.67999999999995</v>
      </c>
      <c r="AT72" s="79">
        <f>AT70+AL72-AS72+AU72</f>
        <v>160.29999999999865</v>
      </c>
      <c r="AU72" s="80">
        <v>4.9400000000000004</v>
      </c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58</v>
      </c>
      <c r="D73" s="33">
        <v>21700</v>
      </c>
      <c r="E73" s="33">
        <v>1</v>
      </c>
      <c r="F73" s="33">
        <v>16070</v>
      </c>
      <c r="G73" s="34">
        <v>0.3</v>
      </c>
      <c r="H73" s="34">
        <v>5.4</v>
      </c>
      <c r="I73" s="33">
        <v>15763</v>
      </c>
      <c r="J73" s="132">
        <v>5</v>
      </c>
      <c r="K73" s="33">
        <v>15333</v>
      </c>
      <c r="L73" s="35">
        <v>6.7000000000000004E-2</v>
      </c>
      <c r="M73" s="36">
        <f>ROUND(K73*(1-L73),0)</f>
        <v>14306</v>
      </c>
      <c r="N73" s="37">
        <v>0.69799999999999995</v>
      </c>
      <c r="O73" s="24">
        <f t="shared" si="706"/>
        <v>9985.5879999999997</v>
      </c>
      <c r="P73" s="35">
        <v>0.25800000000000001</v>
      </c>
      <c r="Q73" s="24">
        <f t="shared" si="707"/>
        <v>3690.9480000000003</v>
      </c>
      <c r="R73" s="38">
        <v>4.3999999999999997E-2</v>
      </c>
      <c r="S73" s="105">
        <v>0.2074</v>
      </c>
      <c r="T73" s="24">
        <f t="shared" si="708"/>
        <v>629.46399999999994</v>
      </c>
      <c r="U73" s="27">
        <v>0.20699999999999999</v>
      </c>
      <c r="V73" s="24">
        <f t="shared" si="709"/>
        <v>2961.3419999999996</v>
      </c>
      <c r="W73" s="38">
        <v>0.5</v>
      </c>
      <c r="X73" s="24">
        <f t="shared" si="710"/>
        <v>7153</v>
      </c>
      <c r="Y73" s="38">
        <v>0.4</v>
      </c>
      <c r="Z73" s="24">
        <f t="shared" si="711"/>
        <v>5722.4000000000005</v>
      </c>
      <c r="AA73" s="117">
        <v>2.5200000000000001E-3</v>
      </c>
      <c r="AB73" s="18">
        <f t="shared" si="60"/>
        <v>36.051120000000004</v>
      </c>
      <c r="AC73" s="39">
        <v>2.5100000000000001E-3</v>
      </c>
      <c r="AD73" s="17">
        <f t="shared" si="713"/>
        <v>35.908059999999999</v>
      </c>
      <c r="AE73" s="26">
        <f>IF(M73&gt;0,(AG73+AP73)/M73,0)</f>
        <v>2.7807739410037747E-3</v>
      </c>
      <c r="AF73" s="39">
        <v>2.4000000000000001E-4</v>
      </c>
      <c r="AG73" s="36">
        <f t="shared" si="714"/>
        <v>3.43344</v>
      </c>
      <c r="AH73" s="27">
        <v>0.20569999999999999</v>
      </c>
      <c r="AI73" s="40">
        <f t="shared" si="715"/>
        <v>35.003969000000005</v>
      </c>
      <c r="AJ73" s="27">
        <f t="shared" si="716"/>
        <v>0.90543888885226143</v>
      </c>
      <c r="AK73" s="28">
        <f t="shared" si="672"/>
        <v>0.91472086850668299</v>
      </c>
      <c r="AL73" s="33">
        <v>187</v>
      </c>
      <c r="AM73" s="35">
        <v>0.09</v>
      </c>
      <c r="AN73" s="37">
        <v>0.21360000000000001</v>
      </c>
      <c r="AO73" s="103">
        <v>0.21290000000000001</v>
      </c>
      <c r="AP73" s="40">
        <f>AL73*(1-AM73)*AN73</f>
        <v>36.348312000000007</v>
      </c>
      <c r="AQ73" s="104">
        <f t="shared" si="717"/>
        <v>36.229193000000002</v>
      </c>
      <c r="AR73" s="41">
        <v>1.55</v>
      </c>
      <c r="AS73" s="41"/>
      <c r="AT73" s="129">
        <f>AT72+AL73-AS73</f>
        <v>347.29999999999865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59</v>
      </c>
      <c r="D74" s="42">
        <v>16200</v>
      </c>
      <c r="E74" s="42">
        <v>0</v>
      </c>
      <c r="F74" s="42">
        <v>16553</v>
      </c>
      <c r="G74" s="36">
        <v>0.4</v>
      </c>
      <c r="H74" s="36">
        <v>5.7</v>
      </c>
      <c r="I74" s="42">
        <v>16064</v>
      </c>
      <c r="J74" s="36">
        <v>3.8</v>
      </c>
      <c r="K74" s="42">
        <v>15320</v>
      </c>
      <c r="L74" s="38">
        <v>6.7000000000000004E-2</v>
      </c>
      <c r="M74" s="36">
        <f>ROUND(K74*(1-L74),0)</f>
        <v>14294</v>
      </c>
      <c r="N74" s="27">
        <v>0.79600000000000004</v>
      </c>
      <c r="O74" s="24">
        <f t="shared" si="706"/>
        <v>11378.024000000001</v>
      </c>
      <c r="P74" s="38">
        <v>0.16700000000000001</v>
      </c>
      <c r="Q74" s="24">
        <f t="shared" si="707"/>
        <v>2387.098</v>
      </c>
      <c r="R74" s="38">
        <v>3.6999999999999998E-2</v>
      </c>
      <c r="S74" s="105">
        <v>0.21199999999999999</v>
      </c>
      <c r="T74" s="24">
        <f t="shared" si="708"/>
        <v>528.87799999999993</v>
      </c>
      <c r="U74" s="27">
        <v>0.20699999999999999</v>
      </c>
      <c r="V74" s="24">
        <f t="shared" si="709"/>
        <v>2958.8579999999997</v>
      </c>
      <c r="W74" s="38">
        <v>0.499</v>
      </c>
      <c r="X74" s="24">
        <f t="shared" si="710"/>
        <v>7132.7060000000001</v>
      </c>
      <c r="Y74" s="38">
        <v>0.39</v>
      </c>
      <c r="Z74" s="24">
        <f t="shared" si="711"/>
        <v>5574.66</v>
      </c>
      <c r="AA74" s="118">
        <v>2.3900000000000002E-3</v>
      </c>
      <c r="AB74" s="121">
        <f t="shared" si="60"/>
        <v>34.162660000000002</v>
      </c>
      <c r="AC74" s="45">
        <v>2.48E-3</v>
      </c>
      <c r="AD74" s="17">
        <f t="shared" si="713"/>
        <v>35.449120000000001</v>
      </c>
      <c r="AE74" s="26">
        <f>IF(M74&gt;0,(AG74+AP74)/M74,0)</f>
        <v>2.5312414999300401E-3</v>
      </c>
      <c r="AF74" s="45">
        <v>2.3000000000000001E-4</v>
      </c>
      <c r="AG74" s="36">
        <f t="shared" si="714"/>
        <v>3.28762</v>
      </c>
      <c r="AH74" s="27">
        <v>0.2084</v>
      </c>
      <c r="AI74" s="40">
        <f t="shared" si="715"/>
        <v>32.381191999999999</v>
      </c>
      <c r="AJ74" s="27">
        <f t="shared" si="716"/>
        <v>0.90826046330000143</v>
      </c>
      <c r="AK74" s="28">
        <f t="shared" si="672"/>
        <v>0.91012429558410335</v>
      </c>
      <c r="AL74" s="42">
        <v>170</v>
      </c>
      <c r="AM74" s="38">
        <v>8.5999999999999993E-2</v>
      </c>
      <c r="AN74" s="27">
        <v>0.2117</v>
      </c>
      <c r="AO74" s="105">
        <v>0.21679999999999999</v>
      </c>
      <c r="AP74" s="40">
        <f>AL74*(1-AM74)*AN74</f>
        <v>32.893946</v>
      </c>
      <c r="AQ74" s="106">
        <f t="shared" si="717"/>
        <v>33.686383999999997</v>
      </c>
      <c r="AR74" s="17">
        <v>1.6</v>
      </c>
      <c r="AS74" s="17"/>
      <c r="AT74" s="129">
        <f>AT73+AL74-AS74</f>
        <v>517.29999999999859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18">SUM(D72:D74)</f>
        <v>41600</v>
      </c>
      <c r="E75" s="49"/>
      <c r="F75" s="49">
        <f t="shared" ref="F75" si="719">SUM(F72:F74)</f>
        <v>41914</v>
      </c>
      <c r="G75" s="50"/>
      <c r="H75" s="50"/>
      <c r="I75" s="49">
        <f t="shared" ref="I75:K75" si="720">SUM(I72:I74)</f>
        <v>40787</v>
      </c>
      <c r="J75" s="50"/>
      <c r="K75" s="49">
        <f t="shared" si="720"/>
        <v>45940</v>
      </c>
      <c r="L75" s="20">
        <f t="shared" ref="L75" si="721">IF(K75&gt;0,(K72*L72+K73*L73+K74*L74)/K75,0)</f>
        <v>6.9662080975185031E-2</v>
      </c>
      <c r="M75" s="50">
        <f t="shared" ref="M75" si="722">M72+M73+M74</f>
        <v>42740</v>
      </c>
      <c r="N75" s="51">
        <f t="shared" ref="N75" si="723">IF(M75&gt;0,O75/M75,0)</f>
        <v>0.70728572765559206</v>
      </c>
      <c r="O75" s="52">
        <f t="shared" ref="O75" si="724">O72+O73+O74</f>
        <v>30229.392000000003</v>
      </c>
      <c r="P75" s="20">
        <f t="shared" ref="P75" si="725">IF(M75&gt;0,Q75/M75,0)</f>
        <v>0.24609279363593825</v>
      </c>
      <c r="Q75" s="52">
        <f t="shared" ref="Q75" si="726">Q72+Q73+Q74</f>
        <v>10518.006000000001</v>
      </c>
      <c r="R75" s="20">
        <f t="shared" ref="R75" si="727">IF(M75&gt;0,T75/M75,0)</f>
        <v>4.6621478708469812E-2</v>
      </c>
      <c r="S75" s="107"/>
      <c r="T75" s="52">
        <f t="shared" ref="T75" si="728">T72+T73+T74</f>
        <v>1992.6019999999999</v>
      </c>
      <c r="U75" s="20">
        <f t="shared" ref="U75" si="729">IF(M75&gt;0,V75/M75,0)</f>
        <v>0.20898502573701447</v>
      </c>
      <c r="V75" s="52">
        <f t="shared" ref="V75" si="730">V72+V73+V74</f>
        <v>8932.0199999999986</v>
      </c>
      <c r="W75" s="20">
        <f t="shared" ref="W75" si="731">IF(M75&gt;0,X75/M75,0)</f>
        <v>0.49867304632662612</v>
      </c>
      <c r="X75" s="52">
        <f t="shared" ref="X75" si="732">X72+X73+X74</f>
        <v>21313.286</v>
      </c>
      <c r="Y75" s="20">
        <f t="shared" ref="Y75" si="733">IF(M75&gt;0,Z75/M75,0)</f>
        <v>0.39334721572297615</v>
      </c>
      <c r="Z75" s="52">
        <f t="shared" ref="Z75" si="734">Z72+Z73+Z74</f>
        <v>16811.66</v>
      </c>
      <c r="AA75" s="119">
        <f t="shared" ref="AA75" si="735">IF(M75&gt;0,AB75/M75,0)</f>
        <v>2.4831394478240527E-3</v>
      </c>
      <c r="AB75" s="54">
        <f t="shared" ref="AB75" si="736">SUM(AB72:AB74)</f>
        <v>106.12938000000001</v>
      </c>
      <c r="AC75" s="53">
        <f t="shared" ref="AC75" si="737">IF(M75&gt;0,AD75/M75,0)</f>
        <v>2.5098919045390736E-3</v>
      </c>
      <c r="AD75" s="54">
        <f t="shared" ref="AD75" si="738">SUM(AD72:AD74)</f>
        <v>107.27278000000001</v>
      </c>
      <c r="AE75" s="53">
        <f t="shared" ref="AE75" si="739">IF(M75&gt;0,(AE72*M72+AE73*M73+AE74*M74)/M75,0)</f>
        <v>2.6401925362657935E-3</v>
      </c>
      <c r="AF75" s="53">
        <f t="shared" ref="AF75" si="740">IF(K75&gt;0,(K72*AF72+K73*AF73+K74*AF74)/K75,0)</f>
        <v>2.3999281671745757E-4</v>
      </c>
      <c r="AG75" s="50">
        <f t="shared" ref="AG75" si="741">SUM(AG72:AG74)</f>
        <v>10.25606</v>
      </c>
      <c r="AH75" s="51">
        <f t="shared" ref="AH75" si="742">IF(K75&gt;0,(K72*AH72+K73*AH73+K74*AH74)/K75,0)</f>
        <v>0.20799798432738356</v>
      </c>
      <c r="AI75" s="56">
        <f t="shared" ref="AI75" si="743">SUM(AI72:AI74)</f>
        <v>99.892374000000004</v>
      </c>
      <c r="AJ75" s="51">
        <f t="shared" ref="AJ75" si="744">IF(AND(AD75&gt;0),((AD72*AJ72+AD73*AJ73+AD74*AJ74)/AD75),0)</f>
        <v>0.90543752841895864</v>
      </c>
      <c r="AK75" s="55">
        <f t="shared" si="672"/>
        <v>0.91012316432164775</v>
      </c>
      <c r="AL75" s="49">
        <f t="shared" ref="AL75" si="745">SUM(AL72:AL74)</f>
        <v>527</v>
      </c>
      <c r="AM75" s="20">
        <f t="shared" ref="AM75" si="746">IF(AL75&gt;0,(AM72*AL72+AM73*AL73+AM74*AL74)/AL75,0)</f>
        <v>8.8387096774193541E-2</v>
      </c>
      <c r="AN75" s="51">
        <f>IF(K75&gt;0,(AN72*K72+AN73*K73+AN74*K74)/K75,0)</f>
        <v>0.21353208315193734</v>
      </c>
      <c r="AO75" s="107">
        <f>IF(L75&gt;0,(AO72*K72+AO73*K73+AO74*K74)/K75,0)</f>
        <v>0.21672954288202004</v>
      </c>
      <c r="AP75" s="56">
        <f t="shared" ref="AP75:AQ87" si="747">SUM(AP72:AP74)</f>
        <v>102.585769</v>
      </c>
      <c r="AQ75" s="108">
        <f t="shared" si="747"/>
        <v>104.064412</v>
      </c>
      <c r="AR75" s="54"/>
      <c r="AS75" s="54">
        <f t="shared" ref="AS75" si="748">SUM(AS72:AS74)</f>
        <v>532.67999999999995</v>
      </c>
      <c r="AT75" s="83"/>
      <c r="AU75" s="84">
        <f>AT74</f>
        <v>517.29999999999859</v>
      </c>
      <c r="AV75" s="49">
        <f t="shared" ref="AV75" si="749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54</v>
      </c>
      <c r="D76" s="11">
        <v>2900</v>
      </c>
      <c r="E76" s="11">
        <v>0</v>
      </c>
      <c r="F76" s="11">
        <v>9186</v>
      </c>
      <c r="G76" s="12">
        <v>0.5</v>
      </c>
      <c r="H76" s="12">
        <v>6.8</v>
      </c>
      <c r="I76" s="11">
        <v>9127</v>
      </c>
      <c r="J76" s="12">
        <v>5.9</v>
      </c>
      <c r="K76" s="11">
        <v>15155</v>
      </c>
      <c r="L76" s="13">
        <v>6.8000000000000005E-2</v>
      </c>
      <c r="M76" s="23">
        <f>ROUND(K76*(1-L76),0)</f>
        <v>14124</v>
      </c>
      <c r="N76" s="14">
        <v>0.753</v>
      </c>
      <c r="O76" s="24">
        <f t="shared" ref="O76:O78" si="750">M76*N76</f>
        <v>10635.371999999999</v>
      </c>
      <c r="P76" s="13">
        <v>0.218</v>
      </c>
      <c r="Q76" s="24">
        <f t="shared" ref="Q76:Q78" si="751">M76*P76</f>
        <v>3079.0320000000002</v>
      </c>
      <c r="R76" s="15">
        <v>2.9000000000000001E-2</v>
      </c>
      <c r="S76" s="112">
        <v>0.217</v>
      </c>
      <c r="T76" s="24">
        <f t="shared" ref="T76:T78" si="752">M76*R76</f>
        <v>409.596</v>
      </c>
      <c r="U76" s="25">
        <v>0.20300000000000001</v>
      </c>
      <c r="V76" s="24">
        <f t="shared" ref="V76:V78" si="753">M76*U76</f>
        <v>2867.172</v>
      </c>
      <c r="W76" s="15">
        <v>0.51200000000000001</v>
      </c>
      <c r="X76" s="24">
        <f t="shared" ref="X76:X78" si="754">M76*W76</f>
        <v>7231.4880000000003</v>
      </c>
      <c r="Y76" s="15">
        <v>0.38</v>
      </c>
      <c r="Z76" s="24">
        <f t="shared" ref="Z76:Z78" si="755">Y76*M76</f>
        <v>5367.12</v>
      </c>
      <c r="AA76" s="116">
        <v>2.4099999999999998E-3</v>
      </c>
      <c r="AB76" s="18">
        <f t="shared" ref="AB76:AB115" si="756">M76*AA76</f>
        <v>34.03884</v>
      </c>
      <c r="AC76" s="16">
        <v>2.3900000000000002E-3</v>
      </c>
      <c r="AD76" s="17">
        <f t="shared" ref="AD76:AD78" si="757">M76*AC76</f>
        <v>33.756360000000001</v>
      </c>
      <c r="AE76" s="26">
        <f>IF(M76&gt;0,(AG76+AP76)/M76,0)</f>
        <v>2.6134608326253187E-3</v>
      </c>
      <c r="AF76" s="16">
        <v>2.3000000000000001E-4</v>
      </c>
      <c r="AG76" s="23">
        <f t="shared" ref="AG76:AG78" si="758">AF76*M76</f>
        <v>3.2485200000000001</v>
      </c>
      <c r="AH76" s="92">
        <v>0.20380000000000001</v>
      </c>
      <c r="AI76" s="29">
        <f t="shared" ref="AI76:AI78" si="759">AL76*(1-AM76)*AH76</f>
        <v>32.119491400000001</v>
      </c>
      <c r="AJ76" s="27">
        <f t="shared" ref="AJ76:AJ78" si="760">IF(AND(AH76&gt;0,AF76&gt;0,AC76&gt;0),((AC76-AF76)*AH76)/((AH76-AF76)*AC76),0)</f>
        <v>0.9047867942169513</v>
      </c>
      <c r="AK76" s="58">
        <f t="shared" si="672"/>
        <v>0.91297716421207087</v>
      </c>
      <c r="AL76" s="11">
        <v>173</v>
      </c>
      <c r="AM76" s="13">
        <v>8.8999999999999996E-2</v>
      </c>
      <c r="AN76" s="14">
        <v>0.21360000000000001</v>
      </c>
      <c r="AO76" s="101">
        <v>0.21579999999999999</v>
      </c>
      <c r="AP76" s="29">
        <f>AL76*(1-AM76)*AN76</f>
        <v>33.664000800000004</v>
      </c>
      <c r="AQ76" s="102">
        <f t="shared" ref="AQ76" si="761">AL76*(1-AM76)*AO76</f>
        <v>34.0107274</v>
      </c>
      <c r="AR76" s="18">
        <v>1.55</v>
      </c>
      <c r="AS76" s="18">
        <v>533.79999999999995</v>
      </c>
      <c r="AT76" s="79">
        <f>AT74+AL76-AS76+AU76</f>
        <v>161.23999999999864</v>
      </c>
      <c r="AU76" s="80">
        <v>4.74</v>
      </c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0" t="s">
        <v>58</v>
      </c>
      <c r="D77" s="33">
        <v>20200</v>
      </c>
      <c r="E77" s="33">
        <v>2</v>
      </c>
      <c r="F77" s="33">
        <v>16535</v>
      </c>
      <c r="G77" s="34">
        <v>0.4</v>
      </c>
      <c r="H77" s="34">
        <v>5.6</v>
      </c>
      <c r="I77" s="33">
        <v>16041</v>
      </c>
      <c r="J77" s="34">
        <v>4.5999999999999996</v>
      </c>
      <c r="K77" s="33">
        <v>15165</v>
      </c>
      <c r="L77" s="35">
        <v>6.8000000000000005E-2</v>
      </c>
      <c r="M77" s="36">
        <f>ROUND(K77*(1-L77),0)</f>
        <v>14134</v>
      </c>
      <c r="N77" s="37">
        <v>0.77</v>
      </c>
      <c r="O77" s="24">
        <f t="shared" si="750"/>
        <v>10883.18</v>
      </c>
      <c r="P77" s="35">
        <v>0.192</v>
      </c>
      <c r="Q77" s="24">
        <f t="shared" si="751"/>
        <v>2713.7280000000001</v>
      </c>
      <c r="R77" s="38">
        <v>3.7999999999999999E-2</v>
      </c>
      <c r="S77" s="105">
        <v>0.2054</v>
      </c>
      <c r="T77" s="24">
        <f t="shared" si="752"/>
        <v>537.09199999999998</v>
      </c>
      <c r="U77" s="27">
        <v>0.20300000000000001</v>
      </c>
      <c r="V77" s="24">
        <f t="shared" si="753"/>
        <v>2869.2020000000002</v>
      </c>
      <c r="W77" s="38">
        <v>0.49399999999999999</v>
      </c>
      <c r="X77" s="24">
        <f t="shared" si="754"/>
        <v>6982.1959999999999</v>
      </c>
      <c r="Y77" s="38">
        <v>0.37</v>
      </c>
      <c r="Z77" s="24">
        <f t="shared" si="755"/>
        <v>5229.58</v>
      </c>
      <c r="AA77" s="117">
        <v>2.4099999999999998E-3</v>
      </c>
      <c r="AB77" s="18">
        <f t="shared" si="756"/>
        <v>34.062939999999998</v>
      </c>
      <c r="AC77" s="39">
        <v>2.3800000000000002E-3</v>
      </c>
      <c r="AD77" s="17">
        <f t="shared" si="757"/>
        <v>33.638920000000006</v>
      </c>
      <c r="AE77" s="26">
        <f>IF(M77&gt;0,(AG77+AP77)/M77,0)</f>
        <v>2.4992228668459034E-3</v>
      </c>
      <c r="AF77" s="39">
        <v>2.4000000000000001E-4</v>
      </c>
      <c r="AG77" s="36">
        <f t="shared" si="758"/>
        <v>3.3921600000000001</v>
      </c>
      <c r="AH77" s="27">
        <v>0.20599999999999999</v>
      </c>
      <c r="AI77" s="40">
        <f t="shared" si="759"/>
        <v>30.998880000000003</v>
      </c>
      <c r="AJ77" s="27">
        <f t="shared" si="760"/>
        <v>0.90020845040971276</v>
      </c>
      <c r="AK77" s="28">
        <f t="shared" si="672"/>
        <v>0.90499370436384419</v>
      </c>
      <c r="AL77" s="33">
        <v>165</v>
      </c>
      <c r="AM77" s="35">
        <v>8.7999999999999995E-2</v>
      </c>
      <c r="AN77" s="37">
        <v>0.2122</v>
      </c>
      <c r="AO77" s="103">
        <v>0.21970000000000001</v>
      </c>
      <c r="AP77" s="40">
        <f>AL77*(1-AM77)*AN77</f>
        <v>31.931856000000003</v>
      </c>
      <c r="AQ77" s="104">
        <f t="shared" si="717"/>
        <v>33.060456000000002</v>
      </c>
      <c r="AR77" s="41">
        <v>1.5</v>
      </c>
      <c r="AS77" s="41"/>
      <c r="AT77" s="129">
        <f>AT76+AL77-AS77</f>
        <v>326.23999999999864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53</v>
      </c>
      <c r="D78" s="42">
        <v>16900</v>
      </c>
      <c r="E78" s="42">
        <v>2</v>
      </c>
      <c r="F78" s="42">
        <v>17159</v>
      </c>
      <c r="G78" s="36">
        <v>1.1000000000000001</v>
      </c>
      <c r="H78" s="36">
        <v>5.5</v>
      </c>
      <c r="I78" s="42">
        <v>16609</v>
      </c>
      <c r="J78" s="133">
        <v>4.0999999999999996</v>
      </c>
      <c r="K78" s="42">
        <v>15150</v>
      </c>
      <c r="L78" s="38">
        <v>6.8000000000000005E-2</v>
      </c>
      <c r="M78" s="36">
        <f>ROUND(K78*(1-L78),0)</f>
        <v>14120</v>
      </c>
      <c r="N78" s="27">
        <v>0.76800000000000002</v>
      </c>
      <c r="O78" s="24">
        <f t="shared" si="750"/>
        <v>10844.16</v>
      </c>
      <c r="P78" s="38">
        <v>0.192</v>
      </c>
      <c r="Q78" s="24">
        <f t="shared" si="751"/>
        <v>2711.04</v>
      </c>
      <c r="R78" s="38">
        <v>0.04</v>
      </c>
      <c r="S78" s="105">
        <v>0.21840000000000001</v>
      </c>
      <c r="T78" s="24">
        <f t="shared" si="752"/>
        <v>564.80000000000007</v>
      </c>
      <c r="U78" s="27">
        <v>0.21</v>
      </c>
      <c r="V78" s="24">
        <f t="shared" si="753"/>
        <v>2965.2</v>
      </c>
      <c r="W78" s="38">
        <v>0.50900000000000001</v>
      </c>
      <c r="X78" s="24">
        <f t="shared" si="754"/>
        <v>7187.08</v>
      </c>
      <c r="Y78" s="38">
        <v>0.39</v>
      </c>
      <c r="Z78" s="24">
        <f t="shared" si="755"/>
        <v>5506.8</v>
      </c>
      <c r="AA78" s="118">
        <v>2.2399999999999998E-3</v>
      </c>
      <c r="AB78" s="121">
        <f t="shared" si="756"/>
        <v>31.628799999999998</v>
      </c>
      <c r="AC78" s="45">
        <v>2.2599999999999999E-3</v>
      </c>
      <c r="AD78" s="17">
        <f t="shared" si="757"/>
        <v>31.911199999999997</v>
      </c>
      <c r="AE78" s="26">
        <f>IF(M78&gt;0,(AG78+AP78)/M78,0)</f>
        <v>2.3151859490084989E-3</v>
      </c>
      <c r="AF78" s="45">
        <v>2.3000000000000001E-4</v>
      </c>
      <c r="AG78" s="36">
        <f t="shared" si="758"/>
        <v>3.2476000000000003</v>
      </c>
      <c r="AH78" s="27">
        <v>0.20660000000000001</v>
      </c>
      <c r="AI78" s="40">
        <f t="shared" si="759"/>
        <v>28.451299200000005</v>
      </c>
      <c r="AJ78" s="27">
        <f t="shared" si="760"/>
        <v>0.89923116869305542</v>
      </c>
      <c r="AK78" s="28">
        <f t="shared" si="672"/>
        <v>0.9016258714732438</v>
      </c>
      <c r="AL78" s="42">
        <v>151</v>
      </c>
      <c r="AM78" s="38">
        <v>8.7999999999999995E-2</v>
      </c>
      <c r="AN78" s="27">
        <v>0.21379999999999999</v>
      </c>
      <c r="AO78" s="105">
        <v>0.22090000000000001</v>
      </c>
      <c r="AP78" s="40">
        <f>AL78*(1-AM78)*AN78</f>
        <v>29.442825600000003</v>
      </c>
      <c r="AQ78" s="106">
        <f t="shared" si="717"/>
        <v>30.420580800000007</v>
      </c>
      <c r="AR78" s="17">
        <v>1.5</v>
      </c>
      <c r="AS78" s="17"/>
      <c r="AT78" s="129">
        <f>AT77+AL78-AS78</f>
        <v>477.23999999999864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62">SUM(D76:D78)</f>
        <v>40000</v>
      </c>
      <c r="E79" s="49"/>
      <c r="F79" s="49">
        <f t="shared" ref="F79" si="763">SUM(F76:F78)</f>
        <v>42880</v>
      </c>
      <c r="G79" s="50"/>
      <c r="H79" s="50"/>
      <c r="I79" s="49">
        <f t="shared" ref="I79:K79" si="764">SUM(I76:I78)</f>
        <v>41777</v>
      </c>
      <c r="J79" s="50"/>
      <c r="K79" s="49">
        <f t="shared" si="764"/>
        <v>45470</v>
      </c>
      <c r="L79" s="20">
        <f t="shared" ref="L79" si="765">IF(K79&gt;0,(K76*L76+K77*L77+K78*L78)/K79,0)</f>
        <v>6.8000000000000005E-2</v>
      </c>
      <c r="M79" s="50">
        <f t="shared" ref="M79" si="766">M76+M77+M78</f>
        <v>42378</v>
      </c>
      <c r="N79" s="51">
        <f t="shared" ref="N79" si="767">IF(M79&gt;0,O79/M79,0)</f>
        <v>0.76366775213554206</v>
      </c>
      <c r="O79" s="52">
        <f t="shared" ref="O79" si="768">O76+O77+O78</f>
        <v>32362.712</v>
      </c>
      <c r="P79" s="20">
        <f t="shared" ref="P79" si="769">IF(M79&gt;0,Q79/M79,0)</f>
        <v>0.2006654396148945</v>
      </c>
      <c r="Q79" s="52">
        <f t="shared" ref="Q79" si="770">Q76+Q77+Q78</f>
        <v>8503.7999999999993</v>
      </c>
      <c r="R79" s="20">
        <f t="shared" ref="R79" si="771">IF(M79&gt;0,T79/M79,0)</f>
        <v>3.5666808249563454E-2</v>
      </c>
      <c r="S79" s="107"/>
      <c r="T79" s="52">
        <f t="shared" ref="T79" si="772">T76+T77+T78</f>
        <v>1511.4880000000001</v>
      </c>
      <c r="U79" s="20">
        <f t="shared" ref="U79" si="773">IF(M79&gt;0,V79/M79,0)</f>
        <v>0.20533234225305586</v>
      </c>
      <c r="V79" s="52">
        <f t="shared" ref="V79" si="774">V76+V77+V78</f>
        <v>8701.5740000000005</v>
      </c>
      <c r="W79" s="20">
        <f t="shared" ref="W79" si="775">IF(M79&gt;0,X79/M79,0)</f>
        <v>0.50499702675916758</v>
      </c>
      <c r="X79" s="52">
        <f t="shared" ref="X79" si="776">X76+X77+X78</f>
        <v>21400.764000000003</v>
      </c>
      <c r="Y79" s="20">
        <f t="shared" ref="Y79" si="777">IF(M79&gt;0,Z79/M79,0)</f>
        <v>0.37999669639907502</v>
      </c>
      <c r="Z79" s="52">
        <f t="shared" ref="Z79" si="778">Z76+Z77+Z78</f>
        <v>16103.5</v>
      </c>
      <c r="AA79" s="119">
        <f t="shared" ref="AA79" si="779">IF(M79&gt;0,AB79/M79,0)</f>
        <v>2.3533574024257866E-3</v>
      </c>
      <c r="AB79" s="54">
        <f t="shared" ref="AB79" si="780">SUM(AB76:AB78)</f>
        <v>99.730579999999989</v>
      </c>
      <c r="AC79" s="53">
        <f t="shared" ref="AC79" si="781">IF(M79&gt;0,AD79/M79,0)</f>
        <v>2.3433498513379587E-3</v>
      </c>
      <c r="AD79" s="54">
        <f t="shared" ref="AD79" si="782">SUM(AD76:AD78)</f>
        <v>99.306480000000008</v>
      </c>
      <c r="AE79" s="53">
        <f t="shared" ref="AE79" si="783">IF(M79&gt;0,(AE76*M76+AE77*M77+AE78*M78)/M79,0)</f>
        <v>2.4759772145924773E-3</v>
      </c>
      <c r="AF79" s="53">
        <f t="shared" ref="AF79" si="784">IF(K79&gt;0,(K76*AF76+K77*AF77+K78*AF78)/K79,0)</f>
        <v>2.3333516604354519E-4</v>
      </c>
      <c r="AG79" s="50">
        <f t="shared" ref="AG79" si="785">SUM(AG76:AG78)</f>
        <v>9.88828</v>
      </c>
      <c r="AH79" s="51">
        <f t="shared" ref="AH79" si="786">IF(K79&gt;0,(K76*AH76+K77*AH77+K78*AH78)/K79,0)</f>
        <v>0.20546665933582581</v>
      </c>
      <c r="AI79" s="56">
        <f t="shared" ref="AI79" si="787">SUM(AI76:AI78)</f>
        <v>91.569670600000009</v>
      </c>
      <c r="AJ79" s="51">
        <f t="shared" ref="AJ79" si="788">IF(AND(AD79&gt;0),((AD76*AJ76+AD77*AJ77+AD78*AJ78)/AD79),0)</f>
        <v>0.90145068545262563</v>
      </c>
      <c r="AK79" s="55">
        <f t="shared" si="672"/>
        <v>0.9067527644599005</v>
      </c>
      <c r="AL79" s="49">
        <f t="shared" ref="AL79" si="789">SUM(AL76:AL78)</f>
        <v>489</v>
      </c>
      <c r="AM79" s="20">
        <f t="shared" ref="AM79" si="790">IF(AL79&gt;0,(AM76*AL76+AM77*AL77+AM78*AL78)/AL79,0)</f>
        <v>8.8353783231083838E-2</v>
      </c>
      <c r="AN79" s="51">
        <f>IF(K79&gt;0,(AN76*K76+AN77*K77+AN78*K78)/K79,0)</f>
        <v>0.21319971409720692</v>
      </c>
      <c r="AO79" s="107">
        <f>IF(L79&gt;0,(AO76*K76+AO77*K77+AO78*K78)/K79,0)</f>
        <v>0.21879996701121621</v>
      </c>
      <c r="AP79" s="56">
        <f t="shared" ref="AP79" si="791">SUM(AP76:AP78)</f>
        <v>95.038682400000013</v>
      </c>
      <c r="AQ79" s="108">
        <f t="shared" si="747"/>
        <v>97.491764200000006</v>
      </c>
      <c r="AR79" s="54"/>
      <c r="AS79" s="54">
        <f t="shared" ref="AS79" si="792">SUM(AS76:AS78)</f>
        <v>533.79999999999995</v>
      </c>
      <c r="AT79" s="83"/>
      <c r="AU79" s="84">
        <f>AT78</f>
        <v>477.23999999999864</v>
      </c>
      <c r="AV79" s="49">
        <f t="shared" ref="AV79" si="793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0" t="s">
        <v>54</v>
      </c>
      <c r="D80" s="11">
        <v>4843</v>
      </c>
      <c r="E80" s="11">
        <v>0</v>
      </c>
      <c r="F80" s="11">
        <v>11001</v>
      </c>
      <c r="G80" s="12">
        <v>1</v>
      </c>
      <c r="H80" s="12">
        <v>6</v>
      </c>
      <c r="I80" s="11">
        <v>11532</v>
      </c>
      <c r="J80" s="131">
        <v>5.5</v>
      </c>
      <c r="K80" s="11">
        <v>15063</v>
      </c>
      <c r="L80" s="13">
        <v>6.9000000000000006E-2</v>
      </c>
      <c r="M80" s="23">
        <f>ROUND(K80*(1-L80),0)</f>
        <v>14024</v>
      </c>
      <c r="N80" s="14">
        <v>0.65600000000000003</v>
      </c>
      <c r="O80" s="24">
        <f t="shared" ref="O80:O82" si="794">M80*N80</f>
        <v>9199.7440000000006</v>
      </c>
      <c r="P80" s="13">
        <v>0.29099999999999998</v>
      </c>
      <c r="Q80" s="24">
        <f t="shared" ref="Q80:Q82" si="795">M80*P80</f>
        <v>4080.9839999999999</v>
      </c>
      <c r="R80" s="15">
        <v>5.2999999999999999E-2</v>
      </c>
      <c r="S80" s="112">
        <v>0.21290000000000001</v>
      </c>
      <c r="T80" s="24">
        <f t="shared" ref="T80:T82" si="796">M80*R80</f>
        <v>743.27199999999993</v>
      </c>
      <c r="U80" s="25">
        <v>0.20699999999999999</v>
      </c>
      <c r="V80" s="24">
        <f t="shared" ref="V80:V82" si="797">M80*U80</f>
        <v>2902.9679999999998</v>
      </c>
      <c r="W80" s="15">
        <v>0.503</v>
      </c>
      <c r="X80" s="24">
        <f t="shared" ref="X80:X82" si="798">M80*W80</f>
        <v>7054.0720000000001</v>
      </c>
      <c r="Y80" s="15">
        <v>0.38</v>
      </c>
      <c r="Z80" s="24">
        <f t="shared" ref="Z80:Z82" si="799">Y80*M80</f>
        <v>5329.12</v>
      </c>
      <c r="AA80" s="116">
        <v>2.32E-3</v>
      </c>
      <c r="AB80" s="18">
        <f t="shared" ref="AB80" si="800">M80*AA80</f>
        <v>32.535679999999999</v>
      </c>
      <c r="AC80" s="16">
        <v>2.3600000000000001E-3</v>
      </c>
      <c r="AD80" s="17">
        <f t="shared" ref="AD80:AD82" si="801">M80*AC80</f>
        <v>33.096640000000001</v>
      </c>
      <c r="AE80" s="26">
        <f>IF(M80&gt;0,(AG80+AP80)/M80,0)</f>
        <v>2.4073333571021107E-3</v>
      </c>
      <c r="AF80" s="16">
        <v>2.4000000000000001E-4</v>
      </c>
      <c r="AG80" s="23">
        <f t="shared" ref="AG80:AG82" si="802">AF80*M80</f>
        <v>3.3657600000000003</v>
      </c>
      <c r="AH80" s="92">
        <v>0.19739999999999999</v>
      </c>
      <c r="AI80" s="29">
        <f t="shared" ref="AI80:AI82" si="803">AL80*(1-AM80)*AH80</f>
        <v>29.1966444</v>
      </c>
      <c r="AJ80" s="27">
        <f t="shared" ref="AJ80:AJ82" si="804">IF(AND(AH80&gt;0,AF80&gt;0,AC80&gt;0),((AC80-AF80)*AH80)/((AH80-AF80)*AC80),0)</f>
        <v>0.89939857845817373</v>
      </c>
      <c r="AK80" s="58">
        <f t="shared" si="672"/>
        <v>0.90135730580720219</v>
      </c>
      <c r="AL80" s="11">
        <v>162</v>
      </c>
      <c r="AM80" s="13">
        <v>8.6999999999999994E-2</v>
      </c>
      <c r="AN80" s="14">
        <v>0.20549999999999999</v>
      </c>
      <c r="AO80" s="101">
        <v>0.21329999999999999</v>
      </c>
      <c r="AP80" s="29">
        <f>AL80*(1-AM80)*AN80</f>
        <v>30.394683000000001</v>
      </c>
      <c r="AQ80" s="102">
        <f t="shared" ref="AQ80" si="805">AL80*(1-AM80)*AO80</f>
        <v>31.5483498</v>
      </c>
      <c r="AR80" s="18">
        <v>1.52</v>
      </c>
      <c r="AS80" s="18">
        <v>537.86</v>
      </c>
      <c r="AT80" s="79">
        <f>AT78+AL80-AS80+AU80</f>
        <v>104.17999999999863</v>
      </c>
      <c r="AU80" s="80">
        <v>2.8</v>
      </c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0" t="s">
        <v>59</v>
      </c>
      <c r="D81" s="33">
        <v>20700</v>
      </c>
      <c r="E81" s="33">
        <v>3</v>
      </c>
      <c r="F81" s="33">
        <v>18684</v>
      </c>
      <c r="G81" s="34">
        <v>1.5</v>
      </c>
      <c r="H81" s="34">
        <v>7.8</v>
      </c>
      <c r="I81" s="33">
        <v>18167</v>
      </c>
      <c r="J81" s="34">
        <v>3.7</v>
      </c>
      <c r="K81" s="33">
        <v>15061</v>
      </c>
      <c r="L81" s="35">
        <v>6.3E-2</v>
      </c>
      <c r="M81" s="36">
        <f>ROUND(K81*(1-L81),0)</f>
        <v>14112</v>
      </c>
      <c r="N81" s="37">
        <v>0.57899999999999996</v>
      </c>
      <c r="O81" s="24">
        <f t="shared" si="794"/>
        <v>8170.847999999999</v>
      </c>
      <c r="P81" s="35">
        <v>0.38200000000000001</v>
      </c>
      <c r="Q81" s="24">
        <f t="shared" si="795"/>
        <v>5390.7839999999997</v>
      </c>
      <c r="R81" s="38">
        <v>3.9E-2</v>
      </c>
      <c r="S81" s="105">
        <v>0.1855</v>
      </c>
      <c r="T81" s="24">
        <f t="shared" si="796"/>
        <v>550.36800000000005</v>
      </c>
      <c r="U81" s="27">
        <v>0.19700000000000001</v>
      </c>
      <c r="V81" s="24">
        <f t="shared" si="797"/>
        <v>2780.0640000000003</v>
      </c>
      <c r="W81" s="38">
        <v>0.51100000000000001</v>
      </c>
      <c r="X81" s="24">
        <f t="shared" si="798"/>
        <v>7211.232</v>
      </c>
      <c r="Y81" s="38">
        <v>0.39</v>
      </c>
      <c r="Z81" s="24">
        <f t="shared" si="799"/>
        <v>5503.68</v>
      </c>
      <c r="AA81" s="117">
        <v>2.5799999999999998E-3</v>
      </c>
      <c r="AB81" s="18">
        <f t="shared" si="756"/>
        <v>36.40896</v>
      </c>
      <c r="AC81" s="39">
        <v>2.65E-3</v>
      </c>
      <c r="AD81" s="17">
        <f t="shared" si="801"/>
        <v>37.396799999999999</v>
      </c>
      <c r="AE81" s="26">
        <f>IF(M81&gt;0,(AG81+AP81)/M81,0)</f>
        <v>2.3626103316326534E-3</v>
      </c>
      <c r="AF81" s="39">
        <v>2.4000000000000001E-4</v>
      </c>
      <c r="AG81" s="36">
        <f t="shared" si="802"/>
        <v>3.3868800000000001</v>
      </c>
      <c r="AH81" s="27">
        <v>0.20280000000000001</v>
      </c>
      <c r="AI81" s="40">
        <f t="shared" si="803"/>
        <v>28.573506000000002</v>
      </c>
      <c r="AJ81" s="27">
        <f t="shared" si="804"/>
        <v>0.91051149065545922</v>
      </c>
      <c r="AK81" s="28">
        <f t="shared" si="672"/>
        <v>0.89943279460909364</v>
      </c>
      <c r="AL81" s="33">
        <v>155</v>
      </c>
      <c r="AM81" s="35">
        <v>9.0999999999999998E-2</v>
      </c>
      <c r="AN81" s="37">
        <v>0.21260000000000001</v>
      </c>
      <c r="AO81" s="103">
        <v>0.22109999999999999</v>
      </c>
      <c r="AP81" s="40">
        <f>AL81*(1-AM81)*AN81</f>
        <v>29.954277000000005</v>
      </c>
      <c r="AQ81" s="104">
        <f t="shared" si="717"/>
        <v>31.151884500000001</v>
      </c>
      <c r="AR81" s="41">
        <v>1.52</v>
      </c>
      <c r="AS81" s="41"/>
      <c r="AT81" s="129">
        <f>AT80+AL81-AS81</f>
        <v>259.17999999999864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53</v>
      </c>
      <c r="D82" s="42">
        <v>17400</v>
      </c>
      <c r="E82" s="42">
        <v>3</v>
      </c>
      <c r="F82" s="42">
        <v>18566</v>
      </c>
      <c r="G82" s="36">
        <v>0.1</v>
      </c>
      <c r="H82" s="36">
        <v>4.7</v>
      </c>
      <c r="I82" s="42">
        <v>18329</v>
      </c>
      <c r="J82" s="36">
        <v>3.4</v>
      </c>
      <c r="K82" s="42">
        <v>15489</v>
      </c>
      <c r="L82" s="38">
        <v>6.3E-2</v>
      </c>
      <c r="M82" s="36">
        <f>ROUND(K82*(1-L82),0)</f>
        <v>14513</v>
      </c>
      <c r="N82" s="27">
        <v>0.69499999999999995</v>
      </c>
      <c r="O82" s="24">
        <f t="shared" si="794"/>
        <v>10086.535</v>
      </c>
      <c r="P82" s="38">
        <v>0.27300000000000002</v>
      </c>
      <c r="Q82" s="24">
        <f t="shared" si="795"/>
        <v>3962.0490000000004</v>
      </c>
      <c r="R82" s="38">
        <v>3.2000000000000001E-2</v>
      </c>
      <c r="S82" s="105">
        <v>0.1968</v>
      </c>
      <c r="T82" s="24">
        <f t="shared" si="796"/>
        <v>464.416</v>
      </c>
      <c r="U82" s="27">
        <v>0.19800000000000001</v>
      </c>
      <c r="V82" s="24">
        <f t="shared" si="797"/>
        <v>2873.5740000000001</v>
      </c>
      <c r="W82" s="38">
        <v>0.51500000000000001</v>
      </c>
      <c r="X82" s="24">
        <f t="shared" si="798"/>
        <v>7474.1950000000006</v>
      </c>
      <c r="Y82" s="38">
        <v>0.39</v>
      </c>
      <c r="Z82" s="24">
        <f t="shared" si="799"/>
        <v>5660.0700000000006</v>
      </c>
      <c r="AA82" s="118">
        <v>2.6900000000000001E-3</v>
      </c>
      <c r="AB82" s="121">
        <f t="shared" si="756"/>
        <v>39.039970000000004</v>
      </c>
      <c r="AC82" s="45">
        <v>2.6700000000000001E-3</v>
      </c>
      <c r="AD82" s="17">
        <f t="shared" si="801"/>
        <v>38.74971</v>
      </c>
      <c r="AE82" s="26">
        <f>IF(M82&gt;0,(AG82+AP82)/M82,0)</f>
        <v>2.6494580031695717E-3</v>
      </c>
      <c r="AF82" s="45">
        <v>2.5000000000000001E-4</v>
      </c>
      <c r="AG82" s="36">
        <f t="shared" si="802"/>
        <v>3.62825</v>
      </c>
      <c r="AH82" s="27">
        <v>0.21110000000000001</v>
      </c>
      <c r="AI82" s="40">
        <f t="shared" si="803"/>
        <v>34.001877</v>
      </c>
      <c r="AJ82" s="27">
        <f t="shared" si="804"/>
        <v>0.90744169977236777</v>
      </c>
      <c r="AK82" s="28">
        <f t="shared" si="672"/>
        <v>0.90668951678801257</v>
      </c>
      <c r="AL82" s="42">
        <v>177</v>
      </c>
      <c r="AM82" s="38">
        <v>0.09</v>
      </c>
      <c r="AN82" s="27">
        <v>0.2162</v>
      </c>
      <c r="AO82" s="105">
        <v>0.21659999999999999</v>
      </c>
      <c r="AP82" s="40">
        <f>AL82*(1-AM82)*AN82</f>
        <v>34.823333999999996</v>
      </c>
      <c r="AQ82" s="106">
        <f t="shared" si="717"/>
        <v>34.887761999999995</v>
      </c>
      <c r="AR82" s="17">
        <v>1.6</v>
      </c>
      <c r="AS82" s="17"/>
      <c r="AT82" s="129">
        <f>AT81+AL82-AS82</f>
        <v>436.17999999999864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06">SUM(D80:D82)</f>
        <v>42943</v>
      </c>
      <c r="E83" s="49"/>
      <c r="F83" s="49">
        <f t="shared" ref="F83" si="807">SUM(F80:F82)</f>
        <v>48251</v>
      </c>
      <c r="G83" s="50"/>
      <c r="H83" s="50"/>
      <c r="I83" s="49">
        <f t="shared" ref="I83:K83" si="808">SUM(I80:I82)</f>
        <v>48028</v>
      </c>
      <c r="J83" s="50"/>
      <c r="K83" s="49">
        <f t="shared" si="808"/>
        <v>45613</v>
      </c>
      <c r="L83" s="20">
        <f t="shared" ref="L83" si="809">IF(K83&gt;0,(K80*L80+K81*L81+K82*L82)/K83,0)</f>
        <v>6.4981408808892208E-2</v>
      </c>
      <c r="M83" s="50">
        <f t="shared" ref="M83" si="810">M80+M81+M82</f>
        <v>42649</v>
      </c>
      <c r="N83" s="51">
        <f t="shared" ref="N83" si="811">IF(M83&gt;0,O83/M83,0)</f>
        <v>0.64379298459518397</v>
      </c>
      <c r="O83" s="52">
        <f t="shared" ref="O83" si="812">O80+O81+O82</f>
        <v>27457.127</v>
      </c>
      <c r="P83" s="20">
        <f t="shared" ref="P83" si="813">IF(M83&gt;0,Q83/M83,0)</f>
        <v>0.31498550962507915</v>
      </c>
      <c r="Q83" s="52">
        <f t="shared" ref="Q83" si="814">Q80+Q81+Q82</f>
        <v>13433.817000000001</v>
      </c>
      <c r="R83" s="20">
        <f t="shared" ref="R83" si="815">IF(M83&gt;0,T83/M83,0)</f>
        <v>4.1221505779736919E-2</v>
      </c>
      <c r="S83" s="107"/>
      <c r="T83" s="52">
        <f t="shared" ref="T83" si="816">T80+T81+T82</f>
        <v>1758.0559999999998</v>
      </c>
      <c r="U83" s="20">
        <f t="shared" ref="U83" si="817">IF(M83&gt;0,V83/M83,0)</f>
        <v>0.20062852587399468</v>
      </c>
      <c r="V83" s="52">
        <f t="shared" ref="V83" si="818">V80+V81+V82</f>
        <v>8556.6059999999998</v>
      </c>
      <c r="W83" s="20">
        <f t="shared" ref="W83" si="819">IF(M83&gt;0,X83/M83,0)</f>
        <v>0.50973056812586459</v>
      </c>
      <c r="X83" s="52">
        <f t="shared" ref="X83" si="820">X80+X81+X82</f>
        <v>21739.499</v>
      </c>
      <c r="Y83" s="20">
        <f t="shared" ref="Y83" si="821">IF(M83&gt;0,Z83/M83,0)</f>
        <v>0.38671176346455954</v>
      </c>
      <c r="Z83" s="52">
        <f t="shared" ref="Z83" si="822">Z80+Z81+Z82</f>
        <v>16492.87</v>
      </c>
      <c r="AA83" s="119">
        <f t="shared" ref="AA83" si="823">IF(M83&gt;0,AB83/M83,0)</f>
        <v>2.5319376773195153E-3</v>
      </c>
      <c r="AB83" s="54">
        <f t="shared" ref="AB83" si="824">SUM(AB80:AB82)</f>
        <v>107.98461</v>
      </c>
      <c r="AC83" s="53">
        <f t="shared" ref="AC83" si="825">IF(M83&gt;0,AD83/M83,0)</f>
        <v>2.5614469272433114E-3</v>
      </c>
      <c r="AD83" s="54">
        <f t="shared" ref="AD83" si="826">SUM(AD80:AD82)</f>
        <v>109.24314999999999</v>
      </c>
      <c r="AE83" s="53">
        <f t="shared" ref="AE83" si="827">IF(M83&gt;0,(AE80*M80+AE81*M81+AE82*M82)/M83,0)</f>
        <v>2.4749275246781872E-3</v>
      </c>
      <c r="AF83" s="53">
        <f t="shared" ref="AF83" si="828">IF(K83&gt;0,(K80*AF80+K81*AF81+K82*AF82)/K83,0)</f>
        <v>2.4339574244184773E-4</v>
      </c>
      <c r="AG83" s="50">
        <f t="shared" ref="AG83" si="829">SUM(AG80:AG82)</f>
        <v>10.380890000000001</v>
      </c>
      <c r="AH83" s="51">
        <f t="shared" ref="AH83" si="830">IF(K83&gt;0,(K80*AH80+K81*AH81+K82*AH82)/K83,0)</f>
        <v>0.20383519829873065</v>
      </c>
      <c r="AI83" s="56">
        <f t="shared" ref="AI83" si="831">SUM(AI80:AI82)</f>
        <v>91.772027400000013</v>
      </c>
      <c r="AJ83" s="51">
        <f t="shared" ref="AJ83" si="832">IF(AND(AD83&gt;0),((AD80*AJ80+AD81*AJ81+AD82*AJ82)/AD83),0)</f>
        <v>0.90605580111496564</v>
      </c>
      <c r="AK83" s="55">
        <f t="shared" si="672"/>
        <v>0.90269434234438117</v>
      </c>
      <c r="AL83" s="49">
        <f t="shared" ref="AL83" si="833">SUM(AL80:AL82)</f>
        <v>494</v>
      </c>
      <c r="AM83" s="20">
        <f t="shared" ref="AM83" si="834">IF(AL83&gt;0,(AM80*AL80+AM81*AL81+AM82*AL82)/AL83,0)</f>
        <v>8.932995951417004E-2</v>
      </c>
      <c r="AN83" s="51">
        <f>IF(K83&gt;0,(AN80*K80+AN81*K81+AN82*K82)/K83,0)</f>
        <v>0.21147780018854276</v>
      </c>
      <c r="AO83" s="107">
        <f>IF(L83&gt;0,(AO80*K80+AO81*K81+AO82*K82)/K83,0)</f>
        <v>0.21699608444960866</v>
      </c>
      <c r="AP83" s="56">
        <f t="shared" ref="AP83" si="835">SUM(AP80:AP82)</f>
        <v>95.172293999999994</v>
      </c>
      <c r="AQ83" s="108">
        <f t="shared" si="747"/>
        <v>97.5879963</v>
      </c>
      <c r="AR83" s="54"/>
      <c r="AS83" s="54">
        <f t="shared" ref="AS83" si="836">SUM(AS80:AS82)</f>
        <v>537.86</v>
      </c>
      <c r="AT83" s="83"/>
      <c r="AU83" s="84">
        <f>AT82</f>
        <v>436.17999999999864</v>
      </c>
      <c r="AV83" s="49">
        <f t="shared" ref="AV83" si="837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54</v>
      </c>
      <c r="D84" s="11">
        <v>15304</v>
      </c>
      <c r="E84" s="11">
        <v>1</v>
      </c>
      <c r="F84" s="11">
        <v>16839</v>
      </c>
      <c r="G84" s="12">
        <v>0.2</v>
      </c>
      <c r="H84" s="12">
        <v>4.5999999999999996</v>
      </c>
      <c r="I84" s="11">
        <v>15582</v>
      </c>
      <c r="J84" s="12">
        <v>3.2</v>
      </c>
      <c r="K84" s="11">
        <v>15742</v>
      </c>
      <c r="L84" s="13">
        <v>6.6000000000000003E-2</v>
      </c>
      <c r="M84" s="23">
        <f>ROUND(K84*(1-L84),0)</f>
        <v>14703</v>
      </c>
      <c r="N84" s="14">
        <v>0.73799999999999999</v>
      </c>
      <c r="O84" s="24">
        <f t="shared" ref="O84:O86" si="838">M84*N84</f>
        <v>10850.814</v>
      </c>
      <c r="P84" s="13">
        <v>0.22500000000000001</v>
      </c>
      <c r="Q84" s="24">
        <f t="shared" ref="Q84:Q86" si="839">M84*P84</f>
        <v>3308.1750000000002</v>
      </c>
      <c r="R84" s="15">
        <v>3.6999999999999998E-2</v>
      </c>
      <c r="S84" s="112">
        <v>0.21740000000000001</v>
      </c>
      <c r="T84" s="24">
        <f t="shared" ref="T84:T86" si="840">M84*R84</f>
        <v>544.01099999999997</v>
      </c>
      <c r="U84" s="25">
        <v>0.218</v>
      </c>
      <c r="V84" s="24">
        <f t="shared" ref="V84:V86" si="841">M84*U84</f>
        <v>3205.2539999999999</v>
      </c>
      <c r="W84" s="15">
        <v>0.49</v>
      </c>
      <c r="X84" s="24">
        <f t="shared" ref="X84:X86" si="842">M84*W84</f>
        <v>7204.47</v>
      </c>
      <c r="Y84" s="15">
        <v>0.39</v>
      </c>
      <c r="Z84" s="24">
        <f t="shared" ref="Z84:Z86" si="843">Y84*M84</f>
        <v>5734.17</v>
      </c>
      <c r="AA84" s="116">
        <v>2.3400000000000001E-3</v>
      </c>
      <c r="AB84" s="18">
        <f t="shared" ref="AB84" si="844">M84*AA84</f>
        <v>34.40502</v>
      </c>
      <c r="AC84" s="16">
        <v>2.3E-3</v>
      </c>
      <c r="AD84" s="17">
        <f t="shared" ref="AD84:AD86" si="845">M84*AC84</f>
        <v>33.816899999999997</v>
      </c>
      <c r="AE84" s="26">
        <f>IF(M84&gt;0,(AG84+AP84)/M84,0)</f>
        <v>2.3365913078963476E-3</v>
      </c>
      <c r="AF84" s="16">
        <v>2.5000000000000001E-4</v>
      </c>
      <c r="AG84" s="23">
        <f t="shared" ref="AG84:AG86" si="846">AF84*M84</f>
        <v>3.6757500000000003</v>
      </c>
      <c r="AH84" s="92">
        <v>0.19889999999999999</v>
      </c>
      <c r="AI84" s="29">
        <f t="shared" ref="AI84:AI86" si="847">AL84*(1-AM84)*AH84</f>
        <v>29.912173200000002</v>
      </c>
      <c r="AJ84" s="27">
        <f t="shared" ref="AJ84:AJ86" si="848">IF(AND(AH84&gt;0,AF84&gt;0,AC84&gt;0),((AC84-AF84)*AH84)/((AH84-AF84)*AC84),0)</f>
        <v>0.89242604974884809</v>
      </c>
      <c r="AK84" s="58">
        <f t="shared" si="672"/>
        <v>0.89410224867730215</v>
      </c>
      <c r="AL84" s="11">
        <v>164</v>
      </c>
      <c r="AM84" s="13">
        <v>8.3000000000000004E-2</v>
      </c>
      <c r="AN84" s="14">
        <v>0.20399999999999999</v>
      </c>
      <c r="AO84" s="101">
        <v>0.21149999999999999</v>
      </c>
      <c r="AP84" s="29">
        <f>AL84*(1-AM84)*AN84</f>
        <v>30.679151999999998</v>
      </c>
      <c r="AQ84" s="102">
        <f t="shared" ref="AQ84" si="849">AL84*(1-AM84)*AO84</f>
        <v>31.807061999999998</v>
      </c>
      <c r="AR84" s="18">
        <v>1.55</v>
      </c>
      <c r="AS84" s="18"/>
      <c r="AT84" s="79">
        <f>AT82+AL84-AS84</f>
        <v>600.1799999999987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59</v>
      </c>
      <c r="D85" s="33">
        <v>20000</v>
      </c>
      <c r="E85" s="33">
        <v>2</v>
      </c>
      <c r="F85" s="33">
        <v>16528</v>
      </c>
      <c r="G85" s="34">
        <v>0.4</v>
      </c>
      <c r="H85" s="34">
        <v>5</v>
      </c>
      <c r="I85" s="33">
        <v>16520</v>
      </c>
      <c r="J85" s="34">
        <v>3</v>
      </c>
      <c r="K85" s="33">
        <v>15684</v>
      </c>
      <c r="L85" s="35">
        <v>6.6000000000000003E-2</v>
      </c>
      <c r="M85" s="36">
        <f>ROUND(K85*(1-L85),0)</f>
        <v>14649</v>
      </c>
      <c r="N85" s="37">
        <v>0.61199999999999999</v>
      </c>
      <c r="O85" s="24">
        <f t="shared" si="838"/>
        <v>8965.1880000000001</v>
      </c>
      <c r="P85" s="35">
        <v>0.32100000000000001</v>
      </c>
      <c r="Q85" s="24">
        <f t="shared" si="839"/>
        <v>4702.3289999999997</v>
      </c>
      <c r="R85" s="38">
        <v>6.7000000000000004E-2</v>
      </c>
      <c r="S85" s="105">
        <v>0.20030000000000001</v>
      </c>
      <c r="T85" s="24">
        <f t="shared" si="840"/>
        <v>981.48300000000006</v>
      </c>
      <c r="U85" s="27">
        <v>0.219</v>
      </c>
      <c r="V85" s="24">
        <f t="shared" si="841"/>
        <v>3208.1309999999999</v>
      </c>
      <c r="W85" s="38">
        <v>0.496</v>
      </c>
      <c r="X85" s="24">
        <f t="shared" si="842"/>
        <v>7265.9039999999995</v>
      </c>
      <c r="Y85" s="38">
        <v>0.4</v>
      </c>
      <c r="Z85" s="24">
        <f t="shared" si="843"/>
        <v>5859.6</v>
      </c>
      <c r="AA85" s="117">
        <v>2.2100000000000002E-3</v>
      </c>
      <c r="AB85" s="18">
        <f t="shared" si="756"/>
        <v>32.374290000000002</v>
      </c>
      <c r="AC85" s="39">
        <v>2.1800000000000001E-3</v>
      </c>
      <c r="AD85" s="17">
        <f t="shared" si="845"/>
        <v>31.934820000000002</v>
      </c>
      <c r="AE85" s="26">
        <f>IF(M85&gt;0,(AG85+AP85)/M85,0)</f>
        <v>2.1551408560311286E-3</v>
      </c>
      <c r="AF85" s="39">
        <v>2.5999999999999998E-4</v>
      </c>
      <c r="AG85" s="36">
        <f t="shared" si="846"/>
        <v>3.8087399999999998</v>
      </c>
      <c r="AH85" s="27">
        <v>0.1963</v>
      </c>
      <c r="AI85" s="40">
        <f t="shared" si="847"/>
        <v>26.674814400000002</v>
      </c>
      <c r="AJ85" s="27">
        <f t="shared" si="848"/>
        <v>0.88190202710923993</v>
      </c>
      <c r="AK85" s="28">
        <f t="shared" si="672"/>
        <v>0.88047876444430906</v>
      </c>
      <c r="AL85" s="33">
        <v>149</v>
      </c>
      <c r="AM85" s="35">
        <v>8.7999999999999995E-2</v>
      </c>
      <c r="AN85" s="37">
        <v>0.20430000000000001</v>
      </c>
      <c r="AO85" s="103">
        <v>0.2127</v>
      </c>
      <c r="AP85" s="40">
        <f>AL85*(1-AM85)*AN85</f>
        <v>27.761918400000003</v>
      </c>
      <c r="AQ85" s="104">
        <f t="shared" si="717"/>
        <v>28.903377600000002</v>
      </c>
      <c r="AR85" s="41">
        <v>1.5</v>
      </c>
      <c r="AS85" s="41"/>
      <c r="AT85" s="129">
        <f>AT84+AL85-AS85</f>
        <v>749.1799999999987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57</v>
      </c>
      <c r="D86" s="42">
        <v>16700</v>
      </c>
      <c r="E86" s="42">
        <v>2</v>
      </c>
      <c r="F86" s="42">
        <v>17581</v>
      </c>
      <c r="G86" s="36">
        <v>0.4</v>
      </c>
      <c r="H86" s="36">
        <v>5.5</v>
      </c>
      <c r="I86" s="42">
        <v>16587</v>
      </c>
      <c r="J86" s="133">
        <v>2.1</v>
      </c>
      <c r="K86" s="42">
        <v>16089</v>
      </c>
      <c r="L86" s="38">
        <v>7.2999999999999995E-2</v>
      </c>
      <c r="M86" s="36">
        <f>ROUND(K86*(1-L86),0)</f>
        <v>14915</v>
      </c>
      <c r="N86" s="27">
        <v>0.61299999999999999</v>
      </c>
      <c r="O86" s="24">
        <f t="shared" si="838"/>
        <v>9142.8950000000004</v>
      </c>
      <c r="P86" s="38">
        <v>0.32800000000000001</v>
      </c>
      <c r="Q86" s="24">
        <f t="shared" si="839"/>
        <v>4892.12</v>
      </c>
      <c r="R86" s="38">
        <v>5.8999999999999997E-2</v>
      </c>
      <c r="S86" s="105">
        <v>0.20380000000000001</v>
      </c>
      <c r="T86" s="24">
        <f t="shared" si="840"/>
        <v>879.9849999999999</v>
      </c>
      <c r="U86" s="27">
        <v>0.22800000000000001</v>
      </c>
      <c r="V86" s="24">
        <f t="shared" si="841"/>
        <v>3400.6200000000003</v>
      </c>
      <c r="W86" s="38">
        <v>0.49299999999999999</v>
      </c>
      <c r="X86" s="24">
        <f t="shared" si="842"/>
        <v>7353.0950000000003</v>
      </c>
      <c r="Y86" s="38">
        <v>0.41</v>
      </c>
      <c r="Z86" s="24">
        <f t="shared" si="843"/>
        <v>6115.15</v>
      </c>
      <c r="AA86" s="118">
        <v>2.3400000000000001E-3</v>
      </c>
      <c r="AB86" s="121">
        <f t="shared" si="756"/>
        <v>34.9011</v>
      </c>
      <c r="AC86" s="45">
        <v>2.2699999999999999E-3</v>
      </c>
      <c r="AD86" s="17">
        <f t="shared" si="845"/>
        <v>33.857050000000001</v>
      </c>
      <c r="AE86" s="26">
        <f>IF(M86&gt;0,(AG86+AP86)/M86,0)</f>
        <v>2.1326202346630906E-3</v>
      </c>
      <c r="AF86" s="45">
        <v>2.5999999999999998E-4</v>
      </c>
      <c r="AG86" s="36">
        <f t="shared" si="846"/>
        <v>3.8778999999999995</v>
      </c>
      <c r="AH86" s="27">
        <v>0.19969999999999999</v>
      </c>
      <c r="AI86" s="40">
        <f t="shared" si="847"/>
        <v>26.984262799999996</v>
      </c>
      <c r="AJ86" s="27">
        <f t="shared" si="848"/>
        <v>0.88661688852134002</v>
      </c>
      <c r="AK86" s="28">
        <f t="shared" si="672"/>
        <v>0.8791901473873589</v>
      </c>
      <c r="AL86" s="42">
        <v>148</v>
      </c>
      <c r="AM86" s="38">
        <v>8.6999999999999994E-2</v>
      </c>
      <c r="AN86" s="27">
        <v>0.20669999999999999</v>
      </c>
      <c r="AO86" s="105">
        <v>0.21829999999999999</v>
      </c>
      <c r="AP86" s="40">
        <f>AL86*(1-AM86)*AN86</f>
        <v>27.930130799999997</v>
      </c>
      <c r="AQ86" s="106">
        <f t="shared" si="717"/>
        <v>29.497569199999997</v>
      </c>
      <c r="AR86" s="17">
        <v>1.5</v>
      </c>
      <c r="AS86" s="17"/>
      <c r="AT86" s="129">
        <f>AT85+AL86-AS86</f>
        <v>897.1799999999987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50">SUM(D84:D86)</f>
        <v>52004</v>
      </c>
      <c r="E87" s="49"/>
      <c r="F87" s="49">
        <f t="shared" ref="F87" si="851">SUM(F84:F86)</f>
        <v>50948</v>
      </c>
      <c r="G87" s="50"/>
      <c r="H87" s="50"/>
      <c r="I87" s="49">
        <f t="shared" ref="I87:K87" si="852">SUM(I84:I86)</f>
        <v>48689</v>
      </c>
      <c r="J87" s="50"/>
      <c r="K87" s="49">
        <f t="shared" si="852"/>
        <v>47515</v>
      </c>
      <c r="L87" s="20">
        <f t="shared" ref="L87" si="853">IF(K87&gt;0,(K84*L84+K85*L85+K86*L86)/K87,0)</f>
        <v>6.8370262022519196E-2</v>
      </c>
      <c r="M87" s="50">
        <f t="shared" ref="M87" si="854">M84+M85+M86</f>
        <v>44267</v>
      </c>
      <c r="N87" s="51">
        <f t="shared" ref="N87" si="855">IF(M87&gt;0,O87/M87,0)</f>
        <v>0.65418702419409491</v>
      </c>
      <c r="O87" s="52">
        <f t="shared" ref="O87" si="856">O84+O85+O86</f>
        <v>28958.897000000001</v>
      </c>
      <c r="P87" s="20">
        <f t="shared" ref="P87" si="857">IF(M87&gt;0,Q87/M87,0)</f>
        <v>0.2914727449341496</v>
      </c>
      <c r="Q87" s="52">
        <f t="shared" ref="Q87" si="858">Q84+Q85+Q86</f>
        <v>12902.624</v>
      </c>
      <c r="R87" s="20">
        <f t="shared" ref="R87" si="859">IF(M87&gt;0,T87/M87,0)</f>
        <v>5.434023087175549E-2</v>
      </c>
      <c r="S87" s="107"/>
      <c r="T87" s="52">
        <f t="shared" ref="T87" si="860">T84+T85+T86</f>
        <v>2405.4790000000003</v>
      </c>
      <c r="U87" s="20">
        <f t="shared" ref="U87" si="861">IF(M87&gt;0,V87/M87,0)</f>
        <v>0.22170025075112387</v>
      </c>
      <c r="V87" s="52">
        <f t="shared" ref="V87" si="862">V84+V85+V86</f>
        <v>9814.005000000001</v>
      </c>
      <c r="W87" s="20">
        <f t="shared" ref="W87" si="863">IF(M87&gt;0,X87/M87,0)</f>
        <v>0.49299634038900314</v>
      </c>
      <c r="X87" s="52">
        <f t="shared" ref="X87" si="864">X84+X85+X86</f>
        <v>21823.469000000001</v>
      </c>
      <c r="Y87" s="20">
        <f t="shared" ref="Y87" si="865">IF(M87&gt;0,Z87/M87,0)</f>
        <v>0.4000478912056385</v>
      </c>
      <c r="Z87" s="52">
        <f t="shared" ref="Z87" si="866">Z84+Z85+Z86</f>
        <v>17708.919999999998</v>
      </c>
      <c r="AA87" s="119">
        <f t="shared" ref="AA87" si="867">IF(M87&gt;0,AB87/M87,0)</f>
        <v>2.2969799173198999E-3</v>
      </c>
      <c r="AB87" s="54">
        <f t="shared" ref="AB87" si="868">SUM(AB84:AB86)</f>
        <v>101.68041000000001</v>
      </c>
      <c r="AC87" s="53">
        <f t="shared" ref="AC87" si="869">IF(M87&gt;0,AD87/M87,0)</f>
        <v>2.2501811733345381E-3</v>
      </c>
      <c r="AD87" s="54">
        <f t="shared" ref="AD87" si="870">SUM(AD84:AD86)</f>
        <v>99.608770000000007</v>
      </c>
      <c r="AE87" s="53">
        <f t="shared" ref="AE87" si="871">IF(M87&gt;0,(AE84*M84+AE85*M85+AE86*M86)/M87,0)</f>
        <v>2.2078205254478503E-3</v>
      </c>
      <c r="AF87" s="53">
        <f t="shared" ref="AF87" si="872">IF(K87&gt;0,(K84*AF84+K85*AF85+K86*AF86)/K87,0)</f>
        <v>2.5668694096601073E-4</v>
      </c>
      <c r="AG87" s="50">
        <f t="shared" ref="AG87" si="873">SUM(AG84:AG86)</f>
        <v>11.36239</v>
      </c>
      <c r="AH87" s="51">
        <f t="shared" ref="AH87" si="874">IF(K87&gt;0,(K84*AH84+K85*AH85+K86*AH86)/K87,0)</f>
        <v>0.19831266547406085</v>
      </c>
      <c r="AI87" s="56">
        <f t="shared" ref="AI87" si="875">SUM(AI84:AI86)</f>
        <v>83.571250399999997</v>
      </c>
      <c r="AJ87" s="51">
        <f t="shared" ref="AJ87" si="876">IF(AND(AD87&gt;0),((AD84*AJ84+AD85*AJ85+AD86*AJ86)/AD87),0)</f>
        <v>0.88707748625579808</v>
      </c>
      <c r="AK87" s="55">
        <f t="shared" si="672"/>
        <v>0.88484527704626326</v>
      </c>
      <c r="AL87" s="49">
        <f t="shared" ref="AL87" si="877">SUM(AL84:AL86)</f>
        <v>461</v>
      </c>
      <c r="AM87" s="20">
        <f t="shared" ref="AM87" si="878">IF(AL87&gt;0,(AM84*AL84+AM85*AL85+AM86*AL86)/AL87,0)</f>
        <v>8.5900216919739703E-2</v>
      </c>
      <c r="AN87" s="51">
        <f>IF(K87&gt;0,(AN84*K84+AN85*K85+AN86*K86)/K87,0)</f>
        <v>0.20501326949384405</v>
      </c>
      <c r="AO87" s="107">
        <f>IF(L87&gt;0,(AO84*K84+AO85*K85+AO86*K86)/K87,0)</f>
        <v>0.21419864253393664</v>
      </c>
      <c r="AP87" s="56">
        <f t="shared" ref="AP87" si="879">SUM(AP84:AP86)</f>
        <v>86.371201200000002</v>
      </c>
      <c r="AQ87" s="108">
        <f t="shared" si="747"/>
        <v>90.208008800000002</v>
      </c>
      <c r="AR87" s="54"/>
      <c r="AS87" s="54">
        <f t="shared" ref="AS87" si="880">SUM(AS84:AS86)</f>
        <v>0</v>
      </c>
      <c r="AT87" s="83"/>
      <c r="AU87" s="84">
        <f>AT86</f>
        <v>897.1799999999987</v>
      </c>
      <c r="AV87" s="49">
        <f t="shared" ref="AV87" si="881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58</v>
      </c>
      <c r="D88" s="11">
        <v>10181</v>
      </c>
      <c r="E88" s="11">
        <v>0</v>
      </c>
      <c r="F88" s="11">
        <v>14011</v>
      </c>
      <c r="G88" s="12">
        <v>0.6</v>
      </c>
      <c r="H88" s="12">
        <v>4.8</v>
      </c>
      <c r="I88" s="11">
        <v>14083</v>
      </c>
      <c r="J88" s="131">
        <v>2.5</v>
      </c>
      <c r="K88" s="11">
        <v>16387</v>
      </c>
      <c r="L88" s="13">
        <v>6.9000000000000006E-2</v>
      </c>
      <c r="M88" s="23">
        <f>ROUND(K88*(1-L88),0)</f>
        <v>15256</v>
      </c>
      <c r="N88" s="14">
        <v>0.69699999999999995</v>
      </c>
      <c r="O88" s="24">
        <f t="shared" ref="O88:O90" si="882">M88*N88</f>
        <v>10633.431999999999</v>
      </c>
      <c r="P88" s="13">
        <v>0.20599999999999999</v>
      </c>
      <c r="Q88" s="24">
        <f t="shared" ref="Q88:Q90" si="883">M88*P88</f>
        <v>3142.7359999999999</v>
      </c>
      <c r="R88" s="15">
        <v>9.7000000000000003E-2</v>
      </c>
      <c r="S88" s="112">
        <v>0.23169999999999999</v>
      </c>
      <c r="T88" s="24">
        <f t="shared" ref="T88:T90" si="884">M88*R88</f>
        <v>1479.8320000000001</v>
      </c>
      <c r="U88" s="25">
        <v>0.249</v>
      </c>
      <c r="V88" s="24">
        <f t="shared" ref="V88:V90" si="885">M88*U88</f>
        <v>3798.7440000000001</v>
      </c>
      <c r="W88" s="15">
        <v>0.47799999999999998</v>
      </c>
      <c r="X88" s="24">
        <f t="shared" ref="X88:X90" si="886">M88*W88</f>
        <v>7292.3679999999995</v>
      </c>
      <c r="Y88" s="15">
        <v>0.4</v>
      </c>
      <c r="Z88" s="24">
        <f t="shared" ref="Z88:Z90" si="887">Y88*M88</f>
        <v>6102.4000000000005</v>
      </c>
      <c r="AA88" s="116">
        <v>2.33E-3</v>
      </c>
      <c r="AB88" s="18">
        <f t="shared" ref="AB88" si="888">M88*AA88</f>
        <v>35.546480000000003</v>
      </c>
      <c r="AC88" s="16">
        <v>2.2399999999999998E-3</v>
      </c>
      <c r="AD88" s="17">
        <f t="shared" ref="AD88:AD90" si="889">M88*AC88</f>
        <v>34.173439999999999</v>
      </c>
      <c r="AE88" s="26">
        <f>IF(M88&gt;0,(AG88+AP88)/M88,0)</f>
        <v>2.3867819218668066E-3</v>
      </c>
      <c r="AF88" s="16">
        <v>2.7E-4</v>
      </c>
      <c r="AG88" s="23">
        <f t="shared" ref="AG88:AG90" si="890">AF88*M88</f>
        <v>4.1191199999999997</v>
      </c>
      <c r="AH88" s="92">
        <v>0.2039</v>
      </c>
      <c r="AI88" s="29">
        <f t="shared" ref="AI88:AI90" si="891">AL88*(1-AM88)*AH88</f>
        <v>30.986682999999999</v>
      </c>
      <c r="AJ88" s="27">
        <f t="shared" ref="AJ88:AJ90" si="892">IF(AND(AH88&gt;0,AF88&gt;0,AC88&gt;0),((AC88-AF88)*AH88)/((AH88-AF88)*AC88),0)</f>
        <v>0.88063039756982209</v>
      </c>
      <c r="AK88" s="58">
        <f t="shared" si="672"/>
        <v>0.88800526027288973</v>
      </c>
      <c r="AL88" s="11">
        <v>167</v>
      </c>
      <c r="AM88" s="13">
        <v>0.09</v>
      </c>
      <c r="AN88" s="14">
        <v>0.21249999999999999</v>
      </c>
      <c r="AO88" s="101">
        <v>0.21970000000000001</v>
      </c>
      <c r="AP88" s="29">
        <f>AL88*(1-AM88)*AN88</f>
        <v>32.293624999999999</v>
      </c>
      <c r="AQ88" s="102">
        <f t="shared" ref="AQ88" si="893">AL88*(1-AM88)*AO88</f>
        <v>33.387808999999997</v>
      </c>
      <c r="AR88" s="18">
        <v>1.5</v>
      </c>
      <c r="AS88" s="18"/>
      <c r="AT88" s="79">
        <f>AT86+AL88-AS88</f>
        <v>1064.1799999999987</v>
      </c>
      <c r="AU88" s="80"/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59</v>
      </c>
      <c r="D89" s="33">
        <v>20000</v>
      </c>
      <c r="E89" s="33">
        <v>2</v>
      </c>
      <c r="F89" s="33">
        <v>17976</v>
      </c>
      <c r="G89" s="34">
        <v>0.5</v>
      </c>
      <c r="H89" s="34">
        <v>5.3</v>
      </c>
      <c r="I89" s="33">
        <v>17092</v>
      </c>
      <c r="J89" s="34">
        <v>2.1</v>
      </c>
      <c r="K89" s="33">
        <v>16653</v>
      </c>
      <c r="L89" s="35">
        <v>6.9000000000000006E-2</v>
      </c>
      <c r="M89" s="36">
        <f>ROUND(K89*(1-L89),0)</f>
        <v>15504</v>
      </c>
      <c r="N89" s="37">
        <v>0.48299999999999998</v>
      </c>
      <c r="O89" s="24">
        <f t="shared" si="882"/>
        <v>7488.4319999999998</v>
      </c>
      <c r="P89" s="35">
        <v>0.49099999999999999</v>
      </c>
      <c r="Q89" s="24">
        <f t="shared" si="883"/>
        <v>7612.4639999999999</v>
      </c>
      <c r="R89" s="38">
        <v>2.5999999999999999E-2</v>
      </c>
      <c r="S89" s="105">
        <v>0.2409</v>
      </c>
      <c r="T89" s="24">
        <f t="shared" si="884"/>
        <v>403.10399999999998</v>
      </c>
      <c r="U89" s="27">
        <v>0.251</v>
      </c>
      <c r="V89" s="24">
        <f t="shared" si="885"/>
        <v>3891.5039999999999</v>
      </c>
      <c r="W89" s="38">
        <v>0.46400000000000002</v>
      </c>
      <c r="X89" s="24">
        <f t="shared" si="886"/>
        <v>7193.8560000000007</v>
      </c>
      <c r="Y89" s="38">
        <v>0.4</v>
      </c>
      <c r="Z89" s="24">
        <f t="shared" si="887"/>
        <v>6201.6</v>
      </c>
      <c r="AA89" s="117">
        <v>2.2599999999999999E-3</v>
      </c>
      <c r="AB89" s="18">
        <f t="shared" si="756"/>
        <v>35.03904</v>
      </c>
      <c r="AC89" s="39">
        <v>2.3E-3</v>
      </c>
      <c r="AD89" s="17">
        <f t="shared" si="889"/>
        <v>35.659199999999998</v>
      </c>
      <c r="AE89" s="26">
        <f>IF(M89&gt;0,(AG89+AP89)/M89,0)</f>
        <v>2.2087859907120744E-3</v>
      </c>
      <c r="AF89" s="39">
        <v>2.7E-4</v>
      </c>
      <c r="AG89" s="36">
        <f t="shared" si="890"/>
        <v>4.1860800000000005</v>
      </c>
      <c r="AH89" s="27">
        <v>0.19639999999999999</v>
      </c>
      <c r="AI89" s="40">
        <f t="shared" si="891"/>
        <v>28.953288000000001</v>
      </c>
      <c r="AJ89" s="27">
        <f t="shared" si="892"/>
        <v>0.88382372827250788</v>
      </c>
      <c r="AK89" s="28">
        <f t="shared" si="672"/>
        <v>0.87892475853547569</v>
      </c>
      <c r="AL89" s="33">
        <v>162</v>
      </c>
      <c r="AM89" s="35">
        <v>0.09</v>
      </c>
      <c r="AN89" s="37">
        <v>0.2039</v>
      </c>
      <c r="AO89" s="103">
        <v>0.217</v>
      </c>
      <c r="AP89" s="40">
        <f>AL89*(1-AM89)*AN89</f>
        <v>30.058938000000001</v>
      </c>
      <c r="AQ89" s="104">
        <f t="shared" si="717"/>
        <v>31.990140000000004</v>
      </c>
      <c r="AR89" s="41">
        <v>1.5</v>
      </c>
      <c r="AS89" s="41"/>
      <c r="AT89" s="129">
        <f>AT88+AL89-AS89</f>
        <v>1226.1799999999987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43" t="s">
        <v>57</v>
      </c>
      <c r="D90" s="42">
        <v>16300</v>
      </c>
      <c r="E90" s="42">
        <v>1</v>
      </c>
      <c r="F90" s="42">
        <v>17357</v>
      </c>
      <c r="G90" s="36">
        <v>0.7</v>
      </c>
      <c r="H90" s="36">
        <v>5</v>
      </c>
      <c r="I90" s="42">
        <v>16817</v>
      </c>
      <c r="J90" s="133">
        <v>1.5</v>
      </c>
      <c r="K90" s="42">
        <v>16739</v>
      </c>
      <c r="L90" s="38">
        <v>7.0000000000000007E-2</v>
      </c>
      <c r="M90" s="36">
        <f>ROUND(K90*(1-L90),0)</f>
        <v>15567</v>
      </c>
      <c r="N90" s="27">
        <v>0.59</v>
      </c>
      <c r="O90" s="24">
        <f t="shared" si="882"/>
        <v>9184.5299999999988</v>
      </c>
      <c r="P90" s="38">
        <v>0.376</v>
      </c>
      <c r="Q90" s="24">
        <f t="shared" si="883"/>
        <v>5853.192</v>
      </c>
      <c r="R90" s="38">
        <v>3.4000000000000002E-2</v>
      </c>
      <c r="S90" s="105">
        <v>0.23319999999999999</v>
      </c>
      <c r="T90" s="24">
        <f t="shared" si="884"/>
        <v>529.27800000000002</v>
      </c>
      <c r="U90" s="27">
        <v>0.26</v>
      </c>
      <c r="V90" s="24">
        <f t="shared" si="885"/>
        <v>4047.42</v>
      </c>
      <c r="W90" s="38">
        <v>0.46300000000000002</v>
      </c>
      <c r="X90" s="24">
        <f t="shared" si="886"/>
        <v>7207.5210000000006</v>
      </c>
      <c r="Y90" s="38">
        <v>0.41</v>
      </c>
      <c r="Z90" s="24">
        <f t="shared" si="887"/>
        <v>6382.4699999999993</v>
      </c>
      <c r="AA90" s="118">
        <v>2.3600000000000001E-3</v>
      </c>
      <c r="AB90" s="121">
        <f t="shared" si="756"/>
        <v>36.738120000000002</v>
      </c>
      <c r="AC90" s="45">
        <v>2.47E-3</v>
      </c>
      <c r="AD90" s="17">
        <f t="shared" si="889"/>
        <v>38.450490000000002</v>
      </c>
      <c r="AE90" s="26">
        <f>IF(M90&gt;0,(AG90+AP90)/M90,0)</f>
        <v>2.4187036680156744E-3</v>
      </c>
      <c r="AF90" s="45">
        <v>2.7E-4</v>
      </c>
      <c r="AG90" s="36">
        <f t="shared" si="890"/>
        <v>4.2030900000000004</v>
      </c>
      <c r="AH90" s="27">
        <v>0.2031</v>
      </c>
      <c r="AI90" s="40">
        <f t="shared" si="891"/>
        <v>32.898138000000003</v>
      </c>
      <c r="AJ90" s="27">
        <f t="shared" si="892"/>
        <v>0.89187391128088156</v>
      </c>
      <c r="AK90" s="28">
        <f t="shared" si="672"/>
        <v>0.88953302452567073</v>
      </c>
      <c r="AL90" s="42">
        <v>178</v>
      </c>
      <c r="AM90" s="38">
        <v>0.09</v>
      </c>
      <c r="AN90" s="27">
        <v>0.20649999999999999</v>
      </c>
      <c r="AO90" s="105">
        <v>0.21329999999999999</v>
      </c>
      <c r="AP90" s="40">
        <f>AL90*(1-AM90)*AN90</f>
        <v>33.448869999999999</v>
      </c>
      <c r="AQ90" s="106">
        <f t="shared" si="717"/>
        <v>34.550333999999999</v>
      </c>
      <c r="AR90" s="17">
        <v>1.5</v>
      </c>
      <c r="AS90" s="17"/>
      <c r="AT90" s="129">
        <f>AT89+AL90-AS90</f>
        <v>1404.1799999999987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894">SUM(D88:D90)</f>
        <v>46481</v>
      </c>
      <c r="E91" s="49"/>
      <c r="F91" s="49">
        <f t="shared" ref="F91" si="895">SUM(F88:F90)</f>
        <v>49344</v>
      </c>
      <c r="G91" s="50"/>
      <c r="H91" s="50"/>
      <c r="I91" s="49">
        <f t="shared" ref="I91:K91" si="896">SUM(I88:I90)</f>
        <v>47992</v>
      </c>
      <c r="J91" s="50"/>
      <c r="K91" s="49">
        <f t="shared" si="896"/>
        <v>49779</v>
      </c>
      <c r="L91" s="20">
        <f t="shared" ref="L91" si="897">IF(K91&gt;0,(K88*L88+K89*L89+K90*L90)/K91,0)</f>
        <v>6.9336266297032892E-2</v>
      </c>
      <c r="M91" s="50">
        <f t="shared" ref="M91" si="898">M88+M89+M90</f>
        <v>46327</v>
      </c>
      <c r="N91" s="51">
        <f t="shared" ref="N91" si="899">IF(M91&gt;0,O91/M91,0)</f>
        <v>0.58942720227944823</v>
      </c>
      <c r="O91" s="52">
        <f t="shared" ref="O91" si="900">O88+O89+O90</f>
        <v>27306.393999999997</v>
      </c>
      <c r="P91" s="20">
        <f t="shared" ref="P91" si="901">IF(M91&gt;0,Q91/M91,0)</f>
        <v>0.35850350767371081</v>
      </c>
      <c r="Q91" s="52">
        <f t="shared" ref="Q91" si="902">Q88+Q89+Q90</f>
        <v>16608.392</v>
      </c>
      <c r="R91" s="20">
        <f t="shared" ref="R91" si="903">IF(M91&gt;0,T91/M91,0)</f>
        <v>5.2069290046840931E-2</v>
      </c>
      <c r="S91" s="107"/>
      <c r="T91" s="52">
        <f t="shared" ref="T91" si="904">T88+T89+T90</f>
        <v>2412.2139999999999</v>
      </c>
      <c r="U91" s="20">
        <f t="shared" ref="U91" si="905">IF(M91&gt;0,V91/M91,0)</f>
        <v>0.25336559673624454</v>
      </c>
      <c r="V91" s="52">
        <f t="shared" ref="V91" si="906">V88+V89+V90</f>
        <v>11737.668</v>
      </c>
      <c r="W91" s="20">
        <f t="shared" ref="W91" si="907">IF(M91&gt;0,X91/M91,0)</f>
        <v>0.46827433246271077</v>
      </c>
      <c r="X91" s="52">
        <f t="shared" ref="X91" si="908">X88+X89+X90</f>
        <v>21693.745000000003</v>
      </c>
      <c r="Y91" s="20">
        <f t="shared" ref="Y91" si="909">IF(M91&gt;0,Z91/M91,0)</f>
        <v>0.40336024348651978</v>
      </c>
      <c r="Z91" s="52">
        <f t="shared" ref="Z91" si="910">Z88+Z89+Z90</f>
        <v>18686.47</v>
      </c>
      <c r="AA91" s="119">
        <f t="shared" ref="AA91" si="911">IF(M91&gt;0,AB91/M91,0)</f>
        <v>2.3166542189220112E-3</v>
      </c>
      <c r="AB91" s="54">
        <f t="shared" ref="AB91" si="912">SUM(AB88:AB90)</f>
        <v>107.32364000000001</v>
      </c>
      <c r="AC91" s="53">
        <f t="shared" ref="AC91" si="913">IF(M91&gt;0,AD91/M91,0)</f>
        <v>2.3373654672221383E-3</v>
      </c>
      <c r="AD91" s="54">
        <f t="shared" ref="AD91" si="914">SUM(AD88:AD90)</f>
        <v>108.28313</v>
      </c>
      <c r="AE91" s="53">
        <f t="shared" ref="AE91" si="915">IF(M91&gt;0,(AE88*M88+AE89*M89+AE90*M90)/M91,0)</f>
        <v>2.3379394953266996E-3</v>
      </c>
      <c r="AF91" s="53">
        <f t="shared" ref="AF91" si="916">IF(K91&gt;0,(K88*AF88+K89*AF89+K90*AF90)/K91,0)</f>
        <v>2.7E-4</v>
      </c>
      <c r="AG91" s="50">
        <f t="shared" ref="AG91" si="917">SUM(AG88:AG90)</f>
        <v>12.508289999999999</v>
      </c>
      <c r="AH91" s="51">
        <f t="shared" ref="AH91" si="918">IF(K91&gt;0,(K88*AH88+K89*AH89+K90*AH90)/K91,0)</f>
        <v>0.20112194700576549</v>
      </c>
      <c r="AI91" s="56">
        <f t="shared" ref="AI91" si="919">SUM(AI88:AI90)</f>
        <v>92.838109000000003</v>
      </c>
      <c r="AJ91" s="51">
        <f t="shared" ref="AJ91" si="920">IF(AND(AD91&gt;0),((AD88*AJ88+AD89*AJ89+AD90*AJ90)/AD91),0)</f>
        <v>0.88567449104685003</v>
      </c>
      <c r="AK91" s="55">
        <f t="shared" si="672"/>
        <v>0.88566553962837946</v>
      </c>
      <c r="AL91" s="49">
        <f t="shared" ref="AL91" si="921">SUM(AL88:AL90)</f>
        <v>507</v>
      </c>
      <c r="AM91" s="20">
        <f t="shared" ref="AM91" si="922">IF(AL91&gt;0,(AM88*AL88+AM89*AL89+AM90*AL90)/AL91,0)</f>
        <v>0.09</v>
      </c>
      <c r="AN91" s="51">
        <f>IF(K91&gt;0,(AN88*K88+AN89*K89+AN90*K90)/K91,0)</f>
        <v>0.20760536973422528</v>
      </c>
      <c r="AO91" s="107">
        <f>IF(L91&gt;0,(AO88*K88+AO89*K89+AO90*K90)/K91,0)</f>
        <v>0.21664464131461059</v>
      </c>
      <c r="AP91" s="56">
        <f t="shared" ref="AP91:AQ103" si="923">SUM(AP88:AP90)</f>
        <v>95.801433000000003</v>
      </c>
      <c r="AQ91" s="108">
        <f t="shared" si="923"/>
        <v>99.928282999999993</v>
      </c>
      <c r="AR91" s="54"/>
      <c r="AS91" s="54">
        <f t="shared" ref="AS91" si="924">SUM(AS88:AS90)</f>
        <v>0</v>
      </c>
      <c r="AT91" s="83"/>
      <c r="AU91" s="84">
        <f>AT90</f>
        <v>1404.1799999999987</v>
      </c>
      <c r="AV91" s="49">
        <f t="shared" ref="AV91" si="925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58</v>
      </c>
      <c r="D92" s="11">
        <v>4086</v>
      </c>
      <c r="E92" s="11">
        <v>1</v>
      </c>
      <c r="F92" s="11">
        <v>14612</v>
      </c>
      <c r="G92" s="12">
        <v>0.3</v>
      </c>
      <c r="H92" s="12">
        <v>5.0999999999999996</v>
      </c>
      <c r="I92" s="11">
        <v>14067</v>
      </c>
      <c r="J92" s="12">
        <v>2.1</v>
      </c>
      <c r="K92" s="11">
        <v>16668</v>
      </c>
      <c r="L92" s="13">
        <v>6.8000000000000005E-2</v>
      </c>
      <c r="M92" s="23">
        <f>ROUND(K92*(1-L92),0)</f>
        <v>15535</v>
      </c>
      <c r="N92" s="14">
        <v>0.75800000000000001</v>
      </c>
      <c r="O92" s="24">
        <f t="shared" ref="O92:O94" si="926">M92*N92</f>
        <v>11775.53</v>
      </c>
      <c r="P92" s="13">
        <v>0.187</v>
      </c>
      <c r="Q92" s="24">
        <f t="shared" ref="Q92:Q94" si="927">M92*P92</f>
        <v>2905.0450000000001</v>
      </c>
      <c r="R92" s="15">
        <v>5.5E-2</v>
      </c>
      <c r="S92" s="112">
        <v>0.24079999999999999</v>
      </c>
      <c r="T92" s="24">
        <f t="shared" ref="T92:T94" si="928">M92*R92</f>
        <v>854.42499999999995</v>
      </c>
      <c r="U92" s="25">
        <v>0.26600000000000001</v>
      </c>
      <c r="V92" s="24">
        <f t="shared" ref="V92:V94" si="929">M92*U92</f>
        <v>4132.3100000000004</v>
      </c>
      <c r="W92" s="15">
        <v>0.44700000000000001</v>
      </c>
      <c r="X92" s="24">
        <f t="shared" ref="X92:X94" si="930">M92*W92</f>
        <v>6944.1450000000004</v>
      </c>
      <c r="Y92" s="15">
        <v>0.41</v>
      </c>
      <c r="Z92" s="24">
        <f t="shared" ref="Z92:Z94" si="931">Y92*M92</f>
        <v>6369.3499999999995</v>
      </c>
      <c r="AA92" s="116">
        <v>2.47E-3</v>
      </c>
      <c r="AB92" s="18">
        <f t="shared" ref="AB92" si="932">M92*AA92</f>
        <v>38.371450000000003</v>
      </c>
      <c r="AC92" s="16">
        <v>2.4499999999999999E-3</v>
      </c>
      <c r="AD92" s="17">
        <f t="shared" ref="AD92:AD94" si="933">M92*AC92</f>
        <v>38.060749999999999</v>
      </c>
      <c r="AE92" s="26">
        <f>IF(M92&gt;0,(AG92+AP92)/M92,0)</f>
        <v>2.4696487544254913E-3</v>
      </c>
      <c r="AF92" s="16">
        <v>2.7999999999999998E-4</v>
      </c>
      <c r="AG92" s="23">
        <f t="shared" ref="AG92:AG94" si="934">AF92*M92</f>
        <v>4.3497999999999992</v>
      </c>
      <c r="AH92" s="92">
        <v>0.2064</v>
      </c>
      <c r="AI92" s="29">
        <f t="shared" ref="AI92:AI94" si="935">AL92*(1-AM92)*AH92</f>
        <v>33.657441600000006</v>
      </c>
      <c r="AJ92" s="27">
        <f t="shared" ref="AJ92:AJ94" si="936">IF(AND(AH92&gt;0,AF92&gt;0,AC92&gt;0),((AC92-AF92)*AH92)/((AH92-AF92)*AC92),0)</f>
        <v>0.88691746832635654</v>
      </c>
      <c r="AK92" s="58">
        <f t="shared" si="672"/>
        <v>0.88781525177590648</v>
      </c>
      <c r="AL92" s="11">
        <v>179</v>
      </c>
      <c r="AM92" s="13">
        <v>8.8999999999999996E-2</v>
      </c>
      <c r="AN92" s="14">
        <v>0.20860000000000001</v>
      </c>
      <c r="AO92" s="101">
        <v>0.2147</v>
      </c>
      <c r="AP92" s="29">
        <f>AL92*(1-AM92)*AN92</f>
        <v>34.016193400000006</v>
      </c>
      <c r="AQ92" s="102">
        <f t="shared" ref="AQ92" si="937">AL92*(1-AM92)*AO92</f>
        <v>35.010914300000003</v>
      </c>
      <c r="AR92" s="18">
        <v>1.55</v>
      </c>
      <c r="AS92" s="18">
        <v>1000.96</v>
      </c>
      <c r="AT92" s="79">
        <f>AT90+AL92-AS92+AU92</f>
        <v>618.97999999999865</v>
      </c>
      <c r="AU92" s="80">
        <v>36.76</v>
      </c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53</v>
      </c>
      <c r="D93" s="33">
        <v>19400</v>
      </c>
      <c r="E93" s="33">
        <v>6</v>
      </c>
      <c r="F93" s="33">
        <v>16581</v>
      </c>
      <c r="G93" s="34">
        <v>0.5</v>
      </c>
      <c r="H93" s="34">
        <v>5.8</v>
      </c>
      <c r="I93" s="33">
        <v>16154</v>
      </c>
      <c r="J93" s="34">
        <v>2.4</v>
      </c>
      <c r="K93" s="33">
        <v>16816</v>
      </c>
      <c r="L93" s="35">
        <v>6.0999999999999999E-2</v>
      </c>
      <c r="M93" s="36">
        <f>ROUND(K93*(1-L93),0)</f>
        <v>15790</v>
      </c>
      <c r="N93" s="37">
        <v>0.72199999999999998</v>
      </c>
      <c r="O93" s="24">
        <f t="shared" si="926"/>
        <v>11400.38</v>
      </c>
      <c r="P93" s="35">
        <v>0.23</v>
      </c>
      <c r="Q93" s="24">
        <f t="shared" si="927"/>
        <v>3631.7000000000003</v>
      </c>
      <c r="R93" s="38">
        <v>4.8000000000000001E-2</v>
      </c>
      <c r="S93" s="105">
        <v>0.23710000000000001</v>
      </c>
      <c r="T93" s="24">
        <f t="shared" si="928"/>
        <v>757.92</v>
      </c>
      <c r="U93" s="27">
        <v>0.247</v>
      </c>
      <c r="V93" s="24">
        <f t="shared" si="929"/>
        <v>3900.13</v>
      </c>
      <c r="W93" s="38">
        <v>0.49399999999999999</v>
      </c>
      <c r="X93" s="24">
        <f t="shared" si="930"/>
        <v>7800.26</v>
      </c>
      <c r="Y93" s="38">
        <v>0.41</v>
      </c>
      <c r="Z93" s="24">
        <f t="shared" si="931"/>
        <v>6473.9</v>
      </c>
      <c r="AA93" s="117">
        <v>2.5899999999999999E-3</v>
      </c>
      <c r="AB93" s="18">
        <f t="shared" si="756"/>
        <v>40.896099999999997</v>
      </c>
      <c r="AC93" s="39">
        <v>2.6199999999999999E-3</v>
      </c>
      <c r="AD93" s="17">
        <f t="shared" si="933"/>
        <v>41.369799999999998</v>
      </c>
      <c r="AE93" s="26">
        <f>IF(M93&gt;0,(AG93+AP93)/M93,0)</f>
        <v>2.4571403546548446E-3</v>
      </c>
      <c r="AF93" s="39">
        <v>2.7999999999999998E-4</v>
      </c>
      <c r="AG93" s="36">
        <f t="shared" si="934"/>
        <v>4.4211999999999998</v>
      </c>
      <c r="AH93" s="27">
        <v>0.1993</v>
      </c>
      <c r="AI93" s="40">
        <f t="shared" si="935"/>
        <v>32.3481837</v>
      </c>
      <c r="AJ93" s="27">
        <f t="shared" si="936"/>
        <v>0.89438630971147948</v>
      </c>
      <c r="AK93" s="28">
        <f t="shared" si="672"/>
        <v>0.88721930116307157</v>
      </c>
      <c r="AL93" s="33">
        <v>177</v>
      </c>
      <c r="AM93" s="35">
        <v>8.3000000000000004E-2</v>
      </c>
      <c r="AN93" s="37">
        <v>0.21179999999999999</v>
      </c>
      <c r="AO93" s="103">
        <v>0.21879999999999999</v>
      </c>
      <c r="AP93" s="40">
        <f>AL93*(1-AM93)*AN93</f>
        <v>34.377046199999995</v>
      </c>
      <c r="AQ93" s="104">
        <f t="shared" si="717"/>
        <v>35.513209199999999</v>
      </c>
      <c r="AR93" s="41">
        <v>1.6</v>
      </c>
      <c r="AS93" s="41"/>
      <c r="AT93" s="129">
        <f>AT92+AL93-AS93</f>
        <v>795.97999999999865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43" t="s">
        <v>57</v>
      </c>
      <c r="D94" s="42">
        <v>21200</v>
      </c>
      <c r="E94" s="42">
        <v>2</v>
      </c>
      <c r="F94" s="42">
        <v>16892</v>
      </c>
      <c r="G94" s="36">
        <v>0.5</v>
      </c>
      <c r="H94" s="36">
        <v>5</v>
      </c>
      <c r="I94" s="42">
        <v>16444</v>
      </c>
      <c r="J94" s="36">
        <v>2.2000000000000002</v>
      </c>
      <c r="K94" s="42">
        <v>16855</v>
      </c>
      <c r="L94" s="38">
        <v>6.6000000000000003E-2</v>
      </c>
      <c r="M94" s="36">
        <f>ROUND(K94*(1-L94),0)</f>
        <v>15743</v>
      </c>
      <c r="N94" s="27">
        <v>0.629</v>
      </c>
      <c r="O94" s="24">
        <f t="shared" si="926"/>
        <v>9902.3469999999998</v>
      </c>
      <c r="P94" s="38">
        <v>0.316</v>
      </c>
      <c r="Q94" s="24">
        <f t="shared" si="927"/>
        <v>4974.7880000000005</v>
      </c>
      <c r="R94" s="38">
        <v>5.5E-2</v>
      </c>
      <c r="S94" s="105">
        <v>0.2278</v>
      </c>
      <c r="T94" s="24">
        <f t="shared" si="928"/>
        <v>865.86500000000001</v>
      </c>
      <c r="U94" s="27">
        <v>0.248</v>
      </c>
      <c r="V94" s="24">
        <f t="shared" si="929"/>
        <v>3904.2640000000001</v>
      </c>
      <c r="W94" s="38">
        <v>0.47399999999999998</v>
      </c>
      <c r="X94" s="24">
        <f t="shared" si="930"/>
        <v>7462.1819999999998</v>
      </c>
      <c r="Y94" s="38">
        <v>0.42</v>
      </c>
      <c r="Z94" s="24">
        <f t="shared" si="931"/>
        <v>6612.0599999999995</v>
      </c>
      <c r="AA94" s="118">
        <v>2.7000000000000001E-3</v>
      </c>
      <c r="AB94" s="121">
        <f t="shared" si="756"/>
        <v>42.506100000000004</v>
      </c>
      <c r="AC94" s="45">
        <v>2.6900000000000001E-3</v>
      </c>
      <c r="AD94" s="17">
        <f t="shared" si="933"/>
        <v>42.348669999999998</v>
      </c>
      <c r="AE94" s="26">
        <f>IF(M94&gt;0,(AG94+AP94)/M94,0)</f>
        <v>2.4061757225433524E-3</v>
      </c>
      <c r="AF94" s="45">
        <v>2.9E-4</v>
      </c>
      <c r="AG94" s="36">
        <f t="shared" si="934"/>
        <v>4.5654700000000004</v>
      </c>
      <c r="AH94" s="27">
        <v>0.1991</v>
      </c>
      <c r="AI94" s="40">
        <f t="shared" si="935"/>
        <v>33.264831600000001</v>
      </c>
      <c r="AJ94" s="27">
        <f t="shared" si="936"/>
        <v>0.89349473231900833</v>
      </c>
      <c r="AK94" s="28">
        <f t="shared" si="672"/>
        <v>0.88075774065224688</v>
      </c>
      <c r="AL94" s="42">
        <v>182</v>
      </c>
      <c r="AM94" s="38">
        <v>8.2000000000000003E-2</v>
      </c>
      <c r="AN94" s="27">
        <v>0.19939999999999999</v>
      </c>
      <c r="AO94" s="105">
        <v>0.2074</v>
      </c>
      <c r="AP94" s="40">
        <f>AL94*(1-AM94)*AN94</f>
        <v>33.314954399999998</v>
      </c>
      <c r="AQ94" s="106">
        <f t="shared" si="717"/>
        <v>34.651562399999996</v>
      </c>
      <c r="AR94" s="17">
        <v>1.55</v>
      </c>
      <c r="AS94" s="17"/>
      <c r="AT94" s="129">
        <f>AT93+AL94-AS94</f>
        <v>977.97999999999865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38">SUM(D92:D94)</f>
        <v>44686</v>
      </c>
      <c r="E95" s="49"/>
      <c r="F95" s="49">
        <f t="shared" ref="F95" si="939">SUM(F92:F94)</f>
        <v>48085</v>
      </c>
      <c r="G95" s="50"/>
      <c r="H95" s="50"/>
      <c r="I95" s="49">
        <f t="shared" ref="I95:K95" si="940">SUM(I92:I94)</f>
        <v>46665</v>
      </c>
      <c r="J95" s="50"/>
      <c r="K95" s="49">
        <f t="shared" si="940"/>
        <v>50339</v>
      </c>
      <c r="L95" s="20">
        <f t="shared" ref="L95" si="941">IF(K95&gt;0,(K92*L92+K93*L93+K94*L94)/K95,0)</f>
        <v>6.499195454816345E-2</v>
      </c>
      <c r="M95" s="50">
        <f t="shared" ref="M95" si="942">M92+M93+M94</f>
        <v>47068</v>
      </c>
      <c r="N95" s="51">
        <f t="shared" ref="N95" si="943">IF(M95&gt;0,O95/M95,0)</f>
        <v>0.70277591994561051</v>
      </c>
      <c r="O95" s="52">
        <f t="shared" ref="O95" si="944">O92+O93+O94</f>
        <v>33078.256999999998</v>
      </c>
      <c r="P95" s="20">
        <f t="shared" ref="P95" si="945">IF(M95&gt;0,Q95/M95,0)</f>
        <v>0.2445723846349962</v>
      </c>
      <c r="Q95" s="52">
        <f t="shared" ref="Q95" si="946">Q92+Q93+Q94</f>
        <v>11511.533000000001</v>
      </c>
      <c r="R95" s="20">
        <f t="shared" ref="R95" si="947">IF(M95&gt;0,T95/M95,0)</f>
        <v>5.265169541939322E-2</v>
      </c>
      <c r="S95" s="107"/>
      <c r="T95" s="52">
        <f t="shared" ref="T95" si="948">T92+T93+T94</f>
        <v>2478.21</v>
      </c>
      <c r="U95" s="20">
        <f t="shared" ref="U95" si="949">IF(M95&gt;0,V95/M95,0)</f>
        <v>0.25360550692614942</v>
      </c>
      <c r="V95" s="52">
        <f t="shared" ref="V95" si="950">V92+V93+V94</f>
        <v>11936.704000000002</v>
      </c>
      <c r="W95" s="20">
        <f t="shared" ref="W95" si="951">IF(M95&gt;0,X95/M95,0)</f>
        <v>0.47179797314523669</v>
      </c>
      <c r="X95" s="52">
        <f t="shared" ref="X95" si="952">X92+X93+X94</f>
        <v>22206.587</v>
      </c>
      <c r="Y95" s="20">
        <f t="shared" ref="Y95" si="953">IF(M95&gt;0,Z95/M95,0)</f>
        <v>0.41334473527662102</v>
      </c>
      <c r="Z95" s="52">
        <f t="shared" ref="Z95" si="954">Z92+Z93+Z94</f>
        <v>19455.309999999998</v>
      </c>
      <c r="AA95" s="119">
        <f t="shared" ref="AA95" si="955">IF(M95&gt;0,AB95/M95,0)</f>
        <v>2.5871855613155436E-3</v>
      </c>
      <c r="AB95" s="54">
        <f t="shared" ref="AB95" si="956">SUM(AB92:AB94)</f>
        <v>121.77365</v>
      </c>
      <c r="AC95" s="53">
        <f t="shared" ref="AC95" si="957">IF(M95&gt;0,AD95/M95,0)</f>
        <v>2.5873039007393559E-3</v>
      </c>
      <c r="AD95" s="54">
        <f t="shared" ref="AD95" si="958">SUM(AD92:AD94)</f>
        <v>121.77922</v>
      </c>
      <c r="AE95" s="53">
        <f t="shared" ref="AE95" si="959">IF(M95&gt;0,(AE92*M92+AE93*M93+AE94*M94)/M95,0)</f>
        <v>2.44422248661511E-3</v>
      </c>
      <c r="AF95" s="53">
        <f t="shared" ref="AF95" si="960">IF(K95&gt;0,(K92*AF92+K93*AF93+K94*AF94)/K95,0)</f>
        <v>2.8334829853592639E-4</v>
      </c>
      <c r="AG95" s="50">
        <f t="shared" ref="AG95" si="961">SUM(AG92:AG94)</f>
        <v>13.336469999999998</v>
      </c>
      <c r="AH95" s="51">
        <f t="shared" ref="AH95" si="962">IF(K95&gt;0,(K92*AH92+K93*AH93+K94*AH94)/K95,0)</f>
        <v>0.20158395081348457</v>
      </c>
      <c r="AI95" s="56">
        <f t="shared" ref="AI95" si="963">SUM(AI92:AI94)</f>
        <v>99.270456899999999</v>
      </c>
      <c r="AJ95" s="51">
        <f t="shared" ref="AJ95" si="964">IF(AND(AD95&gt;0),((AD92*AJ92+AD93*AJ93+AD94*AJ94)/AD95),0)</f>
        <v>0.89174196019501817</v>
      </c>
      <c r="AK95" s="55">
        <f t="shared" si="672"/>
        <v>0.8852884858661334</v>
      </c>
      <c r="AL95" s="49">
        <f t="shared" ref="AL95" si="965">SUM(AL92:AL94)</f>
        <v>538</v>
      </c>
      <c r="AM95" s="20">
        <f t="shared" ref="AM95" si="966">IF(AL95&gt;0,(AM92*AL92+AM93*AL93+AM94*AL94)/AL95,0)</f>
        <v>8.4657992565055767E-2</v>
      </c>
      <c r="AN95" s="51">
        <f>IF(K95&gt;0,(AN92*K92+AN93*K93+AN94*K94)/K95,0)</f>
        <v>0.20658854168735968</v>
      </c>
      <c r="AO95" s="107">
        <f>IF(L95&gt;0,(AO92*K92+AO93*K93+AO94*K94)/K95,0)</f>
        <v>0.21362536800492657</v>
      </c>
      <c r="AP95" s="56">
        <f t="shared" ref="AP95" si="967">SUM(AP92:AP94)</f>
        <v>101.70819399999999</v>
      </c>
      <c r="AQ95" s="108">
        <f t="shared" si="923"/>
        <v>105.17568589999999</v>
      </c>
      <c r="AR95" s="54"/>
      <c r="AS95" s="54">
        <f t="shared" ref="AS95" si="968">SUM(AS92:AS94)</f>
        <v>1000.96</v>
      </c>
      <c r="AT95" s="83"/>
      <c r="AU95" s="84">
        <f>AT94</f>
        <v>977.97999999999865</v>
      </c>
      <c r="AV95" s="49">
        <f t="shared" ref="AV95" si="969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58</v>
      </c>
      <c r="D96" s="11">
        <v>5300</v>
      </c>
      <c r="E96" s="11">
        <v>0</v>
      </c>
      <c r="F96" s="11">
        <v>3486</v>
      </c>
      <c r="G96" s="12">
        <v>0.7</v>
      </c>
      <c r="H96" s="12">
        <v>5.0999999999999996</v>
      </c>
      <c r="I96" s="11">
        <v>4318</v>
      </c>
      <c r="J96" s="12">
        <v>6.8</v>
      </c>
      <c r="K96" s="11">
        <v>15594</v>
      </c>
      <c r="L96" s="13">
        <v>6.5000000000000002E-2</v>
      </c>
      <c r="M96" s="23">
        <f>ROUND(K96*(1-L96),0)</f>
        <v>14580</v>
      </c>
      <c r="N96" s="14">
        <v>0.70299999999999996</v>
      </c>
      <c r="O96" s="24">
        <f t="shared" ref="O96:O98" si="970">M96*N96</f>
        <v>10249.74</v>
      </c>
      <c r="P96" s="13">
        <v>0.24</v>
      </c>
      <c r="Q96" s="24">
        <f t="shared" ref="Q96:Q98" si="971">M96*P96</f>
        <v>3499.2</v>
      </c>
      <c r="R96" s="15">
        <v>5.7000000000000002E-2</v>
      </c>
      <c r="S96" s="112">
        <v>0.223</v>
      </c>
      <c r="T96" s="24">
        <f t="shared" ref="T96:T98" si="972">M96*R96</f>
        <v>831.06000000000006</v>
      </c>
      <c r="U96" s="25">
        <v>0.22600000000000001</v>
      </c>
      <c r="V96" s="24">
        <f t="shared" ref="V96:V98" si="973">M96*U96</f>
        <v>3295.08</v>
      </c>
      <c r="W96" s="15">
        <v>0.48799999999999999</v>
      </c>
      <c r="X96" s="24">
        <f t="shared" ref="X96:X98" si="974">M96*W96</f>
        <v>7115.04</v>
      </c>
      <c r="Y96" s="15">
        <v>0.4</v>
      </c>
      <c r="Z96" s="24">
        <f t="shared" ref="Z96:Z98" si="975">Y96*M96</f>
        <v>5832</v>
      </c>
      <c r="AA96" s="116">
        <v>2.7000000000000001E-3</v>
      </c>
      <c r="AB96" s="18">
        <f t="shared" ref="AB96" si="976">M96*AA96</f>
        <v>39.366</v>
      </c>
      <c r="AC96" s="16">
        <v>2.6800000000000001E-3</v>
      </c>
      <c r="AD96" s="17">
        <f t="shared" ref="AD96:AD98" si="977">M96*AC96</f>
        <v>39.074400000000004</v>
      </c>
      <c r="AE96" s="26">
        <f>IF(M96&gt;0,(AG96+AP96)/M96,0)</f>
        <v>2.5844796296296295E-3</v>
      </c>
      <c r="AF96" s="16">
        <v>2.7999999999999998E-4</v>
      </c>
      <c r="AG96" s="23">
        <f t="shared" ref="AG96:AG98" si="978">AF96*M96</f>
        <v>4.0823999999999998</v>
      </c>
      <c r="AH96" s="92">
        <v>0.20380000000000001</v>
      </c>
      <c r="AI96" s="29">
        <f t="shared" ref="AI96:AI98" si="979">AL96*(1-AM96)*AH96</f>
        <v>32.3760756</v>
      </c>
      <c r="AJ96" s="27">
        <f t="shared" ref="AJ96:AJ98" si="980">IF(AND(AH96&gt;0,AF96&gt;0,AC96&gt;0),((AC96-AF96)*AH96)/((AH96-AF96)*AC96),0)</f>
        <v>0.8967544353703184</v>
      </c>
      <c r="AK96" s="58">
        <f t="shared" si="672"/>
        <v>0.89284299060173067</v>
      </c>
      <c r="AL96" s="11">
        <v>174</v>
      </c>
      <c r="AM96" s="13">
        <v>8.6999999999999994E-2</v>
      </c>
      <c r="AN96" s="14">
        <v>0.21149999999999999</v>
      </c>
      <c r="AO96" s="101">
        <v>0.21929999999999999</v>
      </c>
      <c r="AP96" s="29">
        <f>AL96*(1-AM96)*AN96</f>
        <v>33.599312999999995</v>
      </c>
      <c r="AQ96" s="102">
        <f t="shared" ref="AQ96" si="981">AL96*(1-AM96)*AO96</f>
        <v>34.838436600000001</v>
      </c>
      <c r="AR96" s="18">
        <v>1.55</v>
      </c>
      <c r="AS96" s="18">
        <v>1006.28</v>
      </c>
      <c r="AT96" s="79">
        <f>AT94+AL96-AS96+AU96</f>
        <v>174.23999999999867</v>
      </c>
      <c r="AU96" s="80">
        <v>28.54</v>
      </c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53</v>
      </c>
      <c r="D97" s="33">
        <v>13500</v>
      </c>
      <c r="E97" s="33">
        <v>1</v>
      </c>
      <c r="F97" s="33">
        <v>11588</v>
      </c>
      <c r="G97" s="34">
        <v>0.7</v>
      </c>
      <c r="H97" s="34">
        <v>8.5</v>
      </c>
      <c r="I97" s="33">
        <v>11805</v>
      </c>
      <c r="J97" s="34">
        <v>6</v>
      </c>
      <c r="K97" s="33">
        <v>15799</v>
      </c>
      <c r="L97" s="35">
        <v>6.2E-2</v>
      </c>
      <c r="M97" s="36">
        <f>ROUND(K97*(1-L97),0)</f>
        <v>14819</v>
      </c>
      <c r="N97" s="37">
        <v>0.77</v>
      </c>
      <c r="O97" s="24">
        <f t="shared" si="970"/>
        <v>11410.630000000001</v>
      </c>
      <c r="P97" s="35">
        <v>0.152</v>
      </c>
      <c r="Q97" s="24">
        <f t="shared" si="971"/>
        <v>2252.4879999999998</v>
      </c>
      <c r="R97" s="38">
        <v>7.8E-2</v>
      </c>
      <c r="S97" s="105">
        <v>0.23760000000000001</v>
      </c>
      <c r="T97" s="24">
        <f t="shared" si="972"/>
        <v>1155.8820000000001</v>
      </c>
      <c r="U97" s="27">
        <v>0.22700000000000001</v>
      </c>
      <c r="V97" s="24">
        <f t="shared" si="973"/>
        <v>3363.913</v>
      </c>
      <c r="W97" s="38">
        <v>0.48099999999999998</v>
      </c>
      <c r="X97" s="24">
        <f t="shared" si="974"/>
        <v>7127.9389999999994</v>
      </c>
      <c r="Y97" s="38">
        <v>0.39</v>
      </c>
      <c r="Z97" s="24">
        <f t="shared" si="975"/>
        <v>5779.41</v>
      </c>
      <c r="AA97" s="117">
        <v>2.5500000000000002E-3</v>
      </c>
      <c r="AB97" s="18">
        <f t="shared" si="756"/>
        <v>37.788450000000005</v>
      </c>
      <c r="AC97" s="39">
        <v>2.5500000000000002E-3</v>
      </c>
      <c r="AD97" s="17">
        <f t="shared" si="977"/>
        <v>37.788450000000005</v>
      </c>
      <c r="AE97" s="26">
        <f>IF(M97&gt;0,(AG97+AP97)/M97,0)</f>
        <v>2.5297675956542282E-3</v>
      </c>
      <c r="AF97" s="39">
        <v>2.7999999999999998E-4</v>
      </c>
      <c r="AG97" s="36">
        <f t="shared" si="978"/>
        <v>4.1493199999999995</v>
      </c>
      <c r="AH97" s="27">
        <v>0.19869999999999999</v>
      </c>
      <c r="AI97" s="40">
        <f t="shared" si="979"/>
        <v>30.725974500000003</v>
      </c>
      <c r="AJ97" s="27">
        <f t="shared" si="980"/>
        <v>0.89145227690915096</v>
      </c>
      <c r="AK97" s="28">
        <f t="shared" si="672"/>
        <v>0.89047435624957849</v>
      </c>
      <c r="AL97" s="33">
        <v>169</v>
      </c>
      <c r="AM97" s="35">
        <v>8.5000000000000006E-2</v>
      </c>
      <c r="AN97" s="37">
        <v>0.21560000000000001</v>
      </c>
      <c r="AO97" s="103">
        <v>0.21970000000000001</v>
      </c>
      <c r="AP97" s="40">
        <f>AL97*(1-AM97)*AN97</f>
        <v>33.339306000000008</v>
      </c>
      <c r="AQ97" s="104">
        <f t="shared" si="717"/>
        <v>33.973309500000006</v>
      </c>
      <c r="AR97" s="41">
        <v>1.64</v>
      </c>
      <c r="AS97" s="41"/>
      <c r="AT97" s="129">
        <f>AT96+AL97-AS97</f>
        <v>343.23999999999864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0" t="s">
        <v>54</v>
      </c>
      <c r="D98" s="42">
        <v>13200</v>
      </c>
      <c r="E98" s="42">
        <v>1</v>
      </c>
      <c r="F98" s="42">
        <v>17436</v>
      </c>
      <c r="G98" s="36">
        <v>1.6</v>
      </c>
      <c r="H98" s="36">
        <v>6.6</v>
      </c>
      <c r="I98" s="42">
        <v>16837</v>
      </c>
      <c r="J98" s="36">
        <v>5.6</v>
      </c>
      <c r="K98" s="42">
        <v>16725</v>
      </c>
      <c r="L98" s="38">
        <v>6.3E-2</v>
      </c>
      <c r="M98" s="36">
        <f>ROUND(K98*(1-L98),0)</f>
        <v>15671</v>
      </c>
      <c r="N98" s="27">
        <v>0.64200000000000002</v>
      </c>
      <c r="O98" s="24">
        <f t="shared" si="970"/>
        <v>10060.782000000001</v>
      </c>
      <c r="P98" s="38">
        <v>0.307</v>
      </c>
      <c r="Q98" s="24">
        <f t="shared" si="971"/>
        <v>4810.9970000000003</v>
      </c>
      <c r="R98" s="38">
        <v>5.0999999999999997E-2</v>
      </c>
      <c r="S98" s="105">
        <v>0.248</v>
      </c>
      <c r="T98" s="24">
        <f t="shared" si="972"/>
        <v>799.221</v>
      </c>
      <c r="U98" s="27">
        <v>0.24399999999999999</v>
      </c>
      <c r="V98" s="24">
        <f t="shared" si="973"/>
        <v>3823.7239999999997</v>
      </c>
      <c r="W98" s="38">
        <v>0.48099999999999998</v>
      </c>
      <c r="X98" s="24">
        <f t="shared" si="974"/>
        <v>7537.7509999999993</v>
      </c>
      <c r="Y98" s="38">
        <v>0.4</v>
      </c>
      <c r="Z98" s="24">
        <f t="shared" si="975"/>
        <v>6268.4000000000005</v>
      </c>
      <c r="AA98" s="118">
        <v>2.63E-3</v>
      </c>
      <c r="AB98" s="121">
        <f t="shared" si="756"/>
        <v>41.214729999999996</v>
      </c>
      <c r="AC98" s="45">
        <v>2.7100000000000002E-3</v>
      </c>
      <c r="AD98" s="17">
        <f t="shared" si="977"/>
        <v>42.468410000000006</v>
      </c>
      <c r="AE98" s="26">
        <f>IF(M98&gt;0,(AG98+AP98)/M98,0)</f>
        <v>2.4134141982004977E-3</v>
      </c>
      <c r="AF98" s="45">
        <v>2.9999999999999997E-4</v>
      </c>
      <c r="AG98" s="36">
        <f t="shared" si="978"/>
        <v>4.7012999999999998</v>
      </c>
      <c r="AH98" s="27">
        <v>0.20200000000000001</v>
      </c>
      <c r="AI98" s="40">
        <f t="shared" si="979"/>
        <v>32.939938000000005</v>
      </c>
      <c r="AJ98" s="27">
        <f t="shared" si="980"/>
        <v>0.89062159833298882</v>
      </c>
      <c r="AK98" s="28">
        <f t="shared" si="672"/>
        <v>0.8769901793661633</v>
      </c>
      <c r="AL98" s="42">
        <v>179</v>
      </c>
      <c r="AM98" s="38">
        <v>8.8999999999999996E-2</v>
      </c>
      <c r="AN98" s="27">
        <v>0.2031</v>
      </c>
      <c r="AO98" s="105">
        <v>0.21340000000000001</v>
      </c>
      <c r="AP98" s="40">
        <f>AL98*(1-AM98)*AN98</f>
        <v>33.119313900000002</v>
      </c>
      <c r="AQ98" s="106">
        <f t="shared" si="717"/>
        <v>34.798924600000007</v>
      </c>
      <c r="AR98" s="17">
        <v>1.58</v>
      </c>
      <c r="AS98" s="17"/>
      <c r="AT98" s="129">
        <f>AT97+AL98-AS98</f>
        <v>522.23999999999864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82">SUM(D96:D98)</f>
        <v>32000</v>
      </c>
      <c r="E99" s="49"/>
      <c r="F99" s="49">
        <f t="shared" ref="F99" si="983">SUM(F96:F98)</f>
        <v>32510</v>
      </c>
      <c r="G99" s="50"/>
      <c r="H99" s="50"/>
      <c r="I99" s="49">
        <f t="shared" ref="I99:K99" si="984">SUM(I96:I98)</f>
        <v>32960</v>
      </c>
      <c r="J99" s="50"/>
      <c r="K99" s="49">
        <f t="shared" si="984"/>
        <v>48118</v>
      </c>
      <c r="L99" s="20">
        <f t="shared" ref="L99" si="985">IF(K99&gt;0,(K96*L96+K97*L97+K98*L98)/K99,0)</f>
        <v>6.3319817947545626E-2</v>
      </c>
      <c r="M99" s="50">
        <f t="shared" ref="M99" si="986">M96+M97+M98</f>
        <v>45070</v>
      </c>
      <c r="N99" s="51">
        <f t="shared" ref="N99" si="987">IF(M99&gt;0,O99/M99,0)</f>
        <v>0.70381965830929671</v>
      </c>
      <c r="O99" s="52">
        <f t="shared" ref="O99" si="988">O96+O97+O98</f>
        <v>31721.152000000002</v>
      </c>
      <c r="P99" s="20">
        <f t="shared" ref="P99" si="989">IF(M99&gt;0,Q99/M99,0)</f>
        <v>0.23436177057909921</v>
      </c>
      <c r="Q99" s="52">
        <f t="shared" ref="Q99" si="990">Q96+Q97+Q98</f>
        <v>10562.685000000001</v>
      </c>
      <c r="R99" s="20">
        <f t="shared" ref="R99" si="991">IF(M99&gt;0,T99/M99,0)</f>
        <v>6.1818571111604173E-2</v>
      </c>
      <c r="S99" s="107"/>
      <c r="T99" s="52">
        <f t="shared" ref="T99" si="992">T96+T97+T98</f>
        <v>2786.163</v>
      </c>
      <c r="U99" s="20">
        <f t="shared" ref="U99" si="993">IF(M99&gt;0,V99/M99,0)</f>
        <v>0.23258746394497451</v>
      </c>
      <c r="V99" s="52">
        <f t="shared" ref="V99" si="994">V96+V97+V98</f>
        <v>10482.717000000001</v>
      </c>
      <c r="W99" s="20">
        <f t="shared" ref="W99" si="995">IF(M99&gt;0,X99/M99,0)</f>
        <v>0.48326447747947637</v>
      </c>
      <c r="X99" s="52">
        <f t="shared" ref="X99" si="996">X96+X97+X98</f>
        <v>21780.73</v>
      </c>
      <c r="Y99" s="20">
        <f t="shared" ref="Y99" si="997">IF(M99&gt;0,Z99/M99,0)</f>
        <v>0.39671200355003333</v>
      </c>
      <c r="Z99" s="52">
        <f t="shared" ref="Z99" si="998">Z96+Z97+Z98</f>
        <v>17879.810000000001</v>
      </c>
      <c r="AA99" s="119">
        <f t="shared" ref="AA99" si="999">IF(M99&gt;0,AB99/M99,0)</f>
        <v>2.62634080319503E-3</v>
      </c>
      <c r="AB99" s="54">
        <f t="shared" ref="AB99" si="1000">SUM(AB96:AB98)</f>
        <v>118.36918</v>
      </c>
      <c r="AC99" s="53">
        <f t="shared" ref="AC99" si="1001">IF(M99&gt;0,AD99/M99,0)</f>
        <v>2.6476871533170627E-3</v>
      </c>
      <c r="AD99" s="54">
        <f t="shared" ref="AD99" si="1002">SUM(AD96:AD98)</f>
        <v>119.33126000000001</v>
      </c>
      <c r="AE99" s="53">
        <f t="shared" ref="AE99" si="1003">IF(M99&gt;0,(AE96*M96+AE97*M97+AE98*M98)/M99,0)</f>
        <v>2.5070102706900381E-3</v>
      </c>
      <c r="AF99" s="53">
        <f t="shared" ref="AF99" si="1004">IF(K99&gt;0,(K96*AF96+K97*AF97+K98*AF98)/K99,0)</f>
        <v>2.8695166050126769E-4</v>
      </c>
      <c r="AG99" s="50">
        <f t="shared" ref="AG99" si="1005">SUM(AG96:AG98)</f>
        <v>12.933019999999999</v>
      </c>
      <c r="AH99" s="51">
        <f t="shared" ref="AH99" si="1006">IF(K99&gt;0,(K96*AH96+K97*AH97+K98*AH98)/K99,0)</f>
        <v>0.20149982335092897</v>
      </c>
      <c r="AI99" s="56">
        <f t="shared" ref="AI99" si="1007">SUM(AI96:AI98)</f>
        <v>96.041988099999998</v>
      </c>
      <c r="AJ99" s="51">
        <f t="shared" ref="AJ99" si="1008">IF(AND(AD99&gt;0),((AD96*AJ96+AD97*AJ97+AD98*AJ98)/AD99),0)</f>
        <v>0.89289281363208828</v>
      </c>
      <c r="AK99" s="55">
        <f t="shared" si="672"/>
        <v>0.88675240834031011</v>
      </c>
      <c r="AL99" s="49">
        <f t="shared" ref="AL99" si="1009">SUM(AL96:AL98)</f>
        <v>522</v>
      </c>
      <c r="AM99" s="20">
        <f t="shared" ref="AM99" si="1010">IF(AL99&gt;0,(AM96*AL96+AM97*AL97+AM98*AL98)/AL99,0)</f>
        <v>8.7038314176245205E-2</v>
      </c>
      <c r="AN99" s="51">
        <f>IF(K99&gt;0,(AN96*K96+AN97*K97+AN98*K98)/K99,0)</f>
        <v>0.20992649112598194</v>
      </c>
      <c r="AO99" s="107">
        <f>IF(L99&gt;0,(AO96*K96+AO97*K97+AO98*K98)/K99,0)</f>
        <v>0.21738059561910303</v>
      </c>
      <c r="AP99" s="56">
        <f t="shared" ref="AP99" si="1011">SUM(AP96:AP98)</f>
        <v>100.0579329</v>
      </c>
      <c r="AQ99" s="108">
        <f t="shared" si="923"/>
        <v>103.61067070000001</v>
      </c>
      <c r="AR99" s="54"/>
      <c r="AS99" s="54">
        <f t="shared" ref="AS99" si="1012">SUM(AS96:AS98)</f>
        <v>1006.28</v>
      </c>
      <c r="AT99" s="83"/>
      <c r="AU99" s="84">
        <f>AT98</f>
        <v>522.23999999999864</v>
      </c>
      <c r="AV99" s="49">
        <f t="shared" ref="AV99" si="1013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59</v>
      </c>
      <c r="D100" s="11">
        <v>3685</v>
      </c>
      <c r="E100" s="11">
        <v>1</v>
      </c>
      <c r="F100" s="11">
        <v>15791</v>
      </c>
      <c r="G100" s="12">
        <v>1.1000000000000001</v>
      </c>
      <c r="H100" s="12">
        <v>7.2</v>
      </c>
      <c r="I100" s="11">
        <v>16608</v>
      </c>
      <c r="J100" s="12">
        <v>5.5</v>
      </c>
      <c r="K100" s="11">
        <v>16866</v>
      </c>
      <c r="L100" s="13">
        <v>7.1999999999999995E-2</v>
      </c>
      <c r="M100" s="23">
        <f>ROUND(K100*(1-L100),0)</f>
        <v>15652</v>
      </c>
      <c r="N100" s="14">
        <v>0.70299999999999996</v>
      </c>
      <c r="O100" s="24">
        <f t="shared" ref="O100:O102" si="1014">M100*N100</f>
        <v>11003.356</v>
      </c>
      <c r="P100" s="13">
        <v>0.245</v>
      </c>
      <c r="Q100" s="24">
        <f t="shared" ref="Q100:Q102" si="1015">M100*P100</f>
        <v>3834.74</v>
      </c>
      <c r="R100" s="15">
        <v>5.1999999999999998E-2</v>
      </c>
      <c r="S100" s="112">
        <v>0.22220000000000001</v>
      </c>
      <c r="T100" s="24">
        <f t="shared" ref="T100:T102" si="1016">M100*R100</f>
        <v>813.904</v>
      </c>
      <c r="U100" s="25">
        <v>0.26200000000000001</v>
      </c>
      <c r="V100" s="24">
        <f t="shared" ref="V100:V102" si="1017">M100*U100</f>
        <v>4100.8240000000005</v>
      </c>
      <c r="W100" s="15">
        <v>0.46300000000000002</v>
      </c>
      <c r="X100" s="24">
        <f t="shared" ref="X100:X102" si="1018">M100*W100</f>
        <v>7246.8760000000002</v>
      </c>
      <c r="Y100" s="15">
        <v>0.4</v>
      </c>
      <c r="Z100" s="24">
        <f t="shared" ref="Z100:Z102" si="1019">Y100*M100</f>
        <v>6260.8</v>
      </c>
      <c r="AA100" s="116">
        <v>2.5699999999999998E-3</v>
      </c>
      <c r="AB100" s="18">
        <f t="shared" ref="AB100" si="1020">M100*AA100</f>
        <v>40.225639999999999</v>
      </c>
      <c r="AC100" s="16">
        <v>2.5699999999999998E-3</v>
      </c>
      <c r="AD100" s="17">
        <f t="shared" ref="AD100:AD102" si="1021">M100*AC100</f>
        <v>40.225639999999999</v>
      </c>
      <c r="AE100" s="26">
        <f>IF(M100&gt;0,(AG100+AP100)/M100,0)</f>
        <v>2.5770058139534882E-3</v>
      </c>
      <c r="AF100" s="16">
        <v>2.9999999999999997E-4</v>
      </c>
      <c r="AG100" s="23">
        <f t="shared" ref="AG100:AG102" si="1022">AF100*M100</f>
        <v>4.6955999999999998</v>
      </c>
      <c r="AH100" s="92">
        <v>0.2016</v>
      </c>
      <c r="AI100" s="29">
        <f t="shared" ref="AI100:AI102" si="1023">AL100*(1-AM100)*AH100</f>
        <v>33.939360000000001</v>
      </c>
      <c r="AJ100" s="27">
        <f t="shared" ref="AJ100:AJ102" si="1024">IF(AND(AH100&gt;0,AF100&gt;0,AC100&gt;0),((AC100-AF100)*AH100)/((AH100-AF100)*AC100),0)</f>
        <v>0.88458482896194202</v>
      </c>
      <c r="AK100" s="58">
        <f t="shared" si="672"/>
        <v>0.88483973334483934</v>
      </c>
      <c r="AL100" s="11">
        <v>185</v>
      </c>
      <c r="AM100" s="13">
        <v>0.09</v>
      </c>
      <c r="AN100" s="14">
        <v>0.2117</v>
      </c>
      <c r="AO100" s="101">
        <v>0.2157</v>
      </c>
      <c r="AP100" s="29">
        <f>AL100*(1-AM100)*AN100</f>
        <v>35.639694999999996</v>
      </c>
      <c r="AQ100" s="102">
        <f t="shared" ref="AQ100" si="1025">AL100*(1-AM100)*AO100</f>
        <v>36.313094999999997</v>
      </c>
      <c r="AR100" s="18">
        <v>1.55</v>
      </c>
      <c r="AS100" s="18">
        <v>511.14</v>
      </c>
      <c r="AT100" s="79">
        <f>AT98+AL100-AS100+AU100</f>
        <v>216.27999999999867</v>
      </c>
      <c r="AU100" s="134">
        <v>20.18</v>
      </c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53</v>
      </c>
      <c r="D101" s="33">
        <v>22400</v>
      </c>
      <c r="E101" s="33">
        <v>6</v>
      </c>
      <c r="F101" s="33">
        <v>15705</v>
      </c>
      <c r="G101" s="34">
        <v>2.7</v>
      </c>
      <c r="H101" s="34">
        <v>8</v>
      </c>
      <c r="I101" s="33">
        <v>16192</v>
      </c>
      <c r="J101" s="34">
        <v>5.7</v>
      </c>
      <c r="K101" s="33">
        <v>17206</v>
      </c>
      <c r="L101" s="35">
        <v>6.9000000000000006E-2</v>
      </c>
      <c r="M101" s="36">
        <f>ROUND(K101*(1-L101),0)</f>
        <v>16019</v>
      </c>
      <c r="N101" s="37">
        <v>0.56200000000000006</v>
      </c>
      <c r="O101" s="24">
        <f t="shared" si="1014"/>
        <v>9002.6780000000017</v>
      </c>
      <c r="P101" s="35">
        <v>0.248</v>
      </c>
      <c r="Q101" s="24">
        <f t="shared" si="1015"/>
        <v>3972.712</v>
      </c>
      <c r="R101" s="38">
        <v>0.19</v>
      </c>
      <c r="S101" s="105">
        <v>0.25209999999999999</v>
      </c>
      <c r="T101" s="24">
        <f t="shared" si="1016"/>
        <v>3043.61</v>
      </c>
      <c r="U101" s="27">
        <v>0.26500000000000001</v>
      </c>
      <c r="V101" s="24">
        <f t="shared" si="1017"/>
        <v>4245.0349999999999</v>
      </c>
      <c r="W101" s="38">
        <v>0.46600000000000003</v>
      </c>
      <c r="X101" s="24">
        <f t="shared" si="1018"/>
        <v>7464.8540000000003</v>
      </c>
      <c r="Y101" s="38">
        <v>0.41</v>
      </c>
      <c r="Z101" s="24">
        <f t="shared" si="1019"/>
        <v>6567.79</v>
      </c>
      <c r="AA101" s="117">
        <v>2.4199999999999998E-3</v>
      </c>
      <c r="AB101" s="18">
        <f t="shared" si="756"/>
        <v>38.765979999999999</v>
      </c>
      <c r="AC101" s="39">
        <v>2.4599999999999999E-3</v>
      </c>
      <c r="AD101" s="17">
        <f t="shared" si="1021"/>
        <v>39.406739999999999</v>
      </c>
      <c r="AE101" s="26">
        <f>IF(M101&gt;0,(AG101+AP101)/M101,0)</f>
        <v>2.4367388226481058E-3</v>
      </c>
      <c r="AF101" s="39">
        <v>3.1E-4</v>
      </c>
      <c r="AG101" s="36">
        <f t="shared" si="1022"/>
        <v>4.9658899999999999</v>
      </c>
      <c r="AH101" s="27">
        <v>0.20380000000000001</v>
      </c>
      <c r="AI101" s="40">
        <f t="shared" si="1023"/>
        <v>31.863722400000004</v>
      </c>
      <c r="AJ101" s="27">
        <f t="shared" si="1024"/>
        <v>0.8753151809861015</v>
      </c>
      <c r="AK101" s="28">
        <f t="shared" si="672"/>
        <v>0.87402423395999884</v>
      </c>
      <c r="AL101" s="33">
        <v>172</v>
      </c>
      <c r="AM101" s="35">
        <v>9.0999999999999998E-2</v>
      </c>
      <c r="AN101" s="37">
        <v>0.21790000000000001</v>
      </c>
      <c r="AO101" s="103">
        <v>0.2213</v>
      </c>
      <c r="AP101" s="40">
        <f>AL101*(1-AM101)*AN101</f>
        <v>34.068229200000005</v>
      </c>
      <c r="AQ101" s="104">
        <f t="shared" si="717"/>
        <v>34.599812400000005</v>
      </c>
      <c r="AR101" s="41">
        <v>1.6</v>
      </c>
      <c r="AS101" s="41"/>
      <c r="AT101" s="129">
        <f>AT100+AL101-AS101</f>
        <v>388.27999999999867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0" t="s">
        <v>54</v>
      </c>
      <c r="D102" s="42">
        <v>19600</v>
      </c>
      <c r="E102" s="42">
        <v>1</v>
      </c>
      <c r="F102" s="42">
        <v>14231</v>
      </c>
      <c r="G102" s="36">
        <v>1.5</v>
      </c>
      <c r="H102" s="36">
        <v>7.5</v>
      </c>
      <c r="I102" s="42">
        <v>14409</v>
      </c>
      <c r="J102" s="36">
        <v>6.7</v>
      </c>
      <c r="K102" s="42">
        <v>17254</v>
      </c>
      <c r="L102" s="38">
        <v>6.6000000000000003E-2</v>
      </c>
      <c r="M102" s="36">
        <f>ROUND(K102*(1-L102),0)</f>
        <v>16115</v>
      </c>
      <c r="N102" s="27">
        <v>0.61499999999999999</v>
      </c>
      <c r="O102" s="24">
        <f t="shared" si="1014"/>
        <v>9910.7250000000004</v>
      </c>
      <c r="P102" s="38">
        <v>0.33</v>
      </c>
      <c r="Q102" s="24">
        <f t="shared" si="1015"/>
        <v>5317.95</v>
      </c>
      <c r="R102" s="38">
        <v>5.5E-2</v>
      </c>
      <c r="S102" s="105">
        <v>0.23269999999999999</v>
      </c>
      <c r="T102" s="24">
        <f t="shared" si="1016"/>
        <v>886.32500000000005</v>
      </c>
      <c r="U102" s="27">
        <v>0.25800000000000001</v>
      </c>
      <c r="V102" s="24">
        <f t="shared" si="1017"/>
        <v>4157.67</v>
      </c>
      <c r="W102" s="38">
        <v>0.48</v>
      </c>
      <c r="X102" s="24">
        <f t="shared" si="1018"/>
        <v>7735.2</v>
      </c>
      <c r="Y102" s="38">
        <v>0.41</v>
      </c>
      <c r="Z102" s="24">
        <f t="shared" si="1019"/>
        <v>6607.15</v>
      </c>
      <c r="AA102" s="118">
        <v>2.49E-3</v>
      </c>
      <c r="AB102" s="121">
        <f t="shared" si="756"/>
        <v>40.126350000000002</v>
      </c>
      <c r="AC102" s="45">
        <v>2.5600000000000002E-3</v>
      </c>
      <c r="AD102" s="17">
        <f t="shared" si="1021"/>
        <v>41.254400000000004</v>
      </c>
      <c r="AE102" s="26">
        <f>IF(M102&gt;0,(AG102+AP102)/M102,0)</f>
        <v>2.5093556624263109E-3</v>
      </c>
      <c r="AF102" s="45">
        <v>3.1E-4</v>
      </c>
      <c r="AG102" s="36">
        <f t="shared" si="1022"/>
        <v>4.9956500000000004</v>
      </c>
      <c r="AH102" s="27">
        <v>0.19489999999999999</v>
      </c>
      <c r="AI102" s="40">
        <f t="shared" si="1023"/>
        <v>34.4183655</v>
      </c>
      <c r="AJ102" s="27">
        <f t="shared" si="1024"/>
        <v>0.88030642954416993</v>
      </c>
      <c r="AK102" s="28">
        <f t="shared" si="672"/>
        <v>0.87781818339701656</v>
      </c>
      <c r="AL102" s="42">
        <v>193</v>
      </c>
      <c r="AM102" s="38">
        <v>8.5000000000000006E-2</v>
      </c>
      <c r="AN102" s="27">
        <v>0.20069999999999999</v>
      </c>
      <c r="AO102" s="105">
        <v>0.20930000000000001</v>
      </c>
      <c r="AP102" s="40">
        <f>AL102*(1-AM102)*AN102</f>
        <v>35.4426165</v>
      </c>
      <c r="AQ102" s="106">
        <f t="shared" si="717"/>
        <v>36.961333500000002</v>
      </c>
      <c r="AR102" s="17">
        <v>1.55</v>
      </c>
      <c r="AS102" s="17"/>
      <c r="AT102" s="129">
        <f>AT101+AL102-AS102</f>
        <v>581.27999999999861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26">SUM(D100:D102)</f>
        <v>45685</v>
      </c>
      <c r="E103" s="49"/>
      <c r="F103" s="49">
        <f t="shared" ref="F103" si="1027">SUM(F100:F102)</f>
        <v>45727</v>
      </c>
      <c r="G103" s="50"/>
      <c r="H103" s="50"/>
      <c r="I103" s="49">
        <f t="shared" ref="I103:K103" si="1028">SUM(I100:I102)</f>
        <v>47209</v>
      </c>
      <c r="J103" s="50"/>
      <c r="K103" s="49">
        <f t="shared" si="1028"/>
        <v>51326</v>
      </c>
      <c r="L103" s="20">
        <f t="shared" ref="L103" si="1029">IF(K103&gt;0,(K100*L100+K101*L101+K102*L102)/K103,0)</f>
        <v>6.8977321435529745E-2</v>
      </c>
      <c r="M103" s="50">
        <f t="shared" ref="M103" si="1030">M100+M101+M102</f>
        <v>47786</v>
      </c>
      <c r="N103" s="51">
        <f t="shared" ref="N103" si="1031">IF(M103&gt;0,O103/M103,0)</f>
        <v>0.62605698321684167</v>
      </c>
      <c r="O103" s="52">
        <f t="shared" ref="O103" si="1032">O100+O101+O102</f>
        <v>29916.758999999998</v>
      </c>
      <c r="P103" s="20">
        <f t="shared" ref="P103" si="1033">IF(M103&gt;0,Q103/M103,0)</f>
        <v>0.2746704474113757</v>
      </c>
      <c r="Q103" s="52">
        <f t="shared" ref="Q103" si="1034">Q100+Q101+Q102</f>
        <v>13125.401999999998</v>
      </c>
      <c r="R103" s="20">
        <f t="shared" ref="R103" si="1035">IF(M103&gt;0,T103/M103,0)</f>
        <v>9.9272569371782526E-2</v>
      </c>
      <c r="S103" s="107"/>
      <c r="T103" s="52">
        <f t="shared" ref="T103" si="1036">T100+T101+T102</f>
        <v>4743.8389999999999</v>
      </c>
      <c r="U103" s="20">
        <f t="shared" ref="U103" si="1037">IF(M103&gt;0,V103/M103,0)</f>
        <v>0.26165674046791948</v>
      </c>
      <c r="V103" s="52">
        <f t="shared" ref="V103" si="1038">V100+V101+V102</f>
        <v>12503.529</v>
      </c>
      <c r="W103" s="20">
        <f t="shared" ref="W103" si="1039">IF(M103&gt;0,X103/M103,0)</f>
        <v>0.469738626375926</v>
      </c>
      <c r="X103" s="52">
        <f t="shared" ref="X103" si="1040">X100+X101+X102</f>
        <v>22446.93</v>
      </c>
      <c r="Y103" s="20">
        <f t="shared" ref="Y103" si="1041">IF(M103&gt;0,Z103/M103,0)</f>
        <v>0.4067245636797388</v>
      </c>
      <c r="Z103" s="52">
        <f t="shared" ref="Z103" si="1042">Z100+Z101+Z102</f>
        <v>19435.739999999998</v>
      </c>
      <c r="AA103" s="119">
        <f t="shared" ref="AA103" si="1043">IF(M103&gt;0,AB103/M103,0)</f>
        <v>2.4927378311639394E-3</v>
      </c>
      <c r="AB103" s="54">
        <f t="shared" ref="AB103" si="1044">SUM(AB100:AB102)</f>
        <v>119.11797</v>
      </c>
      <c r="AC103" s="53">
        <f t="shared" ref="AC103" si="1045">IF(M103&gt;0,AD103/M103,0)</f>
        <v>2.5297530657514755E-3</v>
      </c>
      <c r="AD103" s="54">
        <f t="shared" ref="AD103" si="1046">SUM(AD100:AD102)</f>
        <v>120.88678</v>
      </c>
      <c r="AE103" s="53">
        <f t="shared" ref="AE103" si="1047">IF(M103&gt;0,(AE100*M100+AE101*M101+AE102*M102)/M103,0)</f>
        <v>2.5071711526388481E-3</v>
      </c>
      <c r="AF103" s="53">
        <f t="shared" ref="AF103" si="1048">IF(K103&gt;0,(K100*AF100+K101*AF101+K102*AF102)/K103,0)</f>
        <v>3.0671394614815105E-4</v>
      </c>
      <c r="AG103" s="50">
        <f t="shared" ref="AG103" si="1049">SUM(AG100:AG102)</f>
        <v>14.657140000000002</v>
      </c>
      <c r="AH103" s="51">
        <f t="shared" ref="AH103" si="1050">IF(K103&gt;0,(K100*AH100+K101*AH101+K102*AH102)/K103,0)</f>
        <v>0.20008520048318593</v>
      </c>
      <c r="AI103" s="56">
        <f t="shared" ref="AI103" si="1051">SUM(AI100:AI102)</f>
        <v>100.22144790000002</v>
      </c>
      <c r="AJ103" s="51">
        <f t="shared" ref="AJ103" si="1052">IF(AND(AD103&gt;0),((AD100*AJ100+AD101*AJ101+AD102*AJ102)/AD103),0)</f>
        <v>0.88010303691970193</v>
      </c>
      <c r="AK103" s="55">
        <f t="shared" si="672"/>
        <v>0.87894858303019574</v>
      </c>
      <c r="AL103" s="49">
        <f t="shared" ref="AL103" si="1053">SUM(AL100:AL102)</f>
        <v>550</v>
      </c>
      <c r="AM103" s="20">
        <f t="shared" ref="AM103" si="1054">IF(AL103&gt;0,(AM100*AL100+AM101*AL101+AM102*AL102)/AL103,0)</f>
        <v>8.8558181818181814E-2</v>
      </c>
      <c r="AN103" s="51">
        <f>IF(K103&gt;0,(AN100*K100+AN101*K101+AN102*K102)/K103,0)</f>
        <v>0.21008061021704399</v>
      </c>
      <c r="AO103" s="107">
        <f>IF(L103&gt;0,(AO100*K100+AO101*K101+AO102*K102)/K103,0)</f>
        <v>0.21542583096286483</v>
      </c>
      <c r="AP103" s="56">
        <f t="shared" ref="AP103" si="1055">SUM(AP100:AP102)</f>
        <v>105.15054070000001</v>
      </c>
      <c r="AQ103" s="108">
        <f t="shared" si="923"/>
        <v>107.87424089999999</v>
      </c>
      <c r="AR103" s="54"/>
      <c r="AS103" s="54">
        <f t="shared" ref="AS103" si="1056">SUM(AS100:AS102)</f>
        <v>511.14</v>
      </c>
      <c r="AT103" s="136"/>
      <c r="AU103" s="84">
        <f>AT102</f>
        <v>581.27999999999861</v>
      </c>
      <c r="AV103" s="49">
        <f t="shared" ref="AV103" si="1057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0" t="s">
        <v>59</v>
      </c>
      <c r="D104" s="11">
        <v>1862</v>
      </c>
      <c r="E104" s="11">
        <v>0</v>
      </c>
      <c r="F104" s="11">
        <v>11871</v>
      </c>
      <c r="G104" s="12">
        <v>0.5</v>
      </c>
      <c r="H104" s="12">
        <v>5.5</v>
      </c>
      <c r="I104" s="11">
        <v>11988</v>
      </c>
      <c r="J104" s="12">
        <v>8</v>
      </c>
      <c r="K104" s="11">
        <v>17528</v>
      </c>
      <c r="L104" s="13">
        <v>7.0000000000000007E-2</v>
      </c>
      <c r="M104" s="23">
        <f>ROUND(K104*(1-L104),0)</f>
        <v>16301</v>
      </c>
      <c r="N104" s="14">
        <v>0.59699999999999998</v>
      </c>
      <c r="O104" s="24">
        <f t="shared" ref="O104:O106" si="1058">M104*N104</f>
        <v>9731.6970000000001</v>
      </c>
      <c r="P104" s="13">
        <v>0.246</v>
      </c>
      <c r="Q104" s="24">
        <f t="shared" ref="Q104:Q106" si="1059">M104*P104</f>
        <v>4010.0459999999998</v>
      </c>
      <c r="R104" s="15">
        <v>0.157</v>
      </c>
      <c r="S104" s="112">
        <v>0.26769999999999999</v>
      </c>
      <c r="T104" s="24">
        <f t="shared" ref="T104:T106" si="1060">M104*R104</f>
        <v>2559.2570000000001</v>
      </c>
      <c r="U104" s="25">
        <v>0.26300000000000001</v>
      </c>
      <c r="V104" s="24">
        <f t="shared" ref="V104:V106" si="1061">M104*U104</f>
        <v>4287.1630000000005</v>
      </c>
      <c r="W104" s="15">
        <v>0.48399999999999999</v>
      </c>
      <c r="X104" s="24">
        <f t="shared" ref="X104:X106" si="1062">M104*W104</f>
        <v>7889.6840000000002</v>
      </c>
      <c r="Y104" s="15">
        <v>0.42</v>
      </c>
      <c r="Z104" s="24">
        <f t="shared" ref="Z104:Z106" si="1063">Y104*M104</f>
        <v>6846.42</v>
      </c>
      <c r="AA104" s="116">
        <v>2.4199999999999998E-3</v>
      </c>
      <c r="AB104" s="18">
        <f t="shared" ref="AB104" si="1064">M104*AA104</f>
        <v>39.448419999999999</v>
      </c>
      <c r="AC104" s="16">
        <v>2.3999999999999998E-3</v>
      </c>
      <c r="AD104" s="17">
        <f t="shared" ref="AD104:AD106" si="1065">M104*AC104</f>
        <v>39.122399999999999</v>
      </c>
      <c r="AE104" s="26">
        <f>IF(M104&gt;0,(AG104+AP104)/M104,0)</f>
        <v>2.4190612600453964E-3</v>
      </c>
      <c r="AF104" s="16">
        <v>3.2000000000000003E-4</v>
      </c>
      <c r="AG104" s="23">
        <f t="shared" ref="AG104:AG106" si="1066">AF104*M104</f>
        <v>5.2163200000000005</v>
      </c>
      <c r="AH104" s="92">
        <v>0.2064</v>
      </c>
      <c r="AI104" s="29">
        <f t="shared" ref="AI104:AI106" si="1067">AL104*(1-AM104)*AH104</f>
        <v>33.7265856</v>
      </c>
      <c r="AJ104" s="27">
        <f t="shared" ref="AJ104:AJ106" si="1068">IF(AND(AH104&gt;0,AF104&gt;0,AC104&gt;0),((AC104-AF104)*AH104)/((AH104-AF104)*AC104),0)</f>
        <v>0.86801242236024834</v>
      </c>
      <c r="AK104" s="58">
        <f t="shared" si="672"/>
        <v>0.86904533537333906</v>
      </c>
      <c r="AL104" s="11">
        <v>178</v>
      </c>
      <c r="AM104" s="13">
        <v>8.2000000000000003E-2</v>
      </c>
      <c r="AN104" s="14">
        <v>0.2094</v>
      </c>
      <c r="AO104" s="101">
        <v>0.21829999999999999</v>
      </c>
      <c r="AP104" s="29">
        <f>AL104*(1-AM104)*AN104</f>
        <v>34.2167976</v>
      </c>
      <c r="AQ104" s="102">
        <f t="shared" ref="AQ104" si="1069">AL104*(1-AM104)*AO104</f>
        <v>35.671093200000001</v>
      </c>
      <c r="AR104" s="18">
        <v>1.5</v>
      </c>
      <c r="AS104" s="18">
        <v>499.8</v>
      </c>
      <c r="AT104" s="79">
        <f>AT102+AL104-AS104+AU104</f>
        <v>284.33999999999861</v>
      </c>
      <c r="AU104" s="80">
        <v>24.86</v>
      </c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43" t="s">
        <v>57</v>
      </c>
      <c r="D105" s="33">
        <v>18700</v>
      </c>
      <c r="E105" s="33">
        <v>5</v>
      </c>
      <c r="F105" s="33">
        <v>14933</v>
      </c>
      <c r="G105" s="34">
        <v>1.7</v>
      </c>
      <c r="H105" s="34">
        <v>7</v>
      </c>
      <c r="I105" s="33">
        <v>14369</v>
      </c>
      <c r="J105" s="34">
        <v>7.4</v>
      </c>
      <c r="K105" s="33">
        <v>17235</v>
      </c>
      <c r="L105" s="35">
        <v>7.4999999999999997E-2</v>
      </c>
      <c r="M105" s="36">
        <f>ROUND(K105*(1-L105),0)</f>
        <v>15942</v>
      </c>
      <c r="N105" s="37">
        <v>0.55400000000000005</v>
      </c>
      <c r="O105" s="24">
        <f t="shared" si="1058"/>
        <v>8831.8680000000004</v>
      </c>
      <c r="P105" s="35">
        <v>0.34799999999999998</v>
      </c>
      <c r="Q105" s="24">
        <f t="shared" si="1059"/>
        <v>5547.8159999999998</v>
      </c>
      <c r="R105" s="38">
        <v>9.8000000000000004E-2</v>
      </c>
      <c r="S105" s="105">
        <v>0.23119999999999999</v>
      </c>
      <c r="T105" s="24">
        <f t="shared" si="1060"/>
        <v>1562.316</v>
      </c>
      <c r="U105" s="27">
        <v>0.26300000000000001</v>
      </c>
      <c r="V105" s="24">
        <f t="shared" si="1061"/>
        <v>4192.7460000000001</v>
      </c>
      <c r="W105" s="38">
        <v>0.46700000000000003</v>
      </c>
      <c r="X105" s="24">
        <f t="shared" si="1062"/>
        <v>7444.9140000000007</v>
      </c>
      <c r="Y105" s="38">
        <v>0.42</v>
      </c>
      <c r="Z105" s="24">
        <f t="shared" si="1063"/>
        <v>6695.6399999999994</v>
      </c>
      <c r="AA105" s="117">
        <v>2.5200000000000001E-3</v>
      </c>
      <c r="AB105" s="18">
        <f t="shared" si="756"/>
        <v>40.173839999999998</v>
      </c>
      <c r="AC105" s="39">
        <v>2.4099999999999998E-3</v>
      </c>
      <c r="AD105" s="17">
        <f t="shared" si="1065"/>
        <v>38.42022</v>
      </c>
      <c r="AE105" s="26">
        <f>IF(M105&gt;0,(AG105+AP105)/M105,0)</f>
        <v>2.6323293187805788E-3</v>
      </c>
      <c r="AF105" s="39">
        <v>3.2000000000000003E-4</v>
      </c>
      <c r="AG105" s="36">
        <f t="shared" si="1066"/>
        <v>5.1014400000000002</v>
      </c>
      <c r="AH105" s="27">
        <v>0.1993</v>
      </c>
      <c r="AI105" s="40">
        <f t="shared" si="1067"/>
        <v>33.918866999999999</v>
      </c>
      <c r="AJ105" s="27">
        <f t="shared" si="1068"/>
        <v>0.86861458166941852</v>
      </c>
      <c r="AK105" s="28">
        <f t="shared" si="672"/>
        <v>0.87973436316847076</v>
      </c>
      <c r="AL105" s="33">
        <v>186</v>
      </c>
      <c r="AM105" s="35">
        <v>8.5000000000000006E-2</v>
      </c>
      <c r="AN105" s="37">
        <v>0.21659999999999999</v>
      </c>
      <c r="AO105" s="103">
        <v>0.217</v>
      </c>
      <c r="AP105" s="40">
        <f>AL105*(1-AM105)*AN105</f>
        <v>36.863153999999994</v>
      </c>
      <c r="AQ105" s="104">
        <f t="shared" si="717"/>
        <v>36.931229999999999</v>
      </c>
      <c r="AR105" s="41">
        <v>1.5</v>
      </c>
      <c r="AS105" s="41"/>
      <c r="AT105" s="129">
        <f>AT104+AL105-AS105</f>
        <v>470.33999999999861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0" t="s">
        <v>54</v>
      </c>
      <c r="D106" s="42">
        <v>19339</v>
      </c>
      <c r="E106" s="42">
        <v>0</v>
      </c>
      <c r="F106" s="42">
        <v>16197</v>
      </c>
      <c r="G106" s="36">
        <v>1.8</v>
      </c>
      <c r="H106" s="36">
        <v>6.6</v>
      </c>
      <c r="I106" s="42">
        <v>15789</v>
      </c>
      <c r="J106" s="36">
        <v>7.5</v>
      </c>
      <c r="K106" s="42">
        <v>17328</v>
      </c>
      <c r="L106" s="38">
        <v>6.9000000000000006E-2</v>
      </c>
      <c r="M106" s="36">
        <f>ROUND(K106*(1-L106),0)</f>
        <v>16132</v>
      </c>
      <c r="N106" s="27">
        <v>0.58599999999999997</v>
      </c>
      <c r="O106" s="24">
        <f t="shared" si="1058"/>
        <v>9453.351999999999</v>
      </c>
      <c r="P106" s="38">
        <v>0.34200000000000003</v>
      </c>
      <c r="Q106" s="24">
        <f t="shared" si="1059"/>
        <v>5517.1440000000002</v>
      </c>
      <c r="R106" s="38">
        <v>7.1999999999999995E-2</v>
      </c>
      <c r="S106" s="105">
        <v>0.25569999999999998</v>
      </c>
      <c r="T106" s="24">
        <f t="shared" si="1060"/>
        <v>1161.5039999999999</v>
      </c>
      <c r="U106" s="27">
        <v>0.28000000000000003</v>
      </c>
      <c r="V106" s="24">
        <f t="shared" si="1061"/>
        <v>4516.96</v>
      </c>
      <c r="W106" s="38">
        <v>0.44700000000000001</v>
      </c>
      <c r="X106" s="24">
        <f t="shared" si="1062"/>
        <v>7211.0039999999999</v>
      </c>
      <c r="Y106" s="38">
        <v>0.42</v>
      </c>
      <c r="Z106" s="24">
        <f t="shared" si="1063"/>
        <v>6775.44</v>
      </c>
      <c r="AA106" s="118">
        <v>2.4499999999999999E-3</v>
      </c>
      <c r="AB106" s="121">
        <f t="shared" si="756"/>
        <v>39.523399999999995</v>
      </c>
      <c r="AC106" s="45">
        <v>2.3500000000000001E-3</v>
      </c>
      <c r="AD106" s="17">
        <f t="shared" si="1065"/>
        <v>37.910200000000003</v>
      </c>
      <c r="AE106" s="26">
        <f>IF(M106&gt;0,(AG106+AP106)/M106,0)</f>
        <v>2.4742271014133394E-3</v>
      </c>
      <c r="AF106" s="45">
        <v>3.2000000000000003E-4</v>
      </c>
      <c r="AG106" s="36">
        <f t="shared" si="1066"/>
        <v>5.1622400000000006</v>
      </c>
      <c r="AH106" s="27">
        <v>0.19320000000000001</v>
      </c>
      <c r="AI106" s="40">
        <f t="shared" si="1067"/>
        <v>33.8753016</v>
      </c>
      <c r="AJ106" s="27">
        <f t="shared" si="1068"/>
        <v>0.86526293495239015</v>
      </c>
      <c r="AK106" s="28">
        <f t="shared" si="672"/>
        <v>0.87207467360702895</v>
      </c>
      <c r="AL106" s="42">
        <v>191</v>
      </c>
      <c r="AM106" s="38">
        <v>8.2000000000000003E-2</v>
      </c>
      <c r="AN106" s="27">
        <v>0.19819999999999999</v>
      </c>
      <c r="AO106" s="105">
        <v>0.20419999999999999</v>
      </c>
      <c r="AP106" s="40">
        <f>AL106*(1-AM106)*AN106</f>
        <v>34.751991599999997</v>
      </c>
      <c r="AQ106" s="106">
        <f t="shared" si="717"/>
        <v>35.804019599999997</v>
      </c>
      <c r="AR106" s="17">
        <v>1.52</v>
      </c>
      <c r="AS106" s="17"/>
      <c r="AT106" s="129">
        <f>AT105+AL106-AS106</f>
        <v>661.33999999999855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70">SUM(D104:D106)</f>
        <v>39901</v>
      </c>
      <c r="E107" s="49"/>
      <c r="F107" s="49">
        <f t="shared" ref="F107" si="1071">SUM(F104:F106)</f>
        <v>43001</v>
      </c>
      <c r="G107" s="50"/>
      <c r="H107" s="50"/>
      <c r="I107" s="49">
        <f t="shared" ref="I107:K107" si="1072">SUM(I104:I106)</f>
        <v>42146</v>
      </c>
      <c r="J107" s="50"/>
      <c r="K107" s="49">
        <f t="shared" si="1072"/>
        <v>52091</v>
      </c>
      <c r="L107" s="20">
        <f t="shared" ref="L107" si="1073">IF(K107&gt;0,(K104*L104+K105*L105+K106*L106)/K107,0)</f>
        <v>7.1321667850492404E-2</v>
      </c>
      <c r="M107" s="50">
        <f t="shared" ref="M107" si="1074">M104+M105+M106</f>
        <v>48375</v>
      </c>
      <c r="N107" s="51">
        <f t="shared" ref="N107" si="1075">IF(M107&gt;0,O107/M107,0)</f>
        <v>0.57916107493540059</v>
      </c>
      <c r="O107" s="52">
        <f t="shared" ref="O107" si="1076">O104+O105+O106</f>
        <v>28016.917000000001</v>
      </c>
      <c r="P107" s="20">
        <f t="shared" ref="P107" si="1077">IF(M107&gt;0,Q107/M107,0)</f>
        <v>0.31162803100775194</v>
      </c>
      <c r="Q107" s="52">
        <f t="shared" ref="Q107" si="1078">Q104+Q105+Q106</f>
        <v>15075.005999999999</v>
      </c>
      <c r="R107" s="20">
        <f t="shared" ref="R107" si="1079">IF(M107&gt;0,T107/M107,0)</f>
        <v>0.10921089405684754</v>
      </c>
      <c r="S107" s="107"/>
      <c r="T107" s="52">
        <f t="shared" ref="T107" si="1080">T104+T105+T106</f>
        <v>5283.0770000000002</v>
      </c>
      <c r="U107" s="20">
        <f t="shared" ref="U107" si="1081">IF(M107&gt;0,V107/M107,0)</f>
        <v>0.26866912661498704</v>
      </c>
      <c r="V107" s="52">
        <f t="shared" ref="V107" si="1082">V104+V105+V106</f>
        <v>12996.868999999999</v>
      </c>
      <c r="W107" s="20">
        <f t="shared" ref="W107" si="1083">IF(M107&gt;0,X107/M107,0)</f>
        <v>0.46605895607235148</v>
      </c>
      <c r="X107" s="52">
        <f t="shared" ref="X107" si="1084">X104+X105+X106</f>
        <v>22545.602000000003</v>
      </c>
      <c r="Y107" s="20">
        <f t="shared" ref="Y107" si="1085">IF(M107&gt;0,Z107/M107,0)</f>
        <v>0.42</v>
      </c>
      <c r="Z107" s="52">
        <f t="shared" ref="Z107" si="1086">Z104+Z105+Z106</f>
        <v>20317.5</v>
      </c>
      <c r="AA107" s="119">
        <f t="shared" ref="AA107" si="1087">IF(M107&gt;0,AB107/M107,0)</f>
        <v>2.4629593798449613E-3</v>
      </c>
      <c r="AB107" s="54">
        <f t="shared" ref="AB107" si="1088">SUM(AB104:AB106)</f>
        <v>119.14565999999999</v>
      </c>
      <c r="AC107" s="53">
        <f t="shared" ref="AC107" si="1089">IF(M107&gt;0,AD107/M107,0)</f>
        <v>2.3866216020671837E-3</v>
      </c>
      <c r="AD107" s="54">
        <f t="shared" ref="AD107" si="1090">SUM(AD104:AD106)</f>
        <v>115.45282</v>
      </c>
      <c r="AE107" s="53">
        <f t="shared" ref="AE107" si="1091">IF(M107&gt;0,(AE104*M104+AE105*M105+AE106*M106)/M107,0)</f>
        <v>2.5077404279069764E-3</v>
      </c>
      <c r="AF107" s="53">
        <f t="shared" ref="AF107" si="1092">IF(K107&gt;0,(K104*AF104+K105*AF105+K106*AF106)/K107,0)</f>
        <v>3.1999999999999997E-4</v>
      </c>
      <c r="AG107" s="50">
        <f t="shared" ref="AG107" si="1093">SUM(AG104:AG106)</f>
        <v>15.48</v>
      </c>
      <c r="AH107" s="51">
        <f t="shared" ref="AH107" si="1094">IF(K107&gt;0,(K104*AH104+K105*AH105+K106*AH106)/K107,0)</f>
        <v>0.19965990862145092</v>
      </c>
      <c r="AI107" s="56">
        <f t="shared" ref="AI107" si="1095">SUM(AI104:AI106)</f>
        <v>101.5207542</v>
      </c>
      <c r="AJ107" s="51">
        <f t="shared" ref="AJ107" si="1096">IF(AND(AD107&gt;0),((AD104*AJ104+AD105*AJ105+AD106*AJ106)/AD107),0)</f>
        <v>0.86730998369832535</v>
      </c>
      <c r="AK107" s="55">
        <f t="shared" si="672"/>
        <v>0.87373893503367128</v>
      </c>
      <c r="AL107" s="49">
        <f t="shared" ref="AL107" si="1097">SUM(AL104:AL106)</f>
        <v>555</v>
      </c>
      <c r="AM107" s="20">
        <f t="shared" ref="AM107" si="1098">IF(AL107&gt;0,(AM104*AL104+AM105*AL105+AM106*AL106)/AL107,0)</f>
        <v>8.3005405405405408E-2</v>
      </c>
      <c r="AN107" s="51">
        <f>IF(K107&gt;0,(AN104*K104+AN105*K105+AN106*K106)/K107,0)</f>
        <v>0.20805655103568757</v>
      </c>
      <c r="AO107" s="107">
        <f>IF(L107&gt;0,(AO104*K104+AO105*K105+AO106*K106)/K107,0)</f>
        <v>0.2131795319728936</v>
      </c>
      <c r="AP107" s="56">
        <f t="shared" ref="AP107:AQ115" si="1099">SUM(AP104:AP106)</f>
        <v>105.83194319999998</v>
      </c>
      <c r="AQ107" s="108">
        <f t="shared" si="1099"/>
        <v>108.4063428</v>
      </c>
      <c r="AR107" s="54"/>
      <c r="AS107" s="54">
        <f t="shared" ref="AS107" si="1100">SUM(AS104:AS106)</f>
        <v>499.8</v>
      </c>
      <c r="AT107" s="83"/>
      <c r="AU107" s="84">
        <f>AT106</f>
        <v>661.33999999999855</v>
      </c>
      <c r="AV107" s="49">
        <f t="shared" ref="AV107" si="1101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59</v>
      </c>
      <c r="D108" s="11">
        <v>3479</v>
      </c>
      <c r="E108" s="11">
        <v>1</v>
      </c>
      <c r="F108" s="11">
        <v>15283</v>
      </c>
      <c r="G108" s="12">
        <v>1.3</v>
      </c>
      <c r="H108" s="12">
        <v>5.6</v>
      </c>
      <c r="I108" s="11">
        <v>15777</v>
      </c>
      <c r="J108" s="12">
        <v>7.8</v>
      </c>
      <c r="K108" s="11">
        <v>17555</v>
      </c>
      <c r="L108" s="13">
        <v>7.1999999999999995E-2</v>
      </c>
      <c r="M108" s="23">
        <f>ROUND(K108*(1-L108),0)</f>
        <v>16291</v>
      </c>
      <c r="N108" s="14">
        <v>0.68100000000000005</v>
      </c>
      <c r="O108" s="24">
        <f t="shared" ref="O108:O110" si="1102">M108*N108</f>
        <v>11094.171</v>
      </c>
      <c r="P108" s="13">
        <v>0.22700000000000001</v>
      </c>
      <c r="Q108" s="24">
        <f t="shared" ref="Q108:Q110" si="1103">M108*P108</f>
        <v>3698.0570000000002</v>
      </c>
      <c r="R108" s="15">
        <v>9.1999999999999998E-2</v>
      </c>
      <c r="S108" s="112">
        <v>0.23960000000000001</v>
      </c>
      <c r="T108" s="24">
        <f t="shared" ref="T108:T110" si="1104">M108*R108</f>
        <v>1498.7719999999999</v>
      </c>
      <c r="U108" s="25">
        <v>0.26300000000000001</v>
      </c>
      <c r="V108" s="24">
        <f t="shared" ref="V108:V110" si="1105">M108*U108</f>
        <v>4284.5330000000004</v>
      </c>
      <c r="W108" s="15">
        <v>0.45850000000000002</v>
      </c>
      <c r="X108" s="24">
        <f t="shared" ref="X108:X110" si="1106">M108*W108</f>
        <v>7469.4234999999999</v>
      </c>
      <c r="Y108" s="15">
        <v>0.42</v>
      </c>
      <c r="Z108" s="24">
        <f t="shared" ref="Z108:Z110" si="1107">Y108*M108</f>
        <v>6842.2199999999993</v>
      </c>
      <c r="AA108" s="116">
        <v>2.3600000000000001E-3</v>
      </c>
      <c r="AB108" s="18">
        <f t="shared" ref="AB108" si="1108">M108*AA108</f>
        <v>38.446760000000005</v>
      </c>
      <c r="AC108" s="16">
        <v>2.3900000000000002E-3</v>
      </c>
      <c r="AD108" s="17">
        <f t="shared" ref="AD108:AD110" si="1109">M108*AC108</f>
        <v>38.935490000000001</v>
      </c>
      <c r="AE108" s="26">
        <f>IF(M108&gt;0,(AG108+AP108)/M108,0)</f>
        <v>2.4007632435086861E-3</v>
      </c>
      <c r="AF108" s="16">
        <v>2.9E-4</v>
      </c>
      <c r="AG108" s="23">
        <f t="shared" ref="AG108:AG110" si="1110">AF108*M108</f>
        <v>4.7243899999999996</v>
      </c>
      <c r="AH108" s="92">
        <v>0.2051</v>
      </c>
      <c r="AI108" s="29">
        <f t="shared" ref="AI108:AI110" si="1111">AL108*(1-AM108)*AH108</f>
        <v>33.890724000000006</v>
      </c>
      <c r="AJ108" s="27">
        <f t="shared" ref="AJ108:AJ110" si="1112">IF(AND(AH108&gt;0,AF108&gt;0,AC108&gt;0),((AC108-AF108)*AH108)/((AH108-AF108)*AC108),0)</f>
        <v>0.87990522494672585</v>
      </c>
      <c r="AK108" s="58">
        <f t="shared" si="672"/>
        <v>0.88043201717625952</v>
      </c>
      <c r="AL108" s="11">
        <v>180</v>
      </c>
      <c r="AM108" s="13">
        <v>8.2000000000000003E-2</v>
      </c>
      <c r="AN108" s="14">
        <v>0.20810000000000001</v>
      </c>
      <c r="AO108" s="101">
        <v>0.20960000000000001</v>
      </c>
      <c r="AP108" s="29">
        <f>AL108*(1-AM108)*AN108</f>
        <v>34.386444000000004</v>
      </c>
      <c r="AQ108" s="102">
        <f t="shared" ref="AQ108" si="1113">AL108*(1-AM108)*AO108</f>
        <v>34.634304</v>
      </c>
      <c r="AR108" s="18">
        <v>1.5</v>
      </c>
      <c r="AS108" s="18">
        <v>382.42</v>
      </c>
      <c r="AT108" s="79">
        <f>AT106+AL108-AS108</f>
        <v>458.91999999999854</v>
      </c>
      <c r="AU108" s="80"/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43" t="s">
        <v>57</v>
      </c>
      <c r="D109" s="33">
        <v>19200</v>
      </c>
      <c r="E109" s="33">
        <v>8</v>
      </c>
      <c r="F109" s="33">
        <v>17501</v>
      </c>
      <c r="G109" s="34">
        <v>1.3</v>
      </c>
      <c r="H109" s="34">
        <v>6.4</v>
      </c>
      <c r="I109" s="33">
        <v>16910</v>
      </c>
      <c r="J109" s="34">
        <v>7.2</v>
      </c>
      <c r="K109" s="33">
        <v>17686</v>
      </c>
      <c r="L109" s="35">
        <v>6.7000000000000004E-2</v>
      </c>
      <c r="M109" s="36">
        <f>ROUND(K109*(1-L109),0)</f>
        <v>16501</v>
      </c>
      <c r="N109" s="37">
        <v>0.58199999999999996</v>
      </c>
      <c r="O109" s="24">
        <f t="shared" si="1102"/>
        <v>9603.5819999999985</v>
      </c>
      <c r="P109" s="35">
        <v>0.33100000000000002</v>
      </c>
      <c r="Q109" s="24">
        <f t="shared" si="1103"/>
        <v>5461.8310000000001</v>
      </c>
      <c r="R109" s="38">
        <v>8.6999999999999994E-2</v>
      </c>
      <c r="S109" s="105">
        <v>0.22739999999999999</v>
      </c>
      <c r="T109" s="24">
        <f t="shared" si="1104"/>
        <v>1435.587</v>
      </c>
      <c r="U109" s="27">
        <v>0.27500000000000002</v>
      </c>
      <c r="V109" s="24">
        <f t="shared" si="1105"/>
        <v>4537.7750000000005</v>
      </c>
      <c r="W109" s="38">
        <v>0.46100000000000002</v>
      </c>
      <c r="X109" s="24">
        <f t="shared" si="1106"/>
        <v>7606.9610000000002</v>
      </c>
      <c r="Y109" s="38">
        <v>0.43</v>
      </c>
      <c r="Z109" s="24">
        <f t="shared" si="1107"/>
        <v>7095.43</v>
      </c>
      <c r="AA109" s="117">
        <v>2.4299999999999999E-3</v>
      </c>
      <c r="AB109" s="18">
        <f t="shared" si="756"/>
        <v>40.097429999999996</v>
      </c>
      <c r="AC109" s="39">
        <v>2.4599999999999999E-3</v>
      </c>
      <c r="AD109" s="17">
        <f t="shared" si="1109"/>
        <v>40.592460000000003</v>
      </c>
      <c r="AE109" s="26">
        <f>IF(M109&gt;0,(AG109+AP109)/M109,0)</f>
        <v>2.4167823586449303E-3</v>
      </c>
      <c r="AF109" s="39">
        <v>2.9E-4</v>
      </c>
      <c r="AG109" s="36">
        <f t="shared" si="1110"/>
        <v>4.7852899999999998</v>
      </c>
      <c r="AH109" s="27">
        <v>0.20349999999999999</v>
      </c>
      <c r="AI109" s="40">
        <f t="shared" si="1111"/>
        <v>33.481651499999998</v>
      </c>
      <c r="AJ109" s="27">
        <f t="shared" si="1112"/>
        <v>0.88337268147052828</v>
      </c>
      <c r="AK109" s="28">
        <f t="shared" si="672"/>
        <v>0.88120381806932124</v>
      </c>
      <c r="AL109" s="33">
        <v>181</v>
      </c>
      <c r="AM109" s="35">
        <v>9.0999999999999998E-2</v>
      </c>
      <c r="AN109" s="37">
        <v>0.21329999999999999</v>
      </c>
      <c r="AO109" s="103">
        <v>0.2165</v>
      </c>
      <c r="AP109" s="40">
        <f>AL109*(1-AM109)*AN109</f>
        <v>35.094035699999999</v>
      </c>
      <c r="AQ109" s="104">
        <f t="shared" si="717"/>
        <v>35.620528499999999</v>
      </c>
      <c r="AR109" s="41">
        <v>1.5</v>
      </c>
      <c r="AS109" s="41"/>
      <c r="AT109" s="129">
        <f>AT108+AL109-AS109</f>
        <v>639.91999999999848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0" t="s">
        <v>58</v>
      </c>
      <c r="D110" s="42">
        <v>21821</v>
      </c>
      <c r="E110" s="42">
        <v>2</v>
      </c>
      <c r="F110" s="42">
        <v>17523</v>
      </c>
      <c r="G110" s="36">
        <v>1.3</v>
      </c>
      <c r="H110" s="36">
        <v>6.7</v>
      </c>
      <c r="I110" s="42">
        <v>17223</v>
      </c>
      <c r="J110" s="36">
        <v>7.5</v>
      </c>
      <c r="K110" s="42">
        <v>17821</v>
      </c>
      <c r="L110" s="38">
        <v>6.9000000000000006E-2</v>
      </c>
      <c r="M110" s="36">
        <f>ROUND(K110*(1-L110),0)</f>
        <v>16591</v>
      </c>
      <c r="N110" s="27">
        <v>0.68</v>
      </c>
      <c r="O110" s="24">
        <f t="shared" si="1102"/>
        <v>11281.880000000001</v>
      </c>
      <c r="P110" s="38">
        <v>0.26500000000000001</v>
      </c>
      <c r="Q110" s="24">
        <f t="shared" si="1103"/>
        <v>4396.6149999999998</v>
      </c>
      <c r="R110" s="38">
        <v>5.5E-2</v>
      </c>
      <c r="S110" s="105">
        <v>0.2571</v>
      </c>
      <c r="T110" s="24">
        <f t="shared" si="1104"/>
        <v>912.505</v>
      </c>
      <c r="U110" s="27">
        <v>0.28999999999999998</v>
      </c>
      <c r="V110" s="24">
        <f t="shared" si="1105"/>
        <v>4811.3899999999994</v>
      </c>
      <c r="W110" s="38">
        <v>0.44700000000000001</v>
      </c>
      <c r="X110" s="24">
        <f t="shared" si="1106"/>
        <v>7416.1770000000006</v>
      </c>
      <c r="Y110" s="38">
        <v>0.43</v>
      </c>
      <c r="Z110" s="24">
        <f t="shared" si="1107"/>
        <v>7134.13</v>
      </c>
      <c r="AA110" s="118">
        <v>2.4399999999999999E-3</v>
      </c>
      <c r="AB110" s="121">
        <f t="shared" si="756"/>
        <v>40.482039999999998</v>
      </c>
      <c r="AC110" s="45">
        <v>2.4399999999999999E-3</v>
      </c>
      <c r="AD110" s="17">
        <f t="shared" si="1109"/>
        <v>40.482039999999998</v>
      </c>
      <c r="AE110" s="26">
        <f>IF(M110&gt;0,(AG110+AP110)/M110,0)</f>
        <v>2.488683081188596E-3</v>
      </c>
      <c r="AF110" s="45">
        <v>2.9E-4</v>
      </c>
      <c r="AG110" s="36">
        <f t="shared" si="1110"/>
        <v>4.8113900000000003</v>
      </c>
      <c r="AH110" s="27">
        <v>0.1991</v>
      </c>
      <c r="AI110" s="40">
        <f t="shared" si="1111"/>
        <v>34.967933000000002</v>
      </c>
      <c r="AJ110" s="27">
        <f t="shared" si="1112"/>
        <v>0.88243285252168446</v>
      </c>
      <c r="AK110" s="28">
        <f t="shared" si="672"/>
        <v>0.88470777556920432</v>
      </c>
      <c r="AL110" s="42">
        <v>193</v>
      </c>
      <c r="AM110" s="38">
        <v>0.09</v>
      </c>
      <c r="AN110" s="27">
        <v>0.2077</v>
      </c>
      <c r="AO110" s="105">
        <v>0.21190000000000001</v>
      </c>
      <c r="AP110" s="40">
        <f>AL110*(1-AM110)*AN110</f>
        <v>36.478350999999996</v>
      </c>
      <c r="AQ110" s="106">
        <f t="shared" si="717"/>
        <v>37.215997000000002</v>
      </c>
      <c r="AR110" s="17">
        <v>1.55</v>
      </c>
      <c r="AS110" s="17"/>
      <c r="AT110" s="129">
        <f>AT109+AL110-AS110</f>
        <v>832.91999999999848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14">SUM(D108:D110)</f>
        <v>44500</v>
      </c>
      <c r="E111" s="49"/>
      <c r="F111" s="49">
        <f t="shared" ref="F111" si="1115">SUM(F108:F110)</f>
        <v>50307</v>
      </c>
      <c r="G111" s="50"/>
      <c r="H111" s="50"/>
      <c r="I111" s="49">
        <f t="shared" ref="I111:K111" si="1116">SUM(I108:I110)</f>
        <v>49910</v>
      </c>
      <c r="J111" s="50"/>
      <c r="K111" s="49">
        <f t="shared" si="1116"/>
        <v>53062</v>
      </c>
      <c r="L111" s="20">
        <f t="shared" ref="L111" si="1117">IF(K111&gt;0,(K108*L108+K109*L109+K110*L110)/K111,0)</f>
        <v>6.9325901775281751E-2</v>
      </c>
      <c r="M111" s="50">
        <f t="shared" ref="M111" si="1118">M108+M109+M110</f>
        <v>49383</v>
      </c>
      <c r="N111" s="51">
        <f t="shared" ref="N111" si="1119">IF(M111&gt;0,O111/M111,0)</f>
        <v>0.64758384464289331</v>
      </c>
      <c r="O111" s="52">
        <f t="shared" ref="O111" si="1120">O108+O109+O110</f>
        <v>31979.632999999998</v>
      </c>
      <c r="P111" s="20">
        <f t="shared" ref="P111" si="1121">IF(M111&gt;0,Q111/M111,0)</f>
        <v>0.27451760727375818</v>
      </c>
      <c r="Q111" s="52">
        <f t="shared" ref="Q111" si="1122">Q108+Q109+Q110</f>
        <v>13556.503000000001</v>
      </c>
      <c r="R111" s="20">
        <f t="shared" ref="R111" si="1123">IF(M111&gt;0,T111/M111,0)</f>
        <v>7.7898548083348521E-2</v>
      </c>
      <c r="S111" s="107"/>
      <c r="T111" s="52">
        <f t="shared" ref="T111" si="1124">T108+T109+T110</f>
        <v>3846.864</v>
      </c>
      <c r="U111" s="20">
        <f t="shared" ref="U111" si="1125">IF(M111&gt;0,V111/M111,0)</f>
        <v>0.27608079703541705</v>
      </c>
      <c r="V111" s="52">
        <f t="shared" ref="V111" si="1126">V108+V109+V110</f>
        <v>13633.698</v>
      </c>
      <c r="W111" s="20">
        <f t="shared" ref="W111" si="1127">IF(M111&gt;0,X111/M111,0)</f>
        <v>0.45547175141242935</v>
      </c>
      <c r="X111" s="52">
        <f t="shared" ref="X111" si="1128">X108+X109+X110</f>
        <v>22492.5615</v>
      </c>
      <c r="Y111" s="20">
        <f t="shared" ref="Y111" si="1129">IF(M111&gt;0,Z111/M111,0)</f>
        <v>0.42670109146872404</v>
      </c>
      <c r="Z111" s="52">
        <f t="shared" ref="Z111" si="1130">Z108+Z109+Z110</f>
        <v>21071.78</v>
      </c>
      <c r="AA111" s="119">
        <f t="shared" ref="AA111" si="1131">IF(M111&gt;0,AB111/M111,0)</f>
        <v>2.4102672984630336E-3</v>
      </c>
      <c r="AB111" s="54">
        <f t="shared" ref="AB111" si="1132">SUM(AB108:AB110)</f>
        <v>119.02623</v>
      </c>
      <c r="AC111" s="53">
        <f t="shared" ref="AC111" si="1133">IF(M111&gt;0,AD111/M111,0)</f>
        <v>2.4301883239171377E-3</v>
      </c>
      <c r="AD111" s="54">
        <f t="shared" ref="AD111" si="1134">SUM(AD108:AD110)</f>
        <v>120.00999</v>
      </c>
      <c r="AE111" s="53">
        <f t="shared" ref="AE111" si="1135">IF(M111&gt;0,(AE108*M108+AE109*M109+AE110*M110)/M111,0)</f>
        <v>2.4356539841645908E-3</v>
      </c>
      <c r="AF111" s="53">
        <f t="shared" ref="AF111" si="1136">IF(K111&gt;0,(K108*AF108+K109*AF109+K110*AF110)/K111,0)</f>
        <v>2.9E-4</v>
      </c>
      <c r="AG111" s="50">
        <f t="shared" ref="AG111" si="1137">SUM(AG108:AG110)</f>
        <v>14.321069999999999</v>
      </c>
      <c r="AH111" s="51">
        <f t="shared" ref="AH111" si="1138">IF(K111&gt;0,(K108*AH108+K109*AH109+K110*AH110)/K111,0)</f>
        <v>0.20255159247672533</v>
      </c>
      <c r="AI111" s="56">
        <f t="shared" ref="AI111" si="1139">SUM(AI108:AI110)</f>
        <v>102.34030850000001</v>
      </c>
      <c r="AJ111" s="51">
        <f t="shared" ref="AJ111" si="1140">IF(AND(AD111&gt;0),((AD108*AJ108+AD109*AJ109+AD110*AJ110)/AD111),0)</f>
        <v>0.88193069058370122</v>
      </c>
      <c r="AK111" s="55">
        <f t="shared" si="672"/>
        <v>0.88215543277757225</v>
      </c>
      <c r="AL111" s="49">
        <f t="shared" ref="AL111" si="1141">SUM(AL108:AL110)</f>
        <v>554</v>
      </c>
      <c r="AM111" s="20">
        <f t="shared" ref="AM111" si="1142">IF(AL111&gt;0,(AM108*AL108+AM109*AL109+AM110*AL110)/AL111,0)</f>
        <v>8.7727436823104687E-2</v>
      </c>
      <c r="AN111" s="51">
        <f>IF(K111&gt;0,(AN108*K108+AN109*K109+AN110*K110)/K111,0)</f>
        <v>0.20969886170894428</v>
      </c>
      <c r="AO111" s="107">
        <f>IF(L111&gt;0,(AO108*K108+AO109*K109+AO110*K110)/K111,0)</f>
        <v>0.21267228713580344</v>
      </c>
      <c r="AP111" s="56">
        <f t="shared" ref="AP111" si="1143">SUM(AP108:AP110)</f>
        <v>105.95883069999999</v>
      </c>
      <c r="AQ111" s="108">
        <f t="shared" si="1099"/>
        <v>107.47082949999999</v>
      </c>
      <c r="AR111" s="54"/>
      <c r="AS111" s="54">
        <f t="shared" ref="AS111" si="1144">SUM(AS108:AS110)</f>
        <v>382.42</v>
      </c>
      <c r="AT111" s="83"/>
      <c r="AU111" s="84">
        <f>AT110</f>
        <v>832.91999999999848</v>
      </c>
      <c r="AV111" s="49">
        <f t="shared" ref="AV111" si="1145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53</v>
      </c>
      <c r="D112" s="11">
        <v>18500</v>
      </c>
      <c r="E112" s="11">
        <v>0</v>
      </c>
      <c r="F112" s="11">
        <v>20416</v>
      </c>
      <c r="G112" s="12">
        <v>2.4</v>
      </c>
      <c r="H112" s="12">
        <v>4.9000000000000004</v>
      </c>
      <c r="I112" s="11">
        <v>19558</v>
      </c>
      <c r="J112" s="12">
        <v>6.8</v>
      </c>
      <c r="K112" s="11">
        <v>17791</v>
      </c>
      <c r="L112" s="13">
        <v>6.7000000000000004E-2</v>
      </c>
      <c r="M112" s="23">
        <f>ROUND(K112*(1-L112),0)</f>
        <v>16599</v>
      </c>
      <c r="N112" s="14">
        <v>0.67100000000000004</v>
      </c>
      <c r="O112" s="24">
        <f t="shared" ref="O112:O114" si="1146">M112*N112</f>
        <v>11137.929</v>
      </c>
      <c r="P112" s="13">
        <v>0.27</v>
      </c>
      <c r="Q112" s="24">
        <f t="shared" ref="Q112:Q114" si="1147">M112*P112</f>
        <v>4481.7300000000005</v>
      </c>
      <c r="R112" s="15">
        <v>5.2999999999999999E-2</v>
      </c>
      <c r="S112" s="112">
        <v>0.25790000000000002</v>
      </c>
      <c r="T112" s="24">
        <f t="shared" ref="T112:T114" si="1148">M112*R112</f>
        <v>879.74699999999996</v>
      </c>
      <c r="U112" s="25">
        <v>0.27500000000000002</v>
      </c>
      <c r="V112" s="24">
        <f t="shared" ref="V112:V114" si="1149">M112*U112</f>
        <v>4564.7250000000004</v>
      </c>
      <c r="W112" s="15">
        <v>0.46300000000000002</v>
      </c>
      <c r="X112" s="24">
        <f t="shared" ref="X112:X114" si="1150">M112*W112</f>
        <v>7685.3370000000004</v>
      </c>
      <c r="Y112" s="15">
        <v>0.42</v>
      </c>
      <c r="Z112" s="24">
        <f t="shared" ref="Z112:Z114" si="1151">Y112*M112</f>
        <v>6971.58</v>
      </c>
      <c r="AA112" s="116">
        <v>2.48E-3</v>
      </c>
      <c r="AB112" s="18">
        <f t="shared" ref="AB112" si="1152">M112*AA112</f>
        <v>41.165520000000001</v>
      </c>
      <c r="AC112" s="16">
        <v>2.5000000000000001E-3</v>
      </c>
      <c r="AD112" s="17">
        <f t="shared" ref="AD112:AD114" si="1153">M112*AC112</f>
        <v>41.497500000000002</v>
      </c>
      <c r="AE112" s="26">
        <f>IF(M112&gt;0,(AG112+AP112)/M112,0)</f>
        <v>2.5305622266401594E-3</v>
      </c>
      <c r="AF112" s="16">
        <v>2.9999999999999997E-4</v>
      </c>
      <c r="AG112" s="23">
        <f t="shared" ref="AG112:AG114" si="1154">AF112*M112</f>
        <v>4.9796999999999993</v>
      </c>
      <c r="AH112" s="92">
        <v>0.20080000000000001</v>
      </c>
      <c r="AI112" s="29">
        <f t="shared" ref="AI112:AI114" si="1155">AL112*(1-AM112)*AH112</f>
        <v>34.245235200000003</v>
      </c>
      <c r="AJ112" s="27">
        <f t="shared" ref="AJ112:AJ114" si="1156">IF(AND(AH112&gt;0,AF112&gt;0,AC112&gt;0),((AC112-AF112)*AH112)/((AH112-AF112)*AC112),0)</f>
        <v>0.88131670822942632</v>
      </c>
      <c r="AK112" s="58">
        <f t="shared" si="672"/>
        <v>0.88266898733907562</v>
      </c>
      <c r="AL112" s="11">
        <v>187</v>
      </c>
      <c r="AM112" s="13">
        <v>8.7999999999999995E-2</v>
      </c>
      <c r="AN112" s="14">
        <v>0.21709999999999999</v>
      </c>
      <c r="AO112" s="101">
        <v>0.22059999999999999</v>
      </c>
      <c r="AP112" s="29">
        <f>AL112*(1-AM112)*AN112</f>
        <v>37.025102400000002</v>
      </c>
      <c r="AQ112" s="102">
        <f t="shared" ref="AQ112" si="1157">AL112*(1-AM112)*AO112</f>
        <v>37.622006400000004</v>
      </c>
      <c r="AR112" s="18">
        <v>1.62</v>
      </c>
      <c r="AS112" s="18"/>
      <c r="AT112" s="79">
        <f>AT110+AL112-AS112+AU112</f>
        <v>1059.4399999999985</v>
      </c>
      <c r="AU112" s="80">
        <v>39.520000000000003</v>
      </c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43" t="s">
        <v>57</v>
      </c>
      <c r="D113" s="33">
        <v>19500</v>
      </c>
      <c r="E113" s="33">
        <v>4</v>
      </c>
      <c r="F113" s="33">
        <v>17806</v>
      </c>
      <c r="G113" s="34">
        <v>1.2</v>
      </c>
      <c r="H113" s="34">
        <v>4.5999999999999996</v>
      </c>
      <c r="I113" s="33">
        <v>18022</v>
      </c>
      <c r="J113" s="34">
        <v>6.2</v>
      </c>
      <c r="K113" s="33">
        <v>17822</v>
      </c>
      <c r="L113" s="35">
        <v>7.2999999999999995E-2</v>
      </c>
      <c r="M113" s="36">
        <f>ROUND(K113*(1-L113),0)</f>
        <v>16521</v>
      </c>
      <c r="N113" s="37">
        <v>0.63</v>
      </c>
      <c r="O113" s="24">
        <f t="shared" si="1146"/>
        <v>10408.23</v>
      </c>
      <c r="P113" s="35">
        <v>0.34300000000000003</v>
      </c>
      <c r="Q113" s="24">
        <f t="shared" si="1147"/>
        <v>5666.7030000000004</v>
      </c>
      <c r="R113" s="38">
        <v>2.7E-2</v>
      </c>
      <c r="S113" s="105">
        <v>0.25209999999999999</v>
      </c>
      <c r="T113" s="24">
        <f t="shared" si="1148"/>
        <v>446.06700000000001</v>
      </c>
      <c r="U113" s="27">
        <v>0.28199999999999997</v>
      </c>
      <c r="V113" s="24">
        <f t="shared" si="1149"/>
        <v>4658.9219999999996</v>
      </c>
      <c r="W113" s="38">
        <v>0.45200000000000001</v>
      </c>
      <c r="X113" s="24">
        <f t="shared" si="1150"/>
        <v>7467.4920000000002</v>
      </c>
      <c r="Y113" s="38">
        <v>0.43</v>
      </c>
      <c r="Z113" s="24">
        <f t="shared" si="1151"/>
        <v>7104.03</v>
      </c>
      <c r="AA113" s="117">
        <v>2.5300000000000001E-3</v>
      </c>
      <c r="AB113" s="18">
        <f t="shared" si="756"/>
        <v>41.79813</v>
      </c>
      <c r="AC113" s="39">
        <v>2.4499999999999999E-3</v>
      </c>
      <c r="AD113" s="17">
        <f t="shared" si="1153"/>
        <v>40.47645</v>
      </c>
      <c r="AE113" s="26">
        <f>IF(M113&gt;0,(AG113+AP113)/M113,0)</f>
        <v>2.386958561830398E-3</v>
      </c>
      <c r="AF113" s="39">
        <v>2.7999999999999998E-4</v>
      </c>
      <c r="AG113" s="36">
        <f t="shared" si="1154"/>
        <v>4.6258799999999995</v>
      </c>
      <c r="AH113" s="27">
        <v>0.2041</v>
      </c>
      <c r="AI113" s="40">
        <f t="shared" si="1155"/>
        <v>34.928857600000001</v>
      </c>
      <c r="AJ113" s="27">
        <f t="shared" si="1156"/>
        <v>0.88693104560045988</v>
      </c>
      <c r="AK113" s="28">
        <f t="shared" si="672"/>
        <v>0.88391270313751602</v>
      </c>
      <c r="AL113" s="33">
        <v>191</v>
      </c>
      <c r="AM113" s="35">
        <v>0.104</v>
      </c>
      <c r="AN113" s="37">
        <v>0.2034</v>
      </c>
      <c r="AO113" s="103">
        <v>0.1973</v>
      </c>
      <c r="AP113" s="40">
        <f>AL113*(1-AM113)*AN113</f>
        <v>34.809062400000002</v>
      </c>
      <c r="AQ113" s="104">
        <f t="shared" si="717"/>
        <v>33.765132799999996</v>
      </c>
      <c r="AR113" s="41">
        <v>1.55</v>
      </c>
      <c r="AS113" s="41"/>
      <c r="AT113" s="129">
        <f>AT112+AL113-AS113</f>
        <v>1250.4399999999985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0" t="s">
        <v>58</v>
      </c>
      <c r="D114" s="42">
        <v>17500</v>
      </c>
      <c r="E114" s="42">
        <v>2</v>
      </c>
      <c r="F114" s="42">
        <v>18908</v>
      </c>
      <c r="G114" s="36">
        <v>0.6</v>
      </c>
      <c r="H114" s="36">
        <v>5.6</v>
      </c>
      <c r="I114" s="42">
        <v>17861</v>
      </c>
      <c r="J114" s="36">
        <v>5.3</v>
      </c>
      <c r="K114" s="42">
        <v>17008</v>
      </c>
      <c r="L114" s="38">
        <v>7.2999999999999995E-2</v>
      </c>
      <c r="M114" s="36">
        <f>ROUND(K114*(1-L114),0)</f>
        <v>15766</v>
      </c>
      <c r="N114" s="27">
        <v>0.76500000000000001</v>
      </c>
      <c r="O114" s="24">
        <f t="shared" si="1146"/>
        <v>12060.99</v>
      </c>
      <c r="P114" s="38">
        <v>0.21099999999999999</v>
      </c>
      <c r="Q114" s="24">
        <f t="shared" si="1147"/>
        <v>3326.6259999999997</v>
      </c>
      <c r="R114" s="38">
        <v>2.4E-2</v>
      </c>
      <c r="S114" s="105">
        <v>0.25769999999999998</v>
      </c>
      <c r="T114" s="24">
        <f t="shared" si="1148"/>
        <v>378.38400000000001</v>
      </c>
      <c r="U114" s="27">
        <v>0.27600000000000002</v>
      </c>
      <c r="V114" s="24">
        <f t="shared" si="1149"/>
        <v>4351.4160000000002</v>
      </c>
      <c r="W114" s="38">
        <v>0.46200000000000002</v>
      </c>
      <c r="X114" s="24">
        <f t="shared" si="1150"/>
        <v>7283.8920000000007</v>
      </c>
      <c r="Y114" s="38">
        <v>0.43</v>
      </c>
      <c r="Z114" s="24">
        <f t="shared" si="1151"/>
        <v>6779.38</v>
      </c>
      <c r="AA114" s="118">
        <v>2.4399999999999999E-3</v>
      </c>
      <c r="AB114" s="121">
        <f t="shared" si="756"/>
        <v>38.46904</v>
      </c>
      <c r="AC114" s="45">
        <v>2.4399999999999999E-3</v>
      </c>
      <c r="AD114" s="17">
        <f t="shared" si="1153"/>
        <v>38.46904</v>
      </c>
      <c r="AE114" s="26">
        <f>IF(M114&gt;0,(AG114+AP114)/M114,0)</f>
        <v>2.5624168971203859E-3</v>
      </c>
      <c r="AF114" s="45">
        <v>2.7999999999999998E-4</v>
      </c>
      <c r="AG114" s="36">
        <f t="shared" si="1154"/>
        <v>4.4144799999999993</v>
      </c>
      <c r="AH114" s="27">
        <v>0.20549999999999999</v>
      </c>
      <c r="AI114" s="40">
        <f t="shared" si="1155"/>
        <v>33.400326</v>
      </c>
      <c r="AJ114" s="27">
        <f t="shared" si="1156"/>
        <v>0.88645372179556203</v>
      </c>
      <c r="AK114" s="28">
        <f t="shared" si="672"/>
        <v>0.89185607551786983</v>
      </c>
      <c r="AL114" s="42">
        <v>179</v>
      </c>
      <c r="AM114" s="38">
        <v>9.1999999999999998E-2</v>
      </c>
      <c r="AN114" s="27">
        <v>0.22140000000000001</v>
      </c>
      <c r="AO114" s="105">
        <v>0.22059999999999999</v>
      </c>
      <c r="AP114" s="40">
        <f>AL114*(1-AM114)*AN114</f>
        <v>35.984584800000007</v>
      </c>
      <c r="AQ114" s="106">
        <f t="shared" si="717"/>
        <v>35.854559200000004</v>
      </c>
      <c r="AR114" s="17">
        <v>1.55</v>
      </c>
      <c r="AS114" s="17"/>
      <c r="AT114" s="129">
        <f>AT113+AL114-AS114</f>
        <v>1429.4399999999985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58">SUM(D112:D114)</f>
        <v>55500</v>
      </c>
      <c r="E115" s="49"/>
      <c r="F115" s="49">
        <f t="shared" ref="F115" si="1159">SUM(F112:F114)</f>
        <v>57130</v>
      </c>
      <c r="G115" s="50"/>
      <c r="H115" s="50"/>
      <c r="I115" s="49">
        <f t="shared" ref="I115:K115" si="1160">SUM(I112:I114)</f>
        <v>55441</v>
      </c>
      <c r="J115" s="50"/>
      <c r="K115" s="49">
        <f t="shared" si="1160"/>
        <v>52621</v>
      </c>
      <c r="L115" s="20">
        <f t="shared" ref="L115" si="1161">IF(K115&gt;0,(K112*L112+K113*L113+K114*L114)/K115,0)</f>
        <v>7.0971418255069266E-2</v>
      </c>
      <c r="M115" s="50">
        <f t="shared" ref="M115" si="1162">M112+M113+M114</f>
        <v>48886</v>
      </c>
      <c r="N115" s="51">
        <f t="shared" ref="N115" si="1163">IF(M115&gt;0,O115/M115,0)</f>
        <v>0.68745957942969349</v>
      </c>
      <c r="O115" s="52">
        <f t="shared" ref="O115" si="1164">O112+O113+O114</f>
        <v>33607.148999999998</v>
      </c>
      <c r="P115" s="20">
        <f t="shared" ref="P115" si="1165">IF(M115&gt;0,Q115/M115,0)</f>
        <v>0.27564249478378272</v>
      </c>
      <c r="Q115" s="52">
        <f t="shared" ref="Q115" si="1166">Q112+Q113+Q114</f>
        <v>13475.059000000001</v>
      </c>
      <c r="R115" s="20">
        <f t="shared" ref="R115" si="1167">IF(M115&gt;0,T115/M115,0)</f>
        <v>3.4860655402364681E-2</v>
      </c>
      <c r="S115" s="107"/>
      <c r="T115" s="52">
        <f t="shared" ref="T115" si="1168">T112+T113+T114</f>
        <v>1704.1979999999999</v>
      </c>
      <c r="U115" s="20">
        <f t="shared" ref="U115" si="1169">IF(M115&gt;0,V115/M115,0)</f>
        <v>0.27768815202716529</v>
      </c>
      <c r="V115" s="52">
        <f t="shared" ref="V115" si="1170">V112+V113+V114</f>
        <v>13575.063000000002</v>
      </c>
      <c r="W115" s="20">
        <f t="shared" ref="W115" si="1171">IF(M115&gt;0,X115/M115,0)</f>
        <v>0.45896004991204026</v>
      </c>
      <c r="X115" s="52">
        <f t="shared" ref="X115" si="1172">X112+X113+X114</f>
        <v>22436.721000000001</v>
      </c>
      <c r="Y115" s="20">
        <f t="shared" ref="Y115" si="1173">IF(M115&gt;0,Z115/M115,0)</f>
        <v>0.42660454935973491</v>
      </c>
      <c r="Z115" s="52">
        <f t="shared" ref="Z115" si="1174">Z112+Z113+Z114</f>
        <v>20854.990000000002</v>
      </c>
      <c r="AA115" s="119">
        <f t="shared" ref="AA115" si="1175">IF(M115&gt;0,AB115/M115,0)</f>
        <v>2.4839972589289368E-3</v>
      </c>
      <c r="AB115" s="54">
        <f t="shared" ref="AB115" si="1176">SUM(AB112:AB114)</f>
        <v>121.43269000000001</v>
      </c>
      <c r="AC115" s="53">
        <f t="shared" ref="AC115" si="1177">IF(M115&gt;0,AD115/M115,0)</f>
        <v>2.4637521989935769E-3</v>
      </c>
      <c r="AD115" s="54">
        <f t="shared" ref="AD115" si="1178">SUM(AD112:AD114)</f>
        <v>120.44299000000001</v>
      </c>
      <c r="AE115" s="53">
        <f t="shared" ref="AE115" si="1179">IF(M115&gt;0,(AE112*M112+AE113*M113+AE114*M114)/M115,0)</f>
        <v>2.4923047416438248E-3</v>
      </c>
      <c r="AF115" s="53">
        <f t="shared" ref="AF115" si="1180">IF(K115&gt;0,(K112*AF112+K113*AF113+K114*AF114)/K115,0)</f>
        <v>2.8676193914976903E-4</v>
      </c>
      <c r="AG115" s="50">
        <f t="shared" ref="AG115" si="1181">SUM(AG112:AG114)</f>
        <v>14.020059999999999</v>
      </c>
      <c r="AH115" s="51">
        <f t="shared" ref="AH115" si="1182">IF(K115&gt;0,(K112*AH112+K113*AH113+K114*AH114)/K115,0)</f>
        <v>0.20343678379354252</v>
      </c>
      <c r="AI115" s="56">
        <f t="shared" ref="AI115" si="1183">SUM(AI112:AI114)</f>
        <v>102.57441880000002</v>
      </c>
      <c r="AJ115" s="51">
        <f t="shared" ref="AJ115" si="1184">IF(AND(AD115&gt;0),((AD112*AJ112+AD113*AJ113+AD114*AJ114)/AD115),0)</f>
        <v>0.88484422300000765</v>
      </c>
      <c r="AK115" s="55">
        <f t="shared" si="672"/>
        <v>0.88612931616116597</v>
      </c>
      <c r="AL115" s="49">
        <f t="shared" ref="AL115" si="1185">SUM(AL112:AL114)</f>
        <v>557</v>
      </c>
      <c r="AM115" s="20">
        <f t="shared" ref="AM115" si="1186">IF(AL115&gt;0,(AM112*AL112+AM113*AL113+AM114*AL114)/AL115,0)</f>
        <v>9.4771992818671449E-2</v>
      </c>
      <c r="AN115" s="51">
        <f>IF(K115&gt;0,(AN112*K112+AN113*K113+AN114*K114)/K115,0)</f>
        <v>0.21384983371657701</v>
      </c>
      <c r="AO115" s="107">
        <f>IF(L115&gt;0,(AO112*K112+AO113*K113+AO114*K114)/K115,0)</f>
        <v>0.21270861443150071</v>
      </c>
      <c r="AP115" s="56">
        <f t="shared" ref="AP115" si="1187">SUM(AP112:AP114)</f>
        <v>107.8187496</v>
      </c>
      <c r="AQ115" s="108">
        <f t="shared" si="1099"/>
        <v>107.24169840000002</v>
      </c>
      <c r="AR115" s="54"/>
      <c r="AS115" s="54">
        <f t="shared" ref="AS115" si="1188">SUM(AS112:AS114)</f>
        <v>0</v>
      </c>
      <c r="AT115" s="83"/>
      <c r="AU115" s="84">
        <f>AT114</f>
        <v>1429.4399999999985</v>
      </c>
      <c r="AV115" s="49">
        <f t="shared" ref="AV115" si="1189">SUM(AV112:AV114)</f>
        <v>0</v>
      </c>
      <c r="AW115" s="57"/>
      <c r="AX115" s="56"/>
      <c r="AY115" s="56"/>
      <c r="AZ115" s="56"/>
      <c r="BA115" s="56"/>
      <c r="BB115" s="21"/>
    </row>
  </sheetData>
  <protectedRanges>
    <protectedRange sqref="Q1 V1 X1 Z1 O1 T1 AG1 AD1:AE1 AP1:AQ1 M1 AK1" name="Range1_1_1_1_1_1_1_1_1"/>
    <protectedRange sqref="AI1:AJ1" name="Range1_1_1_1_1_1_1"/>
    <protectedRange sqref="AB1" name="Range1_1_1_1_1_1_1_1_1_1_1_1_1"/>
    <protectedRange sqref="Q2:Q3 V2:V3 X2:X3 Z2:Z3 AP2:AQ115 O2:O3 T2:T3 AG2:AG3 AK2:AK115 AD2:AE3 M2:M115" name="Range1_1_1_1_1_1_1_1_1_1"/>
    <protectedRange sqref="AH3:AJ3 AH7:AJ7 AI2:AJ2 AH4:AI6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8:AI10 AH12:AI14 AH16:AI18 AH20:AI22 AH24:AI26 AH28:AI30 AH32:AI34 AH36:AI38 AH40:AI42 AH44:AI46 AH48:AI50 AH52:AI54 AH56:AI58 AH60:AI62 AH64:AI66 AH68:AI70 AH72:AI74 AH76:AI78 AH80:AI82 AH84:AI86 AH88:AI90 AH92:AI94 AH96:AI98 AH100:AI102 AH104:AI106 AH108:AI110 AH112:AI114" name="Range1_1_1_1_1_1_1_1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" name="Range1_1_1_1_1_2_2_1"/>
    <protectedRange sqref="O4:O115" name="Range1_1_1_1_1_5_1_1"/>
    <protectedRange sqref="Q4:Q115" name="Range1_1_1_1_1_7_1_1"/>
    <protectedRange sqref="T4:T115" name="Range1_1_1_1_1_8_1_1"/>
    <protectedRange sqref="V4:V115" name="Range1_1_1_1_1_10_1_1"/>
    <protectedRange sqref="X4:X115" name="Range1_1_1_1_1_12_1_1"/>
    <protectedRange sqref="Z4:Z115" name="Range1_1_1_1_1_16_1_1"/>
    <protectedRange sqref="AG4:AG115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A3" name="Range1_1_1_1_1_1_1_1_1_1_1"/>
    <protectedRange sqref="AB3" name="Range1_1_1_1_1_1_1_1_1_1_1_1"/>
    <protectedRange sqref="AB4:AB115" name="Range1_1_1_1_1_2_2_1_1_1"/>
  </protectedRanges>
  <mergeCells count="30">
    <mergeCell ref="A16:A19"/>
    <mergeCell ref="AX1:AY1"/>
    <mergeCell ref="AZ1:BA1"/>
    <mergeCell ref="A4:A7"/>
    <mergeCell ref="A8:A11"/>
    <mergeCell ref="A12:A15"/>
    <mergeCell ref="A64:A67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112:A115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F95A-5571-4A16-BCEC-3B8B441AE919}">
  <dimension ref="A1:BB127"/>
  <sheetViews>
    <sheetView workbookViewId="0">
      <selection activeCell="A3" sqref="A1:XFD3"/>
    </sheetView>
  </sheetViews>
  <sheetFormatPr defaultRowHeight="15"/>
  <cols>
    <col min="3" max="3" width="13.5703125" customWidth="1"/>
  </cols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53</v>
      </c>
      <c r="D4" s="11">
        <v>15700</v>
      </c>
      <c r="E4" s="11">
        <v>0</v>
      </c>
      <c r="F4" s="11">
        <v>18957</v>
      </c>
      <c r="G4" s="12">
        <v>2</v>
      </c>
      <c r="H4" s="12">
        <v>6.1</v>
      </c>
      <c r="I4" s="11">
        <v>18089</v>
      </c>
      <c r="J4" s="12">
        <v>4.9000000000000004</v>
      </c>
      <c r="K4" s="11">
        <v>15902</v>
      </c>
      <c r="L4" s="13">
        <v>6.6000000000000003E-2</v>
      </c>
      <c r="M4" s="23">
        <f>ROUND(K4*(1-L4),0)</f>
        <v>14852</v>
      </c>
      <c r="N4" s="14">
        <v>0.71599999999999997</v>
      </c>
      <c r="O4" s="24">
        <f t="shared" ref="O4:O6" si="0">M4*N4</f>
        <v>10634.031999999999</v>
      </c>
      <c r="P4" s="13">
        <v>0.222</v>
      </c>
      <c r="Q4" s="24">
        <f t="shared" ref="Q4:Q6" si="1">M4*P4</f>
        <v>3297.1440000000002</v>
      </c>
      <c r="R4" s="15">
        <v>6.2E-2</v>
      </c>
      <c r="S4" s="111">
        <v>0.22220000000000001</v>
      </c>
      <c r="T4" s="24">
        <f t="shared" ref="T4:T6" si="2">M4*R4</f>
        <v>920.82399999999996</v>
      </c>
      <c r="U4" s="25">
        <v>0.217</v>
      </c>
      <c r="V4" s="24">
        <f t="shared" ref="V4:V6" si="3">M4*U4</f>
        <v>3222.884</v>
      </c>
      <c r="W4" s="15">
        <v>0.505</v>
      </c>
      <c r="X4" s="24">
        <f>M4*W4</f>
        <v>7500.26</v>
      </c>
      <c r="Y4" s="15">
        <v>0.38</v>
      </c>
      <c r="Z4" s="96">
        <f t="shared" ref="Z4:Z6" si="4">Y4*M4</f>
        <v>5643.76</v>
      </c>
      <c r="AA4" s="116">
        <v>2.47E-3</v>
      </c>
      <c r="AB4" s="18">
        <f>M4*AA4</f>
        <v>36.684440000000002</v>
      </c>
      <c r="AC4" s="16">
        <v>2.3900000000000002E-3</v>
      </c>
      <c r="AD4" s="18">
        <f>M4*AC4</f>
        <v>35.496280000000006</v>
      </c>
      <c r="AE4" s="26">
        <f>IF(M4&gt;0,(AG4+AP4)/M4,0)</f>
        <v>2.4022467007810393E-3</v>
      </c>
      <c r="AF4" s="16">
        <v>2.5000000000000001E-4</v>
      </c>
      <c r="AG4" s="23">
        <f t="shared" ref="AG4:AG6" si="5">AF4*M4</f>
        <v>3.7130000000000001</v>
      </c>
      <c r="AH4" s="92">
        <v>0.2019</v>
      </c>
      <c r="AI4" s="29">
        <f>AL4*(1-AM4)*AH4</f>
        <v>29.428943999999998</v>
      </c>
      <c r="AJ4" s="27">
        <f>IF(AND(AH4&gt;0,AF4&gt;0,AC4&gt;0),((AC4-AF4)*AH4)/((AH4-AF4)*AC4),0)</f>
        <v>0.89650757817047022</v>
      </c>
      <c r="AK4" s="58">
        <f t="shared" ref="AK4:AK67" si="6">IF(AND(AE4&gt;0,AN4&gt;0,AF4&gt;0),((AN4*(AE4-AF4))/(AE4*(AN4-AF4))),0)</f>
        <v>0.8969532737409156</v>
      </c>
      <c r="AL4" s="11">
        <v>160</v>
      </c>
      <c r="AM4" s="13">
        <v>8.8999999999999996E-2</v>
      </c>
      <c r="AN4" s="14">
        <v>0.21929999999999999</v>
      </c>
      <c r="AO4" s="101">
        <v>0.21809999999999999</v>
      </c>
      <c r="AP4" s="29">
        <f>AL4*(1-AM4)*AN4</f>
        <v>31.965167999999998</v>
      </c>
      <c r="AQ4" s="102">
        <f>AL4*(1-AM4)*AO4</f>
        <v>31.790255999999996</v>
      </c>
      <c r="AR4" s="18">
        <v>1.58</v>
      </c>
      <c r="AS4" s="18"/>
      <c r="AT4" s="88">
        <f>AT3+AL4-AS4</f>
        <v>1606.4599999999994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54</v>
      </c>
      <c r="D5" s="33">
        <v>19800</v>
      </c>
      <c r="E5" s="33">
        <v>4</v>
      </c>
      <c r="F5" s="33">
        <v>18388</v>
      </c>
      <c r="G5" s="34">
        <v>2.4</v>
      </c>
      <c r="H5" s="34">
        <v>6.4</v>
      </c>
      <c r="I5" s="33">
        <v>17925</v>
      </c>
      <c r="J5" s="34">
        <v>4.2</v>
      </c>
      <c r="K5" s="33">
        <v>15900</v>
      </c>
      <c r="L5" s="35">
        <v>0.06</v>
      </c>
      <c r="M5" s="36">
        <f>ROUND(K5*(1-L5),0)</f>
        <v>14946</v>
      </c>
      <c r="N5" s="37">
        <v>0.73</v>
      </c>
      <c r="O5" s="24">
        <f t="shared" si="0"/>
        <v>10910.58</v>
      </c>
      <c r="P5" s="35">
        <v>0.22600000000000001</v>
      </c>
      <c r="Q5" s="24">
        <f t="shared" si="1"/>
        <v>3377.7960000000003</v>
      </c>
      <c r="R5" s="38">
        <v>4.3999999999999997E-2</v>
      </c>
      <c r="S5" s="105">
        <v>0.1938</v>
      </c>
      <c r="T5" s="24">
        <f t="shared" si="2"/>
        <v>657.62399999999991</v>
      </c>
      <c r="U5" s="27">
        <v>0.21199999999999999</v>
      </c>
      <c r="V5" s="24">
        <f t="shared" si="3"/>
        <v>3168.5520000000001</v>
      </c>
      <c r="W5" s="38">
        <v>0.5</v>
      </c>
      <c r="X5" s="24">
        <f>M5*W5</f>
        <v>7473</v>
      </c>
      <c r="Y5" s="38">
        <v>0.38</v>
      </c>
      <c r="Z5" s="24">
        <f t="shared" si="4"/>
        <v>5679.4800000000005</v>
      </c>
      <c r="AA5" s="117">
        <v>2.5000000000000001E-3</v>
      </c>
      <c r="AB5" s="18">
        <f t="shared" ref="AB5:AB6" si="7">M5*AA5</f>
        <v>37.365000000000002</v>
      </c>
      <c r="AC5" s="39">
        <v>2.5500000000000002E-3</v>
      </c>
      <c r="AD5" s="17">
        <f>M5*AC5</f>
        <v>38.112300000000005</v>
      </c>
      <c r="AE5" s="26">
        <f>IF(M5&gt;0,(AG5+AP5)/M5,0)</f>
        <v>2.3167481868058347E-3</v>
      </c>
      <c r="AF5" s="39">
        <v>2.4000000000000001E-4</v>
      </c>
      <c r="AG5" s="36">
        <f t="shared" si="5"/>
        <v>3.58704</v>
      </c>
      <c r="AH5" s="27">
        <v>0.1991</v>
      </c>
      <c r="AI5" s="40">
        <f>AL5*(1-AM5)*AH5</f>
        <v>30.175197799999999</v>
      </c>
      <c r="AJ5" s="27">
        <f>IF(AND(AH5&gt;0,AF5&gt;0,AC5&gt;0),((AC5-AF5)*AH5)/((AH5-AF5)*AC5),0)</f>
        <v>0.9069756435210109</v>
      </c>
      <c r="AK5" s="28">
        <f t="shared" si="6"/>
        <v>0.89745823186748186</v>
      </c>
      <c r="AL5" s="33">
        <v>166</v>
      </c>
      <c r="AM5" s="35">
        <v>8.6999999999999994E-2</v>
      </c>
      <c r="AN5" s="37">
        <v>0.20480000000000001</v>
      </c>
      <c r="AO5" s="103">
        <v>0.2094</v>
      </c>
      <c r="AP5" s="40">
        <f>AL5*(1-AM5)*AN5</f>
        <v>31.039078400000001</v>
      </c>
      <c r="AQ5" s="104">
        <f t="shared" ref="AQ5:AQ6" si="8">AL5*(1-AM5)*AO5</f>
        <v>31.736245199999999</v>
      </c>
      <c r="AR5" s="41">
        <v>1.55</v>
      </c>
      <c r="AS5" s="41"/>
      <c r="AT5" s="88">
        <f>AT4+AL5-AS5</f>
        <v>1772.4599999999994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58</v>
      </c>
      <c r="D6" s="42">
        <v>18100</v>
      </c>
      <c r="E6" s="42">
        <v>3</v>
      </c>
      <c r="F6" s="42">
        <v>20904</v>
      </c>
      <c r="G6" s="36">
        <v>1.6</v>
      </c>
      <c r="H6" s="36">
        <v>5.9</v>
      </c>
      <c r="I6" s="42">
        <v>20467</v>
      </c>
      <c r="J6" s="36">
        <v>2.2999999999999998</v>
      </c>
      <c r="K6" s="42">
        <v>15923</v>
      </c>
      <c r="L6" s="38">
        <v>6.4000000000000001E-2</v>
      </c>
      <c r="M6" s="36">
        <f>ROUND(K6*(1-L6),0)</f>
        <v>14904</v>
      </c>
      <c r="N6" s="27">
        <v>0.69</v>
      </c>
      <c r="O6" s="24">
        <f t="shared" si="0"/>
        <v>10283.759999999998</v>
      </c>
      <c r="P6" s="38">
        <v>0.28000000000000003</v>
      </c>
      <c r="Q6" s="24">
        <f t="shared" si="1"/>
        <v>4173.1200000000008</v>
      </c>
      <c r="R6" s="38">
        <v>0.03</v>
      </c>
      <c r="S6" s="105">
        <v>0.2177</v>
      </c>
      <c r="T6" s="24">
        <f t="shared" si="2"/>
        <v>447.12</v>
      </c>
      <c r="U6" s="27">
        <v>0.219</v>
      </c>
      <c r="V6" s="24">
        <f t="shared" si="3"/>
        <v>3263.9760000000001</v>
      </c>
      <c r="W6" s="38">
        <v>0.495</v>
      </c>
      <c r="X6" s="24">
        <f>M6*W6</f>
        <v>7377.48</v>
      </c>
      <c r="Y6" s="38">
        <v>0.38</v>
      </c>
      <c r="Z6" s="24">
        <f t="shared" si="4"/>
        <v>5663.52</v>
      </c>
      <c r="AA6" s="118">
        <v>2.4099999999999998E-3</v>
      </c>
      <c r="AB6" s="121">
        <f t="shared" si="7"/>
        <v>35.918639999999996</v>
      </c>
      <c r="AC6" s="45">
        <v>2.3999999999999998E-3</v>
      </c>
      <c r="AD6" s="17">
        <f>M6*AC6</f>
        <v>35.769599999999997</v>
      </c>
      <c r="AE6" s="26">
        <f>IF(M6&gt;0,(AG6+AP6)/M6,0)</f>
        <v>2.4217826086956528E-3</v>
      </c>
      <c r="AF6" s="45">
        <v>2.5000000000000001E-4</v>
      </c>
      <c r="AG6" s="36">
        <f t="shared" si="5"/>
        <v>3.726</v>
      </c>
      <c r="AH6" s="27">
        <v>0.20269999999999999</v>
      </c>
      <c r="AI6" s="40">
        <f>AL6*(1-AM6)*AH6</f>
        <v>30.502296000000001</v>
      </c>
      <c r="AJ6" s="27">
        <f>IF(AND(AH6&gt;0,AF6&gt;0,AC6&gt;0),((AC6-AF6)*AH6)/((AH6-AF6)*AC6),0)</f>
        <v>0.89693957355725706</v>
      </c>
      <c r="AK6" s="28">
        <f t="shared" si="6"/>
        <v>0.89781373959436839</v>
      </c>
      <c r="AL6" s="42">
        <v>165</v>
      </c>
      <c r="AM6" s="38">
        <v>8.7999999999999995E-2</v>
      </c>
      <c r="AN6" s="27">
        <v>0.21510000000000001</v>
      </c>
      <c r="AO6" s="105">
        <v>0.22359999999999999</v>
      </c>
      <c r="AP6" s="40">
        <f>AL6*(1-AM6)*AN6</f>
        <v>32.368248000000008</v>
      </c>
      <c r="AQ6" s="106">
        <f t="shared" si="8"/>
        <v>33.647328000000002</v>
      </c>
      <c r="AR6" s="17">
        <v>1.55</v>
      </c>
      <c r="AS6" s="17"/>
      <c r="AT6" s="88">
        <f>AT5+AL6-AS6</f>
        <v>1937.4599999999994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53600</v>
      </c>
      <c r="E7" s="49"/>
      <c r="F7" s="49">
        <f>SUM(F4:F6)</f>
        <v>58249</v>
      </c>
      <c r="G7" s="50"/>
      <c r="H7" s="50"/>
      <c r="I7" s="49">
        <f>SUM(I4:I6)</f>
        <v>56481</v>
      </c>
      <c r="J7" s="50"/>
      <c r="K7" s="49">
        <f>SUM(K4:K6)</f>
        <v>47725</v>
      </c>
      <c r="L7" s="20">
        <f>IF(K7&gt;0,(K4*L4+K5*L5+K6*L6)/K7,0)</f>
        <v>6.3333766369827141E-2</v>
      </c>
      <c r="M7" s="50">
        <f>M4+M5+M6</f>
        <v>44702</v>
      </c>
      <c r="N7" s="51">
        <f>IF(M7&gt;0,O7/M7,0)</f>
        <v>0.71201225895933062</v>
      </c>
      <c r="O7" s="52">
        <f>O4+O5+O6</f>
        <v>31828.371999999999</v>
      </c>
      <c r="P7" s="20">
        <f>IF(M7&gt;0,Q7/M7,0)</f>
        <v>0.24267504809628207</v>
      </c>
      <c r="Q7" s="52">
        <f>Q4+Q5+Q6</f>
        <v>10848.060000000001</v>
      </c>
      <c r="R7" s="20">
        <f>IF(M7&gt;0,T7/M7,0)</f>
        <v>4.5312692944387271E-2</v>
      </c>
      <c r="S7" s="107"/>
      <c r="T7" s="52">
        <f>T4+T5+T6</f>
        <v>2025.5679999999998</v>
      </c>
      <c r="U7" s="20">
        <f>IF(M7&gt;0,V7/M7,0)</f>
        <v>0.21599507851997674</v>
      </c>
      <c r="V7" s="52">
        <f>V4+V5+V6</f>
        <v>9655.4120000000003</v>
      </c>
      <c r="W7" s="20">
        <f>IF(M7&gt;0,X7/M7,0)</f>
        <v>0.49999418370542703</v>
      </c>
      <c r="X7" s="52">
        <f>X4+X5+X6</f>
        <v>22350.739999999998</v>
      </c>
      <c r="Y7" s="20">
        <f>IF(M7&gt;0,Z7/M7,0)</f>
        <v>0.38000000000000006</v>
      </c>
      <c r="Z7" s="52">
        <f>Z4+Z5+Z6</f>
        <v>16986.760000000002</v>
      </c>
      <c r="AA7" s="119">
        <f>IF(M7&gt;0,AB7/M7,0)</f>
        <v>2.4600259496219408E-3</v>
      </c>
      <c r="AB7" s="54">
        <f t="shared" ref="AB7" si="9">SUM(AB4:AB6)</f>
        <v>109.96808</v>
      </c>
      <c r="AC7" s="53">
        <f>IF(M7&gt;0,AD7/M7,0)</f>
        <v>2.446829672050468E-3</v>
      </c>
      <c r="AD7" s="54">
        <f>SUM(AD4:AD6)</f>
        <v>109.37818000000001</v>
      </c>
      <c r="AE7" s="53">
        <f>IF(M7&gt;0,(AE4*M4+AE5*M5+AE6*M6)/M7,0)</f>
        <v>2.3801739161558766E-3</v>
      </c>
      <c r="AF7" s="53">
        <f>IF(K7&gt;0,(K4*AF4+K5*AF5+K6*AF6)/K7,0)</f>
        <v>2.4666841278156107E-4</v>
      </c>
      <c r="AG7" s="50">
        <f>SUM(AG4:AG6)</f>
        <v>11.02604</v>
      </c>
      <c r="AH7" s="51">
        <f>IF(K7&gt;0,(K4*AH4+K5*AH5+K6*AH6)/K7,0)</f>
        <v>0.20123406809848088</v>
      </c>
      <c r="AI7" s="56">
        <f>SUM(AI4:AI6)</f>
        <v>90.106437799999995</v>
      </c>
      <c r="AJ7" s="51">
        <f>IF(AND(AD7&gt;0),((AD4*AJ4+AD5*AJ5+AD6*AJ6)/AD7),0)</f>
        <v>0.90029639920631688</v>
      </c>
      <c r="AK7" s="55">
        <f t="shared" si="6"/>
        <v>0.89740430643804314</v>
      </c>
      <c r="AL7" s="49">
        <f>SUM(AL4:AL6)</f>
        <v>491</v>
      </c>
      <c r="AM7" s="20">
        <f>IF(AL7&gt;0,(AM4*AL4+AM5*AL5+AM6*AL6)/AL7,0)</f>
        <v>8.7987780040733196E-2</v>
      </c>
      <c r="AN7" s="51">
        <f>IF(K7&gt;0,(AN4*K4+AN5*K5+AN6*K6)/K7,0)</f>
        <v>0.21306790780513357</v>
      </c>
      <c r="AO7" s="107">
        <f>IF(K7&gt;0,(AO4*K4+AO5*K5+AO6*K6)/K7,0)</f>
        <v>0.21703654269250916</v>
      </c>
      <c r="AP7" s="56">
        <f>SUM(AP4:AP6)</f>
        <v>95.372494400000008</v>
      </c>
      <c r="AQ7" s="108">
        <f t="shared" ref="AQ7" si="10">SUM(AQ4:AQ6)</f>
        <v>97.1738292</v>
      </c>
      <c r="AR7" s="54"/>
      <c r="AS7" s="54">
        <f>SUM(AS4:AS6)</f>
        <v>0</v>
      </c>
      <c r="AT7" s="83"/>
      <c r="AU7" s="84">
        <f>AT6</f>
        <v>1937.4599999999994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0" t="s">
        <v>53</v>
      </c>
      <c r="D8" s="11">
        <v>6700</v>
      </c>
      <c r="E8" s="11">
        <v>2</v>
      </c>
      <c r="F8" s="11">
        <v>12967</v>
      </c>
      <c r="G8" s="12">
        <v>0.4</v>
      </c>
      <c r="H8" s="12">
        <v>5</v>
      </c>
      <c r="I8" s="11">
        <v>12499</v>
      </c>
      <c r="J8" s="12">
        <v>3.7</v>
      </c>
      <c r="K8" s="11">
        <v>15844</v>
      </c>
      <c r="L8" s="13">
        <v>5.8000000000000003E-2</v>
      </c>
      <c r="M8" s="23">
        <f>ROUND(K8*(1-L8),0)</f>
        <v>14925</v>
      </c>
      <c r="N8" s="14">
        <v>0.76900000000000002</v>
      </c>
      <c r="O8" s="24">
        <f t="shared" ref="O8:O10" si="11">M8*N8</f>
        <v>11477.325000000001</v>
      </c>
      <c r="P8" s="13">
        <v>0.21199999999999999</v>
      </c>
      <c r="Q8" s="24">
        <f t="shared" ref="Q8:Q10" si="12">M8*P8</f>
        <v>3164.1</v>
      </c>
      <c r="R8" s="15">
        <v>1.9E-2</v>
      </c>
      <c r="S8" s="112">
        <v>0.22700000000000001</v>
      </c>
      <c r="T8" s="24">
        <f t="shared" ref="T8:T10" si="13">M8*R8</f>
        <v>283.57499999999999</v>
      </c>
      <c r="U8" s="25">
        <v>0.221</v>
      </c>
      <c r="V8" s="24">
        <f t="shared" ref="V8:V10" si="14">M8*U8</f>
        <v>3298.4250000000002</v>
      </c>
      <c r="W8" s="15">
        <v>0.49099999999999999</v>
      </c>
      <c r="X8" s="24">
        <f t="shared" ref="X8:X10" si="15">M8*W8</f>
        <v>7328.1750000000002</v>
      </c>
      <c r="Y8" s="15">
        <v>0.38</v>
      </c>
      <c r="Z8" s="24">
        <f t="shared" ref="Z8:Z10" si="16">Y8*M8</f>
        <v>5671.5</v>
      </c>
      <c r="AA8" s="116">
        <v>2.31E-3</v>
      </c>
      <c r="AB8" s="18">
        <f>M8*AA8</f>
        <v>34.476750000000003</v>
      </c>
      <c r="AC8" s="16">
        <v>2.3999999999999998E-3</v>
      </c>
      <c r="AD8" s="17">
        <f t="shared" ref="AD8:AD10" si="17">M8*AC8</f>
        <v>35.82</v>
      </c>
      <c r="AE8" s="26">
        <f>IF(M8&gt;0,(AG8+AP8)/M8,0)</f>
        <v>2.3569185929648243E-3</v>
      </c>
      <c r="AF8" s="16">
        <v>2.5000000000000001E-4</v>
      </c>
      <c r="AG8" s="23">
        <f t="shared" ref="AG8:AG10" si="18">AF8*M8</f>
        <v>3.7312500000000002</v>
      </c>
      <c r="AH8" s="92">
        <v>0.2049</v>
      </c>
      <c r="AI8" s="29">
        <f t="shared" ref="AI8:AI10" si="19">AL8*(1-AM8)*AH8</f>
        <v>29.899008000000002</v>
      </c>
      <c r="AJ8" s="27">
        <f t="shared" ref="AJ8:AJ10" si="20">IF(AND(AH8&gt;0,AF8&gt;0,AC8&gt;0),((AC8-AF8)*AH8)/((AH8-AF8)*AC8),0)</f>
        <v>0.89692768140728085</v>
      </c>
      <c r="AK8" s="58">
        <f t="shared" si="6"/>
        <v>0.89496754753567676</v>
      </c>
      <c r="AL8" s="11">
        <v>160</v>
      </c>
      <c r="AM8" s="13">
        <v>8.7999999999999995E-2</v>
      </c>
      <c r="AN8" s="14">
        <v>0.2155</v>
      </c>
      <c r="AO8" s="101">
        <v>0.22109999999999999</v>
      </c>
      <c r="AP8" s="29">
        <f>AL8*(1-AM8)*AN8</f>
        <v>31.445760000000003</v>
      </c>
      <c r="AQ8" s="102">
        <f t="shared" ref="AQ8:AQ70" si="21">AL8*(1-AM8)*AO8</f>
        <v>32.262912</v>
      </c>
      <c r="AR8" s="18">
        <v>1.5</v>
      </c>
      <c r="AS8" s="18">
        <v>1059.44</v>
      </c>
      <c r="AT8" s="79">
        <f>AT6+AL8-AS8</f>
        <v>1038.0199999999991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0" t="s">
        <v>54</v>
      </c>
      <c r="D9" s="33">
        <v>19800</v>
      </c>
      <c r="E9" s="33">
        <v>5</v>
      </c>
      <c r="F9" s="33">
        <v>16039</v>
      </c>
      <c r="G9" s="34">
        <v>1.8</v>
      </c>
      <c r="H9" s="34">
        <v>6.9</v>
      </c>
      <c r="I9" s="33">
        <v>15847</v>
      </c>
      <c r="J9" s="34">
        <v>3.8</v>
      </c>
      <c r="K9" s="33">
        <v>15826</v>
      </c>
      <c r="L9" s="35">
        <v>5.1999999999999998E-2</v>
      </c>
      <c r="M9" s="36">
        <f>ROUND(K9*(1-L9),0)</f>
        <v>15003</v>
      </c>
      <c r="N9" s="37">
        <v>0.6</v>
      </c>
      <c r="O9" s="24">
        <f t="shared" si="11"/>
        <v>9001.7999999999993</v>
      </c>
      <c r="P9" s="35">
        <v>0.34499999999999997</v>
      </c>
      <c r="Q9" s="24">
        <f t="shared" si="12"/>
        <v>5176.0349999999999</v>
      </c>
      <c r="R9" s="38">
        <v>5.5E-2</v>
      </c>
      <c r="S9" s="105">
        <v>0.2074</v>
      </c>
      <c r="T9" s="24">
        <f t="shared" si="13"/>
        <v>825.16499999999996</v>
      </c>
      <c r="U9" s="27">
        <v>0.218</v>
      </c>
      <c r="V9" s="24">
        <f t="shared" si="14"/>
        <v>3270.654</v>
      </c>
      <c r="W9" s="38">
        <v>0.495</v>
      </c>
      <c r="X9" s="24">
        <f t="shared" si="15"/>
        <v>7426.4849999999997</v>
      </c>
      <c r="Y9" s="38">
        <v>0.38</v>
      </c>
      <c r="Z9" s="24">
        <f t="shared" si="16"/>
        <v>5701.14</v>
      </c>
      <c r="AA9" s="117">
        <v>2.2300000000000002E-3</v>
      </c>
      <c r="AB9" s="18">
        <f t="shared" ref="AB9:AB10" si="22">M9*AA9</f>
        <v>33.456690000000002</v>
      </c>
      <c r="AC9" s="39">
        <v>2.32E-3</v>
      </c>
      <c r="AD9" s="17">
        <f t="shared" si="17"/>
        <v>34.806960000000004</v>
      </c>
      <c r="AE9" s="26">
        <f>IF(M9&gt;0,(AG9+AP9)/M9,0)</f>
        <v>2.3093433513297341E-3</v>
      </c>
      <c r="AF9" s="39">
        <v>2.3000000000000001E-4</v>
      </c>
      <c r="AG9" s="36">
        <f t="shared" si="18"/>
        <v>3.4506900000000003</v>
      </c>
      <c r="AH9" s="27">
        <v>0.20499999999999999</v>
      </c>
      <c r="AI9" s="40">
        <f t="shared" si="19"/>
        <v>29.759235</v>
      </c>
      <c r="AJ9" s="27">
        <f t="shared" si="20"/>
        <v>0.90187392751834261</v>
      </c>
      <c r="AK9" s="28">
        <f t="shared" si="6"/>
        <v>0.90136929331616844</v>
      </c>
      <c r="AL9" s="33">
        <v>159</v>
      </c>
      <c r="AM9" s="35">
        <v>8.6999999999999994E-2</v>
      </c>
      <c r="AN9" s="37">
        <v>0.21490000000000001</v>
      </c>
      <c r="AO9" s="103">
        <v>0.22359999999999999</v>
      </c>
      <c r="AP9" s="40">
        <f>AL9*(1-AM9)*AN9</f>
        <v>31.196388300000002</v>
      </c>
      <c r="AQ9" s="104">
        <f t="shared" si="21"/>
        <v>32.459341199999997</v>
      </c>
      <c r="AR9" s="41">
        <v>1.58</v>
      </c>
      <c r="AS9" s="41"/>
      <c r="AT9" s="88">
        <f>AT8+AL9-AS9</f>
        <v>1197.0199999999991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55</v>
      </c>
      <c r="D10" s="42">
        <v>21000</v>
      </c>
      <c r="E10" s="42">
        <v>2</v>
      </c>
      <c r="F10" s="42">
        <v>19274</v>
      </c>
      <c r="G10" s="36">
        <v>0.3</v>
      </c>
      <c r="H10" s="36">
        <v>3.8</v>
      </c>
      <c r="I10" s="42">
        <v>18729</v>
      </c>
      <c r="J10" s="36">
        <v>2.5</v>
      </c>
      <c r="K10" s="42">
        <v>15862</v>
      </c>
      <c r="L10" s="38">
        <v>6.2E-2</v>
      </c>
      <c r="M10" s="36">
        <f>ROUND(K10*(1-L10),0)</f>
        <v>14879</v>
      </c>
      <c r="N10" s="27">
        <v>0.629</v>
      </c>
      <c r="O10" s="24">
        <f t="shared" si="11"/>
        <v>9358.8909999999996</v>
      </c>
      <c r="P10" s="38">
        <v>0.31</v>
      </c>
      <c r="Q10" s="24">
        <f t="shared" si="12"/>
        <v>4612.49</v>
      </c>
      <c r="R10" s="38">
        <v>6.0999999999999999E-2</v>
      </c>
      <c r="S10" s="105">
        <v>0.22570000000000001</v>
      </c>
      <c r="T10" s="24">
        <f t="shared" si="13"/>
        <v>907.61900000000003</v>
      </c>
      <c r="U10" s="27">
        <v>0.21099999999999999</v>
      </c>
      <c r="V10" s="24">
        <f t="shared" si="14"/>
        <v>3139.4690000000001</v>
      </c>
      <c r="W10" s="38">
        <v>0.503</v>
      </c>
      <c r="X10" s="24">
        <f t="shared" si="15"/>
        <v>7484.1369999999997</v>
      </c>
      <c r="Y10" s="38">
        <v>0.37</v>
      </c>
      <c r="Z10" s="24">
        <f t="shared" si="16"/>
        <v>5505.23</v>
      </c>
      <c r="AA10" s="118">
        <v>2.31E-3</v>
      </c>
      <c r="AB10" s="121">
        <f t="shared" si="22"/>
        <v>34.370489999999997</v>
      </c>
      <c r="AC10" s="45">
        <v>2.3600000000000001E-3</v>
      </c>
      <c r="AD10" s="17">
        <f t="shared" si="17"/>
        <v>35.114440000000002</v>
      </c>
      <c r="AE10" s="26">
        <f>IF(M10&gt;0,(AG10+AP10)/M10,0)</f>
        <v>2.4791738692116405E-3</v>
      </c>
      <c r="AF10" s="45">
        <v>2.4000000000000001E-4</v>
      </c>
      <c r="AG10" s="36">
        <f t="shared" si="18"/>
        <v>3.5709599999999999</v>
      </c>
      <c r="AH10" s="27">
        <v>0.20580000000000001</v>
      </c>
      <c r="AI10" s="40">
        <f t="shared" si="19"/>
        <v>31.802274000000001</v>
      </c>
      <c r="AJ10" s="27">
        <f t="shared" si="20"/>
        <v>0.89935389395153698</v>
      </c>
      <c r="AK10" s="28">
        <f t="shared" si="6"/>
        <v>0.90420008926734519</v>
      </c>
      <c r="AL10" s="42">
        <v>170</v>
      </c>
      <c r="AM10" s="38">
        <v>9.0999999999999998E-2</v>
      </c>
      <c r="AN10" s="27">
        <v>0.21560000000000001</v>
      </c>
      <c r="AO10" s="105">
        <v>0.22059999999999999</v>
      </c>
      <c r="AP10" s="40">
        <f>AL10*(1-AM10)*AN10</f>
        <v>33.316668</v>
      </c>
      <c r="AQ10" s="106">
        <f t="shared" si="21"/>
        <v>34.089317999999999</v>
      </c>
      <c r="AR10" s="17">
        <v>1.58</v>
      </c>
      <c r="AS10" s="17"/>
      <c r="AT10" s="88">
        <f>AT9+AL10-AS10</f>
        <v>1367.0199999999991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47500</v>
      </c>
      <c r="E11" s="49"/>
      <c r="F11" s="49">
        <f t="shared" ref="F11" si="24">SUM(F8:F10)</f>
        <v>48280</v>
      </c>
      <c r="G11" s="50"/>
      <c r="H11" s="50"/>
      <c r="I11" s="49">
        <f t="shared" ref="I11:K11" si="25">SUM(I8:I10)</f>
        <v>47075</v>
      </c>
      <c r="J11" s="50"/>
      <c r="K11" s="49">
        <f t="shared" si="25"/>
        <v>47532</v>
      </c>
      <c r="L11" s="20">
        <f t="shared" ref="L11" si="26">IF(K11&gt;0,(K8*L8+K9*L9+K10*L10)/K11,0)</f>
        <v>5.7337120255827649E-2</v>
      </c>
      <c r="M11" s="50">
        <f t="shared" ref="M11" si="27">M8+M9+M10</f>
        <v>44807</v>
      </c>
      <c r="N11" s="51">
        <f t="shared" ref="N11" si="28">IF(M11&gt;0,O11/M11,0)</f>
        <v>0.66592309237395941</v>
      </c>
      <c r="O11" s="52">
        <f t="shared" ref="O11" si="29">O8+O9+O10</f>
        <v>29838.016</v>
      </c>
      <c r="P11" s="20">
        <f t="shared" ref="P11" si="30">IF(M11&gt;0,Q11/M11,0)</f>
        <v>0.28907592563661927</v>
      </c>
      <c r="Q11" s="52">
        <f t="shared" ref="Q11" si="31">Q8+Q9+Q10</f>
        <v>12952.625</v>
      </c>
      <c r="R11" s="20">
        <f t="shared" ref="R11" si="32">IF(M11&gt;0,T11/M11,0)</f>
        <v>4.5000981989421297E-2</v>
      </c>
      <c r="S11" s="107"/>
      <c r="T11" s="52">
        <f t="shared" ref="T11" si="33">T8+T9+T10</f>
        <v>2016.3589999999999</v>
      </c>
      <c r="U11" s="20">
        <f t="shared" ref="U11" si="34">IF(M11&gt;0,V11/M11,0)</f>
        <v>0.21667480527596131</v>
      </c>
      <c r="V11" s="52">
        <f t="shared" ref="V11" si="35">V8+V9+V10</f>
        <v>9708.5479999999989</v>
      </c>
      <c r="W11" s="20">
        <f t="shared" ref="W11" si="36">IF(M11&gt;0,X11/M11,0)</f>
        <v>0.49632416809873453</v>
      </c>
      <c r="X11" s="52">
        <f t="shared" ref="X11" si="37">X8+X9+X10</f>
        <v>22238.796999999999</v>
      </c>
      <c r="Y11" s="20">
        <f t="shared" ref="Y11" si="38">IF(M11&gt;0,Z11/M11,0)</f>
        <v>0.37667931350012274</v>
      </c>
      <c r="Z11" s="52">
        <f t="shared" ref="Z11" si="39">Z8+Z9+Z10</f>
        <v>16877.87</v>
      </c>
      <c r="AA11" s="119">
        <f>IF(M11&gt;0,AB11/M11,0)</f>
        <v>2.2832131140223628E-3</v>
      </c>
      <c r="AB11" s="54">
        <f t="shared" ref="AB11" si="40">SUM(AB8:AB10)</f>
        <v>102.30393000000001</v>
      </c>
      <c r="AC11" s="53">
        <f t="shared" ref="AC11" si="41">IF(M11&gt;0,AD11/M11,0)</f>
        <v>2.3599303680228536E-3</v>
      </c>
      <c r="AD11" s="54">
        <f t="shared" ref="AD11" si="42">SUM(AD8:AD10)</f>
        <v>105.7414</v>
      </c>
      <c r="AE11" s="53">
        <f t="shared" ref="AE11" si="43">IF(M11&gt;0,(AE8*M8+AE9*M9+AE10*M10)/M11,0)</f>
        <v>2.3815858303390097E-3</v>
      </c>
      <c r="AF11" s="53">
        <f t="shared" ref="AF11" si="44">IF(K11&gt;0,(K8*AF8+K9*AF9+K10*AF10)/K11,0)</f>
        <v>2.4000378692249432E-4</v>
      </c>
      <c r="AG11" s="50">
        <f t="shared" ref="AG11" si="45">SUM(AG8:AG10)</f>
        <v>10.7529</v>
      </c>
      <c r="AH11" s="51">
        <f t="shared" ref="AH11" si="46">IF(K11&gt;0,(K8*AH8+K9*AH9+K10*AH10)/K11,0)</f>
        <v>0.20523363628713287</v>
      </c>
      <c r="AI11" s="56">
        <f t="shared" ref="AI11" si="47">SUM(AI8:AI10)</f>
        <v>91.460516999999996</v>
      </c>
      <c r="AJ11" s="51">
        <f t="shared" ref="AJ11" si="48">IF(AND(AD11&gt;0),((AD8*AJ8+AD9*AJ9+AD10*AJ10)/AD11),0)</f>
        <v>0.89936153309971556</v>
      </c>
      <c r="AK11" s="55">
        <f t="shared" si="6"/>
        <v>0.90022858583825827</v>
      </c>
      <c r="AL11" s="49">
        <f t="shared" ref="AL11" si="49">SUM(AL8:AL10)</f>
        <v>489</v>
      </c>
      <c r="AM11" s="20">
        <f t="shared" ref="AM11" si="50">IF(AL11&gt;0,(AM8*AL8+AM9*AL9+AM10*AL10)/AL11,0)</f>
        <v>8.871779141104294E-2</v>
      </c>
      <c r="AN11" s="51">
        <f>IF(K11&gt;0,(AN8*K8+AN9*K9+AN10*K10)/K11,0)</f>
        <v>0.21533359841790795</v>
      </c>
      <c r="AO11" s="107">
        <f>IF(K11&gt;0,(AO8*K8+AO9*K9+AO10*K10)/K11,0)</f>
        <v>0.22176553058991835</v>
      </c>
      <c r="AP11" s="56">
        <f t="shared" ref="AP11:AQ23" si="51">SUM(AP8:AP10)</f>
        <v>95.958816299999995</v>
      </c>
      <c r="AQ11" s="108">
        <f t="shared" si="51"/>
        <v>98.811571200000003</v>
      </c>
      <c r="AR11" s="54"/>
      <c r="AS11" s="54">
        <f t="shared" ref="AS11" si="52">SUM(AS8:AS10)</f>
        <v>1059.44</v>
      </c>
      <c r="AT11" s="83"/>
      <c r="AU11" s="84">
        <f>AT10</f>
        <v>1367.0199999999991</v>
      </c>
      <c r="AV11" s="49">
        <f t="shared" ref="AV11" si="53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43" t="s">
        <v>57</v>
      </c>
      <c r="D12" s="11">
        <v>11000</v>
      </c>
      <c r="E12" s="11">
        <v>5</v>
      </c>
      <c r="F12" s="11">
        <v>17807</v>
      </c>
      <c r="G12" s="12">
        <v>0.4</v>
      </c>
      <c r="H12" s="12">
        <v>4</v>
      </c>
      <c r="I12" s="11">
        <v>17685</v>
      </c>
      <c r="J12" s="12">
        <v>1.6</v>
      </c>
      <c r="K12" s="11">
        <v>15783</v>
      </c>
      <c r="L12" s="13">
        <v>6.8000000000000005E-2</v>
      </c>
      <c r="M12" s="23">
        <f>ROUND(K12*(1-L12),0)</f>
        <v>14710</v>
      </c>
      <c r="N12" s="14">
        <v>0.622</v>
      </c>
      <c r="O12" s="24">
        <f t="shared" ref="O12:O14" si="54">M12*N12</f>
        <v>9149.6200000000008</v>
      </c>
      <c r="P12" s="13">
        <v>0.32</v>
      </c>
      <c r="Q12" s="24">
        <f t="shared" ref="Q12:Q14" si="55">M12*P12</f>
        <v>4707.2</v>
      </c>
      <c r="R12" s="15">
        <v>5.8000000000000003E-2</v>
      </c>
      <c r="S12" s="112">
        <v>0.2089</v>
      </c>
      <c r="T12" s="24">
        <f t="shared" ref="T12:T14" si="56">M12*R12</f>
        <v>853.18000000000006</v>
      </c>
      <c r="U12" s="25">
        <v>0.21099999999999999</v>
      </c>
      <c r="V12" s="24">
        <f t="shared" ref="V12:V14" si="57">M12*U12</f>
        <v>3103.81</v>
      </c>
      <c r="W12" s="15">
        <v>0.499</v>
      </c>
      <c r="X12" s="24">
        <f t="shared" ref="X12:X14" si="58">M12*W12</f>
        <v>7340.29</v>
      </c>
      <c r="Y12" s="15">
        <v>0.38</v>
      </c>
      <c r="Z12" s="24">
        <f t="shared" ref="Z12:Z14" si="59">Y12*M12</f>
        <v>5589.8</v>
      </c>
      <c r="AA12" s="116">
        <v>2.4099999999999998E-3</v>
      </c>
      <c r="AB12" s="18">
        <f t="shared" ref="AB12:AB74" si="60">M12*AA12</f>
        <v>35.451099999999997</v>
      </c>
      <c r="AC12" s="16">
        <v>2.5300000000000001E-3</v>
      </c>
      <c r="AD12" s="17">
        <f t="shared" ref="AD12:AD14" si="61">M12*AC12</f>
        <v>37.216300000000004</v>
      </c>
      <c r="AE12" s="26">
        <f>IF(M12&gt;0,(AG12+AP12)/M12,0)</f>
        <v>2.5709525492861999E-3</v>
      </c>
      <c r="AF12" s="16">
        <v>2.5000000000000001E-4</v>
      </c>
      <c r="AG12" s="23">
        <f t="shared" ref="AG12:AG14" si="62">AF12*M12</f>
        <v>3.6775000000000002</v>
      </c>
      <c r="AH12" s="92">
        <v>0.21149999999999999</v>
      </c>
      <c r="AI12" s="29">
        <f t="shared" ref="AI12:AI14" si="63">AL12*(1-AM12)*AH12</f>
        <v>32.511780000000002</v>
      </c>
      <c r="AJ12" s="27">
        <f t="shared" ref="AJ12:AJ14" si="64">IF(AND(AH12&gt;0,AF12&gt;0,AC12&gt;0),((AC12-AF12)*AH12)/((AH12-AF12)*AC12),0)</f>
        <v>0.90225226278737969</v>
      </c>
      <c r="AK12" s="58">
        <f t="shared" si="6"/>
        <v>0.90377708543559165</v>
      </c>
      <c r="AL12" s="11">
        <v>168</v>
      </c>
      <c r="AM12" s="13">
        <v>8.5000000000000006E-2</v>
      </c>
      <c r="AN12" s="14">
        <v>0.22209999999999999</v>
      </c>
      <c r="AO12" s="101">
        <v>0.2261</v>
      </c>
      <c r="AP12" s="29">
        <f>AL12*(1-AM12)*AN12</f>
        <v>34.141211999999996</v>
      </c>
      <c r="AQ12" s="102">
        <f t="shared" ref="AQ12" si="65">AL12*(1-AM12)*AO12</f>
        <v>34.756092000000002</v>
      </c>
      <c r="AR12" s="18">
        <v>1.56</v>
      </c>
      <c r="AS12" s="18"/>
      <c r="AT12" s="79">
        <f>AT10+AL12-AS12</f>
        <v>1535.0199999999991</v>
      </c>
      <c r="AU12" s="80"/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0" t="s">
        <v>54</v>
      </c>
      <c r="D13" s="33">
        <v>18950</v>
      </c>
      <c r="E13" s="33">
        <v>5</v>
      </c>
      <c r="F13" s="33">
        <v>16992</v>
      </c>
      <c r="G13" s="34">
        <v>0.4</v>
      </c>
      <c r="H13" s="34">
        <v>5</v>
      </c>
      <c r="I13" s="33">
        <v>16006</v>
      </c>
      <c r="J13" s="34">
        <v>1.7</v>
      </c>
      <c r="K13" s="33">
        <v>15891</v>
      </c>
      <c r="L13" s="35">
        <v>7.3999999999999996E-2</v>
      </c>
      <c r="M13" s="36">
        <f>ROUND(K13*(1-L13),0)</f>
        <v>14715</v>
      </c>
      <c r="N13" s="37">
        <v>0.71499999999999997</v>
      </c>
      <c r="O13" s="24">
        <f t="shared" si="54"/>
        <v>10521.225</v>
      </c>
      <c r="P13" s="35">
        <v>0.24299999999999999</v>
      </c>
      <c r="Q13" s="24">
        <f t="shared" si="55"/>
        <v>3575.7449999999999</v>
      </c>
      <c r="R13" s="38">
        <v>4.2000000000000003E-2</v>
      </c>
      <c r="S13" s="105">
        <v>0.1988</v>
      </c>
      <c r="T13" s="24">
        <f t="shared" si="56"/>
        <v>618.03000000000009</v>
      </c>
      <c r="U13" s="27">
        <v>0.216</v>
      </c>
      <c r="V13" s="24">
        <f t="shared" si="57"/>
        <v>3178.44</v>
      </c>
      <c r="W13" s="38">
        <v>0.49</v>
      </c>
      <c r="X13" s="24">
        <f t="shared" si="58"/>
        <v>7210.3499999999995</v>
      </c>
      <c r="Y13" s="38">
        <v>0.38</v>
      </c>
      <c r="Z13" s="24">
        <f t="shared" si="59"/>
        <v>5591.7</v>
      </c>
      <c r="AA13" s="117">
        <v>2.5000000000000001E-3</v>
      </c>
      <c r="AB13" s="18">
        <f t="shared" si="60"/>
        <v>36.787500000000001</v>
      </c>
      <c r="AC13" s="39">
        <v>2.5899999999999999E-3</v>
      </c>
      <c r="AD13" s="17">
        <f t="shared" si="61"/>
        <v>38.111849999999997</v>
      </c>
      <c r="AE13" s="26">
        <f>IF(M13&gt;0,(AG13+AP13)/M13,0)</f>
        <v>2.7718778661230043E-3</v>
      </c>
      <c r="AF13" s="39">
        <v>2.5000000000000001E-4</v>
      </c>
      <c r="AG13" s="36">
        <f t="shared" si="62"/>
        <v>3.67875</v>
      </c>
      <c r="AH13" s="27">
        <v>0.20449999999999999</v>
      </c>
      <c r="AI13" s="40">
        <f t="shared" si="63"/>
        <v>34.354364000000004</v>
      </c>
      <c r="AJ13" s="27">
        <f t="shared" si="64"/>
        <v>0.90458074791000131</v>
      </c>
      <c r="AK13" s="28">
        <f t="shared" si="6"/>
        <v>0.91083926358223799</v>
      </c>
      <c r="AL13" s="33">
        <v>184</v>
      </c>
      <c r="AM13" s="35">
        <v>8.6999999999999994E-2</v>
      </c>
      <c r="AN13" s="37">
        <v>0.22090000000000001</v>
      </c>
      <c r="AO13" s="103">
        <v>0.2261</v>
      </c>
      <c r="AP13" s="40">
        <f>AL13*(1-AM13)*AN13</f>
        <v>37.109432800000008</v>
      </c>
      <c r="AQ13" s="104">
        <f t="shared" si="21"/>
        <v>37.982991200000001</v>
      </c>
      <c r="AR13" s="41">
        <v>1.55</v>
      </c>
      <c r="AS13" s="41"/>
      <c r="AT13" s="88">
        <f>AT12+AL13-AS13</f>
        <v>1719.0199999999991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55</v>
      </c>
      <c r="D14" s="42">
        <v>20500</v>
      </c>
      <c r="E14" s="42">
        <v>2</v>
      </c>
      <c r="F14" s="42">
        <v>17325</v>
      </c>
      <c r="G14" s="36">
        <v>0.4</v>
      </c>
      <c r="H14" s="36">
        <v>6</v>
      </c>
      <c r="I14" s="42">
        <v>17549</v>
      </c>
      <c r="J14" s="36">
        <v>1</v>
      </c>
      <c r="K14" s="42">
        <v>16014</v>
      </c>
      <c r="L14" s="38">
        <v>6.6000000000000003E-2</v>
      </c>
      <c r="M14" s="36">
        <f>ROUND(K14*(1-L14),0)</f>
        <v>14957</v>
      </c>
      <c r="N14" s="27">
        <v>0.72499999999999998</v>
      </c>
      <c r="O14" s="24">
        <f t="shared" si="54"/>
        <v>10843.824999999999</v>
      </c>
      <c r="P14" s="38">
        <v>0.224</v>
      </c>
      <c r="Q14" s="24">
        <f t="shared" si="55"/>
        <v>3350.3679999999999</v>
      </c>
      <c r="R14" s="38">
        <v>5.0999999999999997E-2</v>
      </c>
      <c r="S14" s="105">
        <v>0.2079</v>
      </c>
      <c r="T14" s="24">
        <f t="shared" si="56"/>
        <v>762.8069999999999</v>
      </c>
      <c r="U14" s="27">
        <v>0.214</v>
      </c>
      <c r="V14" s="24">
        <f t="shared" si="57"/>
        <v>3200.7979999999998</v>
      </c>
      <c r="W14" s="38">
        <v>0.499</v>
      </c>
      <c r="X14" s="24">
        <f t="shared" si="58"/>
        <v>7463.5429999999997</v>
      </c>
      <c r="Y14" s="38">
        <v>0.38</v>
      </c>
      <c r="Z14" s="24">
        <f t="shared" si="59"/>
        <v>5683.66</v>
      </c>
      <c r="AA14" s="118">
        <v>2.5799999999999998E-3</v>
      </c>
      <c r="AB14" s="121">
        <f t="shared" si="60"/>
        <v>38.589059999999996</v>
      </c>
      <c r="AC14" s="45">
        <v>2.7299999999999998E-3</v>
      </c>
      <c r="AD14" s="17">
        <f t="shared" si="61"/>
        <v>40.832609999999995</v>
      </c>
      <c r="AE14" s="26">
        <f>IF(M14&gt;0,(AG14+AP14)/M14,0)</f>
        <v>2.6766626729959218E-3</v>
      </c>
      <c r="AF14" s="45">
        <v>2.5000000000000001E-4</v>
      </c>
      <c r="AG14" s="36">
        <f t="shared" si="62"/>
        <v>3.7392500000000002</v>
      </c>
      <c r="AH14" s="27">
        <v>0.20880000000000001</v>
      </c>
      <c r="AI14" s="40">
        <f t="shared" si="63"/>
        <v>35.613345600000002</v>
      </c>
      <c r="AJ14" s="27">
        <f t="shared" si="64"/>
        <v>0.90951388577857051</v>
      </c>
      <c r="AK14" s="28">
        <f t="shared" si="6"/>
        <v>0.90766644717186529</v>
      </c>
      <c r="AL14" s="42">
        <v>186</v>
      </c>
      <c r="AM14" s="38">
        <v>8.3000000000000004E-2</v>
      </c>
      <c r="AN14" s="27">
        <v>0.21279999999999999</v>
      </c>
      <c r="AO14" s="105">
        <v>0.2233</v>
      </c>
      <c r="AP14" s="40">
        <f>AL14*(1-AM14)*AN14</f>
        <v>36.295593600000004</v>
      </c>
      <c r="AQ14" s="106">
        <f t="shared" si="21"/>
        <v>38.086494600000002</v>
      </c>
      <c r="AR14" s="17">
        <v>1.55</v>
      </c>
      <c r="AS14" s="17"/>
      <c r="AT14" s="88">
        <f>AT13+AL14-AS14</f>
        <v>1905.0199999999991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6">SUM(D12:D14)</f>
        <v>50450</v>
      </c>
      <c r="E15" s="49"/>
      <c r="F15" s="49">
        <f t="shared" ref="F15" si="67">SUM(F12:F14)</f>
        <v>52124</v>
      </c>
      <c r="G15" s="50"/>
      <c r="H15" s="50"/>
      <c r="I15" s="49">
        <f t="shared" ref="I15:K15" si="68">SUM(I12:I14)</f>
        <v>51240</v>
      </c>
      <c r="J15" s="50"/>
      <c r="K15" s="49">
        <f t="shared" si="68"/>
        <v>47688</v>
      </c>
      <c r="L15" s="20">
        <f t="shared" ref="L15" si="69">IF(K15&gt;0,(K12*L12+K13*L13+K14*L14)/K15,0)</f>
        <v>6.9327755410166073E-2</v>
      </c>
      <c r="M15" s="50">
        <f t="shared" ref="M15" si="70">M12+M13+M14</f>
        <v>44382</v>
      </c>
      <c r="N15" s="51">
        <f t="shared" ref="N15" si="71">IF(M15&gt;0,O15/M15,0)</f>
        <v>0.68754607723852013</v>
      </c>
      <c r="O15" s="52">
        <f t="shared" ref="O15" si="72">O12+O13+O14</f>
        <v>30514.67</v>
      </c>
      <c r="P15" s="20">
        <f t="shared" ref="P15" si="73">IF(M15&gt;0,Q15/M15,0)</f>
        <v>0.26211781803433826</v>
      </c>
      <c r="Q15" s="52">
        <f t="shared" ref="Q15" si="74">Q12+Q13+Q14</f>
        <v>11633.313</v>
      </c>
      <c r="R15" s="20">
        <f t="shared" ref="R15" si="75">IF(M15&gt;0,T15/M15,0)</f>
        <v>5.0336104727141631E-2</v>
      </c>
      <c r="S15" s="107"/>
      <c r="T15" s="52">
        <f t="shared" ref="T15" si="76">T12+T13+T14</f>
        <v>2234.0169999999998</v>
      </c>
      <c r="U15" s="20">
        <f t="shared" ref="U15" si="77">IF(M15&gt;0,V15/M15,0)</f>
        <v>0.21366878464242259</v>
      </c>
      <c r="V15" s="52">
        <f t="shared" ref="V15" si="78">V12+V13+V14</f>
        <v>9483.0479999999989</v>
      </c>
      <c r="W15" s="20">
        <f t="shared" ref="W15" si="79">IF(M15&gt;0,X15/M15,0)</f>
        <v>0.49601602000811135</v>
      </c>
      <c r="X15" s="52">
        <f t="shared" ref="X15" si="80">X12+X13+X14</f>
        <v>22014.182999999997</v>
      </c>
      <c r="Y15" s="20">
        <f t="shared" ref="Y15" si="81">IF(M15&gt;0,Z15/M15,0)</f>
        <v>0.38</v>
      </c>
      <c r="Z15" s="52">
        <f t="shared" ref="Z15" si="82">Z12+Z13+Z14</f>
        <v>16865.16</v>
      </c>
      <c r="AA15" s="119">
        <f t="shared" ref="AA15" si="83">IF(M15&gt;0,AB15/M15,0)</f>
        <v>2.4971308188004139E-3</v>
      </c>
      <c r="AB15" s="54">
        <f t="shared" ref="AB15" si="84">SUM(AB12:AB14)</f>
        <v>110.82765999999998</v>
      </c>
      <c r="AC15" s="53">
        <f t="shared" ref="AC15" si="85">IF(M15&gt;0,AD15/M15,0)</f>
        <v>2.6172943986300747E-3</v>
      </c>
      <c r="AD15" s="54">
        <f t="shared" ref="AD15" si="86">SUM(AD12:AD14)</f>
        <v>116.16075999999998</v>
      </c>
      <c r="AE15" s="53">
        <f t="shared" ref="AE15" si="87">IF(M15&gt;0,(AE12*M12+AE13*M13+AE14*M14)/M15,0)</f>
        <v>2.6731949529088372E-3</v>
      </c>
      <c r="AF15" s="53">
        <f t="shared" ref="AF15" si="88">IF(K15&gt;0,(K12*AF12+K13*AF13+K14*AF14)/K15,0)</f>
        <v>2.5000000000000001E-4</v>
      </c>
      <c r="AG15" s="50">
        <f t="shared" ref="AG15" si="89">SUM(AG12:AG14)</f>
        <v>11.095500000000001</v>
      </c>
      <c r="AH15" s="51">
        <f t="shared" ref="AH15" si="90">IF(K15&gt;0,(K12*AH12+K13*AH13+K14*AH14)/K15,0)</f>
        <v>0.20826071967790641</v>
      </c>
      <c r="AI15" s="56">
        <f t="shared" ref="AI15" si="91">SUM(AI12:AI14)</f>
        <v>102.47948960000001</v>
      </c>
      <c r="AJ15" s="51">
        <f t="shared" ref="AJ15" si="92">IF(AND(AD15&gt;0),((AD12*AJ12+AD13*AJ13+AD14*AJ14)/AD15),0)</f>
        <v>0.90556882076519363</v>
      </c>
      <c r="AK15" s="55">
        <f t="shared" si="6"/>
        <v>0.90751693213445672</v>
      </c>
      <c r="AL15" s="49">
        <f t="shared" ref="AL15" si="93">SUM(AL12:AL14)</f>
        <v>538</v>
      </c>
      <c r="AM15" s="20">
        <f t="shared" ref="AM15" si="94">IF(AL15&gt;0,(AM12*AL12+AM13*AL13+AM14*AL14)/AL15,0)</f>
        <v>8.4992565055762082E-2</v>
      </c>
      <c r="AN15" s="51">
        <f>IF(K15&gt;0,(AN12*K12+AN13*K13+AN14*K14)/K15,0)</f>
        <v>0.2185771137393055</v>
      </c>
      <c r="AO15" s="107">
        <f>IF(K15&gt;0,(AO12*K12+AO13*K13+AO14*K14)/K15,0)</f>
        <v>0.22515973829894315</v>
      </c>
      <c r="AP15" s="56">
        <f t="shared" ref="AP15" si="95">SUM(AP12:AP14)</f>
        <v>107.54623840000001</v>
      </c>
      <c r="AQ15" s="108">
        <f t="shared" si="51"/>
        <v>110.82557780000002</v>
      </c>
      <c r="AR15" s="54"/>
      <c r="AS15" s="54">
        <f t="shared" ref="AS15" si="96">SUM(AS12:AS14)</f>
        <v>0</v>
      </c>
      <c r="AT15" s="83"/>
      <c r="AU15" s="84">
        <f>AT14</f>
        <v>1905.0199999999991</v>
      </c>
      <c r="AV15" s="49">
        <f t="shared" ref="AV15" si="97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43" t="s">
        <v>57</v>
      </c>
      <c r="D16" s="11">
        <v>6100</v>
      </c>
      <c r="E16" s="11">
        <v>1</v>
      </c>
      <c r="F16" s="11">
        <v>9887</v>
      </c>
      <c r="G16" s="12">
        <v>0.8</v>
      </c>
      <c r="H16" s="12">
        <v>6.1</v>
      </c>
      <c r="I16" s="11">
        <v>9671</v>
      </c>
      <c r="J16" s="12">
        <v>3.8</v>
      </c>
      <c r="K16" s="11">
        <v>15985</v>
      </c>
      <c r="L16" s="13">
        <v>6.0999999999999999E-2</v>
      </c>
      <c r="M16" s="23">
        <f>ROUND(K16*(1-L16),0)</f>
        <v>15010</v>
      </c>
      <c r="N16" s="14">
        <v>0.58799999999999997</v>
      </c>
      <c r="O16" s="24">
        <f t="shared" ref="O16:O18" si="98">M16*N16</f>
        <v>8825.8799999999992</v>
      </c>
      <c r="P16" s="13">
        <v>0.35099999999999998</v>
      </c>
      <c r="Q16" s="24">
        <f t="shared" ref="Q16:Q18" si="99">M16*P16</f>
        <v>5268.5099999999993</v>
      </c>
      <c r="R16" s="15">
        <v>6.0999999999999999E-2</v>
      </c>
      <c r="S16" s="112">
        <v>0.20780000000000001</v>
      </c>
      <c r="T16" s="24">
        <f t="shared" ref="T16:T18" si="100">M16*R16</f>
        <v>915.61</v>
      </c>
      <c r="U16" s="25">
        <v>0.218</v>
      </c>
      <c r="V16" s="24">
        <f t="shared" ref="V16:V18" si="101">M16*U16</f>
        <v>3272.18</v>
      </c>
      <c r="W16" s="15">
        <v>0.48899999999999999</v>
      </c>
      <c r="X16" s="24">
        <f t="shared" ref="X16:X18" si="102">M16*W16</f>
        <v>7339.8899999999994</v>
      </c>
      <c r="Y16" s="15">
        <v>0.38</v>
      </c>
      <c r="Z16" s="24">
        <f t="shared" ref="Z16:Z18" si="103">Y16*M16</f>
        <v>5703.8</v>
      </c>
      <c r="AA16" s="116">
        <v>2.5500000000000002E-3</v>
      </c>
      <c r="AB16" s="18">
        <f t="shared" ref="AB16" si="104">M16*AA16</f>
        <v>38.275500000000001</v>
      </c>
      <c r="AC16" s="16">
        <v>2.66E-3</v>
      </c>
      <c r="AD16" s="17">
        <f t="shared" ref="AD16:AD18" si="105">M16*AC16</f>
        <v>39.926600000000001</v>
      </c>
      <c r="AE16" s="26">
        <f>IF(M16&gt;0,(AG16+AP16)/M16,0)</f>
        <v>2.5765593271152563E-3</v>
      </c>
      <c r="AF16" s="16">
        <v>2.5999999999999998E-4</v>
      </c>
      <c r="AG16" s="23">
        <f t="shared" ref="AG16:AG18" si="106">AF16*M16</f>
        <v>3.9025999999999996</v>
      </c>
      <c r="AH16" s="92">
        <v>0.20610000000000001</v>
      </c>
      <c r="AI16" s="29">
        <f t="shared" ref="AI16:AI18" si="107">AL16*(1-AM16)*AH16</f>
        <v>33.756088499999997</v>
      </c>
      <c r="AJ16" s="27">
        <f t="shared" ref="AJ16:AJ18" si="108">IF(AND(AH16&gt;0,AF16&gt;0,AC16&gt;0),((AC16-AF16)*AH16)/((AH16-AF16)*AC16),0)</f>
        <v>0.90339529351945747</v>
      </c>
      <c r="AK16" s="58">
        <f t="shared" si="6"/>
        <v>0.90019268335234781</v>
      </c>
      <c r="AL16" s="11">
        <v>179</v>
      </c>
      <c r="AM16" s="13">
        <v>8.5000000000000006E-2</v>
      </c>
      <c r="AN16" s="14">
        <v>0.21229999999999999</v>
      </c>
      <c r="AO16" s="101">
        <v>0.218</v>
      </c>
      <c r="AP16" s="29">
        <f>AL16*(1-AM16)*AN16</f>
        <v>34.771555499999998</v>
      </c>
      <c r="AQ16" s="102">
        <f t="shared" ref="AQ16" si="109">AL16*(1-AM16)*AO16</f>
        <v>35.705129999999997</v>
      </c>
      <c r="AR16" s="18">
        <v>1.6</v>
      </c>
      <c r="AS16" s="18">
        <v>1006.4</v>
      </c>
      <c r="AT16" s="79">
        <f>AT14+AL16-AS16</f>
        <v>1077.619999999999</v>
      </c>
      <c r="AU16" s="80"/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0" t="s">
        <v>59</v>
      </c>
      <c r="D17" s="33">
        <v>22850</v>
      </c>
      <c r="E17" s="33">
        <v>3</v>
      </c>
      <c r="F17" s="33">
        <v>21253</v>
      </c>
      <c r="G17" s="34">
        <v>0.3</v>
      </c>
      <c r="H17" s="34">
        <v>3.9</v>
      </c>
      <c r="I17" s="33">
        <v>20135</v>
      </c>
      <c r="J17" s="34">
        <v>1.3</v>
      </c>
      <c r="K17" s="33">
        <v>16210</v>
      </c>
      <c r="L17" s="35">
        <v>6.3E-2</v>
      </c>
      <c r="M17" s="36">
        <f>ROUND(K17*(1-L17),0)</f>
        <v>15189</v>
      </c>
      <c r="N17" s="37">
        <v>0.69799999999999995</v>
      </c>
      <c r="O17" s="24">
        <f t="shared" si="98"/>
        <v>10601.921999999999</v>
      </c>
      <c r="P17" s="35">
        <v>0.26</v>
      </c>
      <c r="Q17" s="24">
        <f t="shared" si="99"/>
        <v>3949.1400000000003</v>
      </c>
      <c r="R17" s="38">
        <v>4.2000000000000003E-2</v>
      </c>
      <c r="S17" s="105">
        <v>0.19259999999999999</v>
      </c>
      <c r="T17" s="24">
        <f t="shared" si="100"/>
        <v>637.93799999999999</v>
      </c>
      <c r="U17" s="27">
        <v>0.20899999999999999</v>
      </c>
      <c r="V17" s="24">
        <f t="shared" si="101"/>
        <v>3174.5009999999997</v>
      </c>
      <c r="W17" s="38">
        <v>0.50900000000000001</v>
      </c>
      <c r="X17" s="24">
        <f t="shared" si="102"/>
        <v>7731.201</v>
      </c>
      <c r="Y17" s="38">
        <v>0.39</v>
      </c>
      <c r="Z17" s="24">
        <f t="shared" si="103"/>
        <v>5923.71</v>
      </c>
      <c r="AA17" s="117">
        <v>2.6800000000000001E-3</v>
      </c>
      <c r="AB17" s="18">
        <f t="shared" si="60"/>
        <v>40.706520000000005</v>
      </c>
      <c r="AC17" s="39">
        <v>2.6900000000000001E-3</v>
      </c>
      <c r="AD17" s="17">
        <f t="shared" si="105"/>
        <v>40.858409999999999</v>
      </c>
      <c r="AE17" s="26">
        <f>IF(M17&gt;0,(AG17+AP17)/M17,0)</f>
        <v>2.644842800711041E-3</v>
      </c>
      <c r="AF17" s="39">
        <v>2.5999999999999998E-4</v>
      </c>
      <c r="AG17" s="36">
        <f t="shared" si="106"/>
        <v>3.9491399999999999</v>
      </c>
      <c r="AH17" s="27">
        <v>0.20530000000000001</v>
      </c>
      <c r="AI17" s="40">
        <f t="shared" si="107"/>
        <v>34.897509900000003</v>
      </c>
      <c r="AJ17" s="27">
        <f t="shared" si="108"/>
        <v>0.90449120817118667</v>
      </c>
      <c r="AK17" s="28">
        <f t="shared" si="6"/>
        <v>0.90279696931540976</v>
      </c>
      <c r="AL17" s="33">
        <v>187</v>
      </c>
      <c r="AM17" s="35">
        <v>9.0999999999999998E-2</v>
      </c>
      <c r="AN17" s="37">
        <v>0.21310000000000001</v>
      </c>
      <c r="AO17" s="103">
        <v>0.22559999999999999</v>
      </c>
      <c r="AP17" s="40">
        <f>AL17*(1-AM17)*AN17</f>
        <v>36.223377300000003</v>
      </c>
      <c r="AQ17" s="104">
        <f t="shared" si="21"/>
        <v>38.348164799999999</v>
      </c>
      <c r="AR17" s="41">
        <v>1.6</v>
      </c>
      <c r="AS17" s="41"/>
      <c r="AT17" s="88">
        <f>AT16+AL17-AS17</f>
        <v>1264.619999999999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55</v>
      </c>
      <c r="D18" s="42">
        <v>19000</v>
      </c>
      <c r="E18" s="42">
        <v>2</v>
      </c>
      <c r="F18" s="42">
        <v>17386</v>
      </c>
      <c r="G18" s="36">
        <v>0.9</v>
      </c>
      <c r="H18" s="36">
        <v>4.7</v>
      </c>
      <c r="I18" s="42">
        <v>16727</v>
      </c>
      <c r="J18" s="36">
        <v>1.2</v>
      </c>
      <c r="K18" s="42">
        <v>16412</v>
      </c>
      <c r="L18" s="38">
        <v>6.3E-2</v>
      </c>
      <c r="M18" s="36">
        <f>ROUND(K18*(1-L18),0)</f>
        <v>15378</v>
      </c>
      <c r="N18" s="27">
        <v>0.52</v>
      </c>
      <c r="O18" s="24">
        <f t="shared" si="98"/>
        <v>7996.56</v>
      </c>
      <c r="P18" s="38">
        <v>0.45800000000000002</v>
      </c>
      <c r="Q18" s="24">
        <f t="shared" si="99"/>
        <v>7043.1240000000007</v>
      </c>
      <c r="R18" s="38">
        <v>2.1999999999999999E-2</v>
      </c>
      <c r="S18" s="105">
        <v>0.21199999999999999</v>
      </c>
      <c r="T18" s="24">
        <f t="shared" si="100"/>
        <v>338.31599999999997</v>
      </c>
      <c r="U18" s="27">
        <v>0.222</v>
      </c>
      <c r="V18" s="24">
        <f t="shared" si="101"/>
        <v>3413.9160000000002</v>
      </c>
      <c r="W18" s="38">
        <v>0.498</v>
      </c>
      <c r="X18" s="24">
        <f t="shared" si="102"/>
        <v>7658.2439999999997</v>
      </c>
      <c r="Y18" s="38">
        <v>0.38</v>
      </c>
      <c r="Z18" s="24">
        <f t="shared" si="103"/>
        <v>5843.64</v>
      </c>
      <c r="AA18" s="118">
        <v>2.63E-3</v>
      </c>
      <c r="AB18" s="121">
        <f t="shared" si="60"/>
        <v>40.444139999999997</v>
      </c>
      <c r="AC18" s="45">
        <v>2.64E-3</v>
      </c>
      <c r="AD18" s="17">
        <f t="shared" si="105"/>
        <v>40.597920000000002</v>
      </c>
      <c r="AE18" s="26">
        <f>IF(M18&gt;0,(AG18+AP18)/M18,0)</f>
        <v>2.5981431135388214E-3</v>
      </c>
      <c r="AF18" s="45">
        <v>2.5999999999999998E-4</v>
      </c>
      <c r="AG18" s="36">
        <f t="shared" si="106"/>
        <v>3.9982799999999998</v>
      </c>
      <c r="AH18" s="27">
        <v>0.20549999999999999</v>
      </c>
      <c r="AI18" s="40">
        <f t="shared" si="107"/>
        <v>35.421623999999994</v>
      </c>
      <c r="AJ18" s="27">
        <f t="shared" si="108"/>
        <v>0.9026571995535162</v>
      </c>
      <c r="AK18" s="28">
        <f t="shared" si="6"/>
        <v>0.90105160511453197</v>
      </c>
      <c r="AL18" s="42">
        <v>189</v>
      </c>
      <c r="AM18" s="38">
        <v>8.7999999999999995E-2</v>
      </c>
      <c r="AN18" s="27">
        <v>0.20860000000000001</v>
      </c>
      <c r="AO18" s="105">
        <v>0.21440000000000001</v>
      </c>
      <c r="AP18" s="40">
        <f>AL18*(1-AM18)*AN18</f>
        <v>35.955964799999997</v>
      </c>
      <c r="AQ18" s="106">
        <f t="shared" si="21"/>
        <v>36.955699199999998</v>
      </c>
      <c r="AR18" s="17">
        <v>1.6</v>
      </c>
      <c r="AS18" s="17"/>
      <c r="AT18" s="88">
        <f>AT17+AL18-AS18</f>
        <v>1453.619999999999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0">SUM(D16:D18)</f>
        <v>47950</v>
      </c>
      <c r="E19" s="49"/>
      <c r="F19" s="49">
        <f t="shared" ref="F19" si="111">SUM(F16:F18)</f>
        <v>48526</v>
      </c>
      <c r="G19" s="50"/>
      <c r="H19" s="50"/>
      <c r="I19" s="49">
        <f t="shared" ref="I19:K19" si="112">SUM(I16:I18)</f>
        <v>46533</v>
      </c>
      <c r="J19" s="50"/>
      <c r="K19" s="49">
        <f t="shared" si="112"/>
        <v>48607</v>
      </c>
      <c r="L19" s="20">
        <f t="shared" ref="L19" si="113">IF(K19&gt;0,(K16*L16+K17*L17+K18*L18)/K19,0)</f>
        <v>6.2342275803896549E-2</v>
      </c>
      <c r="M19" s="50">
        <f t="shared" ref="M19" si="114">M16+M17+M18</f>
        <v>45577</v>
      </c>
      <c r="N19" s="51">
        <f t="shared" ref="N19" si="115">IF(M19&gt;0,O19/M19,0)</f>
        <v>0.60171494394102287</v>
      </c>
      <c r="O19" s="52">
        <f t="shared" ref="O19" si="116">O16+O17+O18</f>
        <v>27424.361999999997</v>
      </c>
      <c r="P19" s="20">
        <f t="shared" ref="P19" si="117">IF(M19&gt;0,Q19/M19,0)</f>
        <v>0.35677587379599363</v>
      </c>
      <c r="Q19" s="52">
        <f t="shared" ref="Q19" si="118">Q16+Q17+Q18</f>
        <v>16260.774000000001</v>
      </c>
      <c r="R19" s="20">
        <f t="shared" ref="R19" si="119">IF(M19&gt;0,T19/M19,0)</f>
        <v>4.1509182262983522E-2</v>
      </c>
      <c r="S19" s="107"/>
      <c r="T19" s="52">
        <f t="shared" ref="T19" si="120">T16+T17+T18</f>
        <v>1891.864</v>
      </c>
      <c r="U19" s="20">
        <f t="shared" ref="U19" si="121">IF(M19&gt;0,V19/M19,0)</f>
        <v>0.21635028632863065</v>
      </c>
      <c r="V19" s="52">
        <f t="shared" ref="V19" si="122">V16+V17+V18</f>
        <v>9860.5969999999998</v>
      </c>
      <c r="W19" s="20">
        <f t="shared" ref="W19" si="123">IF(M19&gt;0,X19/M19,0)</f>
        <v>0.49870186716984444</v>
      </c>
      <c r="X19" s="52">
        <f t="shared" ref="X19" si="124">X16+X17+X18</f>
        <v>22729.334999999999</v>
      </c>
      <c r="Y19" s="20">
        <f t="shared" ref="Y19" si="125">IF(M19&gt;0,Z19/M19,0)</f>
        <v>0.38333260197029206</v>
      </c>
      <c r="Z19" s="52">
        <f t="shared" ref="Z19" si="126">Z16+Z17+Z18</f>
        <v>17471.150000000001</v>
      </c>
      <c r="AA19" s="119">
        <f t="shared" ref="AA19" si="127">IF(M19&gt;0,AB19/M19,0)</f>
        <v>2.6203163876516665E-3</v>
      </c>
      <c r="AB19" s="54">
        <f t="shared" ref="AB19" si="128">SUM(AB16:AB18)</f>
        <v>119.42616000000001</v>
      </c>
      <c r="AC19" s="53">
        <f t="shared" ref="AC19" si="129">IF(M19&gt;0,AD19/M19,0)</f>
        <v>2.6632496654014088E-3</v>
      </c>
      <c r="AD19" s="54">
        <f t="shared" ref="AD19" si="130">SUM(AD16:AD18)</f>
        <v>121.38293</v>
      </c>
      <c r="AE19" s="53">
        <f t="shared" ref="AE19" si="131">IF(M19&gt;0,(AE16*M16+AE17*M17+AE18*M18)/M19,0)</f>
        <v>2.6065980121552537E-3</v>
      </c>
      <c r="AF19" s="53">
        <f t="shared" ref="AF19" si="132">IF(K19&gt;0,(K16*AF16+K17*AF17+K18*AF18)/K19,0)</f>
        <v>2.5999999999999998E-4</v>
      </c>
      <c r="AG19" s="50">
        <f t="shared" ref="AG19" si="133">SUM(AG16:AG18)</f>
        <v>11.850019999999999</v>
      </c>
      <c r="AH19" s="51">
        <f t="shared" ref="AH19" si="134">IF(K19&gt;0,(K16*AH16+K17*AH17+K18*AH18)/K19,0)</f>
        <v>0.20563061904663937</v>
      </c>
      <c r="AI19" s="56">
        <f t="shared" ref="AI19" si="135">SUM(AI16:AI18)</f>
        <v>104.07522239999999</v>
      </c>
      <c r="AJ19" s="51">
        <f t="shared" ref="AJ19" si="136">IF(AND(AD19&gt;0),((AD16*AJ16+AD17*AJ17+AD18*AJ18)/AD19),0)</f>
        <v>0.90351732262506235</v>
      </c>
      <c r="AK19" s="55">
        <f t="shared" si="6"/>
        <v>0.90136214177045793</v>
      </c>
      <c r="AL19" s="49">
        <f t="shared" ref="AL19" si="137">SUM(AL16:AL18)</f>
        <v>555</v>
      </c>
      <c r="AM19" s="20">
        <f t="shared" ref="AM19" si="138">IF(AL19&gt;0,(AM16*AL16+AM17*AL17+AM18*AL18)/AL19,0)</f>
        <v>8.8043243243243238E-2</v>
      </c>
      <c r="AN19" s="51">
        <f>IF(K19&gt;0,(AN16*K16+AN17*K17+AN18*K18)/K19,0)</f>
        <v>0.21131749953710371</v>
      </c>
      <c r="AO19" s="107">
        <f>IF(K19&gt;0,(AO16*K16+AO17*K17+AO18*K18)/K19,0)</f>
        <v>0.21931900343571914</v>
      </c>
      <c r="AP19" s="56">
        <f t="shared" ref="AP19" si="139">SUM(AP16:AP18)</f>
        <v>106.95089759999999</v>
      </c>
      <c r="AQ19" s="108">
        <f t="shared" si="51"/>
        <v>111.008994</v>
      </c>
      <c r="AR19" s="54"/>
      <c r="AS19" s="54">
        <f t="shared" ref="AS19" si="140">SUM(AS16:AS18)</f>
        <v>1006.4</v>
      </c>
      <c r="AT19" s="83"/>
      <c r="AU19" s="84">
        <f>AT18</f>
        <v>1453.619999999999</v>
      </c>
      <c r="AV19" s="49">
        <f t="shared" ref="AV19" si="141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43" t="s">
        <v>57</v>
      </c>
      <c r="D20" s="11">
        <v>5500</v>
      </c>
      <c r="E20" s="11">
        <v>0</v>
      </c>
      <c r="F20" s="11">
        <v>8833</v>
      </c>
      <c r="G20" s="12">
        <v>0.6</v>
      </c>
      <c r="H20" s="12">
        <v>4.5</v>
      </c>
      <c r="I20" s="11">
        <v>9373</v>
      </c>
      <c r="J20" s="12">
        <v>3.6</v>
      </c>
      <c r="K20" s="11">
        <v>15548</v>
      </c>
      <c r="L20" s="13">
        <v>7.0999999999999994E-2</v>
      </c>
      <c r="M20" s="23">
        <f>ROUND(K20*(1-L20),0)</f>
        <v>14444</v>
      </c>
      <c r="N20" s="14">
        <v>0.58599999999999997</v>
      </c>
      <c r="O20" s="24">
        <f t="shared" ref="O20:O22" si="142">M20*N20</f>
        <v>8464.1839999999993</v>
      </c>
      <c r="P20" s="13">
        <v>0.375</v>
      </c>
      <c r="Q20" s="24">
        <f t="shared" ref="Q20:Q22" si="143">M20*P20</f>
        <v>5416.5</v>
      </c>
      <c r="R20" s="15">
        <v>3.9E-2</v>
      </c>
      <c r="S20" s="112">
        <v>0.22370000000000001</v>
      </c>
      <c r="T20" s="24">
        <f t="shared" ref="T20:T22" si="144">M20*R20</f>
        <v>563.31600000000003</v>
      </c>
      <c r="U20" s="25">
        <v>0.224</v>
      </c>
      <c r="V20" s="24">
        <f t="shared" ref="V20:V22" si="145">M20*U20</f>
        <v>3235.4560000000001</v>
      </c>
      <c r="W20" s="15">
        <v>0.496</v>
      </c>
      <c r="X20" s="24">
        <f t="shared" ref="X20:X22" si="146">M20*W20</f>
        <v>7164.2240000000002</v>
      </c>
      <c r="Y20" s="15">
        <v>0.38</v>
      </c>
      <c r="Z20" s="24">
        <f t="shared" ref="Z20:Z22" si="147">Y20*M20</f>
        <v>5488.72</v>
      </c>
      <c r="AA20" s="116">
        <v>2.5899999999999999E-3</v>
      </c>
      <c r="AB20" s="18">
        <f t="shared" ref="AB20" si="148">M20*AA20</f>
        <v>37.409959999999998</v>
      </c>
      <c r="AC20" s="16">
        <v>2.5899999999999999E-3</v>
      </c>
      <c r="AD20" s="17">
        <f t="shared" ref="AD20:AD22" si="149">M20*AC20</f>
        <v>37.409959999999998</v>
      </c>
      <c r="AE20" s="26">
        <f>IF(M20&gt;0,(AG20+AP20)/M20,0)</f>
        <v>2.4662117142065908E-3</v>
      </c>
      <c r="AF20" s="16">
        <v>2.5999999999999998E-4</v>
      </c>
      <c r="AG20" s="23">
        <f t="shared" ref="AG20:AG22" si="150">AF20*M20</f>
        <v>3.7554399999999997</v>
      </c>
      <c r="AH20" s="92">
        <v>0.20380000000000001</v>
      </c>
      <c r="AI20" s="29">
        <f t="shared" ref="AI20:AI22" si="151">AL20*(1-AM20)*AH20</f>
        <v>30.955182000000004</v>
      </c>
      <c r="AJ20" s="27">
        <f t="shared" ref="AJ20:AJ22" si="152">IF(AND(AH20&gt;0,AF20&gt;0,AC20&gt;0),((AC20-AF20)*AH20)/((AH20-AF20)*AC20),0)</f>
        <v>0.90076305758726916</v>
      </c>
      <c r="AK20" s="58">
        <f t="shared" si="6"/>
        <v>0.89568515067897725</v>
      </c>
      <c r="AL20" s="11">
        <v>166</v>
      </c>
      <c r="AM20" s="13">
        <v>8.5000000000000006E-2</v>
      </c>
      <c r="AN20" s="14">
        <v>0.20979999999999999</v>
      </c>
      <c r="AO20" s="101">
        <v>0.2195</v>
      </c>
      <c r="AP20" s="29">
        <f>AL20*(1-AM20)*AN20</f>
        <v>31.866522</v>
      </c>
      <c r="AQ20" s="102">
        <f t="shared" ref="AQ20" si="153">AL20*(1-AM20)*AO20</f>
        <v>33.339855</v>
      </c>
      <c r="AR20" s="18">
        <v>1.55</v>
      </c>
      <c r="AS20" s="18">
        <v>1009.46</v>
      </c>
      <c r="AT20" s="79">
        <f>AT18+AL20-AS20+AU20</f>
        <v>699.35999999999899</v>
      </c>
      <c r="AU20" s="80">
        <v>89.2</v>
      </c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59</v>
      </c>
      <c r="D21" s="33">
        <v>19400</v>
      </c>
      <c r="E21" s="33">
        <v>4</v>
      </c>
      <c r="F21" s="33">
        <v>20891</v>
      </c>
      <c r="G21" s="34">
        <v>0.4</v>
      </c>
      <c r="H21" s="34">
        <v>3.9</v>
      </c>
      <c r="I21" s="33">
        <v>19691</v>
      </c>
      <c r="J21" s="34">
        <v>1.8</v>
      </c>
      <c r="K21" s="33">
        <v>16362</v>
      </c>
      <c r="L21" s="35">
        <v>6.2E-2</v>
      </c>
      <c r="M21" s="36">
        <f>ROUND(K21*(1-L21),0)</f>
        <v>15348</v>
      </c>
      <c r="N21" s="37">
        <v>0.61599999999999999</v>
      </c>
      <c r="O21" s="24">
        <f t="shared" si="142"/>
        <v>9454.3680000000004</v>
      </c>
      <c r="P21" s="35">
        <v>0.28199999999999997</v>
      </c>
      <c r="Q21" s="24">
        <f t="shared" si="143"/>
        <v>4328.1359999999995</v>
      </c>
      <c r="R21" s="38">
        <v>0.10199999999999999</v>
      </c>
      <c r="S21" s="105">
        <v>0.21790000000000001</v>
      </c>
      <c r="T21" s="24">
        <f t="shared" si="144"/>
        <v>1565.4959999999999</v>
      </c>
      <c r="U21" s="27">
        <v>0.223</v>
      </c>
      <c r="V21" s="24">
        <f t="shared" si="145"/>
        <v>3422.6040000000003</v>
      </c>
      <c r="W21" s="38">
        <v>0.49299999999999999</v>
      </c>
      <c r="X21" s="24">
        <f t="shared" si="146"/>
        <v>7566.5640000000003</v>
      </c>
      <c r="Y21" s="38">
        <v>0.39</v>
      </c>
      <c r="Z21" s="24">
        <f t="shared" si="147"/>
        <v>5985.72</v>
      </c>
      <c r="AA21" s="117">
        <v>2.5100000000000001E-3</v>
      </c>
      <c r="AB21" s="18">
        <f t="shared" si="60"/>
        <v>38.523479999999999</v>
      </c>
      <c r="AC21" s="39">
        <v>2.5000000000000001E-3</v>
      </c>
      <c r="AD21" s="17">
        <f t="shared" si="149"/>
        <v>38.369999999999997</v>
      </c>
      <c r="AE21" s="26">
        <f>IF(M21&gt;0,(AG21+AP21)/M21,0)</f>
        <v>2.824347146207975E-3</v>
      </c>
      <c r="AF21" s="39">
        <v>2.7999999999999998E-4</v>
      </c>
      <c r="AG21" s="36">
        <f t="shared" si="150"/>
        <v>4.2974399999999999</v>
      </c>
      <c r="AH21" s="27">
        <v>0.19800000000000001</v>
      </c>
      <c r="AI21" s="40">
        <f t="shared" si="151"/>
        <v>35.996400000000001</v>
      </c>
      <c r="AJ21" s="27">
        <f t="shared" si="152"/>
        <v>0.88925753590936685</v>
      </c>
      <c r="AK21" s="28">
        <f t="shared" si="6"/>
        <v>0.90203788592059553</v>
      </c>
      <c r="AL21" s="33">
        <v>200</v>
      </c>
      <c r="AM21" s="35">
        <v>9.0999999999999998E-2</v>
      </c>
      <c r="AN21" s="37">
        <v>0.21479999999999999</v>
      </c>
      <c r="AO21" s="103">
        <v>0.221</v>
      </c>
      <c r="AP21" s="40">
        <f>AL21*(1-AM21)*AN21</f>
        <v>39.050640000000001</v>
      </c>
      <c r="AQ21" s="104">
        <f t="shared" si="21"/>
        <v>40.177800000000005</v>
      </c>
      <c r="AR21" s="41">
        <v>1.63</v>
      </c>
      <c r="AS21" s="41"/>
      <c r="AT21" s="129">
        <f>AT20+AL21-AS21</f>
        <v>899.35999999999899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53</v>
      </c>
      <c r="D22" s="42">
        <v>19890</v>
      </c>
      <c r="E22" s="42">
        <v>1</v>
      </c>
      <c r="F22" s="42">
        <v>18673</v>
      </c>
      <c r="G22" s="36">
        <v>0.5</v>
      </c>
      <c r="H22" s="36">
        <v>4.5</v>
      </c>
      <c r="I22" s="42">
        <v>18224</v>
      </c>
      <c r="J22" s="36">
        <v>1</v>
      </c>
      <c r="K22" s="42">
        <v>16563</v>
      </c>
      <c r="L22" s="38">
        <v>6.3E-2</v>
      </c>
      <c r="M22" s="36">
        <f>ROUND(K22*(1-L22),0)</f>
        <v>15520</v>
      </c>
      <c r="N22" s="27">
        <v>0.73599999999999999</v>
      </c>
      <c r="O22" s="24">
        <f t="shared" si="142"/>
        <v>11422.72</v>
      </c>
      <c r="P22" s="38">
        <v>0.20200000000000001</v>
      </c>
      <c r="Q22" s="24">
        <f t="shared" si="143"/>
        <v>3135.0400000000004</v>
      </c>
      <c r="R22" s="38">
        <v>6.2E-2</v>
      </c>
      <c r="S22" s="105">
        <v>0.2248</v>
      </c>
      <c r="T22" s="24">
        <f t="shared" si="144"/>
        <v>962.24</v>
      </c>
      <c r="U22" s="27">
        <v>0.22600000000000001</v>
      </c>
      <c r="V22" s="24">
        <f t="shared" si="145"/>
        <v>3507.52</v>
      </c>
      <c r="W22" s="38">
        <v>0.48899999999999999</v>
      </c>
      <c r="X22" s="24">
        <f t="shared" si="146"/>
        <v>7589.28</v>
      </c>
      <c r="Y22" s="38">
        <v>0.39</v>
      </c>
      <c r="Z22" s="24">
        <f t="shared" si="147"/>
        <v>6052.8</v>
      </c>
      <c r="AA22" s="118">
        <v>2.48E-3</v>
      </c>
      <c r="AB22" s="121">
        <f t="shared" si="60"/>
        <v>38.489600000000003</v>
      </c>
      <c r="AC22" s="45">
        <v>2.4299999999999999E-3</v>
      </c>
      <c r="AD22" s="17">
        <f t="shared" si="149"/>
        <v>37.7136</v>
      </c>
      <c r="AE22" s="26">
        <f>IF(M22&gt;0,(AG22+AP22)/M22,0)</f>
        <v>2.3239038015463918E-3</v>
      </c>
      <c r="AF22" s="45">
        <v>2.7E-4</v>
      </c>
      <c r="AG22" s="36">
        <f t="shared" si="150"/>
        <v>4.1904000000000003</v>
      </c>
      <c r="AH22" s="27">
        <v>0.1993</v>
      </c>
      <c r="AI22" s="40">
        <f t="shared" si="151"/>
        <v>33.918866999999999</v>
      </c>
      <c r="AJ22" s="27">
        <f t="shared" si="152"/>
        <v>0.89009473725345711</v>
      </c>
      <c r="AK22" s="28">
        <f t="shared" si="6"/>
        <v>0.88509208257830441</v>
      </c>
      <c r="AL22" s="42">
        <v>186</v>
      </c>
      <c r="AM22" s="38">
        <v>8.5000000000000006E-2</v>
      </c>
      <c r="AN22" s="27">
        <v>0.18729999999999999</v>
      </c>
      <c r="AO22" s="105">
        <v>0.19750000000000001</v>
      </c>
      <c r="AP22" s="40">
        <f>AL22*(1-AM22)*AN22</f>
        <v>31.876586999999997</v>
      </c>
      <c r="AQ22" s="106">
        <f t="shared" si="21"/>
        <v>33.612524999999998</v>
      </c>
      <c r="AR22" s="17">
        <v>1.6</v>
      </c>
      <c r="AS22" s="17"/>
      <c r="AT22" s="129">
        <f>AT21+AL22-AS22</f>
        <v>1085.359999999999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4">SUM(D20:D22)</f>
        <v>44790</v>
      </c>
      <c r="E23" s="49"/>
      <c r="F23" s="49">
        <f t="shared" ref="F23" si="155">SUM(F20:F22)</f>
        <v>48397</v>
      </c>
      <c r="G23" s="50"/>
      <c r="H23" s="50"/>
      <c r="I23" s="49">
        <f t="shared" ref="I23:K23" si="156">SUM(I20:I22)</f>
        <v>47288</v>
      </c>
      <c r="J23" s="50"/>
      <c r="K23" s="49">
        <f t="shared" si="156"/>
        <v>48473</v>
      </c>
      <c r="L23" s="20">
        <f t="shared" ref="L23" si="157">IF(K23&gt;0,(K20*L20+K21*L21+K22*L22)/K23,0)</f>
        <v>6.5228498339281654E-2</v>
      </c>
      <c r="M23" s="50">
        <f t="shared" ref="M23" si="158">M20+M21+M22</f>
        <v>45312</v>
      </c>
      <c r="N23" s="51">
        <f t="shared" ref="N23" si="159">IF(M23&gt;0,O23/M23,0)</f>
        <v>0.6475386652542372</v>
      </c>
      <c r="O23" s="52">
        <f t="shared" ref="O23" si="160">O20+O21+O22</f>
        <v>29341.271999999997</v>
      </c>
      <c r="P23" s="20">
        <f t="shared" ref="P23" si="161">IF(M23&gt;0,Q23/M23,0)</f>
        <v>0.28424426200564973</v>
      </c>
      <c r="Q23" s="52">
        <f t="shared" ref="Q23" si="162">Q20+Q21+Q22</f>
        <v>12879.675999999999</v>
      </c>
      <c r="R23" s="20">
        <f t="shared" ref="R23" si="163">IF(M23&gt;0,T23/M23,0)</f>
        <v>6.8217072740112988E-2</v>
      </c>
      <c r="S23" s="107"/>
      <c r="T23" s="52">
        <f t="shared" ref="T23" si="164">T20+T21+T22</f>
        <v>3091.0519999999997</v>
      </c>
      <c r="U23" s="20">
        <f t="shared" ref="U23" si="165">IF(M23&gt;0,V23/M23,0)</f>
        <v>0.22434631002824859</v>
      </c>
      <c r="V23" s="52">
        <f t="shared" ref="V23" si="166">V20+V21+V22</f>
        <v>10165.58</v>
      </c>
      <c r="W23" s="20">
        <f t="shared" ref="W23" si="167">IF(M23&gt;0,X23/M23,0)</f>
        <v>0.49258624646892651</v>
      </c>
      <c r="X23" s="52">
        <f t="shared" ref="X23" si="168">X20+X21+X22</f>
        <v>22320.067999999999</v>
      </c>
      <c r="Y23" s="20">
        <f t="shared" ref="Y23" si="169">IF(M23&gt;0,Z23/M23,0)</f>
        <v>0.38681232344632771</v>
      </c>
      <c r="Z23" s="52">
        <f t="shared" ref="Z23" si="170">Z20+Z21+Z22</f>
        <v>17527.240000000002</v>
      </c>
      <c r="AA23" s="119">
        <f t="shared" ref="AA23" si="171">IF(M23&gt;0,AB23/M23,0)</f>
        <v>2.5252259887005649E-3</v>
      </c>
      <c r="AB23" s="54">
        <f t="shared" ref="AB23" si="172">SUM(AB20:AB22)</f>
        <v>114.42303999999999</v>
      </c>
      <c r="AC23" s="53">
        <f t="shared" ref="AC23" si="173">IF(M23&gt;0,AD23/M23,0)</f>
        <v>2.5047131002824854E-3</v>
      </c>
      <c r="AD23" s="54">
        <f t="shared" ref="AD23" si="174">SUM(AD20:AD22)</f>
        <v>113.49355999999999</v>
      </c>
      <c r="AE23" s="53">
        <f t="shared" ref="AE23" si="175">IF(M23&gt;0,(AE20*M20+AE21*M21+AE22*M22)/M23,0)</f>
        <v>2.5387762402895482E-3</v>
      </c>
      <c r="AF23" s="53">
        <f t="shared" ref="AF23" si="176">IF(K23&gt;0,(K20*AF20+K21*AF21+K22*AF22)/K23,0)</f>
        <v>2.7016792853753633E-4</v>
      </c>
      <c r="AG23" s="50">
        <f t="shared" ref="AG23" si="177">SUM(AG20:AG22)</f>
        <v>12.24328</v>
      </c>
      <c r="AH23" s="51">
        <f t="shared" ref="AH23" si="178">IF(K23&gt;0,(K20*AH20+K21*AH21+K22*AH22)/K23,0)</f>
        <v>0.20030458812122215</v>
      </c>
      <c r="AI23" s="56">
        <f t="shared" ref="AI23" si="179">SUM(AI20:AI22)</f>
        <v>100.87044900000001</v>
      </c>
      <c r="AJ23" s="51">
        <f t="shared" ref="AJ23" si="180">IF(AND(AD23&gt;0),((AD20*AJ20+AD21*AJ21+AD22*AJ22)/AD23),0)</f>
        <v>0.89332820725283291</v>
      </c>
      <c r="AK23" s="55">
        <f t="shared" si="6"/>
        <v>0.89476955842215722</v>
      </c>
      <c r="AL23" s="49">
        <f t="shared" ref="AL23" si="181">SUM(AL20:AL22)</f>
        <v>552</v>
      </c>
      <c r="AM23" s="20">
        <f t="shared" ref="AM23" si="182">IF(AL23&gt;0,(AM20*AL20+AM21*AL21+AM22*AL22)/AL23,0)</f>
        <v>8.7173913043478268E-2</v>
      </c>
      <c r="AN23" s="51">
        <f>IF(K23&gt;0,(AN20*K20+AN21*K21+AN22*K22)/K23,0)</f>
        <v>0.2037995977141914</v>
      </c>
      <c r="AO23" s="107">
        <f>IF(K23&gt;0,(AO20*K20+AO21*K21+AO22*K22)/K23,0)</f>
        <v>0.21248902481793991</v>
      </c>
      <c r="AP23" s="56">
        <f t="shared" ref="AP23" si="183">SUM(AP20:AP22)</f>
        <v>102.79374900000001</v>
      </c>
      <c r="AQ23" s="108">
        <f t="shared" si="51"/>
        <v>107.13018</v>
      </c>
      <c r="AR23" s="54"/>
      <c r="AS23" s="54">
        <f t="shared" ref="AS23" si="184">SUM(AS20:AS22)</f>
        <v>1009.46</v>
      </c>
      <c r="AT23" s="83"/>
      <c r="AU23" s="84">
        <f>AT22</f>
        <v>1085.359999999999</v>
      </c>
      <c r="AV23" s="49">
        <f t="shared" ref="AV23" si="185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54</v>
      </c>
      <c r="D24" s="11">
        <v>2900</v>
      </c>
      <c r="E24" s="11">
        <v>2</v>
      </c>
      <c r="F24" s="11">
        <v>7936</v>
      </c>
      <c r="G24" s="12">
        <v>0.6</v>
      </c>
      <c r="H24" s="12">
        <v>5.9</v>
      </c>
      <c r="I24" s="11">
        <v>7616</v>
      </c>
      <c r="J24" s="12">
        <v>4.5</v>
      </c>
      <c r="K24" s="11">
        <v>16429</v>
      </c>
      <c r="L24" s="13">
        <v>6.5000000000000002E-2</v>
      </c>
      <c r="M24" s="23">
        <f>ROUND(K24*(1-L24),0)</f>
        <v>15361</v>
      </c>
      <c r="N24" s="14">
        <v>0.60499999999999998</v>
      </c>
      <c r="O24" s="24">
        <f t="shared" ref="O24:O26" si="186">M24*N24</f>
        <v>9293.4049999999988</v>
      </c>
      <c r="P24" s="13">
        <v>0.36899999999999999</v>
      </c>
      <c r="Q24" s="24">
        <f t="shared" ref="Q24:Q26" si="187">M24*P24</f>
        <v>5668.2089999999998</v>
      </c>
      <c r="R24" s="15">
        <v>2.5999999999999999E-2</v>
      </c>
      <c r="S24" s="112"/>
      <c r="T24" s="24">
        <f t="shared" ref="T24:T26" si="188">M24*R24</f>
        <v>399.38599999999997</v>
      </c>
      <c r="U24" s="25">
        <v>0.223</v>
      </c>
      <c r="V24" s="24">
        <f t="shared" ref="V24:V26" si="189">M24*U24</f>
        <v>3425.5030000000002</v>
      </c>
      <c r="W24" s="15">
        <v>0.49199999999999999</v>
      </c>
      <c r="X24" s="24">
        <f t="shared" ref="X24:X26" si="190">M24*W24</f>
        <v>7557.6120000000001</v>
      </c>
      <c r="Y24" s="15">
        <v>0.38</v>
      </c>
      <c r="Z24" s="24">
        <f t="shared" ref="Z24:Z26" si="191">Y24*M24</f>
        <v>5837.18</v>
      </c>
      <c r="AA24" s="116">
        <v>2.4299999999999999E-3</v>
      </c>
      <c r="AB24" s="18">
        <f t="shared" ref="AB24" si="192">M24*AA24</f>
        <v>37.32723</v>
      </c>
      <c r="AC24" s="16">
        <v>2.4599999999999999E-3</v>
      </c>
      <c r="AD24" s="17">
        <f t="shared" ref="AD24:AD26" si="193">M24*AC24</f>
        <v>37.788060000000002</v>
      </c>
      <c r="AE24" s="26">
        <f>IF(M24&gt;0,(AG24+AP24)/M24,0)</f>
        <v>2.4916373933988674E-3</v>
      </c>
      <c r="AF24" s="16">
        <v>2.7E-4</v>
      </c>
      <c r="AG24" s="23">
        <f t="shared" ref="AG24:AG26" si="194">AF24*M24</f>
        <v>4.1474700000000002</v>
      </c>
      <c r="AH24" s="92">
        <v>0.2046</v>
      </c>
      <c r="AI24" s="29">
        <f t="shared" ref="AI24:AI26" si="195">AL24*(1-AM24)*AH24</f>
        <v>34.446456000000005</v>
      </c>
      <c r="AJ24" s="27">
        <f t="shared" ref="AJ24:AJ26" si="196">IF(AND(AH24&gt;0,AF24&gt;0,AC24&gt;0),((AC24-AF24)*AH24)/((AH24-AF24)*AC24),0)</f>
        <v>0.89142026349055148</v>
      </c>
      <c r="AK24" s="58">
        <f t="shared" si="6"/>
        <v>0.8928267840265921</v>
      </c>
      <c r="AL24" s="11">
        <v>184</v>
      </c>
      <c r="AM24" s="13">
        <v>8.5000000000000006E-2</v>
      </c>
      <c r="AN24" s="14">
        <v>0.20269999999999999</v>
      </c>
      <c r="AO24" s="101">
        <v>0.20730000000000001</v>
      </c>
      <c r="AP24" s="29">
        <f>AL24*(1-AM24)*AN24</f>
        <v>34.126572000000003</v>
      </c>
      <c r="AQ24" s="102">
        <f t="shared" ref="AQ24" si="197">AL24*(1-AM24)*AO24</f>
        <v>34.901028000000004</v>
      </c>
      <c r="AR24" s="18">
        <v>1.55</v>
      </c>
      <c r="AS24" s="18">
        <v>1028.46</v>
      </c>
      <c r="AT24" s="79">
        <f>AT22+AL24-AS24+AU24</f>
        <v>247.63999999999896</v>
      </c>
      <c r="AU24" s="80">
        <v>6.74</v>
      </c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59</v>
      </c>
      <c r="D25" s="33">
        <v>19710</v>
      </c>
      <c r="E25" s="33">
        <v>5</v>
      </c>
      <c r="F25" s="33">
        <v>19962</v>
      </c>
      <c r="G25" s="34">
        <v>0.1</v>
      </c>
      <c r="H25" s="34">
        <v>5.2</v>
      </c>
      <c r="I25" s="33">
        <v>19116</v>
      </c>
      <c r="J25" s="34">
        <v>2.6</v>
      </c>
      <c r="K25" s="33">
        <v>16129</v>
      </c>
      <c r="L25" s="35">
        <v>6.4000000000000001E-2</v>
      </c>
      <c r="M25" s="36">
        <f>ROUND(K25*(1-L25),0)</f>
        <v>15097</v>
      </c>
      <c r="N25" s="37">
        <v>0.63800000000000001</v>
      </c>
      <c r="O25" s="24">
        <f t="shared" si="186"/>
        <v>9631.8860000000004</v>
      </c>
      <c r="P25" s="35">
        <v>0.3</v>
      </c>
      <c r="Q25" s="24">
        <f t="shared" si="187"/>
        <v>4529.0999999999995</v>
      </c>
      <c r="R25" s="38">
        <v>6.2E-2</v>
      </c>
      <c r="S25" s="105"/>
      <c r="T25" s="24">
        <f t="shared" si="188"/>
        <v>936.01400000000001</v>
      </c>
      <c r="U25" s="27">
        <v>0.217</v>
      </c>
      <c r="V25" s="24">
        <f t="shared" si="189"/>
        <v>3276.049</v>
      </c>
      <c r="W25" s="38">
        <v>0.499</v>
      </c>
      <c r="X25" s="24">
        <f t="shared" si="190"/>
        <v>7533.4030000000002</v>
      </c>
      <c r="Y25" s="38">
        <v>0.39</v>
      </c>
      <c r="Z25" s="24">
        <f t="shared" si="191"/>
        <v>5887.83</v>
      </c>
      <c r="AA25" s="117">
        <v>2.5699999999999998E-3</v>
      </c>
      <c r="AB25" s="18">
        <f t="shared" si="60"/>
        <v>38.799289999999999</v>
      </c>
      <c r="AC25" s="39">
        <v>2.5699999999999998E-3</v>
      </c>
      <c r="AD25" s="17">
        <f t="shared" si="193"/>
        <v>38.799289999999999</v>
      </c>
      <c r="AE25" s="26">
        <f>IF(M25&gt;0,(AG25+AP25)/M25,0)</f>
        <v>2.4200685566668875E-3</v>
      </c>
      <c r="AF25" s="39">
        <v>2.7999999999999998E-4</v>
      </c>
      <c r="AG25" s="36">
        <f t="shared" si="194"/>
        <v>4.2271599999999996</v>
      </c>
      <c r="AH25" s="27">
        <v>0.20449999999999999</v>
      </c>
      <c r="AI25" s="40">
        <f t="shared" si="195"/>
        <v>32.229813499999999</v>
      </c>
      <c r="AJ25" s="27">
        <f t="shared" si="196"/>
        <v>0.89227227675044885</v>
      </c>
      <c r="AK25" s="28">
        <f t="shared" si="6"/>
        <v>0.88551027577696095</v>
      </c>
      <c r="AL25" s="33">
        <v>173</v>
      </c>
      <c r="AM25" s="35">
        <v>8.8999999999999996E-2</v>
      </c>
      <c r="AN25" s="37">
        <v>0.20499999999999999</v>
      </c>
      <c r="AO25" s="103">
        <v>0.21809999999999999</v>
      </c>
      <c r="AP25" s="40">
        <f>AL25*(1-AM25)*AN25</f>
        <v>32.308615000000003</v>
      </c>
      <c r="AQ25" s="104">
        <f t="shared" si="21"/>
        <v>34.373214300000001</v>
      </c>
      <c r="AR25" s="41">
        <v>1.55</v>
      </c>
      <c r="AS25" s="41"/>
      <c r="AT25" s="129">
        <f>AT24+AL25-AS25</f>
        <v>420.63999999999896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53</v>
      </c>
      <c r="D26" s="42">
        <v>18833</v>
      </c>
      <c r="E26" s="42">
        <v>2</v>
      </c>
      <c r="F26" s="42">
        <v>17888</v>
      </c>
      <c r="G26" s="36">
        <v>0.3</v>
      </c>
      <c r="H26" s="36">
        <v>4.5999999999999996</v>
      </c>
      <c r="I26" s="42">
        <v>17462</v>
      </c>
      <c r="J26" s="36">
        <v>1.1000000000000001</v>
      </c>
      <c r="K26" s="42">
        <v>15893</v>
      </c>
      <c r="L26" s="38">
        <v>6.8000000000000005E-2</v>
      </c>
      <c r="M26" s="36">
        <f>ROUND(K26*(1-L26),0)</f>
        <v>14812</v>
      </c>
      <c r="N26" s="27">
        <v>0.53200000000000003</v>
      </c>
      <c r="O26" s="24">
        <f t="shared" si="186"/>
        <v>7879.9840000000004</v>
      </c>
      <c r="P26" s="38">
        <v>0.23200000000000001</v>
      </c>
      <c r="Q26" s="24">
        <f t="shared" si="187"/>
        <v>3436.384</v>
      </c>
      <c r="R26" s="38">
        <v>0.23599999999999999</v>
      </c>
      <c r="S26" s="105"/>
      <c r="T26" s="24">
        <f t="shared" si="188"/>
        <v>3495.6319999999996</v>
      </c>
      <c r="U26" s="27">
        <v>0.21099999999999999</v>
      </c>
      <c r="V26" s="24">
        <f t="shared" si="189"/>
        <v>3125.3319999999999</v>
      </c>
      <c r="W26" s="38">
        <v>0.50600000000000001</v>
      </c>
      <c r="X26" s="24">
        <f t="shared" si="190"/>
        <v>7494.8720000000003</v>
      </c>
      <c r="Y26" s="38">
        <v>0.39</v>
      </c>
      <c r="Z26" s="24">
        <f t="shared" si="191"/>
        <v>5776.68</v>
      </c>
      <c r="AA26" s="118">
        <v>2.5100000000000001E-3</v>
      </c>
      <c r="AB26" s="121">
        <f t="shared" si="60"/>
        <v>37.17812</v>
      </c>
      <c r="AC26" s="45">
        <v>2.3999999999999998E-3</v>
      </c>
      <c r="AD26" s="17">
        <f t="shared" si="193"/>
        <v>35.5488</v>
      </c>
      <c r="AE26" s="26">
        <f>IF(M26&gt;0,(AG26+AP26)/M26,0)</f>
        <v>2.4167533081285442E-3</v>
      </c>
      <c r="AF26" s="45">
        <v>2.9E-4</v>
      </c>
      <c r="AG26" s="36">
        <f t="shared" si="194"/>
        <v>4.2954800000000004</v>
      </c>
      <c r="AH26" s="27">
        <v>0.2069</v>
      </c>
      <c r="AI26" s="40">
        <f t="shared" si="195"/>
        <v>31.066035000000003</v>
      </c>
      <c r="AJ26" s="27">
        <f t="shared" si="196"/>
        <v>0.8804006743784587</v>
      </c>
      <c r="AK26" s="28">
        <f t="shared" si="6"/>
        <v>0.88122238827986699</v>
      </c>
      <c r="AL26" s="42">
        <v>165</v>
      </c>
      <c r="AM26" s="38">
        <v>0.09</v>
      </c>
      <c r="AN26" s="27">
        <v>0.20979999999999999</v>
      </c>
      <c r="AO26" s="105">
        <v>0.20660000000000001</v>
      </c>
      <c r="AP26" s="40">
        <f>AL26*(1-AM26)*AN26</f>
        <v>31.501469999999998</v>
      </c>
      <c r="AQ26" s="106">
        <f t="shared" si="21"/>
        <v>31.020990000000001</v>
      </c>
      <c r="AR26" s="17">
        <v>1.55</v>
      </c>
      <c r="AS26" s="17"/>
      <c r="AT26" s="129">
        <f>AT25+AL26-AS26</f>
        <v>585.63999999999896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8">SUM(D24:D26)</f>
        <v>41443</v>
      </c>
      <c r="E27" s="49"/>
      <c r="F27" s="49">
        <f t="shared" ref="F27" si="199">SUM(F24:F26)</f>
        <v>45786</v>
      </c>
      <c r="G27" s="50"/>
      <c r="H27" s="50"/>
      <c r="I27" s="49">
        <f t="shared" ref="I27:K27" si="200">SUM(I24:I26)</f>
        <v>44194</v>
      </c>
      <c r="J27" s="50"/>
      <c r="K27" s="49">
        <f t="shared" si="200"/>
        <v>48451</v>
      </c>
      <c r="L27" s="20">
        <f t="shared" ref="L27" si="201">IF(K27&gt;0,(K24*L24+K25*L25+K26*L26)/K27,0)</f>
        <v>6.5651173350395248E-2</v>
      </c>
      <c r="M27" s="50">
        <f t="shared" ref="M27" si="202">M24+M25+M26</f>
        <v>45270</v>
      </c>
      <c r="N27" s="51">
        <f t="shared" ref="N27" si="203">IF(M27&gt;0,O27/M27,0)</f>
        <v>0.59212005743317864</v>
      </c>
      <c r="O27" s="52">
        <f t="shared" ref="O27" si="204">O24+O25+O26</f>
        <v>26805.274999999998</v>
      </c>
      <c r="P27" s="20">
        <f t="shared" ref="P27" si="205">IF(M27&gt;0,Q27/M27,0)</f>
        <v>0.30116397172520432</v>
      </c>
      <c r="Q27" s="52">
        <f t="shared" ref="Q27" si="206">Q24+Q25+Q26</f>
        <v>13633.692999999999</v>
      </c>
      <c r="R27" s="20">
        <f t="shared" ref="R27" si="207">IF(M27&gt;0,T27/M27,0)</f>
        <v>0.10671597084161695</v>
      </c>
      <c r="S27" s="107"/>
      <c r="T27" s="52">
        <f t="shared" ref="T27" si="208">T24+T25+T26</f>
        <v>4831.0319999999992</v>
      </c>
      <c r="U27" s="20">
        <f t="shared" ref="U27" si="209">IF(M27&gt;0,V27/M27,0)</f>
        <v>0.21707276341948309</v>
      </c>
      <c r="V27" s="52">
        <f t="shared" ref="V27" si="210">V24+V25+V26</f>
        <v>9826.884</v>
      </c>
      <c r="W27" s="20">
        <f t="shared" ref="W27" si="211">IF(M27&gt;0,X27/M27,0)</f>
        <v>0.49891510934393635</v>
      </c>
      <c r="X27" s="52">
        <f t="shared" ref="X27" si="212">X24+X25+X26</f>
        <v>22585.886999999999</v>
      </c>
      <c r="Y27" s="20">
        <f t="shared" ref="Y27" si="213">IF(M27&gt;0,Z27/M27,0)</f>
        <v>0.38660680362270827</v>
      </c>
      <c r="Z27" s="52">
        <f t="shared" ref="Z27" si="214">Z24+Z25+Z26</f>
        <v>17501.690000000002</v>
      </c>
      <c r="AA27" s="119">
        <f t="shared" ref="AA27" si="215">IF(M27&gt;0,AB27/M27,0)</f>
        <v>2.5028637066489951E-3</v>
      </c>
      <c r="AB27" s="54">
        <f t="shared" ref="AB27" si="216">SUM(AB24:AB26)</f>
        <v>113.30464000000001</v>
      </c>
      <c r="AC27" s="53">
        <f t="shared" ref="AC27" si="217">IF(M27&gt;0,AD27/M27,0)</f>
        <v>2.4770521316545176E-3</v>
      </c>
      <c r="AD27" s="54">
        <f t="shared" ref="AD27" si="218">SUM(AD24:AD26)</f>
        <v>112.13615</v>
      </c>
      <c r="AE27" s="53">
        <f t="shared" ref="AE27" si="219">IF(M27&gt;0,(AE24*M24+AE25*M25+AE26*M26)/M27,0)</f>
        <v>2.443268544289817E-3</v>
      </c>
      <c r="AF27" s="53">
        <f t="shared" ref="AF27" si="220">IF(K27&gt;0,(K24*AF24+K25*AF25+K26*AF26)/K27,0)</f>
        <v>2.7988937276836388E-4</v>
      </c>
      <c r="AG27" s="50">
        <f t="shared" ref="AG27" si="221">SUM(AG24:AG26)</f>
        <v>12.670110000000001</v>
      </c>
      <c r="AH27" s="51">
        <f t="shared" ref="AH27" si="222">IF(K27&gt;0,(K24*AH24+K25*AH25+K26*AH26)/K27,0)</f>
        <v>0.20532116158593217</v>
      </c>
      <c r="AI27" s="56">
        <f t="shared" ref="AI27" si="223">SUM(AI24:AI26)</f>
        <v>97.742304500000003</v>
      </c>
      <c r="AJ27" s="51">
        <f t="shared" ref="AJ27" si="224">IF(AND(AD27&gt;0),((AD24*AJ24+AD25*AJ25+AD26*AJ26)/AD27),0)</f>
        <v>0.8882216905069652</v>
      </c>
      <c r="AK27" s="55">
        <f t="shared" si="6"/>
        <v>0.88665057748886722</v>
      </c>
      <c r="AL27" s="49">
        <f t="shared" ref="AL27" si="225">SUM(AL24:AL26)</f>
        <v>522</v>
      </c>
      <c r="AM27" s="20">
        <f t="shared" ref="AM27" si="226">IF(AL27&gt;0,(AM24*AL24+AM25*AL25+AM26*AL26)/AL27,0)</f>
        <v>8.790613026819924E-2</v>
      </c>
      <c r="AN27" s="51">
        <f>IF(K27&gt;0,(AN24*K24+AN25*K25+AN26*K26)/K27,0)</f>
        <v>0.20579461105033953</v>
      </c>
      <c r="AO27" s="107">
        <f>IF(K27&gt;0,(AO24*K24+AO25*K25+AO26*K26)/K27,0)</f>
        <v>0.21066562919237994</v>
      </c>
      <c r="AP27" s="56">
        <f t="shared" ref="AP27:AQ39" si="227">SUM(AP24:AP26)</f>
        <v>97.936657000000011</v>
      </c>
      <c r="AQ27" s="108">
        <f t="shared" si="227"/>
        <v>100.2952323</v>
      </c>
      <c r="AR27" s="54"/>
      <c r="AS27" s="54">
        <f t="shared" ref="AS27" si="228">SUM(AS24:AS26)</f>
        <v>1028.46</v>
      </c>
      <c r="AT27" s="83"/>
      <c r="AU27" s="84">
        <f>AT26</f>
        <v>585.63999999999896</v>
      </c>
      <c r="AV27" s="49">
        <f t="shared" ref="AV27" si="229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54</v>
      </c>
      <c r="D28" s="11">
        <v>16400</v>
      </c>
      <c r="E28" s="11">
        <v>0</v>
      </c>
      <c r="F28" s="11">
        <v>16414</v>
      </c>
      <c r="G28" s="12">
        <v>1</v>
      </c>
      <c r="H28" s="12">
        <v>6.7</v>
      </c>
      <c r="I28" s="11">
        <v>16016</v>
      </c>
      <c r="J28" s="12">
        <v>1.3</v>
      </c>
      <c r="K28" s="11">
        <v>15671</v>
      </c>
      <c r="L28" s="13">
        <v>6.7000000000000004E-2</v>
      </c>
      <c r="M28" s="23">
        <f>ROUND(K28*(1-L28),0)</f>
        <v>14621</v>
      </c>
      <c r="N28" s="14">
        <v>0.628</v>
      </c>
      <c r="O28" s="24">
        <f t="shared" ref="O28:O30" si="230">M28*N28</f>
        <v>9181.9879999999994</v>
      </c>
      <c r="P28" s="13">
        <v>0.33500000000000002</v>
      </c>
      <c r="Q28" s="24">
        <f t="shared" ref="Q28:Q30" si="231">M28*P28</f>
        <v>4898.0349999999999</v>
      </c>
      <c r="R28" s="15">
        <v>3.6999999999999998E-2</v>
      </c>
      <c r="S28" s="112"/>
      <c r="T28" s="24">
        <f t="shared" ref="T28:T30" si="232">M28*R28</f>
        <v>540.97699999999998</v>
      </c>
      <c r="U28" s="25">
        <v>0.20899999999999999</v>
      </c>
      <c r="V28" s="24">
        <f t="shared" ref="V28:V30" si="233">M28*U28</f>
        <v>3055.7889999999998</v>
      </c>
      <c r="W28" s="15">
        <v>0.50900000000000001</v>
      </c>
      <c r="X28" s="24">
        <f t="shared" ref="X28:X30" si="234">M28*W28</f>
        <v>7442.0889999999999</v>
      </c>
      <c r="Y28" s="15">
        <v>0.39</v>
      </c>
      <c r="Z28" s="24">
        <f t="shared" ref="Z28:Z30" si="235">Y28*M28</f>
        <v>5702.1900000000005</v>
      </c>
      <c r="AA28" s="116">
        <v>2.5200000000000001E-3</v>
      </c>
      <c r="AB28" s="18">
        <f t="shared" ref="AB28" si="236">M28*AA28</f>
        <v>36.844920000000002</v>
      </c>
      <c r="AC28" s="16">
        <v>2.4599999999999999E-3</v>
      </c>
      <c r="AD28" s="17">
        <f t="shared" ref="AD28:AD30" si="237">M28*AC28</f>
        <v>35.967660000000002</v>
      </c>
      <c r="AE28" s="26">
        <f>IF(M28&gt;0,(AG28+AP28)/M28,0)</f>
        <v>2.7283720949319475E-3</v>
      </c>
      <c r="AF28" s="16">
        <v>2.9E-4</v>
      </c>
      <c r="AG28" s="23">
        <f t="shared" ref="AG28:AG30" si="238">AF28*M28</f>
        <v>4.2400900000000004</v>
      </c>
      <c r="AH28" s="92">
        <v>0.20319999999999999</v>
      </c>
      <c r="AI28" s="29">
        <f t="shared" ref="AI28:AI30" si="239">AL28*(1-AM28)*AH28</f>
        <v>34.431427200000002</v>
      </c>
      <c r="AJ28" s="27">
        <f t="shared" ref="AJ28:AJ30" si="240">IF(AND(AH28&gt;0,AF28&gt;0,AC28&gt;0),((AC28-AF28)*AH28)/((AH28-AF28)*AC28),0)</f>
        <v>0.88337454268042259</v>
      </c>
      <c r="AK28" s="58">
        <f t="shared" si="6"/>
        <v>0.89494303666645036</v>
      </c>
      <c r="AL28" s="11">
        <v>186</v>
      </c>
      <c r="AM28" s="13">
        <v>8.8999999999999996E-2</v>
      </c>
      <c r="AN28" s="14">
        <v>0.2104</v>
      </c>
      <c r="AO28" s="101">
        <v>0.20799999999999999</v>
      </c>
      <c r="AP28" s="29">
        <f>AL28*(1-AM28)*AN28</f>
        <v>35.651438400000004</v>
      </c>
      <c r="AQ28" s="102">
        <f t="shared" ref="AQ28" si="241">AL28*(1-AM28)*AO28</f>
        <v>35.244768000000001</v>
      </c>
      <c r="AR28" s="18">
        <v>1.55</v>
      </c>
      <c r="AS28" s="18"/>
      <c r="AT28" s="79">
        <f>AT26+AL28-AS28</f>
        <v>771.63999999999896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55</v>
      </c>
      <c r="D29" s="33">
        <v>15000</v>
      </c>
      <c r="E29" s="33">
        <v>0</v>
      </c>
      <c r="F29" s="33">
        <v>10623</v>
      </c>
      <c r="G29" s="34">
        <v>0.5</v>
      </c>
      <c r="H29" s="34">
        <v>4</v>
      </c>
      <c r="I29" s="33">
        <v>10242</v>
      </c>
      <c r="J29" s="34">
        <v>3.3</v>
      </c>
      <c r="K29" s="33">
        <v>15792</v>
      </c>
      <c r="L29" s="35">
        <v>6.5000000000000002E-2</v>
      </c>
      <c r="M29" s="36">
        <f>ROUND(K29*(1-L29),0)</f>
        <v>14766</v>
      </c>
      <c r="N29" s="37">
        <v>0.58899999999999997</v>
      </c>
      <c r="O29" s="24">
        <f t="shared" si="230"/>
        <v>8697.1739999999991</v>
      </c>
      <c r="P29" s="35">
        <v>0.375</v>
      </c>
      <c r="Q29" s="24">
        <f t="shared" si="231"/>
        <v>5537.25</v>
      </c>
      <c r="R29" s="38">
        <v>3.5999999999999997E-2</v>
      </c>
      <c r="S29" s="105"/>
      <c r="T29" s="24">
        <f t="shared" si="232"/>
        <v>531.57599999999991</v>
      </c>
      <c r="U29" s="27">
        <v>0.21299999999999999</v>
      </c>
      <c r="V29" s="24">
        <f t="shared" si="233"/>
        <v>3145.1579999999999</v>
      </c>
      <c r="W29" s="38">
        <v>0.50600000000000001</v>
      </c>
      <c r="X29" s="24">
        <f t="shared" si="234"/>
        <v>7471.5960000000005</v>
      </c>
      <c r="Y29" s="38">
        <v>0.39</v>
      </c>
      <c r="Z29" s="24">
        <f t="shared" si="235"/>
        <v>5758.74</v>
      </c>
      <c r="AA29" s="117">
        <v>2.4599999999999999E-3</v>
      </c>
      <c r="AB29" s="18">
        <f t="shared" si="60"/>
        <v>36.324359999999999</v>
      </c>
      <c r="AC29" s="39">
        <v>2.3600000000000001E-3</v>
      </c>
      <c r="AD29" s="17">
        <f t="shared" si="237"/>
        <v>34.847760000000001</v>
      </c>
      <c r="AE29" s="26">
        <f>IF(M29&gt;0,(AG29+AP29)/M29,0)</f>
        <v>2.308373628606258E-3</v>
      </c>
      <c r="AF29" s="39">
        <v>2.7999999999999998E-4</v>
      </c>
      <c r="AG29" s="36">
        <f t="shared" si="238"/>
        <v>4.1344799999999999</v>
      </c>
      <c r="AH29" s="27">
        <v>0.2046</v>
      </c>
      <c r="AI29" s="40">
        <f t="shared" si="239"/>
        <v>30.261567600000003</v>
      </c>
      <c r="AJ29" s="27">
        <f t="shared" si="240"/>
        <v>0.88256374182073993</v>
      </c>
      <c r="AK29" s="28">
        <f t="shared" si="6"/>
        <v>0.87991915677347332</v>
      </c>
      <c r="AL29" s="33">
        <v>162</v>
      </c>
      <c r="AM29" s="35">
        <v>8.6999999999999994E-2</v>
      </c>
      <c r="AN29" s="37">
        <v>0.20250000000000001</v>
      </c>
      <c r="AO29" s="103">
        <v>0.2046</v>
      </c>
      <c r="AP29" s="40">
        <f>AL29*(1-AM29)*AN29</f>
        <v>29.950965000000004</v>
      </c>
      <c r="AQ29" s="104">
        <f t="shared" si="21"/>
        <v>30.261567600000003</v>
      </c>
      <c r="AR29" s="41">
        <v>1.55</v>
      </c>
      <c r="AS29" s="41"/>
      <c r="AT29" s="129">
        <f>AT28+AL29-AS29</f>
        <v>933.63999999999896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0" t="s">
        <v>53</v>
      </c>
      <c r="D30" s="42">
        <v>14500</v>
      </c>
      <c r="E30" s="42">
        <v>0</v>
      </c>
      <c r="F30" s="42">
        <v>17842</v>
      </c>
      <c r="G30" s="36">
        <v>0.7</v>
      </c>
      <c r="H30" s="36">
        <v>5.7</v>
      </c>
      <c r="I30" s="42">
        <v>17256</v>
      </c>
      <c r="J30" s="36">
        <v>1.9</v>
      </c>
      <c r="K30" s="42">
        <v>15718</v>
      </c>
      <c r="L30" s="38">
        <v>6.5000000000000002E-2</v>
      </c>
      <c r="M30" s="36">
        <f>ROUND(K30*(1-L30),0)</f>
        <v>14696</v>
      </c>
      <c r="N30" s="27">
        <v>0.55500000000000005</v>
      </c>
      <c r="O30" s="24">
        <f t="shared" si="230"/>
        <v>8156.2800000000007</v>
      </c>
      <c r="P30" s="38">
        <v>0.19400000000000001</v>
      </c>
      <c r="Q30" s="24">
        <f t="shared" si="231"/>
        <v>2851.0239999999999</v>
      </c>
      <c r="R30" s="38">
        <v>0.251</v>
      </c>
      <c r="S30" s="105"/>
      <c r="T30" s="24">
        <f t="shared" si="232"/>
        <v>3688.6959999999999</v>
      </c>
      <c r="U30" s="27">
        <v>0.20200000000000001</v>
      </c>
      <c r="V30" s="24">
        <f t="shared" si="233"/>
        <v>2968.5920000000001</v>
      </c>
      <c r="W30" s="38">
        <v>0.51100000000000001</v>
      </c>
      <c r="X30" s="24">
        <f t="shared" si="234"/>
        <v>7509.6559999999999</v>
      </c>
      <c r="Y30" s="38">
        <v>0.39</v>
      </c>
      <c r="Z30" s="24">
        <f t="shared" si="235"/>
        <v>5731.4400000000005</v>
      </c>
      <c r="AA30" s="118">
        <v>2.4299999999999999E-3</v>
      </c>
      <c r="AB30" s="121">
        <f t="shared" si="60"/>
        <v>35.711279999999995</v>
      </c>
      <c r="AC30" s="45">
        <v>2.3700000000000001E-3</v>
      </c>
      <c r="AD30" s="17">
        <f t="shared" si="237"/>
        <v>34.829520000000002</v>
      </c>
      <c r="AE30" s="26">
        <f>IF(M30&gt;0,(AG30+AP30)/M30,0)</f>
        <v>2.6233257485029941E-3</v>
      </c>
      <c r="AF30" s="45">
        <v>2.7E-4</v>
      </c>
      <c r="AG30" s="36">
        <f t="shared" si="238"/>
        <v>3.9679199999999999</v>
      </c>
      <c r="AH30" s="27">
        <v>0.20810000000000001</v>
      </c>
      <c r="AI30" s="40">
        <f t="shared" si="239"/>
        <v>33.365921600000007</v>
      </c>
      <c r="AJ30" s="27">
        <f t="shared" si="240"/>
        <v>0.8872270849410151</v>
      </c>
      <c r="AK30" s="28">
        <f t="shared" si="6"/>
        <v>0.89820152540294251</v>
      </c>
      <c r="AL30" s="42">
        <v>176</v>
      </c>
      <c r="AM30" s="38">
        <v>8.8999999999999996E-2</v>
      </c>
      <c r="AN30" s="27">
        <v>0.2157</v>
      </c>
      <c r="AO30" s="105">
        <v>0.21460000000000001</v>
      </c>
      <c r="AP30" s="40">
        <f>AL30*(1-AM30)*AN30</f>
        <v>34.5844752</v>
      </c>
      <c r="AQ30" s="106">
        <f t="shared" si="21"/>
        <v>34.408105600000006</v>
      </c>
      <c r="AR30" s="17">
        <v>1.6</v>
      </c>
      <c r="AS30" s="17"/>
      <c r="AT30" s="129">
        <f>AT29+AL30-AS30</f>
        <v>1109.639999999999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2">SUM(D28:D30)</f>
        <v>45900</v>
      </c>
      <c r="E31" s="49"/>
      <c r="F31" s="49">
        <f t="shared" ref="F31" si="243">SUM(F28:F30)</f>
        <v>44879</v>
      </c>
      <c r="G31" s="50"/>
      <c r="H31" s="50"/>
      <c r="I31" s="49">
        <f t="shared" ref="I31:K31" si="244">SUM(I28:I30)</f>
        <v>43514</v>
      </c>
      <c r="J31" s="50"/>
      <c r="K31" s="49">
        <f t="shared" si="244"/>
        <v>47181</v>
      </c>
      <c r="L31" s="20">
        <f t="shared" ref="L31" si="245">IF(K31&gt;0,(K28*L28+K29*L29+K30*L30)/K31,0)</f>
        <v>6.5664292829740789E-2</v>
      </c>
      <c r="M31" s="50">
        <f t="shared" ref="M31" si="246">M28+M29+M30</f>
        <v>44083</v>
      </c>
      <c r="N31" s="51">
        <f t="shared" ref="N31" si="247">IF(M31&gt;0,O31/M31,0)</f>
        <v>0.59060050359549021</v>
      </c>
      <c r="O31" s="52">
        <f t="shared" ref="O31" si="248">O28+O29+O30</f>
        <v>26035.441999999995</v>
      </c>
      <c r="P31" s="20">
        <f t="shared" ref="P31" si="249">IF(M31&gt;0,Q31/M31,0)</f>
        <v>0.30139303132726902</v>
      </c>
      <c r="Q31" s="52">
        <f t="shared" ref="Q31" si="250">Q28+Q29+Q30</f>
        <v>13286.308999999999</v>
      </c>
      <c r="R31" s="20">
        <f t="shared" ref="R31" si="251">IF(M31&gt;0,T31/M31,0)</f>
        <v>0.10800646507724065</v>
      </c>
      <c r="S31" s="107"/>
      <c r="T31" s="52">
        <f t="shared" ref="T31" si="252">T28+T29+T30</f>
        <v>4761.2489999999998</v>
      </c>
      <c r="U31" s="20">
        <f t="shared" ref="U31" si="253">IF(M31&gt;0,V31/M31,0)</f>
        <v>0.2080062382324252</v>
      </c>
      <c r="V31" s="52">
        <f t="shared" ref="V31" si="254">V28+V29+V30</f>
        <v>9169.5390000000007</v>
      </c>
      <c r="W31" s="20">
        <f t="shared" ref="W31" si="255">IF(M31&gt;0,X31/M31,0)</f>
        <v>0.50866186511807276</v>
      </c>
      <c r="X31" s="52">
        <f t="shared" ref="X31" si="256">X28+X29+X30</f>
        <v>22423.341</v>
      </c>
      <c r="Y31" s="20">
        <f t="shared" ref="Y31" si="257">IF(M31&gt;0,Z31/M31,0)</f>
        <v>0.39000000000000007</v>
      </c>
      <c r="Z31" s="52">
        <f t="shared" ref="Z31" si="258">Z28+Z29+Z30</f>
        <v>17192.370000000003</v>
      </c>
      <c r="AA31" s="119">
        <f t="shared" ref="AA31" si="259">IF(M31&gt;0,AB31/M31,0)</f>
        <v>2.4698990540571197E-3</v>
      </c>
      <c r="AB31" s="54">
        <f t="shared" ref="AB31" si="260">SUM(AB28:AB30)</f>
        <v>108.88056</v>
      </c>
      <c r="AC31" s="53">
        <f t="shared" ref="AC31" si="261">IF(M31&gt;0,AD31/M31,0)</f>
        <v>2.3965006918766872E-3</v>
      </c>
      <c r="AD31" s="54">
        <f t="shared" ref="AD31" si="262">SUM(AD28:AD30)</f>
        <v>105.64494000000001</v>
      </c>
      <c r="AE31" s="53">
        <f t="shared" ref="AE31" si="263">IF(M31&gt;0,(AE28*M28+AE29*M29+AE30*M30)/M31,0)</f>
        <v>2.552670385409342E-3</v>
      </c>
      <c r="AF31" s="53">
        <f t="shared" ref="AF31" si="264">IF(K31&gt;0,(K28*AF28+K29*AF29+K30*AF30)/K31,0)</f>
        <v>2.7999003836290029E-4</v>
      </c>
      <c r="AG31" s="50">
        <f t="shared" ref="AG31" si="265">SUM(AG28:AG30)</f>
        <v>12.34249</v>
      </c>
      <c r="AH31" s="51">
        <f t="shared" ref="AH31" si="266">IF(K31&gt;0,(K28*AH28+K29*AH29+K30*AH30)/K31,0)</f>
        <v>0.20530099404421273</v>
      </c>
      <c r="AI31" s="56">
        <f t="shared" ref="AI31" si="267">SUM(AI28:AI30)</f>
        <v>98.058916400000015</v>
      </c>
      <c r="AJ31" s="51">
        <f t="shared" ref="AJ31" si="268">IF(AND(AD31&gt;0),((AD28*AJ28+AD29*AJ29+AD30*AJ30)/AD31),0)</f>
        <v>0.88437721828372295</v>
      </c>
      <c r="AK31" s="55">
        <f t="shared" si="6"/>
        <v>0.89150619589572144</v>
      </c>
      <c r="AL31" s="49">
        <f t="shared" ref="AL31" si="269">SUM(AL28:AL30)</f>
        <v>524</v>
      </c>
      <c r="AM31" s="20">
        <f t="shared" ref="AM31" si="270">IF(AL31&gt;0,(AM28*AL28+AM29*AL29+AM30*AL30)/AL31,0)</f>
        <v>8.8381679389312975E-2</v>
      </c>
      <c r="AN31" s="51">
        <f>IF(K31&gt;0,(AN28*K28+AN29*K29+AN30*K30)/K31,0)</f>
        <v>0.20952143871473689</v>
      </c>
      <c r="AO31" s="107">
        <f>IF(L31&gt;0,(AO28*K28+AO29*K29+AO30*K30)/K31,0)</f>
        <v>0.20906072359636294</v>
      </c>
      <c r="AP31" s="56">
        <f t="shared" ref="AP31" si="271">SUM(AP28:AP30)</f>
        <v>100.18687860000001</v>
      </c>
      <c r="AQ31" s="108">
        <f t="shared" si="227"/>
        <v>99.914441199999999</v>
      </c>
      <c r="AR31" s="54"/>
      <c r="AS31" s="54">
        <f t="shared" ref="AS31" si="272">SUM(AS28:AS30)</f>
        <v>0</v>
      </c>
      <c r="AT31" s="83"/>
      <c r="AU31" s="84">
        <f>AT30</f>
        <v>1109.639999999999</v>
      </c>
      <c r="AV31" s="49">
        <f t="shared" ref="AV31" si="273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54</v>
      </c>
      <c r="D32" s="11">
        <v>13248</v>
      </c>
      <c r="E32" s="11">
        <v>0</v>
      </c>
      <c r="F32" s="11">
        <v>15798</v>
      </c>
      <c r="G32" s="12">
        <v>0.5</v>
      </c>
      <c r="H32" s="12">
        <v>3.9</v>
      </c>
      <c r="I32" s="11">
        <v>15831</v>
      </c>
      <c r="J32" s="12">
        <v>1.8</v>
      </c>
      <c r="K32" s="11">
        <v>15707</v>
      </c>
      <c r="L32" s="13">
        <v>6.5000000000000002E-2</v>
      </c>
      <c r="M32" s="23">
        <f>ROUND(K32*(1-L32),0)</f>
        <v>14686</v>
      </c>
      <c r="N32" s="14">
        <v>0.57599999999999996</v>
      </c>
      <c r="O32" s="24">
        <f t="shared" ref="O32:O34" si="274">M32*N32</f>
        <v>8459.1359999999986</v>
      </c>
      <c r="P32" s="13">
        <v>0.39500000000000002</v>
      </c>
      <c r="Q32" s="24">
        <f t="shared" ref="Q32:Q34" si="275">M32*P32</f>
        <v>5800.97</v>
      </c>
      <c r="R32" s="15">
        <v>2.9000000000000001E-2</v>
      </c>
      <c r="S32" s="112"/>
      <c r="T32" s="24">
        <f t="shared" ref="T32:T34" si="276">M32*R32</f>
        <v>425.89400000000001</v>
      </c>
      <c r="U32" s="25">
        <v>0.20399999999999999</v>
      </c>
      <c r="V32" s="24">
        <f t="shared" ref="V32:V34" si="277">M32*U32</f>
        <v>2995.944</v>
      </c>
      <c r="W32" s="15">
        <v>0.50800000000000001</v>
      </c>
      <c r="X32" s="24">
        <f t="shared" ref="X32:X34" si="278">M32*W32</f>
        <v>7460.4880000000003</v>
      </c>
      <c r="Y32" s="15">
        <v>0.39</v>
      </c>
      <c r="Z32" s="24">
        <f t="shared" ref="Z32:Z34" si="279">Y32*M32</f>
        <v>5727.54</v>
      </c>
      <c r="AA32" s="116">
        <v>2.49E-3</v>
      </c>
      <c r="AB32" s="18">
        <f t="shared" ref="AB32" si="280">M32*AA32</f>
        <v>36.56814</v>
      </c>
      <c r="AC32" s="16">
        <v>2.5200000000000001E-3</v>
      </c>
      <c r="AD32" s="17">
        <f t="shared" ref="AD32:AD34" si="281">M32*AC32</f>
        <v>37.008720000000004</v>
      </c>
      <c r="AE32" s="26">
        <f>IF(M32&gt;0,(AG32+AP32)/M32,0)</f>
        <v>2.5515347950428981E-3</v>
      </c>
      <c r="AF32" s="16">
        <v>2.5999999999999998E-4</v>
      </c>
      <c r="AG32" s="23">
        <f t="shared" ref="AG32:AG34" si="282">AF32*M32</f>
        <v>3.8183599999999998</v>
      </c>
      <c r="AH32" s="92">
        <v>0.2036</v>
      </c>
      <c r="AI32" s="29">
        <f t="shared" ref="AI32:AI34" si="283">AL32*(1-AM32)*AH32</f>
        <v>32.565820000000002</v>
      </c>
      <c r="AJ32" s="27">
        <f t="shared" ref="AJ32:AJ34" si="284">IF(AND(AH32&gt;0,AF32&gt;0,AC32&gt;0),((AC32-AF32)*AH32)/((AH32-AF32)*AC32),0)</f>
        <v>0.89797211957141154</v>
      </c>
      <c r="AK32" s="58">
        <f t="shared" si="6"/>
        <v>0.89921174018579719</v>
      </c>
      <c r="AL32" s="11">
        <v>175</v>
      </c>
      <c r="AM32" s="13">
        <v>8.5999999999999993E-2</v>
      </c>
      <c r="AN32" s="14">
        <v>0.2104</v>
      </c>
      <c r="AO32" s="101">
        <v>0.21029999999999999</v>
      </c>
      <c r="AP32" s="29">
        <f>AL32*(1-AM32)*AN32</f>
        <v>33.653480000000002</v>
      </c>
      <c r="AQ32" s="102">
        <f t="shared" ref="AQ32" si="285">AL32*(1-AM32)*AO32</f>
        <v>33.637484999999998</v>
      </c>
      <c r="AR32" s="18">
        <v>1.55</v>
      </c>
      <c r="AS32" s="18"/>
      <c r="AT32" s="79">
        <f>AT30+AL32-AS32</f>
        <v>1284.639999999999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55</v>
      </c>
      <c r="D33" s="33">
        <v>16300</v>
      </c>
      <c r="E33" s="33">
        <v>1</v>
      </c>
      <c r="F33" s="33">
        <v>12452</v>
      </c>
      <c r="G33" s="34">
        <v>0.4</v>
      </c>
      <c r="H33" s="34">
        <v>5.5</v>
      </c>
      <c r="I33" s="33">
        <v>11759</v>
      </c>
      <c r="J33" s="34">
        <v>3.3</v>
      </c>
      <c r="K33" s="33">
        <v>15705</v>
      </c>
      <c r="L33" s="35">
        <v>6.8000000000000005E-2</v>
      </c>
      <c r="M33" s="36">
        <f>ROUND(K33*(1-L33),0)</f>
        <v>14637</v>
      </c>
      <c r="N33" s="37">
        <v>0.51100000000000001</v>
      </c>
      <c r="O33" s="24">
        <f t="shared" si="274"/>
        <v>7479.5070000000005</v>
      </c>
      <c r="P33" s="35">
        <v>0.46400000000000002</v>
      </c>
      <c r="Q33" s="24">
        <f t="shared" si="275"/>
        <v>6791.5680000000002</v>
      </c>
      <c r="R33" s="38">
        <v>2.5000000000000001E-2</v>
      </c>
      <c r="S33" s="105"/>
      <c r="T33" s="24">
        <f t="shared" si="276"/>
        <v>365.92500000000001</v>
      </c>
      <c r="U33" s="27">
        <v>0.19400000000000001</v>
      </c>
      <c r="V33" s="24">
        <f t="shared" si="277"/>
        <v>2839.578</v>
      </c>
      <c r="W33" s="38">
        <v>0.51400000000000001</v>
      </c>
      <c r="X33" s="24">
        <f t="shared" si="278"/>
        <v>7523.4180000000006</v>
      </c>
      <c r="Y33" s="38">
        <v>0.4</v>
      </c>
      <c r="Z33" s="24">
        <f t="shared" si="279"/>
        <v>5854.8</v>
      </c>
      <c r="AA33" s="117">
        <v>2.4399999999999999E-3</v>
      </c>
      <c r="AB33" s="18">
        <f t="shared" si="60"/>
        <v>35.714279999999995</v>
      </c>
      <c r="AC33" s="39">
        <v>2.48E-3</v>
      </c>
      <c r="AD33" s="17">
        <f t="shared" si="281"/>
        <v>36.299759999999999</v>
      </c>
      <c r="AE33" s="26">
        <f>IF(M33&gt;0,(AG33+AP33)/M33,0)</f>
        <v>2.3429644599303133E-3</v>
      </c>
      <c r="AF33" s="39">
        <v>2.5000000000000001E-4</v>
      </c>
      <c r="AG33" s="36">
        <f t="shared" si="282"/>
        <v>3.6592500000000001</v>
      </c>
      <c r="AH33" s="27">
        <v>0.20549999999999999</v>
      </c>
      <c r="AI33" s="40">
        <f t="shared" si="283"/>
        <v>29.864492999999996</v>
      </c>
      <c r="AJ33" s="27">
        <f t="shared" si="284"/>
        <v>0.90028879022435271</v>
      </c>
      <c r="AK33" s="28">
        <f t="shared" si="6"/>
        <v>0.89435824208502379</v>
      </c>
      <c r="AL33" s="33">
        <v>159</v>
      </c>
      <c r="AM33" s="35">
        <v>8.5999999999999993E-2</v>
      </c>
      <c r="AN33" s="37">
        <v>0.21079999999999999</v>
      </c>
      <c r="AO33" s="103">
        <v>0.216</v>
      </c>
      <c r="AP33" s="40">
        <f>AL33*(1-AM33)*AN33</f>
        <v>30.634720799999997</v>
      </c>
      <c r="AQ33" s="104">
        <f t="shared" si="21"/>
        <v>31.390415999999998</v>
      </c>
      <c r="AR33" s="41">
        <v>1.55</v>
      </c>
      <c r="AS33" s="41"/>
      <c r="AT33" s="129">
        <f>AT32+AL33-AS33</f>
        <v>1443.639999999999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43" t="s">
        <v>57</v>
      </c>
      <c r="D34" s="42">
        <v>12500</v>
      </c>
      <c r="E34" s="42">
        <v>0</v>
      </c>
      <c r="F34" s="42">
        <v>15251</v>
      </c>
      <c r="G34" s="36">
        <v>0.5</v>
      </c>
      <c r="H34" s="36">
        <v>5.3</v>
      </c>
      <c r="I34" s="42">
        <v>15268</v>
      </c>
      <c r="J34" s="36">
        <v>2.7</v>
      </c>
      <c r="K34" s="42">
        <v>15700</v>
      </c>
      <c r="L34" s="38">
        <v>6.8000000000000005E-2</v>
      </c>
      <c r="M34" s="36">
        <f>ROUND(K34*(1-L34),0)</f>
        <v>14632</v>
      </c>
      <c r="N34" s="27">
        <v>0.57699999999999996</v>
      </c>
      <c r="O34" s="24">
        <f t="shared" si="274"/>
        <v>8442.6639999999989</v>
      </c>
      <c r="P34" s="38">
        <v>0.36399999999999999</v>
      </c>
      <c r="Q34" s="24">
        <f t="shared" si="275"/>
        <v>5326.0479999999998</v>
      </c>
      <c r="R34" s="38">
        <v>5.8999999999999997E-2</v>
      </c>
      <c r="S34" s="105"/>
      <c r="T34" s="24">
        <f t="shared" si="276"/>
        <v>863.28800000000001</v>
      </c>
      <c r="U34" s="27">
        <v>0.19700000000000001</v>
      </c>
      <c r="V34" s="24">
        <f t="shared" si="277"/>
        <v>2882.5039999999999</v>
      </c>
      <c r="W34" s="38">
        <v>0.50900000000000001</v>
      </c>
      <c r="X34" s="24">
        <f t="shared" si="278"/>
        <v>7447.6880000000001</v>
      </c>
      <c r="Y34" s="38">
        <v>0.38</v>
      </c>
      <c r="Z34" s="24">
        <f t="shared" si="279"/>
        <v>5560.16</v>
      </c>
      <c r="AA34" s="118">
        <v>2.3600000000000001E-3</v>
      </c>
      <c r="AB34" s="121">
        <f t="shared" si="60"/>
        <v>34.53152</v>
      </c>
      <c r="AC34" s="45">
        <v>2.4199999999999998E-3</v>
      </c>
      <c r="AD34" s="17">
        <f t="shared" si="281"/>
        <v>35.409439999999996</v>
      </c>
      <c r="AE34" s="26">
        <f>IF(M34&gt;0,(AG34+AP34)/M34,0)</f>
        <v>2.3628809937124113E-3</v>
      </c>
      <c r="AF34" s="45">
        <v>2.4000000000000001E-4</v>
      </c>
      <c r="AG34" s="36">
        <f t="shared" si="282"/>
        <v>3.5116800000000001</v>
      </c>
      <c r="AH34" s="27">
        <v>0.20610000000000001</v>
      </c>
      <c r="AI34" s="40">
        <f t="shared" si="283"/>
        <v>29.542580100000002</v>
      </c>
      <c r="AJ34" s="27">
        <f t="shared" si="284"/>
        <v>0.90187666656228693</v>
      </c>
      <c r="AK34" s="28">
        <f t="shared" si="6"/>
        <v>0.89942521160575739</v>
      </c>
      <c r="AL34" s="42">
        <v>157</v>
      </c>
      <c r="AM34" s="38">
        <v>8.6999999999999994E-2</v>
      </c>
      <c r="AN34" s="27">
        <v>0.2167</v>
      </c>
      <c r="AO34" s="105">
        <v>0.21829999999999999</v>
      </c>
      <c r="AP34" s="40">
        <f>AL34*(1-AM34)*AN34</f>
        <v>31.061994700000003</v>
      </c>
      <c r="AQ34" s="106">
        <f t="shared" si="21"/>
        <v>31.291340300000002</v>
      </c>
      <c r="AR34" s="17">
        <v>1.55</v>
      </c>
      <c r="AS34" s="17"/>
      <c r="AT34" s="129">
        <f>AT33+AL34-AS34</f>
        <v>1600.639999999999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6">SUM(D32:D34)</f>
        <v>42048</v>
      </c>
      <c r="E35" s="49"/>
      <c r="F35" s="49">
        <f t="shared" ref="F35" si="287">SUM(F32:F34)</f>
        <v>43501</v>
      </c>
      <c r="G35" s="50"/>
      <c r="H35" s="50"/>
      <c r="I35" s="49">
        <f t="shared" ref="I35:K35" si="288">SUM(I32:I34)</f>
        <v>42858</v>
      </c>
      <c r="J35" s="50"/>
      <c r="K35" s="49">
        <f t="shared" si="288"/>
        <v>47112</v>
      </c>
      <c r="L35" s="20">
        <f t="shared" ref="L35" si="289">IF(K35&gt;0,(K32*L32+K33*L33+K34*L34)/K35,0)</f>
        <v>6.699980896586856E-2</v>
      </c>
      <c r="M35" s="50">
        <f t="shared" ref="M35" si="290">M32+M33+M34</f>
        <v>43955</v>
      </c>
      <c r="N35" s="51">
        <f t="shared" ref="N35" si="291">IF(M35&gt;0,O35/M35,0)</f>
        <v>0.55468790808781709</v>
      </c>
      <c r="O35" s="52">
        <f t="shared" ref="O35" si="292">O32+O33+O34</f>
        <v>24381.307000000001</v>
      </c>
      <c r="P35" s="20">
        <f t="shared" ref="P35" si="293">IF(M35&gt;0,Q35/M35,0)</f>
        <v>0.40765751336594241</v>
      </c>
      <c r="Q35" s="52">
        <f t="shared" ref="Q35" si="294">Q32+Q33+Q34</f>
        <v>17918.585999999999</v>
      </c>
      <c r="R35" s="20">
        <f t="shared" ref="R35" si="295">IF(M35&gt;0,T35/M35,0)</f>
        <v>3.7654578546240471E-2</v>
      </c>
      <c r="S35" s="107"/>
      <c r="T35" s="52">
        <f t="shared" ref="T35" si="296">T32+T33+T34</f>
        <v>1655.107</v>
      </c>
      <c r="U35" s="20">
        <f t="shared" ref="U35" si="297">IF(M35&gt;0,V35/M35,0)</f>
        <v>0.19833980207029916</v>
      </c>
      <c r="V35" s="52">
        <f t="shared" ref="V35" si="298">V32+V33+V34</f>
        <v>8718.0259999999998</v>
      </c>
      <c r="W35" s="20">
        <f t="shared" ref="W35" si="299">IF(M35&gt;0,X35/M35,0)</f>
        <v>0.51033088385849168</v>
      </c>
      <c r="X35" s="52">
        <f t="shared" ref="X35" si="300">X32+X33+X34</f>
        <v>22431.594000000001</v>
      </c>
      <c r="Y35" s="20">
        <f t="shared" ref="Y35" si="301">IF(M35&gt;0,Z35/M35,0)</f>
        <v>0.39000113752701626</v>
      </c>
      <c r="Z35" s="52">
        <f t="shared" ref="Z35" si="302">Z32+Z33+Z34</f>
        <v>17142.5</v>
      </c>
      <c r="AA35" s="119">
        <f t="shared" ref="AA35" si="303">IF(M35&gt;0,AB35/M35,0)</f>
        <v>2.4300748492776703E-3</v>
      </c>
      <c r="AB35" s="54">
        <f t="shared" ref="AB35" si="304">SUM(AB32:AB34)</f>
        <v>106.81394</v>
      </c>
      <c r="AC35" s="53">
        <f t="shared" ref="AC35" si="305">IF(M35&gt;0,AD35/M35,0)</f>
        <v>2.4733914230462973E-3</v>
      </c>
      <c r="AD35" s="54">
        <f t="shared" ref="AD35" si="306">SUM(AD32:AD34)</f>
        <v>108.71791999999999</v>
      </c>
      <c r="AE35" s="53">
        <f t="shared" ref="AE35" si="307">IF(M35&gt;0,(AE32*M32+AE33*M33+AE34*M34)/M35,0)</f>
        <v>2.4192807530428848E-3</v>
      </c>
      <c r="AF35" s="53">
        <f t="shared" ref="AF35" si="308">IF(K35&gt;0,(K32*AF32+K33*AF33+K34*AF34)/K35,0)</f>
        <v>2.5000148582102221E-4</v>
      </c>
      <c r="AG35" s="50">
        <f t="shared" ref="AG35" si="309">SUM(AG32:AG34)</f>
        <v>10.98929</v>
      </c>
      <c r="AH35" s="51">
        <f t="shared" ref="AH35" si="310">IF(K35&gt;0,(K32*AH32+K33*AH33+K34*AH34)/K35,0)</f>
        <v>0.20506649473594837</v>
      </c>
      <c r="AI35" s="56">
        <f t="shared" ref="AI35" si="311">SUM(AI32:AI34)</f>
        <v>91.972893099999993</v>
      </c>
      <c r="AJ35" s="51">
        <f t="shared" ref="AJ35" si="312">IF(AND(AD35&gt;0),((AD32*AJ32+AD33*AJ33+AD34*AJ34)/AD35),0)</f>
        <v>0.90001734276094081</v>
      </c>
      <c r="AK35" s="55">
        <f t="shared" si="6"/>
        <v>0.89771837401994092</v>
      </c>
      <c r="AL35" s="49">
        <f t="shared" ref="AL35" si="313">SUM(AL32:AL34)</f>
        <v>491</v>
      </c>
      <c r="AM35" s="20">
        <f t="shared" ref="AM35" si="314">IF(AL35&gt;0,(AM32*AL32+AM33*AL33+AM34*AL34)/AL35,0)</f>
        <v>8.631975560081466E-2</v>
      </c>
      <c r="AN35" s="51">
        <f>IF(K35&gt;0,(AN32*K32+AN33*K33+AN34*K34)/K35,0)</f>
        <v>0.21263280692817119</v>
      </c>
      <c r="AO35" s="107">
        <f>IF(L35&gt;0,(AO32*K32+AO33*K33+AO34*K34)/K35,0)</f>
        <v>0.2148661084224826</v>
      </c>
      <c r="AP35" s="56">
        <f t="shared" ref="AP35" si="315">SUM(AP32:AP34)</f>
        <v>95.350195499999998</v>
      </c>
      <c r="AQ35" s="108">
        <f t="shared" si="227"/>
        <v>96.319241300000002</v>
      </c>
      <c r="AR35" s="54"/>
      <c r="AS35" s="54">
        <f t="shared" ref="AS35" si="316">SUM(AS32:AS34)</f>
        <v>0</v>
      </c>
      <c r="AT35" s="83"/>
      <c r="AU35" s="84">
        <f>AT34</f>
        <v>1600.639999999999</v>
      </c>
      <c r="AV35" s="49">
        <f t="shared" ref="AV35" si="317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59</v>
      </c>
      <c r="D36" s="11">
        <v>4331</v>
      </c>
      <c r="E36" s="11">
        <v>1</v>
      </c>
      <c r="F36" s="11">
        <v>9975</v>
      </c>
      <c r="G36" s="12">
        <v>0.4</v>
      </c>
      <c r="H36" s="12">
        <v>6.4</v>
      </c>
      <c r="I36" s="11">
        <v>10156</v>
      </c>
      <c r="J36" s="12">
        <v>4.4000000000000004</v>
      </c>
      <c r="K36" s="11">
        <v>15754</v>
      </c>
      <c r="L36" s="13">
        <v>7.1999999999999995E-2</v>
      </c>
      <c r="M36" s="23">
        <f>ROUND(K36*(1-L36),0)</f>
        <v>14620</v>
      </c>
      <c r="N36" s="14">
        <v>0.71699999999999997</v>
      </c>
      <c r="O36" s="24">
        <f t="shared" ref="O36:O38" si="318">M36*N36</f>
        <v>10482.539999999999</v>
      </c>
      <c r="P36" s="13">
        <v>0.22700000000000001</v>
      </c>
      <c r="Q36" s="24">
        <f t="shared" ref="Q36:Q38" si="319">M36*P36</f>
        <v>3318.7400000000002</v>
      </c>
      <c r="R36" s="15">
        <v>5.6000000000000001E-2</v>
      </c>
      <c r="S36" s="112"/>
      <c r="T36" s="24">
        <f t="shared" ref="T36:T38" si="320">M36*R36</f>
        <v>818.72</v>
      </c>
      <c r="U36" s="25">
        <v>0.20499999999999999</v>
      </c>
      <c r="V36" s="24">
        <f t="shared" ref="V36:V38" si="321">M36*U36</f>
        <v>2997.1</v>
      </c>
      <c r="W36" s="15">
        <v>0.50900000000000001</v>
      </c>
      <c r="X36" s="24">
        <f t="shared" ref="X36:X38" si="322">M36*W36</f>
        <v>7441.58</v>
      </c>
      <c r="Y36" s="15">
        <v>0.39</v>
      </c>
      <c r="Z36" s="24">
        <f t="shared" ref="Z36:Z38" si="323">Y36*M36</f>
        <v>5701.8</v>
      </c>
      <c r="AA36" s="116">
        <v>2.33E-3</v>
      </c>
      <c r="AB36" s="18">
        <f t="shared" ref="AB36" si="324">M36*AA36</f>
        <v>34.064599999999999</v>
      </c>
      <c r="AC36" s="16">
        <v>2.3999999999999998E-3</v>
      </c>
      <c r="AD36" s="17">
        <f t="shared" ref="AD36:AD38" si="325">M36*AC36</f>
        <v>35.087999999999994</v>
      </c>
      <c r="AE36" s="26">
        <f>IF(M36&gt;0,(AG36+AP36)/M36,0)</f>
        <v>2.3470066621067032E-3</v>
      </c>
      <c r="AF36" s="16">
        <v>2.4000000000000001E-4</v>
      </c>
      <c r="AG36" s="23">
        <f t="shared" ref="AG36:AG38" si="326">AF36*M36</f>
        <v>3.5087999999999999</v>
      </c>
      <c r="AH36" s="92">
        <v>0.19900000000000001</v>
      </c>
      <c r="AI36" s="29">
        <f t="shared" ref="AI36:AI38" si="327">AL36*(1-AM36)*AH36</f>
        <v>28.888233000000003</v>
      </c>
      <c r="AJ36" s="27">
        <f t="shared" ref="AJ36:AJ38" si="328">IF(AND(AH36&gt;0,AF36&gt;0,AC36&gt;0),((AC36-AF36)*AH36)/((AH36-AF36)*AC36),0)</f>
        <v>0.90108673777420001</v>
      </c>
      <c r="AK36" s="58">
        <f t="shared" si="6"/>
        <v>0.89875859189675922</v>
      </c>
      <c r="AL36" s="11">
        <v>159</v>
      </c>
      <c r="AM36" s="13">
        <v>8.6999999999999994E-2</v>
      </c>
      <c r="AN36" s="14">
        <v>0.2122</v>
      </c>
      <c r="AO36" s="101">
        <v>0.221</v>
      </c>
      <c r="AP36" s="29">
        <f>AL36*(1-AM36)*AN36</f>
        <v>30.804437400000001</v>
      </c>
      <c r="AQ36" s="102">
        <f t="shared" ref="AQ36" si="329">AL36*(1-AM36)*AO36</f>
        <v>32.081907000000001</v>
      </c>
      <c r="AR36" s="18">
        <v>1.55</v>
      </c>
      <c r="AS36" s="18">
        <v>1006.58</v>
      </c>
      <c r="AT36" s="79">
        <f>AT34+AL36-AS36+AU36</f>
        <v>818.31999999999891</v>
      </c>
      <c r="AU36" s="80">
        <v>65.260000000000005</v>
      </c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55</v>
      </c>
      <c r="D37" s="33">
        <v>20000</v>
      </c>
      <c r="E37" s="33">
        <v>3</v>
      </c>
      <c r="F37" s="33">
        <v>16645</v>
      </c>
      <c r="G37" s="34">
        <v>0.9</v>
      </c>
      <c r="H37" s="34">
        <v>6.4</v>
      </c>
      <c r="I37" s="33">
        <v>15902</v>
      </c>
      <c r="J37" s="34">
        <v>3.7</v>
      </c>
      <c r="K37" s="33">
        <v>15733</v>
      </c>
      <c r="L37" s="35">
        <v>6.4000000000000001E-2</v>
      </c>
      <c r="M37" s="36">
        <f>ROUND(K37*(1-L37),0)</f>
        <v>14726</v>
      </c>
      <c r="N37" s="37">
        <v>0.61</v>
      </c>
      <c r="O37" s="24">
        <f t="shared" si="318"/>
        <v>8982.86</v>
      </c>
      <c r="P37" s="35">
        <v>0.36599999999999999</v>
      </c>
      <c r="Q37" s="24">
        <f t="shared" si="319"/>
        <v>5389.7159999999994</v>
      </c>
      <c r="R37" s="38">
        <v>2.4E-2</v>
      </c>
      <c r="S37" s="105"/>
      <c r="T37" s="24">
        <f t="shared" si="320"/>
        <v>353.42400000000004</v>
      </c>
      <c r="U37" s="27">
        <v>0.20599999999999999</v>
      </c>
      <c r="V37" s="24">
        <f t="shared" si="321"/>
        <v>3033.556</v>
      </c>
      <c r="W37" s="38">
        <v>0.51100000000000001</v>
      </c>
      <c r="X37" s="24">
        <f t="shared" si="322"/>
        <v>7524.9859999999999</v>
      </c>
      <c r="Y37" s="38">
        <v>0.39</v>
      </c>
      <c r="Z37" s="24">
        <f t="shared" si="323"/>
        <v>5743.14</v>
      </c>
      <c r="AA37" s="117">
        <v>2.4499999999999999E-3</v>
      </c>
      <c r="AB37" s="18">
        <f t="shared" si="60"/>
        <v>36.078699999999998</v>
      </c>
      <c r="AC37" s="39">
        <v>2.5400000000000002E-3</v>
      </c>
      <c r="AD37" s="17">
        <f t="shared" si="325"/>
        <v>37.404040000000002</v>
      </c>
      <c r="AE37" s="26">
        <f>IF(M37&gt;0,(AG37+AP37)/M37,0)</f>
        <v>2.3444378650006792E-3</v>
      </c>
      <c r="AF37" s="39">
        <v>2.4000000000000001E-4</v>
      </c>
      <c r="AG37" s="36">
        <f t="shared" si="326"/>
        <v>3.53424</v>
      </c>
      <c r="AH37" s="27">
        <v>0.20449999999999999</v>
      </c>
      <c r="AI37" s="40">
        <f t="shared" si="327"/>
        <v>31.435739999999999</v>
      </c>
      <c r="AJ37" s="27">
        <f t="shared" si="328"/>
        <v>0.9065757630193414</v>
      </c>
      <c r="AK37" s="28">
        <f t="shared" si="6"/>
        <v>0.89869992532621845</v>
      </c>
      <c r="AL37" s="33">
        <v>168</v>
      </c>
      <c r="AM37" s="35">
        <v>8.5000000000000006E-2</v>
      </c>
      <c r="AN37" s="37">
        <v>0.2016</v>
      </c>
      <c r="AO37" s="103">
        <v>0.2014</v>
      </c>
      <c r="AP37" s="40">
        <f>AL37*(1-AM37)*AN37</f>
        <v>30.989951999999999</v>
      </c>
      <c r="AQ37" s="104">
        <f t="shared" si="21"/>
        <v>30.959208</v>
      </c>
      <c r="AR37" s="41">
        <v>1.5</v>
      </c>
      <c r="AS37" s="41"/>
      <c r="AT37" s="129">
        <f>AT36+AL37-AS37</f>
        <v>986.31999999999891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43" t="s">
        <v>57</v>
      </c>
      <c r="D38" s="42">
        <v>16800</v>
      </c>
      <c r="E38" s="42">
        <v>2</v>
      </c>
      <c r="F38" s="42">
        <v>16452</v>
      </c>
      <c r="G38" s="36">
        <v>0.7</v>
      </c>
      <c r="H38" s="36">
        <v>6.3</v>
      </c>
      <c r="I38" s="42">
        <v>16173</v>
      </c>
      <c r="J38" s="36">
        <v>3</v>
      </c>
      <c r="K38" s="42">
        <v>15712</v>
      </c>
      <c r="L38" s="38">
        <v>7.1999999999999995E-2</v>
      </c>
      <c r="M38" s="36">
        <f>ROUND(K38*(1-L38),0)</f>
        <v>14581</v>
      </c>
      <c r="N38" s="27">
        <v>0.72699999999999998</v>
      </c>
      <c r="O38" s="24">
        <f t="shared" si="318"/>
        <v>10600.386999999999</v>
      </c>
      <c r="P38" s="38">
        <v>0.224</v>
      </c>
      <c r="Q38" s="24">
        <f t="shared" si="319"/>
        <v>3266.1440000000002</v>
      </c>
      <c r="R38" s="38">
        <v>4.9000000000000002E-2</v>
      </c>
      <c r="S38" s="105"/>
      <c r="T38" s="24">
        <f t="shared" si="320"/>
        <v>714.46900000000005</v>
      </c>
      <c r="U38" s="27">
        <v>0.218</v>
      </c>
      <c r="V38" s="24">
        <f t="shared" si="321"/>
        <v>3178.6579999999999</v>
      </c>
      <c r="W38" s="38">
        <v>0.49</v>
      </c>
      <c r="X38" s="24">
        <f t="shared" si="322"/>
        <v>7144.69</v>
      </c>
      <c r="Y38" s="38">
        <v>0.38</v>
      </c>
      <c r="Z38" s="24">
        <f t="shared" si="323"/>
        <v>5540.78</v>
      </c>
      <c r="AA38" s="118">
        <v>2.5300000000000001E-3</v>
      </c>
      <c r="AB38" s="121">
        <f t="shared" si="60"/>
        <v>36.88993</v>
      </c>
      <c r="AC38" s="45">
        <v>2.5500000000000002E-3</v>
      </c>
      <c r="AD38" s="17">
        <f t="shared" si="325"/>
        <v>37.181550000000001</v>
      </c>
      <c r="AE38" s="26">
        <f>IF(M38&gt;0,(AG38+AP38)/M38,0)</f>
        <v>2.4958662643165762E-3</v>
      </c>
      <c r="AF38" s="45">
        <v>2.4000000000000001E-4</v>
      </c>
      <c r="AG38" s="36">
        <f t="shared" si="326"/>
        <v>3.4994399999999999</v>
      </c>
      <c r="AH38" s="27">
        <v>0.2064</v>
      </c>
      <c r="AI38" s="40">
        <f t="shared" si="327"/>
        <v>32.860944000000003</v>
      </c>
      <c r="AJ38" s="27">
        <f t="shared" si="328"/>
        <v>0.90693693076765036</v>
      </c>
      <c r="AK38" s="28">
        <f t="shared" si="6"/>
        <v>0.90489218327315135</v>
      </c>
      <c r="AL38" s="42">
        <v>174</v>
      </c>
      <c r="AM38" s="38">
        <v>8.5000000000000006E-2</v>
      </c>
      <c r="AN38" s="27">
        <v>0.20660000000000001</v>
      </c>
      <c r="AO38" s="105">
        <v>0.21129999999999999</v>
      </c>
      <c r="AP38" s="40">
        <f>AL38*(1-AM38)*AN38</f>
        <v>32.892786000000001</v>
      </c>
      <c r="AQ38" s="106">
        <f t="shared" si="21"/>
        <v>33.641072999999999</v>
      </c>
      <c r="AR38" s="17">
        <v>1.5</v>
      </c>
      <c r="AS38" s="17"/>
      <c r="AT38" s="129">
        <f>AT37+AL38-AS38</f>
        <v>1160.3199999999988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0">SUM(D36:D38)</f>
        <v>41131</v>
      </c>
      <c r="E39" s="49"/>
      <c r="F39" s="49">
        <f t="shared" ref="F39" si="331">SUM(F36:F38)</f>
        <v>43072</v>
      </c>
      <c r="G39" s="50"/>
      <c r="H39" s="50"/>
      <c r="I39" s="49">
        <f t="shared" ref="I39:K39" si="332">SUM(I36:I38)</f>
        <v>42231</v>
      </c>
      <c r="J39" s="50"/>
      <c r="K39" s="49">
        <f t="shared" si="332"/>
        <v>47199</v>
      </c>
      <c r="L39" s="20">
        <f t="shared" ref="L39" si="333">IF(K39&gt;0,(K36*L36+K37*L37+K38*L38)/K39,0)</f>
        <v>6.933333333333333E-2</v>
      </c>
      <c r="M39" s="50">
        <f t="shared" ref="M39" si="334">M36+M37+M38</f>
        <v>43927</v>
      </c>
      <c r="N39" s="51">
        <f t="shared" ref="N39" si="335">IF(M39&gt;0,O39/M39,0)</f>
        <v>0.68444890386322765</v>
      </c>
      <c r="O39" s="52">
        <f t="shared" ref="O39" si="336">O36+O37+O38</f>
        <v>30065.787</v>
      </c>
      <c r="P39" s="20">
        <f t="shared" ref="P39" si="337">IF(M39&gt;0,Q39/M39,0)</f>
        <v>0.27260227195119174</v>
      </c>
      <c r="Q39" s="52">
        <f t="shared" ref="Q39" si="338">Q36+Q37+Q38</f>
        <v>11974.6</v>
      </c>
      <c r="R39" s="20">
        <f t="shared" ref="R39" si="339">IF(M39&gt;0,T39/M39,0)</f>
        <v>4.2948824185580624E-2</v>
      </c>
      <c r="S39" s="107"/>
      <c r="T39" s="52">
        <f t="shared" ref="T39" si="340">T36+T37+T38</f>
        <v>1886.6130000000001</v>
      </c>
      <c r="U39" s="20">
        <f t="shared" ref="U39" si="341">IF(M39&gt;0,V39/M39,0)</f>
        <v>0.20965042001502493</v>
      </c>
      <c r="V39" s="52">
        <f t="shared" ref="V39" si="342">V36+V37+V38</f>
        <v>9209.3140000000003</v>
      </c>
      <c r="W39" s="20">
        <f t="shared" ref="W39" si="343">IF(M39&gt;0,X39/M39,0)</f>
        <v>0.50336367154597395</v>
      </c>
      <c r="X39" s="52">
        <f t="shared" ref="X39" si="344">X36+X37+X38</f>
        <v>22111.255999999998</v>
      </c>
      <c r="Y39" s="20">
        <f t="shared" ref="Y39" si="345">IF(M39&gt;0,Z39/M39,0)</f>
        <v>0.38668062922576096</v>
      </c>
      <c r="Z39" s="52">
        <f t="shared" ref="Z39" si="346">Z36+Z37+Z38</f>
        <v>16985.72</v>
      </c>
      <c r="AA39" s="119">
        <f t="shared" ref="AA39" si="347">IF(M39&gt;0,AB39/M39,0)</f>
        <v>2.4366159765064769E-3</v>
      </c>
      <c r="AB39" s="54">
        <f t="shared" ref="AB39" si="348">SUM(AB36:AB38)</f>
        <v>107.03323</v>
      </c>
      <c r="AC39" s="53">
        <f t="shared" ref="AC39" si="349">IF(M39&gt;0,AD39/M39,0)</f>
        <v>2.4967238828055641E-3</v>
      </c>
      <c r="AD39" s="54">
        <f t="shared" ref="AD39" si="350">SUM(AD36:AD38)</f>
        <v>109.67359</v>
      </c>
      <c r="AE39" s="53">
        <f t="shared" ref="AE39" si="351">IF(M39&gt;0,(AE36*M36+AE37*M37+AE38*M38)/M39,0)</f>
        <v>2.3955575249846334E-3</v>
      </c>
      <c r="AF39" s="53">
        <f t="shared" ref="AF39" si="352">IF(K39&gt;0,(K36*AF36+K37*AF37+K38*AF38)/K39,0)</f>
        <v>2.3999999999999998E-4</v>
      </c>
      <c r="AG39" s="50">
        <f t="shared" ref="AG39" si="353">SUM(AG36:AG38)</f>
        <v>10.542479999999999</v>
      </c>
      <c r="AH39" s="51">
        <f t="shared" ref="AH39" si="354">IF(K39&gt;0,(K36*AH36+K37*AH37+K38*AH38)/K39,0)</f>
        <v>0.20329670755736348</v>
      </c>
      <c r="AI39" s="56">
        <f t="shared" ref="AI39" si="355">SUM(AI36:AI38)</f>
        <v>93.184917000000013</v>
      </c>
      <c r="AJ39" s="51">
        <f t="shared" ref="AJ39" si="356">IF(AND(AD39&gt;0),((AD36*AJ36+AD37*AJ37+AD38*AJ38)/AD39),0)</f>
        <v>0.90494209587021845</v>
      </c>
      <c r="AK39" s="55">
        <f t="shared" si="6"/>
        <v>0.90086002653519603</v>
      </c>
      <c r="AL39" s="49">
        <f t="shared" ref="AL39" si="357">SUM(AL36:AL38)</f>
        <v>501</v>
      </c>
      <c r="AM39" s="20">
        <f t="shared" ref="AM39" si="358">IF(AL39&gt;0,(AM36*AL36+AM37*AL37+AM38*AL38)/AL39,0)</f>
        <v>8.5634730538922149E-2</v>
      </c>
      <c r="AN39" s="51">
        <f>IF(K39&gt;0,(AN36*K36+AN37*K37+AN38*K38)/K39,0)</f>
        <v>0.20680249157821143</v>
      </c>
      <c r="AO39" s="107">
        <f>IF(L39&gt;0,(AO36*K36+AO37*K37+AO38*K38)/K39,0)</f>
        <v>0.21123764910273521</v>
      </c>
      <c r="AP39" s="56">
        <f t="shared" ref="AP39" si="359">SUM(AP36:AP38)</f>
        <v>94.687175400000001</v>
      </c>
      <c r="AQ39" s="108">
        <f t="shared" si="227"/>
        <v>96.682187999999996</v>
      </c>
      <c r="AR39" s="54"/>
      <c r="AS39" s="54">
        <f t="shared" ref="AS39" si="360">SUM(AS36:AS38)</f>
        <v>1006.58</v>
      </c>
      <c r="AT39" s="83"/>
      <c r="AU39" s="84">
        <f>AT38</f>
        <v>1160.3199999999988</v>
      </c>
      <c r="AV39" s="49">
        <f t="shared" ref="AV39" si="361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59</v>
      </c>
      <c r="D40" s="11">
        <v>5092</v>
      </c>
      <c r="E40" s="11">
        <v>0</v>
      </c>
      <c r="F40" s="11">
        <v>13449</v>
      </c>
      <c r="G40" s="12">
        <v>0.2</v>
      </c>
      <c r="H40" s="12">
        <v>4.9000000000000004</v>
      </c>
      <c r="I40" s="11">
        <v>13164</v>
      </c>
      <c r="J40" s="12">
        <v>3.4</v>
      </c>
      <c r="K40" s="11">
        <v>15424</v>
      </c>
      <c r="L40" s="13">
        <v>6.2E-2</v>
      </c>
      <c r="M40" s="23">
        <f>ROUND(K40*(1-L40),0)</f>
        <v>14468</v>
      </c>
      <c r="N40" s="14">
        <v>0.76</v>
      </c>
      <c r="O40" s="24">
        <f t="shared" ref="O40:O42" si="362">M40*N40</f>
        <v>10995.68</v>
      </c>
      <c r="P40" s="13">
        <v>0.19400000000000001</v>
      </c>
      <c r="Q40" s="24">
        <f t="shared" ref="Q40:Q42" si="363">M40*P40</f>
        <v>2806.7919999999999</v>
      </c>
      <c r="R40" s="15">
        <v>4.5999999999999999E-2</v>
      </c>
      <c r="S40" s="112"/>
      <c r="T40" s="24">
        <f t="shared" ref="T40:T42" si="364">M40*R40</f>
        <v>665.52800000000002</v>
      </c>
      <c r="U40" s="25">
        <v>0.21299999999999999</v>
      </c>
      <c r="V40" s="24">
        <f t="shared" ref="V40:V42" si="365">M40*U40</f>
        <v>3081.6839999999997</v>
      </c>
      <c r="W40" s="15">
        <v>0.498</v>
      </c>
      <c r="X40" s="24">
        <f t="shared" ref="X40:X42" si="366">M40*W40</f>
        <v>7205.0640000000003</v>
      </c>
      <c r="Y40" s="15">
        <v>0.39</v>
      </c>
      <c r="Z40" s="24">
        <f t="shared" ref="Z40:Z42" si="367">Y40*M40</f>
        <v>5642.52</v>
      </c>
      <c r="AA40" s="116">
        <v>2.4299999999999999E-3</v>
      </c>
      <c r="AB40" s="18">
        <f t="shared" ref="AB40" si="368">M40*AA40</f>
        <v>35.157240000000002</v>
      </c>
      <c r="AC40" s="16">
        <v>2.5799999999999998E-3</v>
      </c>
      <c r="AD40" s="17">
        <f t="shared" ref="AD40:AD42" si="369">M40*AC40</f>
        <v>37.327439999999996</v>
      </c>
      <c r="AE40" s="26">
        <f>IF(M40&gt;0,(AG40+AP40)/M40,0)</f>
        <v>2.3564267625103682E-3</v>
      </c>
      <c r="AF40" s="16">
        <v>2.4000000000000001E-4</v>
      </c>
      <c r="AG40" s="23">
        <f t="shared" ref="AG40:AG42" si="370">AF40*M40</f>
        <v>3.4723200000000003</v>
      </c>
      <c r="AH40" s="92">
        <v>0.20300000000000001</v>
      </c>
      <c r="AI40" s="29">
        <f t="shared" ref="AI40:AI42" si="371">AL40*(1-AM40)*AH40</f>
        <v>30.057804000000004</v>
      </c>
      <c r="AJ40" s="27">
        <f t="shared" ref="AJ40:AJ42" si="372">IF(AND(AH40&gt;0,AF40&gt;0,AC40&gt;0),((AC40-AF40)*AH40)/((AH40-AF40)*AC40),0)</f>
        <v>0.90805030119238217</v>
      </c>
      <c r="AK40" s="58">
        <f t="shared" si="6"/>
        <v>0.89919442917909564</v>
      </c>
      <c r="AL40" s="11">
        <v>162</v>
      </c>
      <c r="AM40" s="13">
        <v>8.5999999999999993E-2</v>
      </c>
      <c r="AN40" s="14">
        <v>0.20680000000000001</v>
      </c>
      <c r="AO40" s="101">
        <v>0.2167</v>
      </c>
      <c r="AP40" s="29">
        <f>AL40*(1-AM40)*AN40</f>
        <v>30.620462400000005</v>
      </c>
      <c r="AQ40" s="102">
        <f t="shared" ref="AQ40" si="373">AL40*(1-AM40)*AO40</f>
        <v>32.086335600000005</v>
      </c>
      <c r="AR40" s="18">
        <v>1.55</v>
      </c>
      <c r="AS40" s="18">
        <v>1008.2</v>
      </c>
      <c r="AT40" s="79">
        <f>AT38+AL40-AS40+AU40</f>
        <v>340.19999999999874</v>
      </c>
      <c r="AU40" s="80">
        <v>26.08</v>
      </c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0" t="s">
        <v>53</v>
      </c>
      <c r="D41" s="33">
        <v>19700</v>
      </c>
      <c r="E41" s="33">
        <v>5</v>
      </c>
      <c r="F41" s="33">
        <v>17076</v>
      </c>
      <c r="G41" s="34">
        <v>0.3</v>
      </c>
      <c r="H41" s="34">
        <v>4.4000000000000004</v>
      </c>
      <c r="I41" s="33">
        <v>16447</v>
      </c>
      <c r="J41" s="34">
        <v>2.5</v>
      </c>
      <c r="K41" s="33">
        <v>15498</v>
      </c>
      <c r="L41" s="35">
        <v>6.5000000000000002E-2</v>
      </c>
      <c r="M41" s="36">
        <f>ROUND(K41*(1-L41),0)</f>
        <v>14491</v>
      </c>
      <c r="N41" s="37">
        <v>0.78800000000000003</v>
      </c>
      <c r="O41" s="24">
        <f t="shared" si="362"/>
        <v>11418.908000000001</v>
      </c>
      <c r="P41" s="35">
        <v>0.16500000000000001</v>
      </c>
      <c r="Q41" s="24">
        <f t="shared" si="363"/>
        <v>2391.0150000000003</v>
      </c>
      <c r="R41" s="38">
        <v>4.7E-2</v>
      </c>
      <c r="S41" s="105"/>
      <c r="T41" s="24">
        <f t="shared" si="364"/>
        <v>681.077</v>
      </c>
      <c r="U41" s="27">
        <v>0.217</v>
      </c>
      <c r="V41" s="24">
        <f t="shared" si="365"/>
        <v>3144.547</v>
      </c>
      <c r="W41" s="38">
        <v>0.503</v>
      </c>
      <c r="X41" s="24">
        <f t="shared" si="366"/>
        <v>7288.973</v>
      </c>
      <c r="Y41" s="38">
        <v>0.39</v>
      </c>
      <c r="Z41" s="24">
        <f t="shared" si="367"/>
        <v>5651.49</v>
      </c>
      <c r="AA41" s="117">
        <v>2.5600000000000002E-3</v>
      </c>
      <c r="AB41" s="18">
        <f t="shared" si="60"/>
        <v>37.096960000000003</v>
      </c>
      <c r="AC41" s="39">
        <v>2.63E-3</v>
      </c>
      <c r="AD41" s="17">
        <f t="shared" si="369"/>
        <v>38.111330000000002</v>
      </c>
      <c r="AE41" s="26">
        <f>IF(M41&gt;0,(AG41+AP41)/M41,0)</f>
        <v>2.4488363259954453E-3</v>
      </c>
      <c r="AF41" s="39">
        <v>2.3000000000000001E-4</v>
      </c>
      <c r="AG41" s="36">
        <f t="shared" si="370"/>
        <v>3.3329300000000002</v>
      </c>
      <c r="AH41" s="27">
        <v>0.19969999999999999</v>
      </c>
      <c r="AI41" s="40">
        <f t="shared" si="371"/>
        <v>31.646059600000001</v>
      </c>
      <c r="AJ41" s="27">
        <f t="shared" si="372"/>
        <v>0.91359974655269915</v>
      </c>
      <c r="AK41" s="28">
        <f t="shared" si="6"/>
        <v>0.90710610108052003</v>
      </c>
      <c r="AL41" s="33">
        <v>173</v>
      </c>
      <c r="AM41" s="35">
        <v>8.4000000000000005E-2</v>
      </c>
      <c r="AN41" s="37">
        <v>0.2029</v>
      </c>
      <c r="AO41" s="103">
        <v>0.21690000000000001</v>
      </c>
      <c r="AP41" s="40">
        <f>AL41*(1-AM41)*AN41</f>
        <v>32.153157200000003</v>
      </c>
      <c r="AQ41" s="104">
        <f t="shared" si="21"/>
        <v>34.371709200000005</v>
      </c>
      <c r="AR41" s="41">
        <v>1.6</v>
      </c>
      <c r="AS41" s="41"/>
      <c r="AT41" s="129">
        <f>AT40+AL41-AS41</f>
        <v>513.19999999999868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43" t="s">
        <v>57</v>
      </c>
      <c r="D42" s="42">
        <v>19900</v>
      </c>
      <c r="E42" s="42">
        <v>0</v>
      </c>
      <c r="F42" s="42">
        <v>17400</v>
      </c>
      <c r="G42" s="36">
        <v>0.9</v>
      </c>
      <c r="H42" s="36">
        <v>5.2</v>
      </c>
      <c r="I42" s="42">
        <v>16969</v>
      </c>
      <c r="J42" s="36">
        <v>2</v>
      </c>
      <c r="K42" s="42">
        <v>15514</v>
      </c>
      <c r="L42" s="38">
        <v>0.06</v>
      </c>
      <c r="M42" s="36">
        <f>ROUND(K42*(1-L42),0)</f>
        <v>14583</v>
      </c>
      <c r="N42" s="27">
        <v>0.754</v>
      </c>
      <c r="O42" s="24">
        <f t="shared" si="362"/>
        <v>10995.582</v>
      </c>
      <c r="P42" s="38">
        <v>0.20200000000000001</v>
      </c>
      <c r="Q42" s="24">
        <f t="shared" si="363"/>
        <v>2945.7660000000001</v>
      </c>
      <c r="R42" s="38">
        <v>4.3999999999999997E-2</v>
      </c>
      <c r="S42" s="105"/>
      <c r="T42" s="24">
        <f t="shared" si="364"/>
        <v>641.65199999999993</v>
      </c>
      <c r="U42" s="27">
        <v>0.218</v>
      </c>
      <c r="V42" s="24">
        <f t="shared" si="365"/>
        <v>3179.0940000000001</v>
      </c>
      <c r="W42" s="38">
        <v>0.49</v>
      </c>
      <c r="X42" s="24">
        <f t="shared" si="366"/>
        <v>7145.67</v>
      </c>
      <c r="Y42" s="38">
        <v>0.4</v>
      </c>
      <c r="Z42" s="24">
        <f t="shared" si="367"/>
        <v>5833.2000000000007</v>
      </c>
      <c r="AA42" s="118">
        <v>2.3999999999999998E-3</v>
      </c>
      <c r="AB42" s="121">
        <f t="shared" si="60"/>
        <v>34.999199999999995</v>
      </c>
      <c r="AC42" s="45">
        <v>2.5300000000000001E-3</v>
      </c>
      <c r="AD42" s="17">
        <f t="shared" si="369"/>
        <v>36.89499</v>
      </c>
      <c r="AE42" s="26">
        <f>IF(M42&gt;0,(AG42+AP42)/M42,0)</f>
        <v>2.1812424398271958E-3</v>
      </c>
      <c r="AF42" s="45">
        <v>2.3000000000000001E-4</v>
      </c>
      <c r="AG42" s="36">
        <f t="shared" si="370"/>
        <v>3.3540900000000002</v>
      </c>
      <c r="AH42" s="27">
        <v>0.20180000000000001</v>
      </c>
      <c r="AI42" s="40">
        <f t="shared" si="371"/>
        <v>27.942640600000004</v>
      </c>
      <c r="AJ42" s="27">
        <f t="shared" si="372"/>
        <v>0.91012822073991873</v>
      </c>
      <c r="AK42" s="28">
        <f t="shared" si="6"/>
        <v>0.89555783596178218</v>
      </c>
      <c r="AL42" s="42">
        <v>151</v>
      </c>
      <c r="AM42" s="38">
        <v>8.3000000000000004E-2</v>
      </c>
      <c r="AN42" s="27">
        <v>0.20549999999999999</v>
      </c>
      <c r="AO42" s="105">
        <v>0.21460000000000001</v>
      </c>
      <c r="AP42" s="40">
        <f>AL42*(1-AM42)*AN42</f>
        <v>28.4549685</v>
      </c>
      <c r="AQ42" s="106">
        <f t="shared" si="21"/>
        <v>29.715018200000003</v>
      </c>
      <c r="AR42" s="17">
        <v>1.55</v>
      </c>
      <c r="AS42" s="17"/>
      <c r="AT42" s="129">
        <f>AT41+AL42-AS42</f>
        <v>664.19999999999868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4">SUM(D40:D42)</f>
        <v>44692</v>
      </c>
      <c r="E43" s="49"/>
      <c r="F43" s="49">
        <f t="shared" ref="F43" si="375">SUM(F40:F42)</f>
        <v>47925</v>
      </c>
      <c r="G43" s="50"/>
      <c r="H43" s="50"/>
      <c r="I43" s="49">
        <f t="shared" ref="I43:K43" si="376">SUM(I40:I42)</f>
        <v>46580</v>
      </c>
      <c r="J43" s="50"/>
      <c r="K43" s="49">
        <f t="shared" si="376"/>
        <v>46436</v>
      </c>
      <c r="L43" s="20">
        <f t="shared" ref="L43" si="377">IF(K43&gt;0,(K40*L40+K41*L41+K42*L42)/K43,0)</f>
        <v>6.23330605564648E-2</v>
      </c>
      <c r="M43" s="50">
        <f t="shared" ref="M43" si="378">M40+M41+M42</f>
        <v>43542</v>
      </c>
      <c r="N43" s="51">
        <f t="shared" ref="N43" si="379">IF(M43&gt;0,O43/M43,0)</f>
        <v>0.76730903495475644</v>
      </c>
      <c r="O43" s="52">
        <f t="shared" ref="O43" si="380">O40+O41+O42</f>
        <v>33410.170000000006</v>
      </c>
      <c r="P43" s="20">
        <f t="shared" ref="P43" si="381">IF(M43&gt;0,Q43/M43,0)</f>
        <v>0.18702799595792569</v>
      </c>
      <c r="Q43" s="52">
        <f t="shared" ref="Q43" si="382">Q40+Q41+Q42</f>
        <v>8143.5730000000003</v>
      </c>
      <c r="R43" s="20">
        <f t="shared" ref="R43" si="383">IF(M43&gt;0,T43/M43,0)</f>
        <v>4.5662969087317991E-2</v>
      </c>
      <c r="S43" s="107"/>
      <c r="T43" s="52">
        <f t="shared" ref="T43" si="384">T40+T41+T42</f>
        <v>1988.2570000000001</v>
      </c>
      <c r="U43" s="20">
        <f t="shared" ref="U43" si="385">IF(M43&gt;0,V43/M43,0)</f>
        <v>0.21600581048183365</v>
      </c>
      <c r="V43" s="52">
        <f t="shared" ref="V43" si="386">V40+V41+V42</f>
        <v>9405.3250000000007</v>
      </c>
      <c r="W43" s="20">
        <f t="shared" ref="W43" si="387">IF(M43&gt;0,X43/M43,0)</f>
        <v>0.4969846814569841</v>
      </c>
      <c r="X43" s="52">
        <f t="shared" ref="X43" si="388">X40+X41+X42</f>
        <v>21639.707000000002</v>
      </c>
      <c r="Y43" s="20">
        <f t="shared" ref="Y43" si="389">IF(M43&gt;0,Z43/M43,0)</f>
        <v>0.39334918010197051</v>
      </c>
      <c r="Z43" s="52">
        <f t="shared" ref="Z43" si="390">Z40+Z41+Z42</f>
        <v>17127.21</v>
      </c>
      <c r="AA43" s="119">
        <f t="shared" ref="AA43" si="391">IF(M43&gt;0,AB43/M43,0)</f>
        <v>2.4632171236966607E-3</v>
      </c>
      <c r="AB43" s="54">
        <f t="shared" ref="AB43" si="392">SUM(AB40:AB42)</f>
        <v>107.2534</v>
      </c>
      <c r="AC43" s="53">
        <f t="shared" ref="AC43" si="393">IF(M43&gt;0,AD43/M43,0)</f>
        <v>2.5798943548757526E-3</v>
      </c>
      <c r="AD43" s="54">
        <f t="shared" ref="AD43" si="394">SUM(AD40:AD42)</f>
        <v>112.33376000000001</v>
      </c>
      <c r="AE43" s="53">
        <f t="shared" ref="AE43" si="395">IF(M43&gt;0,(AE40*M40+AE41*M41+AE42*M42)/M43,0)</f>
        <v>2.3285087524688806E-3</v>
      </c>
      <c r="AF43" s="53">
        <f t="shared" ref="AF43" si="396">IF(K43&gt;0,(K40*AF40+K41*AF41+K42*AF42)/K43,0)</f>
        <v>2.3332156085795506E-4</v>
      </c>
      <c r="AG43" s="50">
        <f t="shared" ref="AG43" si="397">SUM(AG40:AG42)</f>
        <v>10.15934</v>
      </c>
      <c r="AH43" s="51">
        <f t="shared" ref="AH43" si="398">IF(K43&gt;0,(K40*AH40+K41*AH41+K42*AH42)/K43,0)</f>
        <v>0.20149771298130761</v>
      </c>
      <c r="AI43" s="56">
        <f t="shared" ref="AI43" si="399">SUM(AI40:AI42)</f>
        <v>89.64650420000001</v>
      </c>
      <c r="AJ43" s="51">
        <f t="shared" ref="AJ43" si="400">IF(AND(AD43&gt;0),((AD40*AJ40+AD41*AJ41+AD42*AJ42)/AD43),0)</f>
        <v>0.91061552792716938</v>
      </c>
      <c r="AK43" s="55">
        <f t="shared" si="6"/>
        <v>0.90082281442889678</v>
      </c>
      <c r="AL43" s="49">
        <f t="shared" ref="AL43" si="401">SUM(AL40:AL42)</f>
        <v>486</v>
      </c>
      <c r="AM43" s="20">
        <f t="shared" ref="AM43" si="402">IF(AL43&gt;0,(AM40*AL40+AM41*AL41+AM42*AL42)/AL43,0)</f>
        <v>8.4355967078189306E-2</v>
      </c>
      <c r="AN43" s="51">
        <f>IF(K43&gt;0,(AN40*K40+AN41*K41+AN42*K42)/K43,0)</f>
        <v>0.20506405375139977</v>
      </c>
      <c r="AO43" s="107">
        <f>IF(L43&gt;0,(AO40*K40+AO41*K41+AO42*K42)/K43,0)</f>
        <v>0.21606515203721249</v>
      </c>
      <c r="AP43" s="56">
        <f t="shared" ref="AP43:AQ55" si="403">SUM(AP40:AP42)</f>
        <v>91.228588099999996</v>
      </c>
      <c r="AQ43" s="108">
        <f t="shared" si="403"/>
        <v>96.173063000000013</v>
      </c>
      <c r="AR43" s="54"/>
      <c r="AS43" s="54">
        <f t="shared" ref="AS43" si="404">SUM(AS40:AS42)</f>
        <v>1008.2</v>
      </c>
      <c r="AT43" s="83"/>
      <c r="AU43" s="84">
        <f>AT42</f>
        <v>664.19999999999868</v>
      </c>
      <c r="AV43" s="49">
        <f t="shared" ref="AV43" si="405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59</v>
      </c>
      <c r="D44" s="11">
        <v>4215</v>
      </c>
      <c r="E44" s="11">
        <v>1</v>
      </c>
      <c r="F44" s="11">
        <v>11968</v>
      </c>
      <c r="G44" s="12">
        <v>0.7</v>
      </c>
      <c r="H44" s="12">
        <v>5.8</v>
      </c>
      <c r="I44" s="11">
        <v>12134</v>
      </c>
      <c r="J44" s="12">
        <v>3.6</v>
      </c>
      <c r="K44" s="11">
        <v>15617</v>
      </c>
      <c r="L44" s="13">
        <v>6.8000000000000005E-2</v>
      </c>
      <c r="M44" s="23">
        <f>ROUND(K44*(1-L44),0)</f>
        <v>14555</v>
      </c>
      <c r="N44" s="14">
        <v>0.74399999999999999</v>
      </c>
      <c r="O44" s="24">
        <f t="shared" ref="O44:O46" si="406">M44*N44</f>
        <v>10828.92</v>
      </c>
      <c r="P44" s="13">
        <v>0.21199999999999999</v>
      </c>
      <c r="Q44" s="24">
        <f t="shared" ref="Q44:Q46" si="407">M44*P44</f>
        <v>3085.66</v>
      </c>
      <c r="R44" s="15">
        <v>4.3999999999999997E-2</v>
      </c>
      <c r="S44" s="112"/>
      <c r="T44" s="24">
        <f t="shared" ref="T44:T46" si="408">M44*R44</f>
        <v>640.41999999999996</v>
      </c>
      <c r="U44" s="25">
        <v>0.215</v>
      </c>
      <c r="V44" s="24">
        <f t="shared" ref="V44:V46" si="409">M44*U44</f>
        <v>3129.3249999999998</v>
      </c>
      <c r="W44" s="15">
        <v>0.49399999999999999</v>
      </c>
      <c r="X44" s="24">
        <f t="shared" ref="X44:X46" si="410">M44*W44</f>
        <v>7190.17</v>
      </c>
      <c r="Y44" s="15">
        <v>0.39</v>
      </c>
      <c r="Z44" s="24">
        <f t="shared" ref="Z44:Z46" si="411">Y44*M44</f>
        <v>5676.45</v>
      </c>
      <c r="AA44" s="116">
        <v>2.5500000000000002E-3</v>
      </c>
      <c r="AB44" s="18">
        <f t="shared" ref="AB44" si="412">M44*AA44</f>
        <v>37.115250000000003</v>
      </c>
      <c r="AC44" s="16">
        <v>2.7000000000000001E-3</v>
      </c>
      <c r="AD44" s="17">
        <f t="shared" ref="AD44:AD46" si="413">M44*AC44</f>
        <v>39.298500000000004</v>
      </c>
      <c r="AE44" s="26">
        <f>IF(M44&gt;0,(AG44+AP44)/M44,0)</f>
        <v>2.5870238955685329E-3</v>
      </c>
      <c r="AF44" s="16">
        <v>2.4000000000000001E-4</v>
      </c>
      <c r="AG44" s="23">
        <f t="shared" ref="AG44:AG46" si="414">AF44*M44</f>
        <v>3.4932000000000003</v>
      </c>
      <c r="AH44" s="92">
        <v>0.20499999999999999</v>
      </c>
      <c r="AI44" s="29">
        <f t="shared" ref="AI44:AI46" si="415">AL44*(1-AM44)*AH44</f>
        <v>32.602379999999997</v>
      </c>
      <c r="AJ44" s="27">
        <f t="shared" ref="AJ44:AJ46" si="416">IF(AND(AH44&gt;0,AF44&gt;0,AC44&gt;0),((AC44-AF44)*AH44)/((AH44-AF44)*AC44),0)</f>
        <v>0.91217902802196593</v>
      </c>
      <c r="AK44" s="58">
        <f t="shared" si="6"/>
        <v>0.90824410472754757</v>
      </c>
      <c r="AL44" s="11">
        <v>174</v>
      </c>
      <c r="AM44" s="13">
        <v>8.5999999999999993E-2</v>
      </c>
      <c r="AN44" s="14">
        <v>0.21479999999999999</v>
      </c>
      <c r="AO44" s="101">
        <v>0.22059999999999999</v>
      </c>
      <c r="AP44" s="29">
        <f>AL44*(1-AM44)*AN44</f>
        <v>34.160932799999998</v>
      </c>
      <c r="AQ44" s="102">
        <f t="shared" ref="AQ44" si="417">AL44*(1-AM44)*AO44</f>
        <v>35.083341599999997</v>
      </c>
      <c r="AR44" s="18">
        <v>1.55</v>
      </c>
      <c r="AS44" s="18">
        <v>508.5</v>
      </c>
      <c r="AT44" s="79">
        <f>AT42+AL44-AS44+AU44</f>
        <v>350.25999999999868</v>
      </c>
      <c r="AU44" s="80">
        <v>20.56</v>
      </c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53</v>
      </c>
      <c r="D45" s="33">
        <v>22100</v>
      </c>
      <c r="E45" s="33">
        <v>3</v>
      </c>
      <c r="F45" s="33">
        <v>16790</v>
      </c>
      <c r="G45" s="34">
        <v>0.4</v>
      </c>
      <c r="H45" s="34">
        <v>5.0999999999999996</v>
      </c>
      <c r="I45" s="33">
        <v>15862</v>
      </c>
      <c r="J45" s="34">
        <v>2.9</v>
      </c>
      <c r="K45" s="33">
        <v>15878</v>
      </c>
      <c r="L45" s="35">
        <v>7.0000000000000007E-2</v>
      </c>
      <c r="M45" s="36">
        <f>ROUND(K45*(1-L45),0)</f>
        <v>14767</v>
      </c>
      <c r="N45" s="37">
        <v>0.751</v>
      </c>
      <c r="O45" s="24">
        <f t="shared" si="406"/>
        <v>11090.017</v>
      </c>
      <c r="P45" s="35">
        <v>0.20499999999999999</v>
      </c>
      <c r="Q45" s="24">
        <f t="shared" si="407"/>
        <v>3027.2349999999997</v>
      </c>
      <c r="R45" s="38">
        <v>4.3999999999999997E-2</v>
      </c>
      <c r="S45" s="105"/>
      <c r="T45" s="24">
        <f t="shared" si="408"/>
        <v>649.74799999999993</v>
      </c>
      <c r="U45" s="27">
        <v>0.20599999999999999</v>
      </c>
      <c r="V45" s="24">
        <f t="shared" si="409"/>
        <v>3042.002</v>
      </c>
      <c r="W45" s="38">
        <v>0.501</v>
      </c>
      <c r="X45" s="24">
        <f t="shared" si="410"/>
        <v>7398.2669999999998</v>
      </c>
      <c r="Y45" s="38">
        <v>0.38</v>
      </c>
      <c r="Z45" s="24">
        <f t="shared" si="411"/>
        <v>5611.46</v>
      </c>
      <c r="AA45" s="117">
        <v>2.5400000000000002E-3</v>
      </c>
      <c r="AB45" s="18">
        <f t="shared" si="60"/>
        <v>37.508180000000003</v>
      </c>
      <c r="AC45" s="39">
        <v>2.6900000000000001E-3</v>
      </c>
      <c r="AD45" s="17">
        <f t="shared" si="413"/>
        <v>39.723230000000001</v>
      </c>
      <c r="AE45" s="26">
        <f>IF(M45&gt;0,(AG45+AP45)/M45,0)</f>
        <v>2.4599671700413087E-3</v>
      </c>
      <c r="AF45" s="39">
        <v>2.4000000000000001E-4</v>
      </c>
      <c r="AG45" s="36">
        <f t="shared" si="414"/>
        <v>3.5440800000000001</v>
      </c>
      <c r="AH45" s="27">
        <v>0.1996</v>
      </c>
      <c r="AI45" s="40">
        <f t="shared" si="415"/>
        <v>29.919241600000003</v>
      </c>
      <c r="AJ45" s="27">
        <f t="shared" si="416"/>
        <v>0.91187711457332588</v>
      </c>
      <c r="AK45" s="28">
        <f t="shared" si="6"/>
        <v>0.903429139809106</v>
      </c>
      <c r="AL45" s="33">
        <v>164</v>
      </c>
      <c r="AM45" s="35">
        <v>8.5999999999999993E-2</v>
      </c>
      <c r="AN45" s="37">
        <v>0.21870000000000001</v>
      </c>
      <c r="AO45" s="103">
        <v>0.21779999999999999</v>
      </c>
      <c r="AP45" s="40">
        <f>AL45*(1-AM45)*AN45</f>
        <v>32.782255200000002</v>
      </c>
      <c r="AQ45" s="104">
        <f t="shared" si="21"/>
        <v>32.647348800000003</v>
      </c>
      <c r="AR45" s="41">
        <v>1.58</v>
      </c>
      <c r="AS45" s="41"/>
      <c r="AT45" s="129">
        <f>AT44+AL45-AS45</f>
        <v>514.25999999999863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54</v>
      </c>
      <c r="D46" s="42">
        <v>18700</v>
      </c>
      <c r="E46" s="42">
        <v>2</v>
      </c>
      <c r="F46" s="42">
        <v>17886</v>
      </c>
      <c r="G46" s="36">
        <v>0.5</v>
      </c>
      <c r="H46" s="36">
        <v>6.9</v>
      </c>
      <c r="I46" s="42">
        <v>17558</v>
      </c>
      <c r="J46" s="36">
        <v>1.5</v>
      </c>
      <c r="K46" s="42">
        <v>15875</v>
      </c>
      <c r="L46" s="38">
        <v>5.8999999999999997E-2</v>
      </c>
      <c r="M46" s="36">
        <f>ROUND(K46*(1-L46),0)</f>
        <v>14938</v>
      </c>
      <c r="N46" s="27">
        <v>0.76</v>
      </c>
      <c r="O46" s="24">
        <f t="shared" si="406"/>
        <v>11352.880000000001</v>
      </c>
      <c r="P46" s="38">
        <v>0.217</v>
      </c>
      <c r="Q46" s="24">
        <f t="shared" si="407"/>
        <v>3241.5459999999998</v>
      </c>
      <c r="R46" s="38">
        <v>2.3E-2</v>
      </c>
      <c r="S46" s="105"/>
      <c r="T46" s="24">
        <f t="shared" si="408"/>
        <v>343.57400000000001</v>
      </c>
      <c r="U46" s="27">
        <v>0.21</v>
      </c>
      <c r="V46" s="24">
        <f t="shared" si="409"/>
        <v>3136.98</v>
      </c>
      <c r="W46" s="38">
        <v>0.495</v>
      </c>
      <c r="X46" s="24">
        <f t="shared" si="410"/>
        <v>7394.3099999999995</v>
      </c>
      <c r="Y46" s="38">
        <v>0.39</v>
      </c>
      <c r="Z46" s="24">
        <f t="shared" si="411"/>
        <v>5825.8200000000006</v>
      </c>
      <c r="AA46" s="118">
        <v>2.5699999999999998E-3</v>
      </c>
      <c r="AB46" s="121">
        <f t="shared" si="60"/>
        <v>38.390659999999997</v>
      </c>
      <c r="AC46" s="45">
        <v>2.8E-3</v>
      </c>
      <c r="AD46" s="17">
        <f t="shared" si="413"/>
        <v>41.8264</v>
      </c>
      <c r="AE46" s="26">
        <f>IF(M46&gt;0,(AG46+AP46)/M46,0)</f>
        <v>2.4358634020618559E-3</v>
      </c>
      <c r="AF46" s="45">
        <v>2.4000000000000001E-4</v>
      </c>
      <c r="AG46" s="36">
        <f t="shared" si="414"/>
        <v>3.5851200000000003</v>
      </c>
      <c r="AH46" s="27">
        <v>0.20349999999999999</v>
      </c>
      <c r="AI46" s="40">
        <f t="shared" si="415"/>
        <v>32.514212499999999</v>
      </c>
      <c r="AJ46" s="27">
        <f t="shared" si="416"/>
        <v>0.91536526053892953</v>
      </c>
      <c r="AK46" s="28">
        <f t="shared" si="6"/>
        <v>0.90252738101458307</v>
      </c>
      <c r="AL46" s="42">
        <v>175</v>
      </c>
      <c r="AM46" s="38">
        <v>8.6999999999999994E-2</v>
      </c>
      <c r="AN46" s="27">
        <v>0.20530000000000001</v>
      </c>
      <c r="AO46" s="105">
        <v>0.20280000000000001</v>
      </c>
      <c r="AP46" s="40">
        <f>AL46*(1-AM46)*AN46</f>
        <v>32.801807500000002</v>
      </c>
      <c r="AQ46" s="106">
        <f t="shared" si="21"/>
        <v>32.402370000000005</v>
      </c>
      <c r="AR46" s="17">
        <v>1.55</v>
      </c>
      <c r="AS46" s="17"/>
      <c r="AT46" s="129">
        <f>AT45+AL46-AS46</f>
        <v>689.25999999999863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8">SUM(D44:D46)</f>
        <v>45015</v>
      </c>
      <c r="E47" s="49"/>
      <c r="F47" s="49">
        <f t="shared" ref="F47" si="419">SUM(F44:F46)</f>
        <v>46644</v>
      </c>
      <c r="G47" s="50"/>
      <c r="H47" s="50"/>
      <c r="I47" s="49">
        <f t="shared" ref="I47:K47" si="420">SUM(I44:I46)</f>
        <v>45554</v>
      </c>
      <c r="J47" s="50"/>
      <c r="K47" s="49">
        <f t="shared" si="420"/>
        <v>47370</v>
      </c>
      <c r="L47" s="20">
        <f t="shared" ref="L47" si="421">IF(K47&gt;0,(K44*L44+K45*L45+K46*L46)/K47,0)</f>
        <v>6.5654232636689888E-2</v>
      </c>
      <c r="M47" s="50">
        <f t="shared" ref="M47" si="422">M44+M45+M46</f>
        <v>44260</v>
      </c>
      <c r="N47" s="51">
        <f t="shared" ref="N47" si="423">IF(M47&gt;0,O47/M47,0)</f>
        <v>0.7517355851784906</v>
      </c>
      <c r="O47" s="52">
        <f t="shared" ref="O47" si="424">O44+O45+O46</f>
        <v>33271.816999999995</v>
      </c>
      <c r="P47" s="20">
        <f t="shared" ref="P47" si="425">IF(M47&gt;0,Q47/M47,0)</f>
        <v>0.21135203343877088</v>
      </c>
      <c r="Q47" s="52">
        <f t="shared" ref="Q47" si="426">Q44+Q45+Q46</f>
        <v>9354.4409999999989</v>
      </c>
      <c r="R47" s="20">
        <f t="shared" ref="R47" si="427">IF(M47&gt;0,T47/M47,0)</f>
        <v>3.6912381382738363E-2</v>
      </c>
      <c r="S47" s="107"/>
      <c r="T47" s="52">
        <f t="shared" ref="T47" si="428">T44+T45+T46</f>
        <v>1633.742</v>
      </c>
      <c r="U47" s="20">
        <f t="shared" ref="U47" si="429">IF(M47&gt;0,V47/M47,0)</f>
        <v>0.21030969272480793</v>
      </c>
      <c r="V47" s="52">
        <f t="shared" ref="V47" si="430">V44+V45+V46</f>
        <v>9308.3069999999989</v>
      </c>
      <c r="W47" s="20">
        <f t="shared" ref="W47" si="431">IF(M47&gt;0,X47/M47,0)</f>
        <v>0.49667300045187529</v>
      </c>
      <c r="X47" s="52">
        <f t="shared" ref="X47" si="432">X44+X45+X46</f>
        <v>21982.746999999999</v>
      </c>
      <c r="Y47" s="20">
        <f t="shared" ref="Y47" si="433">IF(M47&gt;0,Z47/M47,0)</f>
        <v>0.38666357885223679</v>
      </c>
      <c r="Z47" s="52">
        <f t="shared" ref="Z47" si="434">Z44+Z45+Z46</f>
        <v>17113.73</v>
      </c>
      <c r="AA47" s="119">
        <f t="shared" ref="AA47" si="435">IF(M47&gt;0,AB47/M47,0)</f>
        <v>2.5534136918210575E-3</v>
      </c>
      <c r="AB47" s="54">
        <f t="shared" ref="AB47" si="436">SUM(AB44:AB46)</f>
        <v>113.01409000000001</v>
      </c>
      <c r="AC47" s="53">
        <f t="shared" ref="AC47" si="437">IF(M47&gt;0,AD47/M47,0)</f>
        <v>2.7304141436963396E-3</v>
      </c>
      <c r="AD47" s="54">
        <f t="shared" ref="AD47" si="438">SUM(AD44:AD46)</f>
        <v>120.84813</v>
      </c>
      <c r="AE47" s="53">
        <f t="shared" ref="AE47" si="439">IF(M47&gt;0,(AE44*M44+AE45*M45+AE46*M46)/M47,0)</f>
        <v>2.4936149005874383E-3</v>
      </c>
      <c r="AF47" s="53">
        <f t="shared" ref="AF47" si="440">IF(K47&gt;0,(K44*AF44+K45*AF45+K46*AF46)/K47,0)</f>
        <v>2.4000000000000001E-4</v>
      </c>
      <c r="AG47" s="50">
        <f t="shared" ref="AG47" si="441">SUM(AG44:AG46)</f>
        <v>10.622400000000001</v>
      </c>
      <c r="AH47" s="51">
        <f t="shared" ref="AH47" si="442">IF(K47&gt;0,(K44*AH44+K45*AH45+K46*AH46)/K47,0)</f>
        <v>0.20268727675744141</v>
      </c>
      <c r="AI47" s="56">
        <f t="shared" ref="AI47" si="443">SUM(AI44:AI46)</f>
        <v>95.035834100000002</v>
      </c>
      <c r="AJ47" s="51">
        <f t="shared" ref="AJ47" si="444">IF(AND(AD47&gt;0),((AD44*AJ44+AD45*AJ45+AD46*AJ46)/AD47),0)</f>
        <v>0.91318256575471446</v>
      </c>
      <c r="AK47" s="55">
        <f t="shared" si="6"/>
        <v>0.90477401416234926</v>
      </c>
      <c r="AL47" s="49">
        <f t="shared" ref="AL47" si="445">SUM(AL44:AL46)</f>
        <v>513</v>
      </c>
      <c r="AM47" s="20">
        <f t="shared" ref="AM47" si="446">IF(AL47&gt;0,(AM44*AL44+AM45*AL45+AM46*AL46)/AL47,0)</f>
        <v>8.6341130604288496E-2</v>
      </c>
      <c r="AN47" s="51">
        <f>IF(K47&gt;0,(AN44*K44+AN45*K45+AN46*K46)/K47,0)</f>
        <v>0.21292353177116319</v>
      </c>
      <c r="AO47" s="107">
        <f>IF(L47&gt;0,(AO44*K44+AO45*K45+AO46*K46)/K47,0)</f>
        <v>0.21369619168249948</v>
      </c>
      <c r="AP47" s="56">
        <f t="shared" ref="AP47" si="447">SUM(AP44:AP46)</f>
        <v>99.744995499999987</v>
      </c>
      <c r="AQ47" s="108">
        <f t="shared" si="403"/>
        <v>100.13306040000001</v>
      </c>
      <c r="AR47" s="54"/>
      <c r="AS47" s="54">
        <f t="shared" ref="AS47" si="448">SUM(AS44:AS46)</f>
        <v>508.5</v>
      </c>
      <c r="AT47" s="83"/>
      <c r="AU47" s="84">
        <f>AT46</f>
        <v>689.25999999999863</v>
      </c>
      <c r="AV47" s="49">
        <f t="shared" ref="AV47" si="449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3932</v>
      </c>
      <c r="E48" s="11">
        <v>0</v>
      </c>
      <c r="F48" s="11">
        <v>10399</v>
      </c>
      <c r="G48" s="12">
        <v>0.3</v>
      </c>
      <c r="H48" s="12">
        <v>4.5</v>
      </c>
      <c r="I48" s="11">
        <v>10173</v>
      </c>
      <c r="J48" s="12">
        <v>3.5</v>
      </c>
      <c r="K48" s="11">
        <v>16077</v>
      </c>
      <c r="L48" s="13">
        <v>5.8999999999999997E-2</v>
      </c>
      <c r="M48" s="23">
        <f>ROUND(K48*(1-L48),0)</f>
        <v>15128</v>
      </c>
      <c r="N48" s="14">
        <v>0.74399999999999999</v>
      </c>
      <c r="O48" s="24">
        <f t="shared" ref="O48:O50" si="450">M48*N48</f>
        <v>11255.232</v>
      </c>
      <c r="P48" s="13">
        <v>0.17100000000000001</v>
      </c>
      <c r="Q48" s="24">
        <f t="shared" ref="Q48:Q50" si="451">M48*P48</f>
        <v>2586.8880000000004</v>
      </c>
      <c r="R48" s="15">
        <v>8.5000000000000006E-2</v>
      </c>
      <c r="S48" s="112"/>
      <c r="T48" s="24">
        <f t="shared" ref="T48:T50" si="452">M48*R48</f>
        <v>1285.8800000000001</v>
      </c>
      <c r="U48" s="25">
        <v>0.20699999999999999</v>
      </c>
      <c r="V48" s="24">
        <f t="shared" ref="V48:V50" si="453">M48*U48</f>
        <v>3131.4959999999996</v>
      </c>
      <c r="W48" s="15">
        <v>0.503</v>
      </c>
      <c r="X48" s="24">
        <f t="shared" ref="X48:X50" si="454">M48*W48</f>
        <v>7609.384</v>
      </c>
      <c r="Y48" s="15">
        <v>0.38</v>
      </c>
      <c r="Z48" s="24">
        <f t="shared" ref="Z48:Z50" si="455">Y48*M48</f>
        <v>5748.64</v>
      </c>
      <c r="AA48" s="116">
        <v>2.6800000000000001E-3</v>
      </c>
      <c r="AB48" s="18">
        <f t="shared" ref="AB48" si="456">M48*AA48</f>
        <v>40.543040000000005</v>
      </c>
      <c r="AC48" s="16">
        <v>2.8900000000000002E-3</v>
      </c>
      <c r="AD48" s="17">
        <f t="shared" ref="AD48:AD50" si="457">M48*AC48</f>
        <v>43.719920000000002</v>
      </c>
      <c r="AE48" s="26">
        <f>IF(M48&gt;0,(AG48+AP48)/M48,0)</f>
        <v>2.3453580116340562E-3</v>
      </c>
      <c r="AF48" s="16">
        <v>2.5000000000000001E-4</v>
      </c>
      <c r="AG48" s="23">
        <f t="shared" ref="AG48:AG50" si="458">AF48*M48</f>
        <v>3.782</v>
      </c>
      <c r="AH48" s="92">
        <v>0.2082</v>
      </c>
      <c r="AI48" s="29">
        <f t="shared" ref="AI48:AI50" si="459">AL48*(1-AM48)*AH48</f>
        <v>33.534773999999999</v>
      </c>
      <c r="AJ48" s="27">
        <f t="shared" ref="AJ48:AJ50" si="460">IF(AND(AH48&gt;0,AF48&gt;0,AC48&gt;0),((AC48-AF48)*AH48)/((AH48-AF48)*AC48),0)</f>
        <v>0.91459302417486232</v>
      </c>
      <c r="AK48" s="58">
        <f t="shared" si="6"/>
        <v>0.89454282585162892</v>
      </c>
      <c r="AL48" s="11">
        <v>177</v>
      </c>
      <c r="AM48" s="13">
        <v>0.09</v>
      </c>
      <c r="AN48" s="14">
        <v>0.1968</v>
      </c>
      <c r="AO48" s="101">
        <v>0.21190000000000001</v>
      </c>
      <c r="AP48" s="29">
        <f>AL48*(1-AM48)*AN48</f>
        <v>31.698575999999999</v>
      </c>
      <c r="AQ48" s="102">
        <f t="shared" ref="AQ48" si="461">AL48*(1-AM48)*AO48</f>
        <v>34.130732999999999</v>
      </c>
      <c r="AR48" s="18">
        <v>1.55</v>
      </c>
      <c r="AS48" s="18">
        <v>502.02</v>
      </c>
      <c r="AT48" s="79">
        <f>AT46+AL48-AS48+AU48</f>
        <v>393.57999999999862</v>
      </c>
      <c r="AU48" s="80">
        <v>29.34</v>
      </c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0" t="s">
        <v>53</v>
      </c>
      <c r="D49" s="33">
        <v>19000</v>
      </c>
      <c r="E49" s="33">
        <v>5</v>
      </c>
      <c r="F49" s="33">
        <v>17728</v>
      </c>
      <c r="G49" s="34">
        <v>0.3</v>
      </c>
      <c r="H49" s="34">
        <v>5</v>
      </c>
      <c r="I49" s="33">
        <v>17067</v>
      </c>
      <c r="J49" s="34">
        <v>2.4</v>
      </c>
      <c r="K49" s="33">
        <v>16476</v>
      </c>
      <c r="L49" s="35">
        <v>6.4000000000000001E-2</v>
      </c>
      <c r="M49" s="36">
        <f>ROUND(K49*(1-L49),0)</f>
        <v>15422</v>
      </c>
      <c r="N49" s="37">
        <v>0.80900000000000005</v>
      </c>
      <c r="O49" s="24">
        <f t="shared" si="450"/>
        <v>12476.398000000001</v>
      </c>
      <c r="P49" s="35">
        <v>0.13400000000000001</v>
      </c>
      <c r="Q49" s="24">
        <f t="shared" si="451"/>
        <v>2066.5480000000002</v>
      </c>
      <c r="R49" s="38">
        <v>5.7000000000000002E-2</v>
      </c>
      <c r="S49" s="105"/>
      <c r="T49" s="24">
        <f t="shared" si="452"/>
        <v>879.05400000000009</v>
      </c>
      <c r="U49" s="27">
        <v>0.20200000000000001</v>
      </c>
      <c r="V49" s="24">
        <f t="shared" si="453"/>
        <v>3115.2440000000001</v>
      </c>
      <c r="W49" s="38">
        <v>0.51500000000000001</v>
      </c>
      <c r="X49" s="24">
        <f t="shared" si="454"/>
        <v>7942.33</v>
      </c>
      <c r="Y49" s="38">
        <v>0.38</v>
      </c>
      <c r="Z49" s="24">
        <f t="shared" si="455"/>
        <v>5860.36</v>
      </c>
      <c r="AA49" s="117">
        <v>2.63E-3</v>
      </c>
      <c r="AB49" s="18">
        <f t="shared" si="60"/>
        <v>40.55986</v>
      </c>
      <c r="AC49" s="39">
        <v>2.7200000000000002E-3</v>
      </c>
      <c r="AD49" s="17">
        <f t="shared" si="457"/>
        <v>41.947840000000006</v>
      </c>
      <c r="AE49" s="26">
        <f>IF(M49&gt;0,(AG49+AP49)/M49,0)</f>
        <v>2.4572640383867203E-3</v>
      </c>
      <c r="AF49" s="39">
        <v>2.5000000000000001E-4</v>
      </c>
      <c r="AG49" s="36">
        <f t="shared" si="458"/>
        <v>3.8555000000000001</v>
      </c>
      <c r="AH49" s="27">
        <v>0.2104</v>
      </c>
      <c r="AI49" s="40">
        <f t="shared" si="459"/>
        <v>32.584648000000001</v>
      </c>
      <c r="AJ49" s="27">
        <f t="shared" si="460"/>
        <v>0.90916852108437951</v>
      </c>
      <c r="AK49" s="28">
        <f t="shared" si="6"/>
        <v>0.89928367464454473</v>
      </c>
      <c r="AL49" s="33">
        <v>170</v>
      </c>
      <c r="AM49" s="35">
        <v>8.8999999999999996E-2</v>
      </c>
      <c r="AN49" s="37">
        <v>0.2198</v>
      </c>
      <c r="AO49" s="103">
        <v>0.21510000000000001</v>
      </c>
      <c r="AP49" s="40">
        <f>AL49*(1-AM49)*AN49</f>
        <v>34.040426000000004</v>
      </c>
      <c r="AQ49" s="104">
        <f t="shared" si="21"/>
        <v>33.312537000000006</v>
      </c>
      <c r="AR49" s="41">
        <v>1.6</v>
      </c>
      <c r="AS49" s="41"/>
      <c r="AT49" s="129">
        <f>AT48+AL49-AS49</f>
        <v>563.57999999999856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0" t="s">
        <v>54</v>
      </c>
      <c r="D50" s="42">
        <v>21000</v>
      </c>
      <c r="E50" s="42">
        <v>0</v>
      </c>
      <c r="F50" s="42">
        <v>18124</v>
      </c>
      <c r="G50" s="36">
        <v>0.3</v>
      </c>
      <c r="H50" s="36">
        <v>5.4</v>
      </c>
      <c r="I50" s="42">
        <v>17596</v>
      </c>
      <c r="J50" s="36">
        <v>1.7</v>
      </c>
      <c r="K50" s="42">
        <v>16504</v>
      </c>
      <c r="L50" s="38">
        <v>6.5000000000000002E-2</v>
      </c>
      <c r="M50" s="36">
        <f>ROUND(K50*(1-L50),0)</f>
        <v>15431</v>
      </c>
      <c r="N50" s="27">
        <v>0.71899999999999997</v>
      </c>
      <c r="O50" s="24">
        <f t="shared" si="450"/>
        <v>11094.888999999999</v>
      </c>
      <c r="P50" s="38">
        <v>0.22</v>
      </c>
      <c r="Q50" s="24">
        <f t="shared" si="451"/>
        <v>3394.82</v>
      </c>
      <c r="R50" s="38">
        <v>6.0999999999999999E-2</v>
      </c>
      <c r="S50" s="105"/>
      <c r="T50" s="24">
        <f t="shared" si="452"/>
        <v>941.29099999999994</v>
      </c>
      <c r="U50" s="27">
        <v>0.20100000000000001</v>
      </c>
      <c r="V50" s="24">
        <f t="shared" si="453"/>
        <v>3101.6310000000003</v>
      </c>
      <c r="W50" s="38">
        <v>0.52300000000000002</v>
      </c>
      <c r="X50" s="24">
        <f t="shared" si="454"/>
        <v>8070.4130000000005</v>
      </c>
      <c r="Y50" s="38">
        <v>0.4</v>
      </c>
      <c r="Z50" s="24">
        <f t="shared" si="455"/>
        <v>6172.4000000000005</v>
      </c>
      <c r="AA50" s="118">
        <v>2.65E-3</v>
      </c>
      <c r="AB50" s="121">
        <f t="shared" si="60"/>
        <v>40.892150000000001</v>
      </c>
      <c r="AC50" s="45">
        <v>2.7200000000000002E-3</v>
      </c>
      <c r="AD50" s="17">
        <f t="shared" si="457"/>
        <v>41.972320000000003</v>
      </c>
      <c r="AE50" s="26">
        <f>IF(M50&gt;0,(AG50+AP50)/M50,0)</f>
        <v>2.5948474240165905E-3</v>
      </c>
      <c r="AF50" s="45">
        <v>2.5000000000000001E-4</v>
      </c>
      <c r="AG50" s="36">
        <f t="shared" si="458"/>
        <v>3.8577500000000002</v>
      </c>
      <c r="AH50" s="27">
        <v>0.2155</v>
      </c>
      <c r="AI50" s="40">
        <f t="shared" si="459"/>
        <v>36.832829000000004</v>
      </c>
      <c r="AJ50" s="27">
        <f t="shared" si="460"/>
        <v>0.90914292546286801</v>
      </c>
      <c r="AK50" s="28">
        <f t="shared" si="6"/>
        <v>0.90472362457645927</v>
      </c>
      <c r="AL50" s="42">
        <v>187</v>
      </c>
      <c r="AM50" s="38">
        <v>8.5999999999999993E-2</v>
      </c>
      <c r="AN50" s="27">
        <v>0.2117</v>
      </c>
      <c r="AO50" s="105">
        <v>0.2064</v>
      </c>
      <c r="AP50" s="40">
        <f>AL50*(1-AM50)*AN50</f>
        <v>36.183340600000001</v>
      </c>
      <c r="AQ50" s="106">
        <f t="shared" si="21"/>
        <v>35.277475199999998</v>
      </c>
      <c r="AR50" s="17">
        <v>1.55</v>
      </c>
      <c r="AS50" s="17"/>
      <c r="AT50" s="129">
        <f>AT49+AL50-AS50</f>
        <v>750.57999999999856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2">SUM(D48:D50)</f>
        <v>43932</v>
      </c>
      <c r="E51" s="49"/>
      <c r="F51" s="49">
        <f t="shared" ref="F51" si="463">SUM(F48:F50)</f>
        <v>46251</v>
      </c>
      <c r="G51" s="50"/>
      <c r="H51" s="50"/>
      <c r="I51" s="49">
        <f t="shared" ref="I51:K51" si="464">SUM(I48:I50)</f>
        <v>44836</v>
      </c>
      <c r="J51" s="50"/>
      <c r="K51" s="49">
        <f t="shared" si="464"/>
        <v>49057</v>
      </c>
      <c r="L51" s="20">
        <f t="shared" ref="L51" si="465">IF(K51&gt;0,(K48*L48+K49*L49+K50*L50)/K51,0)</f>
        <v>6.269782090221579E-2</v>
      </c>
      <c r="M51" s="50">
        <f t="shared" ref="M51" si="466">M48+M49+M50</f>
        <v>45981</v>
      </c>
      <c r="N51" s="51">
        <f t="shared" ref="N51" si="467">IF(M51&gt;0,O51/M51,0)</f>
        <v>0.75741108283856373</v>
      </c>
      <c r="O51" s="52">
        <f t="shared" ref="O51" si="468">O48+O49+O50</f>
        <v>34826.519</v>
      </c>
      <c r="P51" s="20">
        <f t="shared" ref="P51" si="469">IF(M51&gt;0,Q51/M51,0)</f>
        <v>0.17503438376720823</v>
      </c>
      <c r="Q51" s="52">
        <f t="shared" ref="Q51" si="470">Q48+Q49+Q50</f>
        <v>8048.2560000000012</v>
      </c>
      <c r="R51" s="20">
        <f t="shared" ref="R51" si="471">IF(M51&gt;0,T51/M51,0)</f>
        <v>6.7554533394228053E-2</v>
      </c>
      <c r="S51" s="107"/>
      <c r="T51" s="52">
        <f t="shared" ref="T51" si="472">T48+T49+T50</f>
        <v>3106.2250000000004</v>
      </c>
      <c r="U51" s="20">
        <f t="shared" ref="U51" si="473">IF(M51&gt;0,V51/M51,0)</f>
        <v>0.20330943215676039</v>
      </c>
      <c r="V51" s="52">
        <f t="shared" ref="V51" si="474">V48+V49+V50</f>
        <v>9348.3709999999992</v>
      </c>
      <c r="W51" s="20">
        <f t="shared" ref="W51" si="475">IF(M51&gt;0,X51/M51,0)</f>
        <v>0.51373669559165747</v>
      </c>
      <c r="X51" s="52">
        <f t="shared" ref="X51" si="476">X48+X49+X50</f>
        <v>23622.127</v>
      </c>
      <c r="Y51" s="20">
        <f t="shared" ref="Y51" si="477">IF(M51&gt;0,Z51/M51,0)</f>
        <v>0.38671190274243711</v>
      </c>
      <c r="Z51" s="52">
        <f t="shared" ref="Z51" si="478">Z48+Z49+Z50</f>
        <v>17781.400000000001</v>
      </c>
      <c r="AA51" s="119">
        <f t="shared" ref="AA51" si="479">IF(M51&gt;0,AB51/M51,0)</f>
        <v>2.6531621756812596E-3</v>
      </c>
      <c r="AB51" s="54">
        <f t="shared" ref="AB51" si="480">SUM(AB48:AB50)</f>
        <v>121.99505000000001</v>
      </c>
      <c r="AC51" s="53">
        <f t="shared" ref="AC51" si="481">IF(M51&gt;0,AD51/M51,0)</f>
        <v>2.7759309279919969E-3</v>
      </c>
      <c r="AD51" s="54">
        <f t="shared" ref="AD51" si="482">SUM(AD48:AD50)</f>
        <v>127.64008000000001</v>
      </c>
      <c r="AE51" s="53">
        <f t="shared" ref="AE51" si="483">IF(M51&gt;0,(AE48*M48+AE49*M49+AE50*M50)/M51,0)</f>
        <v>2.4666186598812554E-3</v>
      </c>
      <c r="AF51" s="53">
        <f t="shared" ref="AF51" si="484">IF(K51&gt;0,(K48*AF48+K49*AF49+K50*AF50)/K51,0)</f>
        <v>2.5000000000000001E-4</v>
      </c>
      <c r="AG51" s="50">
        <f t="shared" ref="AG51" si="485">SUM(AG48:AG50)</f>
        <v>11.49525</v>
      </c>
      <c r="AH51" s="51">
        <f t="shared" ref="AH51" si="486">IF(K51&gt;0,(K48*AH48+K49*AH49+K50*AH50)/K51,0)</f>
        <v>0.21139478158061034</v>
      </c>
      <c r="AI51" s="56">
        <f t="shared" ref="AI51" si="487">SUM(AI48:AI50)</f>
        <v>102.952251</v>
      </c>
      <c r="AJ51" s="51">
        <f t="shared" ref="AJ51" si="488">IF(AND(AD51&gt;0),((AD48*AJ48+AD49*AJ49+AD50*AJ50)/AD51),0)</f>
        <v>0.91101813237841023</v>
      </c>
      <c r="AK51" s="55">
        <f t="shared" si="6"/>
        <v>0.89972013627622704</v>
      </c>
      <c r="AL51" s="49">
        <f t="shared" ref="AL51" si="489">SUM(AL48:AL50)</f>
        <v>534</v>
      </c>
      <c r="AM51" s="20">
        <f t="shared" ref="AM51" si="490">IF(AL51&gt;0,(AM48*AL48+AM49*AL49+AM50*AL50)/AL51,0)</f>
        <v>8.8280898876404487E-2</v>
      </c>
      <c r="AN51" s="51">
        <f>IF(K51&gt;0,(AN48*K48+AN49*K49+AN50*K50)/K51,0)</f>
        <v>0.20953737896732372</v>
      </c>
      <c r="AO51" s="107">
        <f>IF(L51&gt;0,(AO48*K48+AO49*K49+AO50*K50)/K51,0)</f>
        <v>0.21112439611064682</v>
      </c>
      <c r="AP51" s="56">
        <f t="shared" ref="AP51" si="491">SUM(AP48:AP50)</f>
        <v>101.92234260000001</v>
      </c>
      <c r="AQ51" s="108">
        <f t="shared" si="403"/>
        <v>102.72074520000001</v>
      </c>
      <c r="AR51" s="54"/>
      <c r="AS51" s="54">
        <f t="shared" ref="AS51" si="492">SUM(AS48:AS50)</f>
        <v>502.02</v>
      </c>
      <c r="AT51" s="83"/>
      <c r="AU51" s="84">
        <f>AT50</f>
        <v>750.57999999999856</v>
      </c>
      <c r="AV51" s="49">
        <f t="shared" ref="AV51" si="493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55</v>
      </c>
      <c r="D52" s="11">
        <v>4700</v>
      </c>
      <c r="E52" s="11">
        <v>1</v>
      </c>
      <c r="F52" s="11">
        <v>10866</v>
      </c>
      <c r="G52" s="12">
        <v>0.7</v>
      </c>
      <c r="H52" s="12">
        <v>5.0999999999999996</v>
      </c>
      <c r="I52" s="11">
        <v>10603</v>
      </c>
      <c r="J52" s="12">
        <v>3.5</v>
      </c>
      <c r="K52" s="11">
        <v>16521</v>
      </c>
      <c r="L52" s="13">
        <v>6.7000000000000004E-2</v>
      </c>
      <c r="M52" s="23">
        <f>ROUND(K52*(1-L52),0)</f>
        <v>15414</v>
      </c>
      <c r="N52" s="14">
        <v>0.71799999999999997</v>
      </c>
      <c r="O52" s="24">
        <f t="shared" ref="O52:O54" si="494">M52*N52</f>
        <v>11067.252</v>
      </c>
      <c r="P52" s="13">
        <v>0.22900000000000001</v>
      </c>
      <c r="Q52" s="24">
        <f t="shared" ref="Q52:Q54" si="495">M52*P52</f>
        <v>3529.806</v>
      </c>
      <c r="R52" s="15">
        <v>5.2999999999999999E-2</v>
      </c>
      <c r="S52" s="112"/>
      <c r="T52" s="24">
        <f t="shared" ref="T52:T54" si="496">M52*R52</f>
        <v>816.94200000000001</v>
      </c>
      <c r="U52" s="25">
        <v>0.19700000000000001</v>
      </c>
      <c r="V52" s="24">
        <f t="shared" ref="V52:V54" si="497">M52*U52</f>
        <v>3036.558</v>
      </c>
      <c r="W52" s="15">
        <v>0.50900000000000001</v>
      </c>
      <c r="X52" s="24">
        <f t="shared" ref="X52:X54" si="498">M52*W52</f>
        <v>7845.7260000000006</v>
      </c>
      <c r="Y52" s="15">
        <v>0.38</v>
      </c>
      <c r="Z52" s="24">
        <f t="shared" ref="Z52:Z54" si="499">Y52*M52</f>
        <v>5857.32</v>
      </c>
      <c r="AA52" s="116">
        <v>2.8400000000000001E-3</v>
      </c>
      <c r="AB52" s="18">
        <f t="shared" ref="AB52" si="500">M52*AA52</f>
        <v>43.775759999999998</v>
      </c>
      <c r="AC52" s="16">
        <v>2.8500000000000001E-3</v>
      </c>
      <c r="AD52" s="17">
        <f t="shared" ref="AD52:AD54" si="501">M52*AC52</f>
        <v>43.929900000000004</v>
      </c>
      <c r="AE52" s="26">
        <f>IF(M52&gt;0,(AG52+AP52)/M52,0)</f>
        <v>2.5747966913195796E-3</v>
      </c>
      <c r="AF52" s="16">
        <v>2.5000000000000001E-4</v>
      </c>
      <c r="AG52" s="23">
        <f t="shared" ref="AG52:AG54" si="502">AF52*M52</f>
        <v>3.8534999999999999</v>
      </c>
      <c r="AH52" s="92">
        <v>0.2132</v>
      </c>
      <c r="AI52" s="29">
        <f t="shared" ref="AI52:AI54" si="503">AL52*(1-AM52)*AH52</f>
        <v>35.077582800000002</v>
      </c>
      <c r="AJ52" s="27">
        <f t="shared" ref="AJ52:AJ54" si="504">IF(AND(AH52&gt;0,AF52&gt;0,AC52&gt;0),((AC52-AF52)*AH52)/((AH52-AF52)*AC52),0)</f>
        <v>0.91335170516100062</v>
      </c>
      <c r="AK52" s="58">
        <f t="shared" si="6"/>
        <v>0.90394253849946804</v>
      </c>
      <c r="AL52" s="11">
        <v>181</v>
      </c>
      <c r="AM52" s="13">
        <v>9.0999999999999998E-2</v>
      </c>
      <c r="AN52" s="14">
        <v>0.21779999999999999</v>
      </c>
      <c r="AO52" s="101">
        <v>0.21079999999999999</v>
      </c>
      <c r="AP52" s="29">
        <f>AL52*(1-AM52)*AN52</f>
        <v>35.8344162</v>
      </c>
      <c r="AQ52" s="102">
        <f t="shared" ref="AQ52" si="505">AL52*(1-AM52)*AO52</f>
        <v>34.682713199999995</v>
      </c>
      <c r="AR52" s="18">
        <v>1.58</v>
      </c>
      <c r="AS52" s="18">
        <v>502.64</v>
      </c>
      <c r="AT52" s="79">
        <f>AT50+AL52-AS52+AU52</f>
        <v>455.49999999999858</v>
      </c>
      <c r="AU52" s="80">
        <v>26.56</v>
      </c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43" t="s">
        <v>57</v>
      </c>
      <c r="D53" s="33">
        <v>20000</v>
      </c>
      <c r="E53" s="33">
        <v>4</v>
      </c>
      <c r="F53" s="33">
        <v>16720</v>
      </c>
      <c r="G53" s="34">
        <v>0.5</v>
      </c>
      <c r="H53" s="34">
        <v>4.7</v>
      </c>
      <c r="I53" s="33">
        <v>16243</v>
      </c>
      <c r="J53" s="34">
        <v>3.6</v>
      </c>
      <c r="K53" s="33">
        <v>16899</v>
      </c>
      <c r="L53" s="35">
        <v>6.3E-2</v>
      </c>
      <c r="M53" s="36">
        <f>ROUND(K53*(1-L53),0)</f>
        <v>15834</v>
      </c>
      <c r="N53" s="37">
        <v>0.61799999999999999</v>
      </c>
      <c r="O53" s="24">
        <f t="shared" si="494"/>
        <v>9785.4120000000003</v>
      </c>
      <c r="P53" s="35">
        <v>0.32300000000000001</v>
      </c>
      <c r="Q53" s="24">
        <f t="shared" si="495"/>
        <v>5114.3820000000005</v>
      </c>
      <c r="R53" s="38">
        <v>5.8999999999999997E-2</v>
      </c>
      <c r="S53" s="105"/>
      <c r="T53" s="24">
        <f t="shared" si="496"/>
        <v>934.2059999999999</v>
      </c>
      <c r="U53" s="27">
        <v>0.21099999999999999</v>
      </c>
      <c r="V53" s="24">
        <f t="shared" si="497"/>
        <v>3340.9739999999997</v>
      </c>
      <c r="W53" s="38">
        <v>0.50600000000000001</v>
      </c>
      <c r="X53" s="24">
        <f t="shared" si="498"/>
        <v>8012.0039999999999</v>
      </c>
      <c r="Y53" s="38">
        <v>0.38</v>
      </c>
      <c r="Z53" s="24">
        <f t="shared" si="499"/>
        <v>6016.92</v>
      </c>
      <c r="AA53" s="117">
        <v>2.7399999999999998E-3</v>
      </c>
      <c r="AB53" s="18">
        <f t="shared" si="60"/>
        <v>43.385159999999999</v>
      </c>
      <c r="AC53" s="39">
        <v>2.81E-3</v>
      </c>
      <c r="AD53" s="17">
        <f t="shared" si="501"/>
        <v>44.493540000000003</v>
      </c>
      <c r="AE53" s="26">
        <f>IF(M53&gt;0,(AG53+AP53)/M53,0)</f>
        <v>2.6946379310344832E-3</v>
      </c>
      <c r="AF53" s="39">
        <v>2.5000000000000001E-4</v>
      </c>
      <c r="AG53" s="36">
        <f t="shared" si="502"/>
        <v>3.9584999999999999</v>
      </c>
      <c r="AH53" s="27">
        <v>0.21160000000000001</v>
      </c>
      <c r="AI53" s="40">
        <f t="shared" si="503"/>
        <v>37.383372000000008</v>
      </c>
      <c r="AJ53" s="27">
        <f t="shared" si="504"/>
        <v>0.91210966275940031</v>
      </c>
      <c r="AK53" s="28">
        <f t="shared" si="6"/>
        <v>0.90825950980400894</v>
      </c>
      <c r="AL53" s="33">
        <v>195</v>
      </c>
      <c r="AM53" s="35">
        <v>9.4E-2</v>
      </c>
      <c r="AN53" s="37">
        <v>0.21909999999999999</v>
      </c>
      <c r="AO53" s="103">
        <v>0.2137</v>
      </c>
      <c r="AP53" s="40">
        <f>AL53*(1-AM53)*AN53</f>
        <v>38.708397000000005</v>
      </c>
      <c r="AQ53" s="104">
        <f t="shared" si="21"/>
        <v>37.754379</v>
      </c>
      <c r="AR53" s="41">
        <v>1.58</v>
      </c>
      <c r="AS53" s="41"/>
      <c r="AT53" s="129">
        <f>AT52+AL53-AS53</f>
        <v>650.49999999999864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0" t="s">
        <v>54</v>
      </c>
      <c r="D54" s="42">
        <v>17329</v>
      </c>
      <c r="E54" s="42">
        <v>1</v>
      </c>
      <c r="F54" s="42">
        <v>16477</v>
      </c>
      <c r="G54" s="36">
        <v>0.6</v>
      </c>
      <c r="H54" s="36">
        <v>7.4</v>
      </c>
      <c r="I54" s="42">
        <v>16456</v>
      </c>
      <c r="J54" s="36">
        <v>2.9</v>
      </c>
      <c r="K54" s="42">
        <v>16826</v>
      </c>
      <c r="L54" s="38">
        <v>6.5000000000000002E-2</v>
      </c>
      <c r="M54" s="36">
        <f>ROUND(K54*(1-L54),0)</f>
        <v>15732</v>
      </c>
      <c r="N54" s="27">
        <v>0.749</v>
      </c>
      <c r="O54" s="24">
        <f t="shared" si="494"/>
        <v>11783.268</v>
      </c>
      <c r="P54" s="38">
        <v>0.22500000000000001</v>
      </c>
      <c r="Q54" s="24">
        <f t="shared" si="495"/>
        <v>3539.7000000000003</v>
      </c>
      <c r="R54" s="38">
        <v>2.5999999999999999E-2</v>
      </c>
      <c r="S54" s="105"/>
      <c r="T54" s="24">
        <f t="shared" si="496"/>
        <v>409.03199999999998</v>
      </c>
      <c r="U54" s="27">
        <v>0.218</v>
      </c>
      <c r="V54" s="24">
        <f t="shared" si="497"/>
        <v>3429.576</v>
      </c>
      <c r="W54" s="38">
        <v>0.50600000000000001</v>
      </c>
      <c r="X54" s="24">
        <f t="shared" si="498"/>
        <v>7960.3919999999998</v>
      </c>
      <c r="Y54" s="38">
        <v>0.39</v>
      </c>
      <c r="Z54" s="24">
        <f t="shared" si="499"/>
        <v>6135.4800000000005</v>
      </c>
      <c r="AA54" s="118">
        <v>2.6199999999999999E-3</v>
      </c>
      <c r="AB54" s="121">
        <f t="shared" si="60"/>
        <v>41.217840000000002</v>
      </c>
      <c r="AC54" s="45">
        <v>2.7100000000000002E-3</v>
      </c>
      <c r="AD54" s="17">
        <f t="shared" si="501"/>
        <v>42.633720000000004</v>
      </c>
      <c r="AE54" s="26">
        <f>IF(M54&gt;0,(AG54+AP54)/M54,0)</f>
        <v>2.5798533562166287E-3</v>
      </c>
      <c r="AF54" s="45">
        <v>2.5000000000000001E-4</v>
      </c>
      <c r="AG54" s="36">
        <f t="shared" si="502"/>
        <v>3.9330000000000003</v>
      </c>
      <c r="AH54" s="27">
        <v>0.20899999999999999</v>
      </c>
      <c r="AI54" s="40">
        <f t="shared" si="503"/>
        <v>34.804769999999998</v>
      </c>
      <c r="AJ54" s="27">
        <f t="shared" si="504"/>
        <v>0.90883620213447658</v>
      </c>
      <c r="AK54" s="28">
        <f t="shared" si="6"/>
        <v>0.90412221206864518</v>
      </c>
      <c r="AL54" s="42">
        <v>182</v>
      </c>
      <c r="AM54" s="38">
        <v>8.5000000000000006E-2</v>
      </c>
      <c r="AN54" s="27">
        <v>0.22009999999999999</v>
      </c>
      <c r="AO54" s="105">
        <v>0.21970000000000001</v>
      </c>
      <c r="AP54" s="40">
        <f>AL54*(1-AM54)*AN54</f>
        <v>36.653252999999999</v>
      </c>
      <c r="AQ54" s="106">
        <f t="shared" si="21"/>
        <v>36.586641</v>
      </c>
      <c r="AR54" s="17">
        <v>1.55</v>
      </c>
      <c r="AS54" s="17"/>
      <c r="AT54" s="129">
        <f>AT53+AL54-AS54</f>
        <v>832.49999999999864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6">SUM(D52:D54)</f>
        <v>42029</v>
      </c>
      <c r="E55" s="49"/>
      <c r="F55" s="49">
        <f t="shared" ref="F55" si="507">SUM(F52:F54)</f>
        <v>44063</v>
      </c>
      <c r="G55" s="50"/>
      <c r="H55" s="50"/>
      <c r="I55" s="49">
        <f t="shared" ref="I55:K55" si="508">SUM(I52:I54)</f>
        <v>43302</v>
      </c>
      <c r="J55" s="50"/>
      <c r="K55" s="49">
        <f t="shared" si="508"/>
        <v>50246</v>
      </c>
      <c r="L55" s="20">
        <f t="shared" ref="L55" si="509">IF(K55&gt;0,(K52*L52+K53*L53+K54*L54)/K55,0)</f>
        <v>6.4984954026191144E-2</v>
      </c>
      <c r="M55" s="50">
        <f t="shared" ref="M55" si="510">M52+M53+M54</f>
        <v>46980</v>
      </c>
      <c r="N55" s="51">
        <f t="shared" ref="N55" si="511">IF(M55&gt;0,O55/M55,0)</f>
        <v>0.69467713920817376</v>
      </c>
      <c r="O55" s="52">
        <f t="shared" ref="O55" si="512">O52+O53+O54</f>
        <v>32635.932000000001</v>
      </c>
      <c r="P55" s="20">
        <f t="shared" ref="P55" si="513">IF(M55&gt;0,Q55/M55,0)</f>
        <v>0.25934201787994893</v>
      </c>
      <c r="Q55" s="52">
        <f t="shared" ref="Q55" si="514">Q52+Q53+Q54</f>
        <v>12183.888000000001</v>
      </c>
      <c r="R55" s="20">
        <f t="shared" ref="R55" si="515">IF(M55&gt;0,T55/M55,0)</f>
        <v>4.5980842911877394E-2</v>
      </c>
      <c r="S55" s="107"/>
      <c r="T55" s="52">
        <f t="shared" ref="T55" si="516">T52+T53+T54</f>
        <v>2160.1799999999998</v>
      </c>
      <c r="U55" s="20">
        <f t="shared" ref="U55" si="517">IF(M55&gt;0,V55/M55,0)</f>
        <v>0.20875070242656449</v>
      </c>
      <c r="V55" s="52">
        <f t="shared" ref="V55" si="518">V52+V53+V54</f>
        <v>9807.1080000000002</v>
      </c>
      <c r="W55" s="20">
        <f t="shared" ref="W55" si="519">IF(M55&gt;0,X55/M55,0)</f>
        <v>0.50698429118773947</v>
      </c>
      <c r="X55" s="52">
        <f t="shared" ref="X55" si="520">X52+X53+X54</f>
        <v>23818.121999999999</v>
      </c>
      <c r="Y55" s="20">
        <f t="shared" ref="Y55" si="521">IF(M55&gt;0,Z55/M55,0)</f>
        <v>0.38334865900383142</v>
      </c>
      <c r="Z55" s="52">
        <f t="shared" ref="Z55" si="522">Z52+Z53+Z54</f>
        <v>18009.72</v>
      </c>
      <c r="AA55" s="119">
        <f t="shared" ref="AA55" si="523">IF(M55&gt;0,AB55/M55,0)</f>
        <v>2.732625798212005E-3</v>
      </c>
      <c r="AB55" s="54">
        <f t="shared" ref="AB55" si="524">SUM(AB52:AB54)</f>
        <v>128.37876</v>
      </c>
      <c r="AC55" s="53">
        <f t="shared" ref="AC55" si="525">IF(M55&gt;0,AD55/M55,0)</f>
        <v>2.7896372924648789E-3</v>
      </c>
      <c r="AD55" s="54">
        <f t="shared" ref="AD55" si="526">SUM(AD52:AD54)</f>
        <v>131.05716000000001</v>
      </c>
      <c r="AE55" s="53">
        <f t="shared" ref="AE55" si="527">IF(M55&gt;0,(AE52*M52+AE53*M53+AE54*M54)/M55,0)</f>
        <v>2.6168809323116218E-3</v>
      </c>
      <c r="AF55" s="53">
        <f t="shared" ref="AF55" si="528">IF(K55&gt;0,(K52*AF52+K53*AF53+K54*AF54)/K55,0)</f>
        <v>2.5000000000000001E-4</v>
      </c>
      <c r="AG55" s="50">
        <f t="shared" ref="AG55" si="529">SUM(AG52:AG54)</f>
        <v>11.744999999999999</v>
      </c>
      <c r="AH55" s="51">
        <f t="shared" ref="AH55" si="530">IF(K55&gt;0,(K52*AH52+K53*AH53+K54*AH54)/K55,0)</f>
        <v>0.21125541535644629</v>
      </c>
      <c r="AI55" s="56">
        <f t="shared" ref="AI55" si="531">SUM(AI52:AI54)</f>
        <v>107.26572480000002</v>
      </c>
      <c r="AJ55" s="51">
        <f t="shared" ref="AJ55" si="532">IF(AND(AD55&gt;0),((AD52*AJ52+AD53*AJ53+AD54*AJ54)/AD55),0)</f>
        <v>0.91146111364376281</v>
      </c>
      <c r="AK55" s="55">
        <f t="shared" si="6"/>
        <v>0.90550006229389357</v>
      </c>
      <c r="AL55" s="49">
        <f t="shared" ref="AL55" si="533">SUM(AL52:AL54)</f>
        <v>558</v>
      </c>
      <c r="AM55" s="20">
        <f t="shared" ref="AM55" si="534">IF(AL55&gt;0,(AM52*AL52+AM53*AL53+AM54*AL54)/AL55,0)</f>
        <v>9.0091397849462365E-2</v>
      </c>
      <c r="AN55" s="51">
        <f>IF(K55&gt;0,(AN52*K52+AN53*K53+AN54*K54)/K55,0)</f>
        <v>0.21900742944712015</v>
      </c>
      <c r="AO55" s="107">
        <f>IF(L55&gt;0,(AO52*K52+AO53*K53+AO54*K54)/K55,0)</f>
        <v>0.21475570791704815</v>
      </c>
      <c r="AP55" s="56">
        <f t="shared" ref="AP55" si="535">SUM(AP52:AP54)</f>
        <v>111.19606620000002</v>
      </c>
      <c r="AQ55" s="108">
        <f t="shared" si="403"/>
        <v>109.0237332</v>
      </c>
      <c r="AR55" s="54"/>
      <c r="AS55" s="54">
        <f t="shared" ref="AS55" si="536">SUM(AS52:AS54)</f>
        <v>502.64</v>
      </c>
      <c r="AT55" s="83"/>
      <c r="AU55" s="84">
        <f>AT54</f>
        <v>832.49999999999864</v>
      </c>
      <c r="AV55" s="49">
        <f t="shared" ref="AV55" si="537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55</v>
      </c>
      <c r="D56" s="11">
        <v>13000</v>
      </c>
      <c r="E56" s="11">
        <v>0</v>
      </c>
      <c r="F56" s="11">
        <v>17334</v>
      </c>
      <c r="G56" s="12">
        <v>0.6</v>
      </c>
      <c r="H56" s="12">
        <v>6.3</v>
      </c>
      <c r="I56" s="11">
        <v>16786</v>
      </c>
      <c r="J56" s="12">
        <v>2.2999999999999998</v>
      </c>
      <c r="K56" s="11">
        <v>16767</v>
      </c>
      <c r="L56" s="13">
        <v>5.8000000000000003E-2</v>
      </c>
      <c r="M56" s="23">
        <f>ROUND(K56*(1-L56),0)</f>
        <v>15795</v>
      </c>
      <c r="N56" s="14">
        <v>0.65500000000000003</v>
      </c>
      <c r="O56" s="24">
        <f t="shared" ref="O56:O58" si="538">M56*N56</f>
        <v>10345.725</v>
      </c>
      <c r="P56" s="13">
        <v>0.29699999999999999</v>
      </c>
      <c r="Q56" s="24">
        <f t="shared" ref="Q56:Q58" si="539">M56*P56</f>
        <v>4691.1149999999998</v>
      </c>
      <c r="R56" s="15">
        <v>4.8000000000000001E-2</v>
      </c>
      <c r="S56" s="112"/>
      <c r="T56" s="24">
        <f t="shared" ref="T56:T58" si="540">M56*R56</f>
        <v>758.16</v>
      </c>
      <c r="U56" s="25">
        <v>0.22</v>
      </c>
      <c r="V56" s="24">
        <f t="shared" ref="V56:V58" si="541">M56*U56</f>
        <v>3474.9</v>
      </c>
      <c r="W56" s="15">
        <v>0.504</v>
      </c>
      <c r="X56" s="24">
        <f t="shared" ref="X56:X58" si="542">M56*W56</f>
        <v>7960.68</v>
      </c>
      <c r="Y56" s="15">
        <v>0.4</v>
      </c>
      <c r="Z56" s="24">
        <f t="shared" ref="Z56:Z58" si="543">Y56*M56</f>
        <v>6318</v>
      </c>
      <c r="AA56" s="116">
        <v>2.5899999999999999E-3</v>
      </c>
      <c r="AB56" s="18">
        <f t="shared" ref="AB56" si="544">M56*AA56</f>
        <v>40.909050000000001</v>
      </c>
      <c r="AC56" s="16">
        <v>2.6900000000000001E-3</v>
      </c>
      <c r="AD56" s="17">
        <f t="shared" ref="AD56:AD58" si="545">M56*AC56</f>
        <v>42.488550000000004</v>
      </c>
      <c r="AE56" s="26">
        <f>IF(M56&gt;0,(AG56+AP56)/M56,0)</f>
        <v>2.4831358277936054E-3</v>
      </c>
      <c r="AF56" s="16">
        <v>2.4000000000000001E-4</v>
      </c>
      <c r="AG56" s="23">
        <f t="shared" ref="AG56:AG58" si="546">AF56*M56</f>
        <v>3.7907999999999999</v>
      </c>
      <c r="AH56" s="92">
        <v>0.20619999999999999</v>
      </c>
      <c r="AI56" s="29">
        <f t="shared" ref="AI56:AI58" si="547">AL56*(1-AM56)*AH56</f>
        <v>33.6204976</v>
      </c>
      <c r="AJ56" s="27">
        <f t="shared" ref="AJ56:AJ58" si="548">IF(AND(AH56&gt;0,AF56&gt;0,AC56&gt;0),((AC56-AF56)*AH56)/((AH56-AF56)*AC56),0)</f>
        <v>0.91184197891675645</v>
      </c>
      <c r="AK56" s="58">
        <f t="shared" si="6"/>
        <v>0.90434683614160172</v>
      </c>
      <c r="AL56" s="11">
        <v>178</v>
      </c>
      <c r="AM56" s="13">
        <v>8.4000000000000005E-2</v>
      </c>
      <c r="AN56" s="14">
        <v>0.21729999999999999</v>
      </c>
      <c r="AO56" s="101">
        <v>0.21460000000000001</v>
      </c>
      <c r="AP56" s="29">
        <f>AL56*(1-AM56)*AN56</f>
        <v>35.430330400000003</v>
      </c>
      <c r="AQ56" s="102">
        <f t="shared" ref="AQ56" si="549">AL56*(1-AM56)*AO56</f>
        <v>34.9901008</v>
      </c>
      <c r="AR56" s="18">
        <v>1.56</v>
      </c>
      <c r="AS56" s="18"/>
      <c r="AT56" s="79">
        <f>AT54+AL56-AS56</f>
        <v>1010.4999999999986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43" t="s">
        <v>57</v>
      </c>
      <c r="D57" s="33">
        <v>21000</v>
      </c>
      <c r="E57" s="33">
        <v>2</v>
      </c>
      <c r="F57" s="33">
        <v>16172</v>
      </c>
      <c r="G57" s="34">
        <v>0.8</v>
      </c>
      <c r="H57" s="34">
        <v>6.2</v>
      </c>
      <c r="I57" s="33">
        <v>15769</v>
      </c>
      <c r="J57" s="34">
        <v>2.2000000000000002</v>
      </c>
      <c r="K57" s="33">
        <v>16769</v>
      </c>
      <c r="L57" s="35">
        <v>6.0999999999999999E-2</v>
      </c>
      <c r="M57" s="36">
        <f>ROUND(K57*(1-L57),0)</f>
        <v>15746</v>
      </c>
      <c r="N57" s="37">
        <v>0.65600000000000003</v>
      </c>
      <c r="O57" s="24">
        <f t="shared" si="538"/>
        <v>10329.376</v>
      </c>
      <c r="P57" s="35">
        <v>0.311</v>
      </c>
      <c r="Q57" s="24">
        <f t="shared" si="539"/>
        <v>4897.0060000000003</v>
      </c>
      <c r="R57" s="38">
        <v>3.3000000000000002E-2</v>
      </c>
      <c r="S57" s="105"/>
      <c r="T57" s="24">
        <f t="shared" si="540"/>
        <v>519.61800000000005</v>
      </c>
      <c r="U57" s="27">
        <v>0.23699999999999999</v>
      </c>
      <c r="V57" s="24">
        <f t="shared" si="541"/>
        <v>3731.8019999999997</v>
      </c>
      <c r="W57" s="38">
        <v>0.47599999999999998</v>
      </c>
      <c r="X57" s="24">
        <f t="shared" si="542"/>
        <v>7495.0959999999995</v>
      </c>
      <c r="Y57" s="38">
        <v>0.42</v>
      </c>
      <c r="Z57" s="24">
        <f t="shared" si="543"/>
        <v>6613.32</v>
      </c>
      <c r="AA57" s="117">
        <v>2.7100000000000002E-3</v>
      </c>
      <c r="AB57" s="18">
        <f t="shared" si="60"/>
        <v>42.671660000000003</v>
      </c>
      <c r="AC57" s="39">
        <v>2.7599999999999999E-3</v>
      </c>
      <c r="AD57" s="17">
        <f t="shared" si="545"/>
        <v>43.458959999999998</v>
      </c>
      <c r="AE57" s="26">
        <f>IF(M57&gt;0,(AG57+AP57)/M57,0)</f>
        <v>2.5054642448875909E-3</v>
      </c>
      <c r="AF57" s="39">
        <v>2.4000000000000001E-4</v>
      </c>
      <c r="AG57" s="36">
        <f t="shared" si="546"/>
        <v>3.7790400000000002</v>
      </c>
      <c r="AH57" s="27">
        <v>0.21809999999999999</v>
      </c>
      <c r="AI57" s="40">
        <f t="shared" si="547"/>
        <v>34.732424999999999</v>
      </c>
      <c r="AJ57" s="27">
        <f t="shared" si="548"/>
        <v>0.91404930968831177</v>
      </c>
      <c r="AK57" s="28">
        <f t="shared" si="6"/>
        <v>0.90517920424713905</v>
      </c>
      <c r="AL57" s="33">
        <v>175</v>
      </c>
      <c r="AM57" s="35">
        <v>0.09</v>
      </c>
      <c r="AN57" s="37">
        <v>0.224</v>
      </c>
      <c r="AO57" s="103">
        <v>0.2263</v>
      </c>
      <c r="AP57" s="40">
        <f>AL57*(1-AM57)*AN57</f>
        <v>35.672000000000004</v>
      </c>
      <c r="AQ57" s="104">
        <f t="shared" si="21"/>
        <v>36.038274999999999</v>
      </c>
      <c r="AR57" s="41">
        <v>1.55</v>
      </c>
      <c r="AS57" s="41"/>
      <c r="AT57" s="129">
        <f>AT56+AL57-AS57</f>
        <v>1185.4999999999986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0" t="s">
        <v>58</v>
      </c>
      <c r="D58" s="42">
        <v>17820</v>
      </c>
      <c r="E58" s="42">
        <v>1</v>
      </c>
      <c r="F58" s="42">
        <v>19219</v>
      </c>
      <c r="G58" s="36">
        <v>0.6</v>
      </c>
      <c r="H58" s="36">
        <v>6.4</v>
      </c>
      <c r="I58" s="42">
        <v>18791</v>
      </c>
      <c r="J58" s="36">
        <v>1.3</v>
      </c>
      <c r="K58" s="42">
        <v>16721</v>
      </c>
      <c r="L58" s="38">
        <v>5.5E-2</v>
      </c>
      <c r="M58" s="36">
        <f>ROUND(K58*(1-L58),0)</f>
        <v>15801</v>
      </c>
      <c r="N58" s="27">
        <v>0.80500000000000005</v>
      </c>
      <c r="O58" s="24">
        <f t="shared" si="538"/>
        <v>12719.805</v>
      </c>
      <c r="P58" s="38">
        <v>0.17599999999999999</v>
      </c>
      <c r="Q58" s="24">
        <f t="shared" si="539"/>
        <v>2780.9759999999997</v>
      </c>
      <c r="R58" s="38">
        <v>1.9E-2</v>
      </c>
      <c r="S58" s="105"/>
      <c r="T58" s="24">
        <f t="shared" si="540"/>
        <v>300.21899999999999</v>
      </c>
      <c r="U58" s="27">
        <v>0.24</v>
      </c>
      <c r="V58" s="24">
        <f t="shared" si="541"/>
        <v>3792.24</v>
      </c>
      <c r="W58" s="38">
        <v>0.47599999999999998</v>
      </c>
      <c r="X58" s="24">
        <f t="shared" si="542"/>
        <v>7521.2759999999998</v>
      </c>
      <c r="Y58" s="38">
        <v>0.43</v>
      </c>
      <c r="Z58" s="24">
        <f t="shared" si="543"/>
        <v>6794.43</v>
      </c>
      <c r="AA58" s="118">
        <v>2.7299999999999998E-3</v>
      </c>
      <c r="AB58" s="121">
        <f t="shared" si="60"/>
        <v>43.13673</v>
      </c>
      <c r="AC58" s="45">
        <v>2.7699999999999999E-3</v>
      </c>
      <c r="AD58" s="17">
        <f t="shared" si="545"/>
        <v>43.768769999999996</v>
      </c>
      <c r="AE58" s="26">
        <f>IF(M58&gt;0,(AG58+AP58)/M58,0)</f>
        <v>2.5930219289918358E-3</v>
      </c>
      <c r="AF58" s="45">
        <v>2.5000000000000001E-4</v>
      </c>
      <c r="AG58" s="36">
        <f t="shared" si="546"/>
        <v>3.95025</v>
      </c>
      <c r="AH58" s="27">
        <v>0.20599999999999999</v>
      </c>
      <c r="AI58" s="40">
        <f t="shared" si="547"/>
        <v>34.493669999999995</v>
      </c>
      <c r="AJ58" s="27">
        <f t="shared" si="548"/>
        <v>0.91085269617626785</v>
      </c>
      <c r="AK58" s="28">
        <f t="shared" si="6"/>
        <v>0.90461024654249966</v>
      </c>
      <c r="AL58" s="42">
        <v>183</v>
      </c>
      <c r="AM58" s="38">
        <v>8.5000000000000006E-2</v>
      </c>
      <c r="AN58" s="27">
        <v>0.22109999999999999</v>
      </c>
      <c r="AO58" s="105">
        <v>0.22170000000000001</v>
      </c>
      <c r="AP58" s="40">
        <f>AL58*(1-AM58)*AN58</f>
        <v>37.0220895</v>
      </c>
      <c r="AQ58" s="106">
        <f t="shared" si="21"/>
        <v>37.122556500000002</v>
      </c>
      <c r="AR58" s="17">
        <v>1.55</v>
      </c>
      <c r="AS58" s="17"/>
      <c r="AT58" s="129">
        <f>AT57+AL58-AS58</f>
        <v>1368.4999999999986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0">SUM(D56:D58)</f>
        <v>51820</v>
      </c>
      <c r="E59" s="49"/>
      <c r="F59" s="49">
        <f t="shared" ref="F59" si="551">SUM(F56:F58)</f>
        <v>52725</v>
      </c>
      <c r="G59" s="50"/>
      <c r="H59" s="50"/>
      <c r="I59" s="49">
        <f t="shared" ref="I59:K59" si="552">SUM(I56:I58)</f>
        <v>51346</v>
      </c>
      <c r="J59" s="50"/>
      <c r="K59" s="49">
        <f t="shared" si="552"/>
        <v>50257</v>
      </c>
      <c r="L59" s="20">
        <f t="shared" ref="L59" si="553">IF(K59&gt;0,(K56*L56+K57*L57+K58*L58)/K59,0)</f>
        <v>5.8002865272499357E-2</v>
      </c>
      <c r="M59" s="50">
        <f t="shared" ref="M59" si="554">M56+M57+M58</f>
        <v>47342</v>
      </c>
      <c r="N59" s="51">
        <f t="shared" ref="N59" si="555">IF(M59&gt;0,O59/M59,0)</f>
        <v>0.70539702589666686</v>
      </c>
      <c r="O59" s="52">
        <f t="shared" ref="O59" si="556">O56+O57+O58</f>
        <v>33394.906000000003</v>
      </c>
      <c r="P59" s="20">
        <f t="shared" ref="P59" si="557">IF(M59&gt;0,Q59/M59,0)</f>
        <v>0.26127111233154487</v>
      </c>
      <c r="Q59" s="52">
        <f t="shared" ref="Q59" si="558">Q56+Q57+Q58</f>
        <v>12369.096999999998</v>
      </c>
      <c r="R59" s="20">
        <f t="shared" ref="R59" si="559">IF(M59&gt;0,T59/M59,0)</f>
        <v>3.3331861771788263E-2</v>
      </c>
      <c r="S59" s="107"/>
      <c r="T59" s="52">
        <f t="shared" ref="T59" si="560">T56+T57+T58</f>
        <v>1577.9970000000001</v>
      </c>
      <c r="U59" s="20">
        <f t="shared" ref="U59" si="561">IF(M59&gt;0,V59/M59,0)</f>
        <v>0.2323294748848802</v>
      </c>
      <c r="V59" s="52">
        <f t="shared" ref="V59" si="562">V56+V57+V58</f>
        <v>10998.941999999999</v>
      </c>
      <c r="W59" s="20">
        <f t="shared" ref="W59" si="563">IF(M59&gt;0,X59/M59,0)</f>
        <v>0.4853418106543872</v>
      </c>
      <c r="X59" s="52">
        <f t="shared" ref="X59" si="564">X56+X57+X58</f>
        <v>22977.052</v>
      </c>
      <c r="Y59" s="20">
        <f t="shared" ref="Y59" si="565">IF(M59&gt;0,Z59/M59,0)</f>
        <v>0.41666490642558407</v>
      </c>
      <c r="Z59" s="52">
        <f t="shared" ref="Z59" si="566">Z56+Z57+Z58</f>
        <v>19725.75</v>
      </c>
      <c r="AA59" s="119">
        <f t="shared" ref="AA59" si="567">IF(M59&gt;0,AB59/M59,0)</f>
        <v>2.6766389252672047E-3</v>
      </c>
      <c r="AB59" s="54">
        <f t="shared" ref="AB59" si="568">SUM(AB56:AB58)</f>
        <v>126.71744000000001</v>
      </c>
      <c r="AC59" s="53">
        <f t="shared" ref="AC59" si="569">IF(M59&gt;0,AD59/M59,0)</f>
        <v>2.7399831016856066E-3</v>
      </c>
      <c r="AD59" s="54">
        <f t="shared" ref="AD59" si="570">SUM(AD56:AD58)</f>
        <v>129.71627999999998</v>
      </c>
      <c r="AE59" s="53">
        <f t="shared" ref="AE59" si="571">IF(M59&gt;0,(AE56*M56+AE57*M57+AE58*M58)/M59,0)</f>
        <v>2.5272381796290822E-3</v>
      </c>
      <c r="AF59" s="53">
        <f t="shared" ref="AF59" si="572">IF(K59&gt;0,(K56*AF56+K57*AF57+K58*AF58)/K59,0)</f>
        <v>2.4332709871261715E-4</v>
      </c>
      <c r="AG59" s="50">
        <f t="shared" ref="AG59" si="573">SUM(AG56:AG58)</f>
        <v>11.52009</v>
      </c>
      <c r="AH59" s="51">
        <f t="shared" ref="AH59" si="574">IF(K59&gt;0,(K56*AH56+K57*AH57+K58*AH58)/K59,0)</f>
        <v>0.21010407107467619</v>
      </c>
      <c r="AI59" s="56">
        <f t="shared" ref="AI59" si="575">SUM(AI56:AI58)</f>
        <v>102.84659259999999</v>
      </c>
      <c r="AJ59" s="51">
        <f t="shared" ref="AJ59" si="576">IF(AND(AD59&gt;0),((AD56*AJ56+AD57*AJ57+AD58*AJ58)/AD59),0)</f>
        <v>0.91224769985613585</v>
      </c>
      <c r="AK59" s="55">
        <f t="shared" si="6"/>
        <v>0.90471519649134635</v>
      </c>
      <c r="AL59" s="49">
        <f t="shared" ref="AL59" si="577">SUM(AL56:AL58)</f>
        <v>536</v>
      </c>
      <c r="AM59" s="20">
        <f t="shared" ref="AM59" si="578">IF(AL59&gt;0,(AM56*AL56+AM57*AL57+AM58*AL58)/AL59,0)</f>
        <v>8.6300373134328368E-2</v>
      </c>
      <c r="AN59" s="51">
        <f>IF(K59&gt;0,(AN56*K56+AN57*K57+AN58*K58)/K59,0)</f>
        <v>0.2207998527568299</v>
      </c>
      <c r="AO59" s="107">
        <f>IF(L59&gt;0,(AO56*K56+AO57*K57+AO58*K58)/K59,0)</f>
        <v>0.22086612014246773</v>
      </c>
      <c r="AP59" s="56">
        <f t="shared" ref="AP59:AQ71" si="579">SUM(AP56:AP58)</f>
        <v>108.12441989999999</v>
      </c>
      <c r="AQ59" s="108">
        <f t="shared" si="579"/>
        <v>108.15093229999999</v>
      </c>
      <c r="AR59" s="54"/>
      <c r="AS59" s="54">
        <f t="shared" ref="AS59" si="580">SUM(AS56:AS58)</f>
        <v>0</v>
      </c>
      <c r="AT59" s="83"/>
      <c r="AU59" s="84">
        <f>AT58</f>
        <v>1368.4999999999986</v>
      </c>
      <c r="AV59" s="49">
        <f t="shared" ref="AV59" si="581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53</v>
      </c>
      <c r="D60" s="11">
        <v>13300</v>
      </c>
      <c r="E60" s="11">
        <v>0</v>
      </c>
      <c r="F60" s="11">
        <v>16936</v>
      </c>
      <c r="G60" s="12">
        <v>0.8</v>
      </c>
      <c r="H60" s="12">
        <v>4.8</v>
      </c>
      <c r="I60" s="11">
        <v>16307</v>
      </c>
      <c r="J60" s="12">
        <v>1.1000000000000001</v>
      </c>
      <c r="K60" s="11">
        <v>16538</v>
      </c>
      <c r="L60" s="13">
        <v>0.05</v>
      </c>
      <c r="M60" s="23">
        <f>ROUND(K60*(1-L60),0)</f>
        <v>15711</v>
      </c>
      <c r="N60" s="14">
        <v>0.65500000000000003</v>
      </c>
      <c r="O60" s="24">
        <f t="shared" ref="O60:O62" si="582">M60*N60</f>
        <v>10290.705</v>
      </c>
      <c r="P60" s="13">
        <v>0.27500000000000002</v>
      </c>
      <c r="Q60" s="24">
        <f t="shared" ref="Q60:Q62" si="583">M60*P60</f>
        <v>4320.5250000000005</v>
      </c>
      <c r="R60" s="15">
        <v>7.0000000000000007E-2</v>
      </c>
      <c r="S60" s="112"/>
      <c r="T60" s="24">
        <f t="shared" ref="T60:T62" si="584">M60*R60</f>
        <v>1099.7700000000002</v>
      </c>
      <c r="U60" s="25">
        <v>0.23499999999999999</v>
      </c>
      <c r="V60" s="24">
        <f t="shared" ref="V60:V62" si="585">M60*U60</f>
        <v>3692.0849999999996</v>
      </c>
      <c r="W60" s="15">
        <v>0.48099999999999998</v>
      </c>
      <c r="X60" s="24">
        <f t="shared" ref="X60:X62" si="586">M60*W60</f>
        <v>7556.991</v>
      </c>
      <c r="Y60" s="15">
        <v>0.41</v>
      </c>
      <c r="Z60" s="24">
        <f t="shared" ref="Z60:Z62" si="587">Y60*M60</f>
        <v>6441.5099999999993</v>
      </c>
      <c r="AA60" s="116">
        <v>2.7200000000000002E-3</v>
      </c>
      <c r="AB60" s="18">
        <f t="shared" ref="AB60" si="588">M60*AA60</f>
        <v>42.733920000000005</v>
      </c>
      <c r="AC60" s="16">
        <v>2.7799999999999999E-3</v>
      </c>
      <c r="AD60" s="17">
        <f t="shared" ref="AD60:AD62" si="589">M60*AC60</f>
        <v>43.676580000000001</v>
      </c>
      <c r="AE60" s="26">
        <f>IF(M60&gt;0,(AG60+AP60)/M60,0)</f>
        <v>2.4903376360511744E-3</v>
      </c>
      <c r="AF60" s="16">
        <v>2.5000000000000001E-4</v>
      </c>
      <c r="AG60" s="23">
        <f t="shared" ref="AG60:AG62" si="590">AF60*M60</f>
        <v>3.9277500000000001</v>
      </c>
      <c r="AH60" s="92">
        <v>0.20830000000000001</v>
      </c>
      <c r="AI60" s="29">
        <f t="shared" ref="AI60:AI62" si="591">AL60*(1-AM60)*AH60</f>
        <v>34.764020200000004</v>
      </c>
      <c r="AJ60" s="27">
        <f t="shared" ref="AJ60:AJ62" si="592">IF(AND(AH60&gt;0,AF60&gt;0,AC60&gt;0),((AC60-AF60)*AH60)/((AH60-AF60)*AC60),0)</f>
        <v>0.91116551603706231</v>
      </c>
      <c r="AK60" s="58">
        <f t="shared" si="6"/>
        <v>0.90067966787137066</v>
      </c>
      <c r="AL60" s="11">
        <v>182</v>
      </c>
      <c r="AM60" s="13">
        <v>8.3000000000000004E-2</v>
      </c>
      <c r="AN60" s="14">
        <v>0.2109</v>
      </c>
      <c r="AO60" s="101">
        <v>0.21529999999999999</v>
      </c>
      <c r="AP60" s="29">
        <f>AL60*(1-AM60)*AN60</f>
        <v>35.1979446</v>
      </c>
      <c r="AQ60" s="102">
        <f t="shared" ref="AQ60" si="593">AL60*(1-AM60)*AO60</f>
        <v>35.932278199999999</v>
      </c>
      <c r="AR60" s="18">
        <v>1.6</v>
      </c>
      <c r="AS60" s="18"/>
      <c r="AT60" s="79">
        <f>AT58+AL60-AS60</f>
        <v>1550.4999999999986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43" t="s">
        <v>57</v>
      </c>
      <c r="D61" s="33">
        <v>16200</v>
      </c>
      <c r="E61" s="33">
        <v>2</v>
      </c>
      <c r="F61" s="33">
        <v>11973</v>
      </c>
      <c r="G61" s="34">
        <v>0.5</v>
      </c>
      <c r="H61" s="34">
        <v>5</v>
      </c>
      <c r="I61" s="33">
        <v>12055</v>
      </c>
      <c r="J61" s="34">
        <v>2.1</v>
      </c>
      <c r="K61" s="33">
        <v>16225</v>
      </c>
      <c r="L61" s="35">
        <v>0.06</v>
      </c>
      <c r="M61" s="36">
        <f>ROUND(K61*(1-L61),0)</f>
        <v>15252</v>
      </c>
      <c r="N61" s="37">
        <v>0.71</v>
      </c>
      <c r="O61" s="24">
        <f t="shared" si="582"/>
        <v>10828.92</v>
      </c>
      <c r="P61" s="35">
        <v>0.25</v>
      </c>
      <c r="Q61" s="24">
        <f t="shared" si="583"/>
        <v>3813</v>
      </c>
      <c r="R61" s="38">
        <v>0.04</v>
      </c>
      <c r="S61" s="105"/>
      <c r="T61" s="24">
        <f t="shared" si="584"/>
        <v>610.08000000000004</v>
      </c>
      <c r="U61" s="27">
        <v>0.22500000000000001</v>
      </c>
      <c r="V61" s="24">
        <f t="shared" si="585"/>
        <v>3431.7000000000003</v>
      </c>
      <c r="W61" s="38">
        <v>0.48699999999999999</v>
      </c>
      <c r="X61" s="24">
        <f t="shared" si="586"/>
        <v>7427.7240000000002</v>
      </c>
      <c r="Y61" s="38">
        <v>0.4</v>
      </c>
      <c r="Z61" s="24">
        <f t="shared" si="587"/>
        <v>6100.8</v>
      </c>
      <c r="AA61" s="117">
        <v>2.5799999999999998E-3</v>
      </c>
      <c r="AB61" s="18">
        <f t="shared" si="60"/>
        <v>39.350159999999995</v>
      </c>
      <c r="AC61" s="39">
        <v>2.5999999999999999E-3</v>
      </c>
      <c r="AD61" s="17">
        <f t="shared" si="589"/>
        <v>39.655200000000001</v>
      </c>
      <c r="AE61" s="26">
        <f>IF(M61&gt;0,(AG61+AP61)/M61,0)</f>
        <v>2.6485106215578288E-3</v>
      </c>
      <c r="AF61" s="39">
        <v>2.5000000000000001E-4</v>
      </c>
      <c r="AG61" s="36">
        <f t="shared" si="590"/>
        <v>3.8130000000000002</v>
      </c>
      <c r="AH61" s="27">
        <v>0.20649999999999999</v>
      </c>
      <c r="AI61" s="40">
        <f t="shared" si="591"/>
        <v>33.936209999999996</v>
      </c>
      <c r="AJ61" s="27">
        <f t="shared" si="592"/>
        <v>0.90494172494172487</v>
      </c>
      <c r="AK61" s="28">
        <f t="shared" si="6"/>
        <v>0.90662554864506317</v>
      </c>
      <c r="AL61" s="33">
        <v>180</v>
      </c>
      <c r="AM61" s="35">
        <v>8.6999999999999994E-2</v>
      </c>
      <c r="AN61" s="37">
        <v>0.22259999999999999</v>
      </c>
      <c r="AO61" s="103">
        <v>0.22670000000000001</v>
      </c>
      <c r="AP61" s="40">
        <f>AL61*(1-AM61)*AN61</f>
        <v>36.582084000000002</v>
      </c>
      <c r="AQ61" s="104">
        <f t="shared" si="21"/>
        <v>37.255878000000003</v>
      </c>
      <c r="AR61" s="41">
        <v>1.55</v>
      </c>
      <c r="AS61" s="41"/>
      <c r="AT61" s="129">
        <f>AT60+AL61-AS61</f>
        <v>1730.4999999999986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0" t="s">
        <v>58</v>
      </c>
      <c r="D62" s="42">
        <v>16600</v>
      </c>
      <c r="E62" s="42">
        <v>1</v>
      </c>
      <c r="F62" s="42">
        <v>19590</v>
      </c>
      <c r="G62" s="36">
        <v>0.7</v>
      </c>
      <c r="H62" s="36">
        <v>5</v>
      </c>
      <c r="I62" s="42">
        <v>18468</v>
      </c>
      <c r="J62" s="36">
        <v>1.1000000000000001</v>
      </c>
      <c r="K62" s="42">
        <v>15956</v>
      </c>
      <c r="L62" s="38">
        <v>5.8000000000000003E-2</v>
      </c>
      <c r="M62" s="36">
        <f>ROUND(K62*(1-L62),0)</f>
        <v>15031</v>
      </c>
      <c r="N62" s="27">
        <v>0.70699999999999996</v>
      </c>
      <c r="O62" s="24">
        <f t="shared" si="582"/>
        <v>10626.916999999999</v>
      </c>
      <c r="P62" s="38">
        <v>0.23499999999999999</v>
      </c>
      <c r="Q62" s="24">
        <f t="shared" si="583"/>
        <v>3532.2849999999999</v>
      </c>
      <c r="R62" s="38">
        <v>5.7000000000000002E-2</v>
      </c>
      <c r="S62" s="105"/>
      <c r="T62" s="24">
        <f t="shared" si="584"/>
        <v>856.76700000000005</v>
      </c>
      <c r="U62" s="27">
        <v>0.20499999999999999</v>
      </c>
      <c r="V62" s="24">
        <f t="shared" si="585"/>
        <v>3081.355</v>
      </c>
      <c r="W62" s="38">
        <v>0.499</v>
      </c>
      <c r="X62" s="24">
        <f t="shared" si="586"/>
        <v>7500.4690000000001</v>
      </c>
      <c r="Y62" s="38">
        <v>0.4</v>
      </c>
      <c r="Z62" s="24">
        <f t="shared" si="587"/>
        <v>6012.4000000000005</v>
      </c>
      <c r="AA62" s="118">
        <v>2.6900000000000001E-3</v>
      </c>
      <c r="AB62" s="121">
        <f t="shared" si="60"/>
        <v>40.433390000000003</v>
      </c>
      <c r="AC62" s="45">
        <v>2.8700000000000002E-3</v>
      </c>
      <c r="AD62" s="17">
        <f t="shared" si="589"/>
        <v>43.13897</v>
      </c>
      <c r="AE62" s="26">
        <f>IF(M62&gt;0,(AG62+AP62)/M62,0)</f>
        <v>2.6494492715055549E-3</v>
      </c>
      <c r="AF62" s="45">
        <v>2.4000000000000001E-4</v>
      </c>
      <c r="AG62" s="36">
        <f t="shared" si="590"/>
        <v>3.60744</v>
      </c>
      <c r="AH62" s="27">
        <v>0.20799999999999999</v>
      </c>
      <c r="AI62" s="40">
        <f t="shared" si="591"/>
        <v>35.283456000000001</v>
      </c>
      <c r="AJ62" s="27">
        <f t="shared" si="592"/>
        <v>0.91743488533405582</v>
      </c>
      <c r="AK62" s="28">
        <f t="shared" si="6"/>
        <v>0.91043858056769023</v>
      </c>
      <c r="AL62" s="42">
        <v>186</v>
      </c>
      <c r="AM62" s="38">
        <v>8.7999999999999995E-2</v>
      </c>
      <c r="AN62" s="27">
        <v>0.2135</v>
      </c>
      <c r="AO62" s="105">
        <v>0.21529999999999999</v>
      </c>
      <c r="AP62" s="40">
        <f>AL62*(1-AM62)*AN62</f>
        <v>36.216431999999998</v>
      </c>
      <c r="AQ62" s="106">
        <f t="shared" si="21"/>
        <v>36.521769599999999</v>
      </c>
      <c r="AR62" s="17">
        <v>1.55</v>
      </c>
      <c r="AS62" s="17"/>
      <c r="AT62" s="129">
        <f>AT61+AL62-AS62</f>
        <v>1916.4999999999986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4">SUM(D60:D62)</f>
        <v>46100</v>
      </c>
      <c r="E63" s="49"/>
      <c r="F63" s="49">
        <f t="shared" ref="F63" si="595">SUM(F60:F62)</f>
        <v>48499</v>
      </c>
      <c r="G63" s="50"/>
      <c r="H63" s="50"/>
      <c r="I63" s="49">
        <f t="shared" ref="I63:K63" si="596">SUM(I60:I62)</f>
        <v>46830</v>
      </c>
      <c r="J63" s="50"/>
      <c r="K63" s="49">
        <f t="shared" si="596"/>
        <v>48719</v>
      </c>
      <c r="L63" s="20">
        <f t="shared" ref="L63" si="597">IF(K63&gt;0,(K60*L60+K61*L61+K62*L62)/K63,0)</f>
        <v>5.5950409491163609E-2</v>
      </c>
      <c r="M63" s="50">
        <f t="shared" ref="M63" si="598">M60+M61+M62</f>
        <v>45994</v>
      </c>
      <c r="N63" s="51">
        <f t="shared" ref="N63" si="599">IF(M63&gt;0,O63/M63,0)</f>
        <v>0.69023224768448066</v>
      </c>
      <c r="O63" s="52">
        <f t="shared" ref="O63" si="600">O60+O61+O62</f>
        <v>31746.542000000001</v>
      </c>
      <c r="P63" s="20">
        <f t="shared" ref="P63" si="601">IF(M63&gt;0,Q63/M63,0)</f>
        <v>0.25363764838892033</v>
      </c>
      <c r="Q63" s="52">
        <f t="shared" ref="Q63" si="602">Q60+Q61+Q62</f>
        <v>11665.810000000001</v>
      </c>
      <c r="R63" s="20">
        <f t="shared" ref="R63" si="603">IF(M63&gt;0,T63/M63,0)</f>
        <v>5.5803300430490935E-2</v>
      </c>
      <c r="S63" s="107"/>
      <c r="T63" s="52">
        <f t="shared" ref="T63" si="604">T60+T61+T62</f>
        <v>2566.6170000000002</v>
      </c>
      <c r="U63" s="20">
        <f t="shared" ref="U63" si="605">IF(M63&gt;0,V63/M63,0)</f>
        <v>0.22187981041005347</v>
      </c>
      <c r="V63" s="52">
        <f t="shared" ref="V63" si="606">V60+V61+V62</f>
        <v>10205.14</v>
      </c>
      <c r="W63" s="20">
        <f t="shared" ref="W63" si="607">IF(M63&gt;0,X63/M63,0)</f>
        <v>0.48887211375396794</v>
      </c>
      <c r="X63" s="52">
        <f t="shared" ref="X63" si="608">X60+X61+X62</f>
        <v>22485.184000000001</v>
      </c>
      <c r="Y63" s="20">
        <f t="shared" ref="Y63" si="609">IF(M63&gt;0,Z63/M63,0)</f>
        <v>0.4034158803322172</v>
      </c>
      <c r="Z63" s="52">
        <f t="shared" ref="Z63" si="610">Z60+Z61+Z62</f>
        <v>18554.71</v>
      </c>
      <c r="AA63" s="119">
        <f t="shared" ref="AA63" si="611">IF(M63&gt;0,AB63/M63,0)</f>
        <v>2.6637707092229423E-3</v>
      </c>
      <c r="AB63" s="54">
        <f t="shared" ref="AB63" si="612">SUM(AB60:AB62)</f>
        <v>122.51747</v>
      </c>
      <c r="AC63" s="53">
        <f t="shared" ref="AC63" si="613">IF(M63&gt;0,AD63/M63,0)</f>
        <v>2.7497227899291213E-3</v>
      </c>
      <c r="AD63" s="54">
        <f t="shared" ref="AD63" si="614">SUM(AD60:AD62)</f>
        <v>126.47075000000001</v>
      </c>
      <c r="AE63" s="53">
        <f t="shared" ref="AE63" si="615">IF(M63&gt;0,(AE60*M60+AE61*M61+AE62*M62)/M63,0)</f>
        <v>2.5947873766143407E-3</v>
      </c>
      <c r="AF63" s="53">
        <f t="shared" ref="AF63" si="616">IF(K63&gt;0,(K60*AF60+K61*AF61+K62*AF62)/K63,0)</f>
        <v>2.4672489172602069E-4</v>
      </c>
      <c r="AG63" s="50">
        <f t="shared" ref="AG63" si="617">SUM(AG60:AG62)</f>
        <v>11.348190000000001</v>
      </c>
      <c r="AH63" s="51">
        <f t="shared" ref="AH63" si="618">IF(K63&gt;0,(K60*AH60+K61*AH61+K62*AH62)/K63,0)</f>
        <v>0.20760228863482419</v>
      </c>
      <c r="AI63" s="56">
        <f t="shared" ref="AI63" si="619">SUM(AI60:AI62)</f>
        <v>103.98368619999999</v>
      </c>
      <c r="AJ63" s="51">
        <f t="shared" ref="AJ63" si="620">IF(AND(AD63&gt;0),((AD60*AJ60+AD61*AJ61+AD62*AJ62)/AD63),0)</f>
        <v>0.91135250356878872</v>
      </c>
      <c r="AK63" s="55">
        <f t="shared" si="6"/>
        <v>0.90595168734478326</v>
      </c>
      <c r="AL63" s="49">
        <f t="shared" ref="AL63" si="621">SUM(AL60:AL62)</f>
        <v>548</v>
      </c>
      <c r="AM63" s="20">
        <f t="shared" ref="AM63" si="622">IF(AL63&gt;0,(AM60*AL60+AM61*AL61+AM62*AL62)/AL63,0)</f>
        <v>8.6010948905109491E-2</v>
      </c>
      <c r="AN63" s="51">
        <f>IF(K63&gt;0,(AN60*K60+AN61*K61+AN62*K62)/K63,0)</f>
        <v>0.21564800591145136</v>
      </c>
      <c r="AO63" s="107">
        <f>IF(L63&gt;0,(AO60*K60+AO61*K61+AO62*K62)/K63,0)</f>
        <v>0.21909656807405734</v>
      </c>
      <c r="AP63" s="56">
        <f t="shared" ref="AP63" si="623">SUM(AP60:AP62)</f>
        <v>107.99646060000001</v>
      </c>
      <c r="AQ63" s="108">
        <f t="shared" si="579"/>
        <v>109.70992580000001</v>
      </c>
      <c r="AR63" s="54"/>
      <c r="AS63" s="54">
        <f t="shared" ref="AS63" si="624">SUM(AS60:AS62)</f>
        <v>0</v>
      </c>
      <c r="AT63" s="83"/>
      <c r="AU63" s="84">
        <f>AT62</f>
        <v>1916.4999999999986</v>
      </c>
      <c r="AV63" s="49">
        <f t="shared" ref="AV63" si="625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53</v>
      </c>
      <c r="D64" s="11">
        <v>4400</v>
      </c>
      <c r="E64" s="11">
        <v>0</v>
      </c>
      <c r="F64" s="11">
        <v>9392</v>
      </c>
      <c r="G64" s="12">
        <v>0.9</v>
      </c>
      <c r="H64" s="12">
        <v>5.5</v>
      </c>
      <c r="I64" s="11">
        <v>9344</v>
      </c>
      <c r="J64" s="12">
        <v>3.1</v>
      </c>
      <c r="K64" s="11">
        <v>15765</v>
      </c>
      <c r="L64" s="13">
        <v>6.2E-2</v>
      </c>
      <c r="M64" s="23">
        <f>ROUND(K64*(1-L64),0)</f>
        <v>14788</v>
      </c>
      <c r="N64" s="14">
        <v>0.78300000000000003</v>
      </c>
      <c r="O64" s="24">
        <f t="shared" ref="O64:O66" si="626">M64*N64</f>
        <v>11579.004000000001</v>
      </c>
      <c r="P64" s="13">
        <v>0.16</v>
      </c>
      <c r="Q64" s="24">
        <f t="shared" ref="Q64:Q66" si="627">M64*P64</f>
        <v>2366.08</v>
      </c>
      <c r="R64" s="15">
        <v>5.7000000000000002E-2</v>
      </c>
      <c r="S64" s="112">
        <v>0.24030000000000001</v>
      </c>
      <c r="T64" s="24">
        <f t="shared" ref="T64:T66" si="628">M64*R64</f>
        <v>842.91600000000005</v>
      </c>
      <c r="U64" s="25">
        <v>0.20799999999999999</v>
      </c>
      <c r="V64" s="24">
        <f t="shared" ref="V64:V66" si="629">M64*U64</f>
        <v>3075.904</v>
      </c>
      <c r="W64" s="15">
        <v>0.499</v>
      </c>
      <c r="X64" s="24">
        <f t="shared" ref="X64:X66" si="630">M64*W64</f>
        <v>7379.2119999999995</v>
      </c>
      <c r="Y64" s="15">
        <v>0.4</v>
      </c>
      <c r="Z64" s="24">
        <f t="shared" ref="Z64:Z66" si="631">Y64*M64</f>
        <v>5915.2000000000007</v>
      </c>
      <c r="AA64" s="116">
        <v>2.7699999999999999E-3</v>
      </c>
      <c r="AB64" s="18">
        <f t="shared" ref="AB64" si="632">M64*AA64</f>
        <v>40.962759999999996</v>
      </c>
      <c r="AC64" s="16">
        <v>2.8700000000000002E-3</v>
      </c>
      <c r="AD64" s="17">
        <f t="shared" ref="AD64:AD66" si="633">M64*AC64</f>
        <v>42.441560000000003</v>
      </c>
      <c r="AE64" s="26">
        <f>IF(M64&gt;0,(AG64+AP64)/M64,0)</f>
        <v>2.7910097917230193E-3</v>
      </c>
      <c r="AF64" s="16">
        <v>2.4000000000000001E-4</v>
      </c>
      <c r="AG64" s="23">
        <f t="shared" ref="AG64:AG66" si="634">AF64*M64</f>
        <v>3.5491200000000003</v>
      </c>
      <c r="AH64" s="92">
        <v>0.20660000000000001</v>
      </c>
      <c r="AI64" s="29">
        <f t="shared" ref="AI64:AI66" si="635">AL64*(1-AM64)*AH64</f>
        <v>35.234390400000002</v>
      </c>
      <c r="AJ64" s="27">
        <f t="shared" ref="AJ64:AJ66" si="636">IF(AND(AH64&gt;0,AF64&gt;0,AC64&gt;0),((AC64-AF64)*AH64)/((AH64-AF64)*AC64),0)</f>
        <v>0.91744206700782682</v>
      </c>
      <c r="AK64" s="58">
        <f t="shared" si="6"/>
        <v>0.91500238665575206</v>
      </c>
      <c r="AL64" s="11">
        <v>187</v>
      </c>
      <c r="AM64" s="13">
        <v>8.7999999999999995E-2</v>
      </c>
      <c r="AN64" s="14">
        <v>0.22120000000000001</v>
      </c>
      <c r="AO64" s="101">
        <v>0.2233</v>
      </c>
      <c r="AP64" s="29">
        <f>AL64*(1-AM64)*AN64</f>
        <v>37.724332800000006</v>
      </c>
      <c r="AQ64" s="102">
        <f t="shared" ref="AQ64" si="637">AL64*(1-AM64)*AO64</f>
        <v>38.082475200000005</v>
      </c>
      <c r="AR64" s="18">
        <v>1.6</v>
      </c>
      <c r="AS64" s="18">
        <v>1071.06</v>
      </c>
      <c r="AT64" s="79">
        <f>AT62+AL64-AS64+AU64</f>
        <v>1056.3199999999988</v>
      </c>
      <c r="AU64" s="80">
        <v>23.88</v>
      </c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54</v>
      </c>
      <c r="D65" s="33">
        <v>19500</v>
      </c>
      <c r="E65" s="33">
        <v>3</v>
      </c>
      <c r="F65" s="33">
        <v>18511</v>
      </c>
      <c r="G65" s="34">
        <v>0.4</v>
      </c>
      <c r="H65" s="34">
        <v>5.4</v>
      </c>
      <c r="I65" s="33">
        <v>17216</v>
      </c>
      <c r="J65" s="34">
        <v>1.3</v>
      </c>
      <c r="K65" s="33">
        <v>15915</v>
      </c>
      <c r="L65" s="35">
        <v>5.2999999999999999E-2</v>
      </c>
      <c r="M65" s="36">
        <f>ROUND(K65*(1-L65),0)</f>
        <v>15072</v>
      </c>
      <c r="N65" s="37">
        <v>0.73699999999999999</v>
      </c>
      <c r="O65" s="24">
        <f t="shared" si="626"/>
        <v>11108.064</v>
      </c>
      <c r="P65" s="35">
        <v>0.221</v>
      </c>
      <c r="Q65" s="24">
        <f t="shared" si="627"/>
        <v>3330.9119999999998</v>
      </c>
      <c r="R65" s="38">
        <v>4.2000000000000003E-2</v>
      </c>
      <c r="S65" s="105">
        <v>0.2432</v>
      </c>
      <c r="T65" s="24">
        <f t="shared" si="628"/>
        <v>633.024</v>
      </c>
      <c r="U65" s="27">
        <v>0.216</v>
      </c>
      <c r="V65" s="24">
        <f t="shared" si="629"/>
        <v>3255.5520000000001</v>
      </c>
      <c r="W65" s="38">
        <v>0.48799999999999999</v>
      </c>
      <c r="X65" s="24">
        <f t="shared" si="630"/>
        <v>7355.1359999999995</v>
      </c>
      <c r="Y65" s="38">
        <v>0.39</v>
      </c>
      <c r="Z65" s="24">
        <f t="shared" si="631"/>
        <v>5878.08</v>
      </c>
      <c r="AA65" s="117">
        <v>2.7599999999999999E-3</v>
      </c>
      <c r="AB65" s="18">
        <f t="shared" si="60"/>
        <v>41.59872</v>
      </c>
      <c r="AC65" s="39">
        <v>2.9399999999999999E-3</v>
      </c>
      <c r="AD65" s="17">
        <f t="shared" si="633"/>
        <v>44.311679999999996</v>
      </c>
      <c r="AE65" s="26">
        <f>IF(M65&gt;0,(AG65+AP65)/M65,0)</f>
        <v>2.7877910828025478E-3</v>
      </c>
      <c r="AF65" s="39">
        <v>2.5000000000000001E-4</v>
      </c>
      <c r="AG65" s="36">
        <f t="shared" si="634"/>
        <v>3.7680000000000002</v>
      </c>
      <c r="AH65" s="27">
        <v>0.21260000000000001</v>
      </c>
      <c r="AI65" s="40">
        <f t="shared" si="635"/>
        <v>37.267929600000002</v>
      </c>
      <c r="AJ65" s="27">
        <f t="shared" si="636"/>
        <v>0.91604317733686369</v>
      </c>
      <c r="AK65" s="28">
        <f t="shared" si="6"/>
        <v>0.91136745396961272</v>
      </c>
      <c r="AL65" s="33">
        <v>192</v>
      </c>
      <c r="AM65" s="35">
        <v>8.6999999999999994E-2</v>
      </c>
      <c r="AN65" s="37">
        <v>0.21820000000000001</v>
      </c>
      <c r="AO65" s="103">
        <v>0.21829999999999999</v>
      </c>
      <c r="AP65" s="40">
        <f>AL65*(1-AM65)*AN65</f>
        <v>38.249587200000001</v>
      </c>
      <c r="AQ65" s="104">
        <f t="shared" si="21"/>
        <v>38.267116799999997</v>
      </c>
      <c r="AR65" s="41">
        <v>1.55</v>
      </c>
      <c r="AS65" s="41"/>
      <c r="AT65" s="129">
        <f>AT64+AL65-AS65</f>
        <v>1248.3199999999988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0" t="s">
        <v>58</v>
      </c>
      <c r="D66" s="42">
        <v>19300</v>
      </c>
      <c r="E66" s="42">
        <v>1</v>
      </c>
      <c r="F66" s="42">
        <v>16689</v>
      </c>
      <c r="G66" s="36">
        <v>0.6</v>
      </c>
      <c r="H66" s="36">
        <v>4.9000000000000004</v>
      </c>
      <c r="I66" s="42">
        <v>16565</v>
      </c>
      <c r="J66" s="36">
        <v>1.5</v>
      </c>
      <c r="K66" s="42">
        <v>15963</v>
      </c>
      <c r="L66" s="38">
        <v>6.3E-2</v>
      </c>
      <c r="M66" s="36">
        <f>ROUND(K66*(1-L66),0)</f>
        <v>14957</v>
      </c>
      <c r="N66" s="27">
        <v>0.76600000000000001</v>
      </c>
      <c r="O66" s="24">
        <f t="shared" si="626"/>
        <v>11457.062</v>
      </c>
      <c r="P66" s="38">
        <v>0.19700000000000001</v>
      </c>
      <c r="Q66" s="24">
        <f t="shared" si="627"/>
        <v>2946.529</v>
      </c>
      <c r="R66" s="38">
        <v>3.6999999999999998E-2</v>
      </c>
      <c r="S66" s="105">
        <v>0.2301</v>
      </c>
      <c r="T66" s="24">
        <f t="shared" si="628"/>
        <v>553.40899999999999</v>
      </c>
      <c r="U66" s="27">
        <v>0.218</v>
      </c>
      <c r="V66" s="24">
        <f t="shared" si="629"/>
        <v>3260.6260000000002</v>
      </c>
      <c r="W66" s="38">
        <v>0.49099999999999999</v>
      </c>
      <c r="X66" s="24">
        <f t="shared" si="630"/>
        <v>7343.8869999999997</v>
      </c>
      <c r="Y66" s="38">
        <v>0.4</v>
      </c>
      <c r="Z66" s="24">
        <f t="shared" si="631"/>
        <v>5982.8</v>
      </c>
      <c r="AA66" s="118">
        <v>2.81E-3</v>
      </c>
      <c r="AB66" s="121">
        <f t="shared" si="60"/>
        <v>42.029170000000001</v>
      </c>
      <c r="AC66" s="45">
        <v>2.9399999999999999E-3</v>
      </c>
      <c r="AD66" s="17">
        <f t="shared" si="633"/>
        <v>43.973579999999998</v>
      </c>
      <c r="AE66" s="26">
        <f>IF(M66&gt;0,(AG66+AP66)/M66,0)</f>
        <v>2.9782810857792337E-3</v>
      </c>
      <c r="AF66" s="45">
        <v>2.5000000000000001E-4</v>
      </c>
      <c r="AG66" s="36">
        <f t="shared" si="634"/>
        <v>3.7392500000000002</v>
      </c>
      <c r="AH66" s="27">
        <v>0.2082</v>
      </c>
      <c r="AI66" s="40">
        <f t="shared" si="635"/>
        <v>37.827233400000004</v>
      </c>
      <c r="AJ66" s="27">
        <f t="shared" si="636"/>
        <v>0.91606596954723196</v>
      </c>
      <c r="AK66" s="28">
        <f t="shared" si="6"/>
        <v>0.91707975619477278</v>
      </c>
      <c r="AL66" s="42">
        <v>199</v>
      </c>
      <c r="AM66" s="38">
        <v>8.6999999999999994E-2</v>
      </c>
      <c r="AN66" s="27">
        <v>0.22459999999999999</v>
      </c>
      <c r="AO66" s="105">
        <v>0.22919999999999999</v>
      </c>
      <c r="AP66" s="40">
        <f>AL66*(1-AM66)*AN66</f>
        <v>40.806900200000001</v>
      </c>
      <c r="AQ66" s="106">
        <f t="shared" si="21"/>
        <v>41.642660399999997</v>
      </c>
      <c r="AR66" s="17">
        <v>1.55</v>
      </c>
      <c r="AS66" s="17"/>
      <c r="AT66" s="129">
        <f>AT65+AL66-AS66</f>
        <v>1447.3199999999988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38">SUM(D64:D66)</f>
        <v>43200</v>
      </c>
      <c r="E67" s="49"/>
      <c r="F67" s="49">
        <f t="shared" ref="F67" si="639">SUM(F64:F66)</f>
        <v>44592</v>
      </c>
      <c r="G67" s="50"/>
      <c r="H67" s="50"/>
      <c r="I67" s="49">
        <f t="shared" ref="I67:K67" si="640">SUM(I64:I66)</f>
        <v>43125</v>
      </c>
      <c r="J67" s="50"/>
      <c r="K67" s="49">
        <f t="shared" si="640"/>
        <v>47643</v>
      </c>
      <c r="L67" s="20">
        <f t="shared" ref="L67" si="641">IF(K67&gt;0,(K64*L64+K65*L65+K66*L66)/K67,0)</f>
        <v>5.9328631698255779E-2</v>
      </c>
      <c r="M67" s="50">
        <f t="shared" ref="M67" si="642">M64+M65+M66</f>
        <v>44817</v>
      </c>
      <c r="N67" s="51">
        <f t="shared" ref="N67" si="643">IF(M67&gt;0,O67/M67,0)</f>
        <v>0.76185666153468545</v>
      </c>
      <c r="O67" s="52">
        <f t="shared" ref="O67" si="644">O64+O65+O66</f>
        <v>34144.129999999997</v>
      </c>
      <c r="P67" s="20">
        <f t="shared" ref="P67" si="645">IF(M67&gt;0,Q67/M67,0)</f>
        <v>0.19286255215654774</v>
      </c>
      <c r="Q67" s="52">
        <f t="shared" ref="Q67" si="646">Q64+Q65+Q66</f>
        <v>8643.5210000000006</v>
      </c>
      <c r="R67" s="20">
        <f t="shared" ref="R67" si="647">IF(M67&gt;0,T67/M67,0)</f>
        <v>4.5280786308766766E-2</v>
      </c>
      <c r="S67" s="107"/>
      <c r="T67" s="52">
        <f t="shared" ref="T67" si="648">T64+T65+T66</f>
        <v>2029.3490000000002</v>
      </c>
      <c r="U67" s="20">
        <f t="shared" ref="U67" si="649">IF(M67&gt;0,V67/M67,0)</f>
        <v>0.21402775732422966</v>
      </c>
      <c r="V67" s="52">
        <f t="shared" ref="V67" si="650">V64+V65+V66</f>
        <v>9592.0820000000003</v>
      </c>
      <c r="W67" s="20">
        <f t="shared" ref="W67" si="651">IF(M67&gt;0,X67/M67,0)</f>
        <v>0.49263080973737639</v>
      </c>
      <c r="X67" s="52">
        <f t="shared" ref="X67" si="652">X64+X65+X66</f>
        <v>22078.234999999997</v>
      </c>
      <c r="Y67" s="20">
        <f t="shared" ref="Y67" si="653">IF(M67&gt;0,Z67/M67,0)</f>
        <v>0.39663699042773953</v>
      </c>
      <c r="Z67" s="52">
        <f t="shared" ref="Z67" si="654">Z64+Z65+Z66</f>
        <v>17776.080000000002</v>
      </c>
      <c r="AA67" s="119">
        <f t="shared" ref="AA67" si="655">IF(M67&gt;0,AB67/M67,0)</f>
        <v>2.7799863890934241E-3</v>
      </c>
      <c r="AB67" s="54">
        <f t="shared" ref="AB67" si="656">SUM(AB64:AB66)</f>
        <v>124.59064999999998</v>
      </c>
      <c r="AC67" s="53">
        <f t="shared" ref="AC67" si="657">IF(M67&gt;0,AD67/M67,0)</f>
        <v>2.9169025146707724E-3</v>
      </c>
      <c r="AD67" s="54">
        <f t="shared" ref="AD67" si="658">SUM(AD64:AD66)</f>
        <v>130.72682</v>
      </c>
      <c r="AE67" s="53">
        <f t="shared" ref="AE67" si="659">IF(M67&gt;0,(AE64*M64+AE65*M65+AE66*M66)/M67,0)</f>
        <v>2.8524263159069104E-3</v>
      </c>
      <c r="AF67" s="53">
        <f t="shared" ref="AF67" si="660">IF(K67&gt;0,(K64*AF64+K65*AF65+K66*AF66)/K67,0)</f>
        <v>2.4669101441974686E-4</v>
      </c>
      <c r="AG67" s="50">
        <f t="shared" ref="AG67" si="661">SUM(AG64:AG66)</f>
        <v>11.056370000000001</v>
      </c>
      <c r="AH67" s="51">
        <f t="shared" ref="AH67" si="662">IF(K67&gt;0,(K64*AH64+K65*AH65+K66*AH66)/K67,0)</f>
        <v>0.20914036899439581</v>
      </c>
      <c r="AI67" s="56">
        <f t="shared" ref="AI67" si="663">SUM(AI64:AI66)</f>
        <v>110.32955340000001</v>
      </c>
      <c r="AJ67" s="51">
        <f t="shared" ref="AJ67" si="664">IF(AND(AD67&gt;0),((AD64*AJ64+AD65*AJ65+AD66*AJ66)/AD67),0)</f>
        <v>0.91650500540695334</v>
      </c>
      <c r="AK67" s="55">
        <f t="shared" si="6"/>
        <v>0.91453467089098905</v>
      </c>
      <c r="AL67" s="49">
        <f t="shared" ref="AL67" si="665">SUM(AL64:AL66)</f>
        <v>578</v>
      </c>
      <c r="AM67" s="20">
        <f t="shared" ref="AM67" si="666">IF(AL67&gt;0,(AM64*AL64+AM65*AL65+AM66*AL66)/AL67,0)</f>
        <v>8.7323529411764703E-2</v>
      </c>
      <c r="AN67" s="51">
        <f>IF(K67&gt;0,(AN64*K64+AN65*K65+AN66*K66)/K67,0)</f>
        <v>0.22133704426673387</v>
      </c>
      <c r="AO67" s="107">
        <f>IF(L67&gt;0,(AO64*K64+AO65*K65+AO66*K66)/K67,0)</f>
        <v>0.22360658648699705</v>
      </c>
      <c r="AP67" s="56">
        <f t="shared" ref="AP67" si="667">SUM(AP64:AP66)</f>
        <v>116.78082020000001</v>
      </c>
      <c r="AQ67" s="108">
        <f t="shared" si="579"/>
        <v>117.9922524</v>
      </c>
      <c r="AR67" s="54"/>
      <c r="AS67" s="54">
        <f t="shared" ref="AS67" si="668">SUM(AS64:AS66)</f>
        <v>1071.06</v>
      </c>
      <c r="AT67" s="83"/>
      <c r="AU67" s="84">
        <f>AT66</f>
        <v>1447.3199999999988</v>
      </c>
      <c r="AV67" s="49">
        <f t="shared" ref="AV67" si="669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53</v>
      </c>
      <c r="D68" s="11">
        <v>3700</v>
      </c>
      <c r="E68" s="11">
        <v>1</v>
      </c>
      <c r="F68" s="11">
        <v>10262</v>
      </c>
      <c r="G68" s="12">
        <v>0.7</v>
      </c>
      <c r="H68" s="12">
        <v>5.7</v>
      </c>
      <c r="I68" s="11">
        <v>10340</v>
      </c>
      <c r="J68" s="12">
        <v>3</v>
      </c>
      <c r="K68" s="11">
        <v>15851</v>
      </c>
      <c r="L68" s="13">
        <v>5.5E-2</v>
      </c>
      <c r="M68" s="23">
        <f>ROUND(K68*(1-L68),0)</f>
        <v>14979</v>
      </c>
      <c r="N68" s="14">
        <v>0.77400000000000002</v>
      </c>
      <c r="O68" s="24">
        <f t="shared" ref="O68:O70" si="670">M68*N68</f>
        <v>11593.746000000001</v>
      </c>
      <c r="P68" s="13">
        <v>0.17799999999999999</v>
      </c>
      <c r="Q68" s="24">
        <f t="shared" ref="Q68:Q70" si="671">M68*P68</f>
        <v>2666.2619999999997</v>
      </c>
      <c r="R68" s="15">
        <v>4.8000000000000001E-2</v>
      </c>
      <c r="S68" s="112">
        <v>0.2293</v>
      </c>
      <c r="T68" s="24">
        <f t="shared" ref="T68:T70" si="672">M68*R68</f>
        <v>718.99199999999996</v>
      </c>
      <c r="U68" s="25">
        <v>0.217</v>
      </c>
      <c r="V68" s="24">
        <f t="shared" ref="V68:V70" si="673">M68*U68</f>
        <v>3250.4429999999998</v>
      </c>
      <c r="W68" s="15">
        <v>0.496</v>
      </c>
      <c r="X68" s="24">
        <f t="shared" ref="X68:X70" si="674">M68*W68</f>
        <v>7429.5839999999998</v>
      </c>
      <c r="Y68" s="15">
        <v>0.38</v>
      </c>
      <c r="Z68" s="24">
        <f t="shared" ref="Z68:Z70" si="675">Y68*M68</f>
        <v>5692.02</v>
      </c>
      <c r="AA68" s="116">
        <v>2.7299999999999998E-3</v>
      </c>
      <c r="AB68" s="18">
        <f t="shared" ref="AB68" si="676">M68*AA68</f>
        <v>40.892669999999995</v>
      </c>
      <c r="AC68" s="16">
        <v>2.8300000000000001E-3</v>
      </c>
      <c r="AD68" s="17">
        <f t="shared" ref="AD68:AD70" si="677">M68*AC68</f>
        <v>42.390570000000004</v>
      </c>
      <c r="AE68" s="26">
        <f>IF(M68&gt;0,(AG68+AP68)/M68,0)</f>
        <v>2.6425405167234133E-3</v>
      </c>
      <c r="AF68" s="16">
        <v>2.5999999999999998E-4</v>
      </c>
      <c r="AG68" s="23">
        <f t="shared" ref="AG68:AG70" si="678">AF68*M68</f>
        <v>3.8945399999999997</v>
      </c>
      <c r="AH68" s="92">
        <v>0.20530000000000001</v>
      </c>
      <c r="AI68" s="29">
        <f t="shared" ref="AI68:AI70" si="679">AL68*(1-AM68)*AH68</f>
        <v>34.301318700000003</v>
      </c>
      <c r="AJ68" s="27">
        <f t="shared" ref="AJ68:AJ70" si="680">IF(AND(AH68&gt;0,AF68&gt;0,AC68&gt;0),((AC68-AF68)*AH68)/((AH68-AF68)*AC68),0)</f>
        <v>0.90927875488226728</v>
      </c>
      <c r="AK68" s="58">
        <f t="shared" ref="AK68:AK127" si="681">IF(AND(AE68&gt;0,AN68&gt;0,AF68&gt;0),((AN68*(AE68-AF68))/(AE68*(AN68-AF68))),0)</f>
        <v>0.90270863668630519</v>
      </c>
      <c r="AL68" s="11">
        <v>183</v>
      </c>
      <c r="AM68" s="13">
        <v>8.6999999999999994E-2</v>
      </c>
      <c r="AN68" s="14">
        <v>0.21360000000000001</v>
      </c>
      <c r="AO68" s="101">
        <v>0.21329999999999999</v>
      </c>
      <c r="AP68" s="29">
        <f>AL68*(1-AM68)*AN68</f>
        <v>35.688074400000005</v>
      </c>
      <c r="AQ68" s="102">
        <f t="shared" ref="AQ68" si="682">AL68*(1-AM68)*AO68</f>
        <v>35.637950699999998</v>
      </c>
      <c r="AR68" s="18">
        <v>1.6</v>
      </c>
      <c r="AS68" s="18">
        <v>1039.3</v>
      </c>
      <c r="AT68" s="79">
        <f>AT66+AL68-AS68+AU68</f>
        <v>581.19999999999879</v>
      </c>
      <c r="AU68" s="130">
        <v>-9.82</v>
      </c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54</v>
      </c>
      <c r="D69" s="33">
        <v>19100</v>
      </c>
      <c r="E69" s="33">
        <v>6</v>
      </c>
      <c r="F69" s="33">
        <v>18456</v>
      </c>
      <c r="G69" s="34">
        <v>0.5</v>
      </c>
      <c r="H69" s="34">
        <v>5.7</v>
      </c>
      <c r="I69" s="33">
        <v>17157</v>
      </c>
      <c r="J69" s="34">
        <v>1.6</v>
      </c>
      <c r="K69" s="33">
        <v>16081</v>
      </c>
      <c r="L69" s="35">
        <v>5.1999999999999998E-2</v>
      </c>
      <c r="M69" s="36">
        <f>ROUND(K69*(1-L69),0)</f>
        <v>15245</v>
      </c>
      <c r="N69" s="37">
        <v>0.71799999999999997</v>
      </c>
      <c r="O69" s="24">
        <f t="shared" si="670"/>
        <v>10945.91</v>
      </c>
      <c r="P69" s="35">
        <v>0.248</v>
      </c>
      <c r="Q69" s="24">
        <f t="shared" si="671"/>
        <v>3780.7599999999998</v>
      </c>
      <c r="R69" s="38">
        <v>3.4000000000000002E-2</v>
      </c>
      <c r="S69" s="105">
        <v>0.2278</v>
      </c>
      <c r="T69" s="24">
        <f t="shared" si="672"/>
        <v>518.33000000000004</v>
      </c>
      <c r="U69" s="27">
        <v>0.22</v>
      </c>
      <c r="V69" s="24">
        <f t="shared" si="673"/>
        <v>3353.9</v>
      </c>
      <c r="W69" s="38">
        <v>0.48899999999999999</v>
      </c>
      <c r="X69" s="24">
        <f t="shared" si="674"/>
        <v>7454.8050000000003</v>
      </c>
      <c r="Y69" s="38">
        <v>0.39</v>
      </c>
      <c r="Z69" s="24">
        <f t="shared" si="675"/>
        <v>5945.55</v>
      </c>
      <c r="AA69" s="117">
        <v>2.82E-3</v>
      </c>
      <c r="AB69" s="18">
        <f t="shared" si="60"/>
        <v>42.990900000000003</v>
      </c>
      <c r="AC69" s="39">
        <v>2.7899999999999999E-3</v>
      </c>
      <c r="AD69" s="17">
        <f t="shared" si="677"/>
        <v>42.533549999999998</v>
      </c>
      <c r="AE69" s="26">
        <f>IF(M69&gt;0,(AG69+AP69)/M69,0)</f>
        <v>2.7686417841915386E-3</v>
      </c>
      <c r="AF69" s="39">
        <v>2.5000000000000001E-4</v>
      </c>
      <c r="AG69" s="36">
        <f t="shared" si="678"/>
        <v>3.8112500000000002</v>
      </c>
      <c r="AH69" s="27">
        <v>0.21160000000000001</v>
      </c>
      <c r="AI69" s="40">
        <f t="shared" si="679"/>
        <v>37.948344000000006</v>
      </c>
      <c r="AJ69" s="27">
        <f t="shared" si="680"/>
        <v>0.91147114513034055</v>
      </c>
      <c r="AK69" s="28">
        <f t="shared" si="681"/>
        <v>0.91076649964459977</v>
      </c>
      <c r="AL69" s="33">
        <v>196</v>
      </c>
      <c r="AM69" s="35">
        <v>8.5000000000000006E-2</v>
      </c>
      <c r="AN69" s="37">
        <v>0.21410000000000001</v>
      </c>
      <c r="AO69" s="103">
        <v>0.21310000000000001</v>
      </c>
      <c r="AP69" s="40">
        <f>AL69*(1-AM69)*AN69</f>
        <v>38.396694000000004</v>
      </c>
      <c r="AQ69" s="104">
        <f t="shared" si="21"/>
        <v>38.217354</v>
      </c>
      <c r="AR69" s="41">
        <v>1.58</v>
      </c>
      <c r="AS69" s="41"/>
      <c r="AT69" s="129">
        <f>AT68+AL69-AS69</f>
        <v>777.19999999999879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59</v>
      </c>
      <c r="D70" s="42">
        <v>19062</v>
      </c>
      <c r="E70" s="42">
        <v>0</v>
      </c>
      <c r="F70" s="42">
        <v>17107</v>
      </c>
      <c r="G70" s="36">
        <v>0.5</v>
      </c>
      <c r="H70" s="36">
        <v>7.6</v>
      </c>
      <c r="I70" s="42">
        <v>16778</v>
      </c>
      <c r="J70" s="36">
        <v>1</v>
      </c>
      <c r="K70" s="42">
        <v>16180</v>
      </c>
      <c r="L70" s="38">
        <v>0.06</v>
      </c>
      <c r="M70" s="36">
        <f>ROUND(K70*(1-L70),0)</f>
        <v>15209</v>
      </c>
      <c r="N70" s="27">
        <v>0.64700000000000002</v>
      </c>
      <c r="O70" s="24">
        <f t="shared" si="670"/>
        <v>9840.223</v>
      </c>
      <c r="P70" s="38">
        <v>0.30499999999999999</v>
      </c>
      <c r="Q70" s="24">
        <f t="shared" si="671"/>
        <v>4638.7449999999999</v>
      </c>
      <c r="R70" s="38">
        <v>4.8000000000000001E-2</v>
      </c>
      <c r="S70" s="105">
        <v>0.2225</v>
      </c>
      <c r="T70" s="24">
        <f t="shared" si="672"/>
        <v>730.03200000000004</v>
      </c>
      <c r="U70" s="27">
        <v>0.222</v>
      </c>
      <c r="V70" s="24">
        <f t="shared" si="673"/>
        <v>3376.3980000000001</v>
      </c>
      <c r="W70" s="38">
        <v>0.48799999999999999</v>
      </c>
      <c r="X70" s="24">
        <f t="shared" si="674"/>
        <v>7421.9920000000002</v>
      </c>
      <c r="Y70" s="38">
        <v>0.4</v>
      </c>
      <c r="Z70" s="24">
        <f t="shared" si="675"/>
        <v>6083.6</v>
      </c>
      <c r="AA70" s="118">
        <v>2.66E-3</v>
      </c>
      <c r="AB70" s="121">
        <f t="shared" si="60"/>
        <v>40.455939999999998</v>
      </c>
      <c r="AC70" s="45">
        <v>2.6700000000000001E-3</v>
      </c>
      <c r="AD70" s="17">
        <f t="shared" si="677"/>
        <v>40.608029999999999</v>
      </c>
      <c r="AE70" s="26">
        <f>IF(M70&gt;0,(AG70+AP70)/M70,0)</f>
        <v>2.6945106647379841E-3</v>
      </c>
      <c r="AF70" s="45">
        <v>2.4000000000000001E-4</v>
      </c>
      <c r="AG70" s="36">
        <f t="shared" si="678"/>
        <v>3.6501600000000001</v>
      </c>
      <c r="AH70" s="27">
        <v>0.20830000000000001</v>
      </c>
      <c r="AI70" s="40">
        <f t="shared" si="679"/>
        <v>34.422199900000003</v>
      </c>
      <c r="AJ70" s="27">
        <f t="shared" si="680"/>
        <v>0.91116218636153989</v>
      </c>
      <c r="AK70" s="28">
        <f t="shared" si="681"/>
        <v>0.91189884091871509</v>
      </c>
      <c r="AL70" s="42">
        <v>181</v>
      </c>
      <c r="AM70" s="38">
        <v>8.6999999999999994E-2</v>
      </c>
      <c r="AN70" s="27">
        <v>0.22589999999999999</v>
      </c>
      <c r="AO70" s="105">
        <v>0.22470000000000001</v>
      </c>
      <c r="AP70" s="40">
        <f>AL70*(1-AM70)*AN70</f>
        <v>37.330652700000002</v>
      </c>
      <c r="AQ70" s="106">
        <f t="shared" si="21"/>
        <v>37.132349100000006</v>
      </c>
      <c r="AR70" s="17">
        <v>1.6</v>
      </c>
      <c r="AS70" s="17"/>
      <c r="AT70" s="129">
        <f>AT69+AL70-AS70</f>
        <v>958.19999999999879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3">SUM(D68:D70)</f>
        <v>41862</v>
      </c>
      <c r="E71" s="49"/>
      <c r="F71" s="49">
        <f t="shared" ref="F71" si="684">SUM(F68:F70)</f>
        <v>45825</v>
      </c>
      <c r="G71" s="50"/>
      <c r="H71" s="50"/>
      <c r="I71" s="49">
        <f t="shared" ref="I71:K71" si="685">SUM(I68:I70)</f>
        <v>44275</v>
      </c>
      <c r="J71" s="50"/>
      <c r="K71" s="49">
        <f t="shared" si="685"/>
        <v>48112</v>
      </c>
      <c r="L71" s="20">
        <f t="shared" ref="L71" si="686">IF(K71&gt;0,(K68*L68+K69*L69+K70*L70)/K71,0)</f>
        <v>5.5678770369138673E-2</v>
      </c>
      <c r="M71" s="50">
        <f t="shared" ref="M71" si="687">M68+M69+M70</f>
        <v>45433</v>
      </c>
      <c r="N71" s="51">
        <f t="shared" ref="N71" si="688">IF(M71&gt;0,O71/M71,0)</f>
        <v>0.71269515550370877</v>
      </c>
      <c r="O71" s="52">
        <f t="shared" ref="O71" si="689">O68+O69+O70</f>
        <v>32379.879000000001</v>
      </c>
      <c r="P71" s="20">
        <f t="shared" ref="P71" si="690">IF(M71&gt;0,Q71/M71,0)</f>
        <v>0.24400253119978871</v>
      </c>
      <c r="Q71" s="52">
        <f t="shared" ref="Q71" si="691">Q68+Q69+Q70</f>
        <v>11085.767</v>
      </c>
      <c r="R71" s="20">
        <f t="shared" ref="R71" si="692">IF(M71&gt;0,T71/M71,0)</f>
        <v>4.3302313296502547E-2</v>
      </c>
      <c r="S71" s="107"/>
      <c r="T71" s="52">
        <f t="shared" ref="T71" si="693">T68+T69+T70</f>
        <v>1967.3540000000003</v>
      </c>
      <c r="U71" s="20">
        <f t="shared" ref="U71" si="694">IF(M71&gt;0,V71/M71,0)</f>
        <v>0.21968043052406841</v>
      </c>
      <c r="V71" s="52">
        <f t="shared" ref="V71" si="695">V68+V69+V70</f>
        <v>9980.741</v>
      </c>
      <c r="W71" s="20">
        <f t="shared" ref="W71" si="696">IF(M71&gt;0,X71/M71,0)</f>
        <v>0.49097310325094096</v>
      </c>
      <c r="X71" s="52">
        <f t="shared" ref="X71" si="697">X68+X69+X70</f>
        <v>22306.381000000001</v>
      </c>
      <c r="Y71" s="20">
        <f t="shared" ref="Y71" si="698">IF(M71&gt;0,Z71/M71,0)</f>
        <v>0.39005062399577395</v>
      </c>
      <c r="Z71" s="52">
        <f t="shared" ref="Z71" si="699">Z68+Z69+Z70</f>
        <v>17721.169999999998</v>
      </c>
      <c r="AA71" s="119">
        <f t="shared" ref="AA71" si="700">IF(M71&gt;0,AB71/M71,0)</f>
        <v>2.7367664472960182E-3</v>
      </c>
      <c r="AB71" s="54">
        <f t="shared" ref="AB71" si="701">SUM(AB68:AB70)</f>
        <v>124.33950999999999</v>
      </c>
      <c r="AC71" s="53">
        <f t="shared" ref="AC71" si="702">IF(M71&gt;0,AD71/M71,0)</f>
        <v>2.7630169700438006E-3</v>
      </c>
      <c r="AD71" s="54">
        <f t="shared" ref="AD71" si="703">SUM(AD68:AD70)</f>
        <v>125.53215</v>
      </c>
      <c r="AE71" s="53">
        <f t="shared" ref="AE71" si="704">IF(M71&gt;0,(AE68*M68+AE69*M69+AE70*M70)/M71,0)</f>
        <v>2.7022510311887839E-3</v>
      </c>
      <c r="AF71" s="53">
        <f t="shared" ref="AF71" si="705">IF(K71&gt;0,(K68*AF68+K69*AF69+K70*AF70)/K71,0)</f>
        <v>2.4993161789158632E-4</v>
      </c>
      <c r="AG71" s="50">
        <f t="shared" ref="AG71" si="706">SUM(AG68:AG70)</f>
        <v>11.35595</v>
      </c>
      <c r="AH71" s="51">
        <f t="shared" ref="AH71" si="707">IF(K71&gt;0,(K68*AH68+K69*AH69+K70*AH70)/K71,0)</f>
        <v>0.20841461381775858</v>
      </c>
      <c r="AI71" s="56">
        <f t="shared" ref="AI71" si="708">SUM(AI68:AI70)</f>
        <v>106.67186260000003</v>
      </c>
      <c r="AJ71" s="51">
        <f t="shared" ref="AJ71" si="709">IF(AND(AD71&gt;0),((AD68*AJ68+AD69*AJ69+AD70*AJ70)/AD71),0)</f>
        <v>0.91063085936107357</v>
      </c>
      <c r="AK71" s="55">
        <f t="shared" si="681"/>
        <v>0.90855193777922838</v>
      </c>
      <c r="AL71" s="49">
        <f t="shared" ref="AL71" si="710">SUM(AL68:AL70)</f>
        <v>560</v>
      </c>
      <c r="AM71" s="20">
        <f t="shared" ref="AM71" si="711">IF(AL71&gt;0,(AM68*AL68+AM69*AL69+AM70*AL70)/AL71,0)</f>
        <v>8.6300000000000002E-2</v>
      </c>
      <c r="AN71" s="51">
        <f>IF(K71&gt;0,(AN68*K68+AN69*K69+AN70*K70)/K71,0)</f>
        <v>0.21790359369803791</v>
      </c>
      <c r="AO71" s="107">
        <f>IF(L71&gt;0,(AO68*K68+AO69*K69+AO70*K70)/K71,0)</f>
        <v>0.21706695626870637</v>
      </c>
      <c r="AP71" s="56">
        <f t="shared" ref="AP71" si="712">SUM(AP68:AP70)</f>
        <v>111.4154211</v>
      </c>
      <c r="AQ71" s="108">
        <f t="shared" si="579"/>
        <v>110.9876538</v>
      </c>
      <c r="AR71" s="54"/>
      <c r="AS71" s="54">
        <f t="shared" ref="AS71" si="713">SUM(AS68:AS70)</f>
        <v>1039.3</v>
      </c>
      <c r="AT71" s="83"/>
      <c r="AU71" s="84">
        <f>AT70</f>
        <v>958.19999999999879</v>
      </c>
      <c r="AV71" s="49">
        <f t="shared" ref="AV71" si="714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43" t="s">
        <v>57</v>
      </c>
      <c r="D72" s="11">
        <v>6400</v>
      </c>
      <c r="E72" s="11">
        <v>0</v>
      </c>
      <c r="F72" s="11">
        <v>9814</v>
      </c>
      <c r="G72" s="12">
        <v>0.6</v>
      </c>
      <c r="H72" s="12">
        <v>6.9</v>
      </c>
      <c r="I72" s="11">
        <v>10103</v>
      </c>
      <c r="J72" s="131">
        <v>3</v>
      </c>
      <c r="K72" s="11">
        <v>16128</v>
      </c>
      <c r="L72" s="13">
        <v>6.4000000000000001E-2</v>
      </c>
      <c r="M72" s="23">
        <f>ROUND(K72*(1-L72),0)</f>
        <v>15096</v>
      </c>
      <c r="N72" s="14">
        <v>0.75800000000000001</v>
      </c>
      <c r="O72" s="24">
        <f t="shared" ref="O72:O74" si="715">M72*N72</f>
        <v>11442.768</v>
      </c>
      <c r="P72" s="13">
        <v>0.20799999999999999</v>
      </c>
      <c r="Q72" s="24">
        <f t="shared" ref="Q72:Q74" si="716">M72*P72</f>
        <v>3139.9679999999998</v>
      </c>
      <c r="R72" s="15">
        <v>3.4000000000000002E-2</v>
      </c>
      <c r="S72" s="112">
        <v>0.24010000000000001</v>
      </c>
      <c r="T72" s="24">
        <f t="shared" ref="T72:T74" si="717">M72*R72</f>
        <v>513.26400000000001</v>
      </c>
      <c r="U72" s="25">
        <v>0.218</v>
      </c>
      <c r="V72" s="24">
        <f t="shared" ref="V72:V74" si="718">M72*U72</f>
        <v>3290.9279999999999</v>
      </c>
      <c r="W72" s="15">
        <v>0.48699999999999999</v>
      </c>
      <c r="X72" s="24">
        <f t="shared" ref="X72:X74" si="719">M72*W72</f>
        <v>7351.7519999999995</v>
      </c>
      <c r="Y72" s="15">
        <v>0.4</v>
      </c>
      <c r="Z72" s="24">
        <f t="shared" ref="Z72:Z74" si="720">Y72*M72</f>
        <v>6038.4000000000005</v>
      </c>
      <c r="AA72" s="116">
        <v>2.5500000000000002E-3</v>
      </c>
      <c r="AB72" s="18">
        <f t="shared" ref="AB72" si="721">M72*AA72</f>
        <v>38.494800000000005</v>
      </c>
      <c r="AC72" s="16">
        <v>2.3900000000000002E-3</v>
      </c>
      <c r="AD72" s="17">
        <f t="shared" ref="AD72:AD74" si="722">M72*AC72</f>
        <v>36.079440000000005</v>
      </c>
      <c r="AE72" s="26">
        <f>IF(M72&gt;0,(AG72+AP72)/M72,0)</f>
        <v>2.0798065712771597E-3</v>
      </c>
      <c r="AF72" s="16">
        <v>2.3000000000000001E-4</v>
      </c>
      <c r="AG72" s="23">
        <f t="shared" ref="AG72:AG74" si="723">AF72*M72</f>
        <v>3.4720800000000001</v>
      </c>
      <c r="AH72" s="92">
        <v>0.20930000000000001</v>
      </c>
      <c r="AI72" s="29">
        <f t="shared" ref="AI72:AI74" si="724">AL72*(1-AM72)*AH72</f>
        <v>26.518310000000003</v>
      </c>
      <c r="AJ72" s="27">
        <f t="shared" ref="AJ72:AJ74" si="725">IF(AND(AH72&gt;0,AF72&gt;0,AC72&gt;0),((AC72-AF72)*AH72)/((AH72-AF72)*AC72),0)</f>
        <v>0.90475993206015159</v>
      </c>
      <c r="AK72" s="58">
        <f t="shared" si="681"/>
        <v>0.89034191560108422</v>
      </c>
      <c r="AL72" s="11">
        <v>140</v>
      </c>
      <c r="AM72" s="13">
        <v>9.5000000000000001E-2</v>
      </c>
      <c r="AN72" s="14">
        <v>0.22040000000000001</v>
      </c>
      <c r="AO72" s="101">
        <v>0.2165</v>
      </c>
      <c r="AP72" s="29">
        <f>AL72*(1-AM72)*AN72</f>
        <v>27.924680000000002</v>
      </c>
      <c r="AQ72" s="102">
        <f t="shared" ref="AQ72:AQ119" si="726">AL72*(1-AM72)*AO72</f>
        <v>27.43055</v>
      </c>
      <c r="AR72" s="18">
        <v>1.7</v>
      </c>
      <c r="AS72" s="18">
        <v>1100.26</v>
      </c>
      <c r="AT72" s="79">
        <f>AT70+AL72-AS72+AU72</f>
        <v>17.019999999998916</v>
      </c>
      <c r="AU72" s="80">
        <v>19.079999999999998</v>
      </c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54</v>
      </c>
      <c r="D73" s="33">
        <v>24100</v>
      </c>
      <c r="E73" s="33">
        <v>2</v>
      </c>
      <c r="F73" s="33">
        <v>19010</v>
      </c>
      <c r="G73" s="34">
        <v>0.4</v>
      </c>
      <c r="H73" s="34">
        <v>5</v>
      </c>
      <c r="I73" s="33">
        <v>18030</v>
      </c>
      <c r="J73" s="132">
        <v>2.2999999999999998</v>
      </c>
      <c r="K73" s="33">
        <v>15965</v>
      </c>
      <c r="L73" s="35">
        <v>7.0999999999999994E-2</v>
      </c>
      <c r="M73" s="36">
        <f>ROUND(K73*(1-L73),0)</f>
        <v>14831</v>
      </c>
      <c r="N73" s="37">
        <v>0.72099999999999997</v>
      </c>
      <c r="O73" s="24">
        <f t="shared" si="715"/>
        <v>10693.151</v>
      </c>
      <c r="P73" s="35">
        <v>0.254</v>
      </c>
      <c r="Q73" s="24">
        <f t="shared" si="716"/>
        <v>3767.0740000000001</v>
      </c>
      <c r="R73" s="38">
        <v>2.5000000000000001E-2</v>
      </c>
      <c r="S73" s="105">
        <v>0.23119999999999999</v>
      </c>
      <c r="T73" s="24">
        <f t="shared" si="717"/>
        <v>370.77500000000003</v>
      </c>
      <c r="U73" s="27">
        <v>0.20699999999999999</v>
      </c>
      <c r="V73" s="24">
        <f t="shared" si="718"/>
        <v>3070.0169999999998</v>
      </c>
      <c r="W73" s="38">
        <v>0.50900000000000001</v>
      </c>
      <c r="X73" s="24">
        <f t="shared" si="719"/>
        <v>7548.9790000000003</v>
      </c>
      <c r="Y73" s="38">
        <v>0.39</v>
      </c>
      <c r="Z73" s="24">
        <f t="shared" si="720"/>
        <v>5784.09</v>
      </c>
      <c r="AA73" s="117">
        <v>2.4199999999999998E-3</v>
      </c>
      <c r="AB73" s="18">
        <f t="shared" si="60"/>
        <v>35.891019999999997</v>
      </c>
      <c r="AC73" s="39">
        <v>2.33E-3</v>
      </c>
      <c r="AD73" s="17">
        <f t="shared" si="722"/>
        <v>34.556229999999999</v>
      </c>
      <c r="AE73" s="26">
        <f>IF(M73&gt;0,(AG73+AP73)/M73,0)</f>
        <v>2.9336202885847209E-3</v>
      </c>
      <c r="AF73" s="39">
        <v>2.2000000000000001E-4</v>
      </c>
      <c r="AG73" s="36">
        <f t="shared" si="723"/>
        <v>3.2628200000000001</v>
      </c>
      <c r="AH73" s="27">
        <v>0.20280000000000001</v>
      </c>
      <c r="AI73" s="40">
        <f t="shared" si="724"/>
        <v>37.873913999999999</v>
      </c>
      <c r="AJ73" s="27">
        <f t="shared" si="725"/>
        <v>0.90656284996506442</v>
      </c>
      <c r="AK73" s="28">
        <f t="shared" si="681"/>
        <v>0.92595262426826974</v>
      </c>
      <c r="AL73" s="33">
        <v>205</v>
      </c>
      <c r="AM73" s="35">
        <v>8.8999999999999996E-2</v>
      </c>
      <c r="AN73" s="37">
        <v>0.2155</v>
      </c>
      <c r="AO73" s="103">
        <v>0.21460000000000001</v>
      </c>
      <c r="AP73" s="40">
        <f>AL73*(1-AM73)*AN73</f>
        <v>40.2457025</v>
      </c>
      <c r="AQ73" s="104">
        <f t="shared" si="726"/>
        <v>40.077623000000003</v>
      </c>
      <c r="AR73" s="41">
        <v>1.6</v>
      </c>
      <c r="AS73" s="41"/>
      <c r="AT73" s="129">
        <f>AT72+AL73-AS73</f>
        <v>222.0199999999989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59</v>
      </c>
      <c r="D74" s="42">
        <v>15000</v>
      </c>
      <c r="E74" s="42">
        <v>1</v>
      </c>
      <c r="F74" s="42">
        <v>17096</v>
      </c>
      <c r="G74" s="36">
        <v>1.1000000000000001</v>
      </c>
      <c r="H74" s="36">
        <v>5.4</v>
      </c>
      <c r="I74" s="42">
        <v>17062</v>
      </c>
      <c r="J74" s="36">
        <v>1</v>
      </c>
      <c r="K74" s="42">
        <v>16098</v>
      </c>
      <c r="L74" s="38">
        <v>6.2E-2</v>
      </c>
      <c r="M74" s="36">
        <f>ROUND(K74*(1-L74),0)</f>
        <v>15100</v>
      </c>
      <c r="N74" s="27">
        <v>0.66500000000000004</v>
      </c>
      <c r="O74" s="24">
        <f t="shared" si="715"/>
        <v>10041.5</v>
      </c>
      <c r="P74" s="38">
        <v>0.317</v>
      </c>
      <c r="Q74" s="24">
        <f t="shared" si="716"/>
        <v>4786.7</v>
      </c>
      <c r="R74" s="38">
        <v>1.7999999999999999E-2</v>
      </c>
      <c r="S74" s="105">
        <v>0.2346</v>
      </c>
      <c r="T74" s="24">
        <f t="shared" si="717"/>
        <v>271.79999999999995</v>
      </c>
      <c r="U74" s="27">
        <v>0.21299999999999999</v>
      </c>
      <c r="V74" s="24">
        <f t="shared" si="718"/>
        <v>3216.2999999999997</v>
      </c>
      <c r="W74" s="38">
        <v>0.498</v>
      </c>
      <c r="X74" s="24">
        <f t="shared" si="719"/>
        <v>7519.8</v>
      </c>
      <c r="Y74" s="38">
        <v>0.4</v>
      </c>
      <c r="Z74" s="24">
        <f t="shared" si="720"/>
        <v>6040</v>
      </c>
      <c r="AA74" s="118">
        <v>2.3999999999999998E-3</v>
      </c>
      <c r="AB74" s="121">
        <f t="shared" si="60"/>
        <v>36.239999999999995</v>
      </c>
      <c r="AC74" s="45">
        <v>2.2899999999999999E-3</v>
      </c>
      <c r="AD74" s="17">
        <f t="shared" si="722"/>
        <v>34.579000000000001</v>
      </c>
      <c r="AE74" s="26">
        <f>IF(M74&gt;0,(AG74+AP74)/M74,0)</f>
        <v>2.5549084768211922E-3</v>
      </c>
      <c r="AF74" s="45">
        <v>2.4000000000000001E-4</v>
      </c>
      <c r="AG74" s="36">
        <f t="shared" si="723"/>
        <v>3.6240000000000001</v>
      </c>
      <c r="AH74" s="27">
        <v>0.20660000000000001</v>
      </c>
      <c r="AI74" s="40">
        <f t="shared" si="724"/>
        <v>33.952643999999999</v>
      </c>
      <c r="AJ74" s="27">
        <f t="shared" si="725"/>
        <v>0.89623763448960603</v>
      </c>
      <c r="AK74" s="28">
        <f t="shared" si="681"/>
        <v>0.9070866823392314</v>
      </c>
      <c r="AL74" s="42">
        <v>180</v>
      </c>
      <c r="AM74" s="38">
        <v>8.6999999999999994E-2</v>
      </c>
      <c r="AN74" s="27">
        <v>0.2127</v>
      </c>
      <c r="AO74" s="105">
        <v>0.21490000000000001</v>
      </c>
      <c r="AP74" s="40">
        <f>AL74*(1-AM74)*AN74</f>
        <v>34.955117999999999</v>
      </c>
      <c r="AQ74" s="106">
        <f t="shared" si="726"/>
        <v>35.316666000000005</v>
      </c>
      <c r="AR74" s="17">
        <v>1.55</v>
      </c>
      <c r="AS74" s="17"/>
      <c r="AT74" s="129">
        <f>AT73+AL74-AS74</f>
        <v>402.0199999999989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7">SUM(D72:D74)</f>
        <v>45500</v>
      </c>
      <c r="E75" s="49"/>
      <c r="F75" s="49">
        <f t="shared" ref="F75" si="728">SUM(F72:F74)</f>
        <v>45920</v>
      </c>
      <c r="G75" s="50"/>
      <c r="H75" s="50"/>
      <c r="I75" s="49">
        <f t="shared" ref="I75:K75" si="729">SUM(I72:I74)</f>
        <v>45195</v>
      </c>
      <c r="J75" s="50"/>
      <c r="K75" s="49">
        <f t="shared" si="729"/>
        <v>48191</v>
      </c>
      <c r="L75" s="20">
        <f t="shared" ref="L75" si="730">IF(K75&gt;0,(K72*L72+K73*L73+K74*L74)/K75,0)</f>
        <v>6.5650909920939596E-2</v>
      </c>
      <c r="M75" s="50">
        <f t="shared" ref="M75" si="731">M72+M73+M74</f>
        <v>45027</v>
      </c>
      <c r="N75" s="51">
        <f t="shared" ref="N75" si="732">IF(M75&gt;0,O75/M75,0)</f>
        <v>0.71462498056721524</v>
      </c>
      <c r="O75" s="52">
        <f t="shared" ref="O75" si="733">O72+O73+O74</f>
        <v>32177.419000000002</v>
      </c>
      <c r="P75" s="20">
        <f t="shared" ref="P75" si="734">IF(M75&gt;0,Q75/M75,0)</f>
        <v>0.25970511026717297</v>
      </c>
      <c r="Q75" s="52">
        <f t="shared" ref="Q75" si="735">Q72+Q73+Q74</f>
        <v>11693.741999999998</v>
      </c>
      <c r="R75" s="20">
        <f t="shared" ref="R75" si="736">IF(M75&gt;0,T75/M75,0)</f>
        <v>2.5669909165611744E-2</v>
      </c>
      <c r="S75" s="107"/>
      <c r="T75" s="52">
        <f t="shared" ref="T75" si="737">T72+T73+T74</f>
        <v>1155.8389999999999</v>
      </c>
      <c r="U75" s="20">
        <f t="shared" ref="U75" si="738">IF(M75&gt;0,V75/M75,0)</f>
        <v>0.21270004663868344</v>
      </c>
      <c r="V75" s="52">
        <f t="shared" ref="V75" si="739">V72+V73+V74</f>
        <v>9577.244999999999</v>
      </c>
      <c r="W75" s="20">
        <f t="shared" ref="W75" si="740">IF(M75&gt;0,X75/M75,0)</f>
        <v>0.49793526106558283</v>
      </c>
      <c r="X75" s="52">
        <f t="shared" ref="X75" si="741">X72+X73+X74</f>
        <v>22420.530999999999</v>
      </c>
      <c r="Y75" s="20">
        <f t="shared" ref="Y75" si="742">IF(M75&gt;0,Z75/M75,0)</f>
        <v>0.39670619850312039</v>
      </c>
      <c r="Z75" s="52">
        <f t="shared" ref="Z75" si="743">Z72+Z73+Z74</f>
        <v>17862.490000000002</v>
      </c>
      <c r="AA75" s="119">
        <f t="shared" ref="AA75" si="744">IF(M75&gt;0,AB75/M75,0)</f>
        <v>2.4568774290980966E-3</v>
      </c>
      <c r="AB75" s="54">
        <f t="shared" ref="AB75" si="745">SUM(AB72:AB74)</f>
        <v>110.62581999999999</v>
      </c>
      <c r="AC75" s="53">
        <f t="shared" ref="AC75" si="746">IF(M75&gt;0,AD75/M75,0)</f>
        <v>2.3367017567237436E-3</v>
      </c>
      <c r="AD75" s="54">
        <f t="shared" ref="AD75" si="747">SUM(AD72:AD74)</f>
        <v>105.21467000000001</v>
      </c>
      <c r="AE75" s="53">
        <f t="shared" ref="AE75" si="748">IF(M75&gt;0,(AE72*M72+AE73*M73+AE74*M74)/M75,0)</f>
        <v>2.5203633486574721E-3</v>
      </c>
      <c r="AF75" s="53">
        <f t="shared" ref="AF75" si="749">IF(K75&gt;0,(K72*AF72+K73*AF73+K74*AF74)/K75,0)</f>
        <v>2.3002759851424543E-4</v>
      </c>
      <c r="AG75" s="50">
        <f t="shared" ref="AG75" si="750">SUM(AG72:AG74)</f>
        <v>10.3589</v>
      </c>
      <c r="AH75" s="51">
        <f t="shared" ref="AH75" si="751">IF(K75&gt;0,(K72*AH72+K73*AH73+K74*AH74)/K75,0)</f>
        <v>0.20624471789338261</v>
      </c>
      <c r="AI75" s="56">
        <f t="shared" ref="AI75" si="752">SUM(AI72:AI74)</f>
        <v>98.344867999999991</v>
      </c>
      <c r="AJ75" s="51">
        <f t="shared" ref="AJ75" si="753">IF(AND(AD75&gt;0),((AD72*AJ72+AD73*AJ73+AD74*AJ74)/AD75),0)</f>
        <v>0.90255120506515552</v>
      </c>
      <c r="AK75" s="55">
        <f t="shared" si="681"/>
        <v>0.90970022842441234</v>
      </c>
      <c r="AL75" s="49">
        <f t="shared" ref="AL75" si="754">SUM(AL72:AL74)</f>
        <v>525</v>
      </c>
      <c r="AM75" s="20">
        <f t="shared" ref="AM75" si="755">IF(AL75&gt;0,(AM72*AL72+AM73*AL73+AM74*AL74)/AL75,0)</f>
        <v>8.991428571428571E-2</v>
      </c>
      <c r="AN75" s="51">
        <f>IF(K75&gt;0,(AN72*K72+AN73*K73+AN74*K74)/K75,0)</f>
        <v>0.21620454649208359</v>
      </c>
      <c r="AO75" s="107">
        <f>IF(L75&gt;0,(AO72*K72+AO73*K73+AO74*K74)/K75,0)</f>
        <v>0.21533608350106867</v>
      </c>
      <c r="AP75" s="56">
        <f t="shared" ref="AP75:AQ87" si="756">SUM(AP72:AP74)</f>
        <v>103.1255005</v>
      </c>
      <c r="AQ75" s="108">
        <f t="shared" si="756"/>
        <v>102.824839</v>
      </c>
      <c r="AR75" s="54"/>
      <c r="AS75" s="54">
        <f t="shared" ref="AS75" si="757">SUM(AS72:AS74)</f>
        <v>1100.26</v>
      </c>
      <c r="AT75" s="83"/>
      <c r="AU75" s="84">
        <f>AT74</f>
        <v>402.0199999999989</v>
      </c>
      <c r="AV75" s="49">
        <f t="shared" ref="AV75" si="758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43" t="s">
        <v>57</v>
      </c>
      <c r="D76" s="11">
        <v>4000</v>
      </c>
      <c r="E76" s="11">
        <v>2</v>
      </c>
      <c r="F76" s="11">
        <v>10493</v>
      </c>
      <c r="G76" s="12">
        <v>0.9</v>
      </c>
      <c r="H76" s="12">
        <v>6.2</v>
      </c>
      <c r="I76" s="11">
        <v>9906</v>
      </c>
      <c r="J76" s="12">
        <v>2.2000000000000002</v>
      </c>
      <c r="K76" s="11">
        <v>15219</v>
      </c>
      <c r="L76" s="13">
        <v>0.06</v>
      </c>
      <c r="M76" s="23">
        <f>ROUND(K76*(1-L76),0)</f>
        <v>14306</v>
      </c>
      <c r="N76" s="14">
        <v>0.63600000000000001</v>
      </c>
      <c r="O76" s="24">
        <f t="shared" ref="O76:O78" si="759">M76*N76</f>
        <v>9098.616</v>
      </c>
      <c r="P76" s="13">
        <v>0.32300000000000001</v>
      </c>
      <c r="Q76" s="24">
        <f t="shared" ref="Q76:Q78" si="760">M76*P76</f>
        <v>4620.8379999999997</v>
      </c>
      <c r="R76" s="15">
        <v>4.1000000000000002E-2</v>
      </c>
      <c r="S76" s="112">
        <v>0.21990000000000001</v>
      </c>
      <c r="T76" s="24">
        <f t="shared" ref="T76:T78" si="761">M76*R76</f>
        <v>586.54600000000005</v>
      </c>
      <c r="U76" s="25">
        <v>0.20899999999999999</v>
      </c>
      <c r="V76" s="24">
        <f t="shared" ref="V76:V78" si="762">M76*U76</f>
        <v>2989.9539999999997</v>
      </c>
      <c r="W76" s="15">
        <v>0.50700000000000001</v>
      </c>
      <c r="X76" s="24">
        <f t="shared" ref="X76:X78" si="763">M76*W76</f>
        <v>7253.1419999999998</v>
      </c>
      <c r="Y76" s="15">
        <v>0.4</v>
      </c>
      <c r="Z76" s="24">
        <f t="shared" ref="Z76:Z78" si="764">Y76*M76</f>
        <v>5722.4000000000005</v>
      </c>
      <c r="AA76" s="116">
        <v>2.4599999999999999E-3</v>
      </c>
      <c r="AB76" s="18">
        <f t="shared" ref="AB76:AB119" si="765">M76*AA76</f>
        <v>35.19276</v>
      </c>
      <c r="AC76" s="16">
        <v>2.32E-3</v>
      </c>
      <c r="AD76" s="17">
        <f t="shared" ref="AD76:AD78" si="766">M76*AC76</f>
        <v>33.189920000000001</v>
      </c>
      <c r="AE76" s="26">
        <f>IF(M76&gt;0,(AG76+AP76)/M76,0)</f>
        <v>2.5244135887040405E-3</v>
      </c>
      <c r="AF76" s="16">
        <v>2.5999999999999998E-4</v>
      </c>
      <c r="AG76" s="23">
        <f t="shared" ref="AG76:AG78" si="767">AF76*M76</f>
        <v>3.7195599999999995</v>
      </c>
      <c r="AH76" s="92">
        <v>0.2014</v>
      </c>
      <c r="AI76" s="29">
        <f t="shared" ref="AI76:AI78" si="768">AL76*(1-AM76)*AH76</f>
        <v>30.891537600000003</v>
      </c>
      <c r="AJ76" s="27">
        <f t="shared" ref="AJ76:AJ78" si="769">IF(AND(AH76&gt;0,AF76&gt;0,AC76&gt;0),((AC76-AF76)*AH76)/((AH76-AF76)*AC76),0)</f>
        <v>0.88907880254960536</v>
      </c>
      <c r="AK76" s="58">
        <f t="shared" si="681"/>
        <v>0.89811141295775332</v>
      </c>
      <c r="AL76" s="11">
        <v>168</v>
      </c>
      <c r="AM76" s="13">
        <v>8.6999999999999994E-2</v>
      </c>
      <c r="AN76" s="14">
        <v>0.2112</v>
      </c>
      <c r="AO76" s="101">
        <v>0.21329999999999999</v>
      </c>
      <c r="AP76" s="29">
        <f>AL76*(1-AM76)*AN76</f>
        <v>32.394700800000003</v>
      </c>
      <c r="AQ76" s="102">
        <f t="shared" ref="AQ76" si="770">AL76*(1-AM76)*AO76</f>
        <v>32.716807199999998</v>
      </c>
      <c r="AR76" s="18">
        <v>1.55</v>
      </c>
      <c r="AS76" s="18">
        <v>503.64</v>
      </c>
      <c r="AT76" s="79">
        <f>AT74+AL76-AS76+AU76</f>
        <v>53.619999999998861</v>
      </c>
      <c r="AU76" s="130">
        <v>-12.76</v>
      </c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0" t="s">
        <v>58</v>
      </c>
      <c r="D77" s="33">
        <v>19638</v>
      </c>
      <c r="E77" s="33">
        <v>5</v>
      </c>
      <c r="F77" s="33">
        <v>19953</v>
      </c>
      <c r="G77" s="34">
        <v>0.6</v>
      </c>
      <c r="H77" s="34">
        <v>5.4</v>
      </c>
      <c r="I77" s="33">
        <v>18978</v>
      </c>
      <c r="J77" s="34">
        <v>1.2</v>
      </c>
      <c r="K77" s="33">
        <v>15558</v>
      </c>
      <c r="L77" s="35">
        <v>6.6000000000000003E-2</v>
      </c>
      <c r="M77" s="36">
        <f>ROUND(K77*(1-L77),0)</f>
        <v>14531</v>
      </c>
      <c r="N77" s="37">
        <v>0.69699999999999995</v>
      </c>
      <c r="O77" s="24">
        <f t="shared" si="759"/>
        <v>10128.107</v>
      </c>
      <c r="P77" s="35">
        <v>0.249</v>
      </c>
      <c r="Q77" s="24">
        <f t="shared" si="760"/>
        <v>3618.2190000000001</v>
      </c>
      <c r="R77" s="38">
        <v>5.3999999999999999E-2</v>
      </c>
      <c r="S77" s="105">
        <v>0.2266</v>
      </c>
      <c r="T77" s="24">
        <f t="shared" si="761"/>
        <v>784.67399999999998</v>
      </c>
      <c r="U77" s="27">
        <v>0.19900000000000001</v>
      </c>
      <c r="V77" s="24">
        <f t="shared" si="762"/>
        <v>2891.6690000000003</v>
      </c>
      <c r="W77" s="38">
        <v>0.51600000000000001</v>
      </c>
      <c r="X77" s="24">
        <f t="shared" si="763"/>
        <v>7497.9960000000001</v>
      </c>
      <c r="Y77" s="38">
        <v>0.39</v>
      </c>
      <c r="Z77" s="24">
        <f t="shared" si="764"/>
        <v>5667.09</v>
      </c>
      <c r="AA77" s="117">
        <v>2.5799999999999998E-3</v>
      </c>
      <c r="AB77" s="18">
        <f t="shared" si="765"/>
        <v>37.489979999999996</v>
      </c>
      <c r="AC77" s="39">
        <v>2.3800000000000002E-3</v>
      </c>
      <c r="AD77" s="17">
        <f t="shared" si="766"/>
        <v>34.583780000000004</v>
      </c>
      <c r="AE77" s="26">
        <f>IF(M77&gt;0,(AG77+AP77)/M77,0)</f>
        <v>2.700735186841924E-3</v>
      </c>
      <c r="AF77" s="39">
        <v>2.7E-4</v>
      </c>
      <c r="AG77" s="36">
        <f t="shared" si="767"/>
        <v>3.9233700000000002</v>
      </c>
      <c r="AH77" s="27">
        <v>0.20530000000000001</v>
      </c>
      <c r="AI77" s="40">
        <f t="shared" si="768"/>
        <v>33.964421400000006</v>
      </c>
      <c r="AJ77" s="27">
        <f t="shared" si="769"/>
        <v>0.88772210830388831</v>
      </c>
      <c r="AK77" s="28">
        <f t="shared" si="681"/>
        <v>0.90116687070002188</v>
      </c>
      <c r="AL77" s="33">
        <v>182</v>
      </c>
      <c r="AM77" s="35">
        <v>9.0999999999999998E-2</v>
      </c>
      <c r="AN77" s="37">
        <v>0.2135</v>
      </c>
      <c r="AO77" s="103">
        <v>0.2165</v>
      </c>
      <c r="AP77" s="40">
        <f>AL77*(1-AM77)*AN77</f>
        <v>35.321013000000001</v>
      </c>
      <c r="AQ77" s="104">
        <f t="shared" si="726"/>
        <v>35.817327000000006</v>
      </c>
      <c r="AR77" s="41">
        <v>1.55</v>
      </c>
      <c r="AS77" s="41"/>
      <c r="AT77" s="129">
        <f>AT76+AL77-AS77</f>
        <v>235.61999999999887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59</v>
      </c>
      <c r="D78" s="42">
        <v>19000</v>
      </c>
      <c r="E78" s="42">
        <v>2</v>
      </c>
      <c r="F78" s="42">
        <v>15137</v>
      </c>
      <c r="G78" s="36">
        <v>0.5</v>
      </c>
      <c r="H78" s="36">
        <v>4.7</v>
      </c>
      <c r="I78" s="42">
        <v>15018</v>
      </c>
      <c r="J78" s="133">
        <v>1.3</v>
      </c>
      <c r="K78" s="42">
        <v>16035</v>
      </c>
      <c r="L78" s="38">
        <v>6.6000000000000003E-2</v>
      </c>
      <c r="M78" s="36">
        <f>ROUND(K78*(1-L78),0)</f>
        <v>14977</v>
      </c>
      <c r="N78" s="27">
        <v>0.71499999999999997</v>
      </c>
      <c r="O78" s="24">
        <f t="shared" si="759"/>
        <v>10708.555</v>
      </c>
      <c r="P78" s="38">
        <v>0.23300000000000001</v>
      </c>
      <c r="Q78" s="24">
        <f t="shared" si="760"/>
        <v>3489.6410000000001</v>
      </c>
      <c r="R78" s="38">
        <v>5.1999999999999998E-2</v>
      </c>
      <c r="S78" s="105">
        <v>0.23169999999999999</v>
      </c>
      <c r="T78" s="24">
        <f t="shared" si="761"/>
        <v>778.80399999999997</v>
      </c>
      <c r="U78" s="27">
        <v>0.19400000000000001</v>
      </c>
      <c r="V78" s="24">
        <f t="shared" si="762"/>
        <v>2905.538</v>
      </c>
      <c r="W78" s="38">
        <v>0.52300000000000002</v>
      </c>
      <c r="X78" s="24">
        <f t="shared" si="763"/>
        <v>7832.9710000000005</v>
      </c>
      <c r="Y78" s="38">
        <v>0.39</v>
      </c>
      <c r="Z78" s="24">
        <f t="shared" si="764"/>
        <v>5841.03</v>
      </c>
      <c r="AA78" s="118">
        <v>2.5899999999999999E-3</v>
      </c>
      <c r="AB78" s="121">
        <f t="shared" si="765"/>
        <v>38.790430000000001</v>
      </c>
      <c r="AC78" s="45">
        <v>2.32E-3</v>
      </c>
      <c r="AD78" s="17">
        <f t="shared" si="766"/>
        <v>34.746639999999999</v>
      </c>
      <c r="AE78" s="26">
        <f>IF(M78&gt;0,(AG78+AP78)/M78,0)</f>
        <v>2.3950097883421247E-3</v>
      </c>
      <c r="AF78" s="45">
        <v>2.7E-4</v>
      </c>
      <c r="AG78" s="36">
        <f t="shared" si="767"/>
        <v>4.0437900000000004</v>
      </c>
      <c r="AH78" s="27">
        <v>0.2046</v>
      </c>
      <c r="AI78" s="40">
        <f t="shared" si="768"/>
        <v>30.314968200000003</v>
      </c>
      <c r="AJ78" s="27">
        <f t="shared" si="769"/>
        <v>0.88478829884719956</v>
      </c>
      <c r="AK78" s="28">
        <f t="shared" si="681"/>
        <v>0.88838227807826009</v>
      </c>
      <c r="AL78" s="42">
        <v>163</v>
      </c>
      <c r="AM78" s="38">
        <v>9.0999999999999998E-2</v>
      </c>
      <c r="AN78" s="27">
        <v>0.21479999999999999</v>
      </c>
      <c r="AO78" s="105">
        <v>0.22289999999999999</v>
      </c>
      <c r="AP78" s="40">
        <f>AL78*(1-AM78)*AN78</f>
        <v>31.826271599999998</v>
      </c>
      <c r="AQ78" s="106">
        <f t="shared" si="726"/>
        <v>33.026424299999995</v>
      </c>
      <c r="AR78" s="17">
        <v>1.5</v>
      </c>
      <c r="AS78" s="17"/>
      <c r="AT78" s="129">
        <f>AT77+AL78-AS78</f>
        <v>398.61999999999887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1">SUM(D76:D78)</f>
        <v>42638</v>
      </c>
      <c r="E79" s="49"/>
      <c r="F79" s="49">
        <f t="shared" ref="F79" si="772">SUM(F76:F78)</f>
        <v>45583</v>
      </c>
      <c r="G79" s="50"/>
      <c r="H79" s="50"/>
      <c r="I79" s="49">
        <f t="shared" ref="I79:K79" si="773">SUM(I76:I78)</f>
        <v>43902</v>
      </c>
      <c r="J79" s="50"/>
      <c r="K79" s="49">
        <f t="shared" si="773"/>
        <v>46812</v>
      </c>
      <c r="L79" s="20">
        <f t="shared" ref="L79" si="774">IF(K79&gt;0,(K76*L76+K77*L77+K78*L78)/K79,0)</f>
        <v>6.4049346321456035E-2</v>
      </c>
      <c r="M79" s="50">
        <f t="shared" ref="M79" si="775">M76+M77+M78</f>
        <v>43814</v>
      </c>
      <c r="N79" s="51">
        <f t="shared" ref="N79" si="776">IF(M79&gt;0,O79/M79,0)</f>
        <v>0.68323544985621032</v>
      </c>
      <c r="O79" s="52">
        <f t="shared" ref="O79" si="777">O76+O77+O78</f>
        <v>29935.277999999998</v>
      </c>
      <c r="P79" s="20">
        <f t="shared" ref="P79" si="778">IF(M79&gt;0,Q79/M79,0)</f>
        <v>0.26769292920071208</v>
      </c>
      <c r="Q79" s="52">
        <f t="shared" ref="Q79" si="779">Q76+Q77+Q78</f>
        <v>11728.698</v>
      </c>
      <c r="R79" s="20">
        <f t="shared" ref="R79" si="780">IF(M79&gt;0,T79/M79,0)</f>
        <v>4.907162094307755E-2</v>
      </c>
      <c r="S79" s="107"/>
      <c r="T79" s="52">
        <f t="shared" ref="T79" si="781">T76+T77+T78</f>
        <v>2150.0239999999999</v>
      </c>
      <c r="U79" s="20">
        <f t="shared" ref="U79" si="782">IF(M79&gt;0,V79/M79,0)</f>
        <v>0.20055600949468205</v>
      </c>
      <c r="V79" s="52">
        <f t="shared" ref="V79" si="783">V76+V77+V78</f>
        <v>8787.1610000000001</v>
      </c>
      <c r="W79" s="20">
        <f t="shared" ref="W79" si="784">IF(M79&gt;0,X79/M79,0)</f>
        <v>0.51545416990003201</v>
      </c>
      <c r="X79" s="52">
        <f t="shared" ref="X79" si="785">X76+X77+X78</f>
        <v>22584.109</v>
      </c>
      <c r="Y79" s="20">
        <f t="shared" ref="Y79" si="786">IF(M79&gt;0,Z79/M79,0)</f>
        <v>0.39326516638517373</v>
      </c>
      <c r="Z79" s="52">
        <f t="shared" ref="Z79" si="787">Z76+Z77+Z78</f>
        <v>17230.52</v>
      </c>
      <c r="AA79" s="119">
        <f t="shared" ref="AA79" si="788">IF(M79&gt;0,AB79/M79,0)</f>
        <v>2.544236317158899E-3</v>
      </c>
      <c r="AB79" s="54">
        <f t="shared" ref="AB79" si="789">SUM(AB76:AB78)</f>
        <v>111.47317</v>
      </c>
      <c r="AC79" s="53">
        <f t="shared" ref="AC79" si="790">IF(M79&gt;0,AD79/M79,0)</f>
        <v>2.3398991190030586E-3</v>
      </c>
      <c r="AD79" s="54">
        <f t="shared" ref="AD79" si="791">SUM(AD76:AD78)</f>
        <v>102.52034</v>
      </c>
      <c r="AE79" s="53">
        <f t="shared" ref="AE79" si="792">IF(M79&gt;0,(AE76*M76+AE77*M77+AE78*M78)/M79,0)</f>
        <v>2.5386567170310862E-3</v>
      </c>
      <c r="AF79" s="53">
        <f t="shared" ref="AF79" si="793">IF(K79&gt;0,(K76*AF76+K77*AF77+K78*AF78)/K79,0)</f>
        <v>2.6674891053576005E-4</v>
      </c>
      <c r="AG79" s="50">
        <f t="shared" ref="AG79" si="794">SUM(AG76:AG78)</f>
        <v>11.686720000000001</v>
      </c>
      <c r="AH79" s="51">
        <f t="shared" ref="AH79" si="795">IF(K79&gt;0,(K76*AH76+K77*AH77+K78*AH78)/K79,0)</f>
        <v>0.20379229684696235</v>
      </c>
      <c r="AI79" s="56">
        <f t="shared" ref="AI79" si="796">SUM(AI76:AI78)</f>
        <v>95.170927200000023</v>
      </c>
      <c r="AJ79" s="51">
        <f t="shared" ref="AJ79" si="797">IF(AND(AD79&gt;0),((AD76*AJ76+AD77*AJ77+AD78*AJ78)/AD79),0)</f>
        <v>0.88716698482750944</v>
      </c>
      <c r="AK79" s="55">
        <f t="shared" si="681"/>
        <v>0.89604629176825867</v>
      </c>
      <c r="AL79" s="49">
        <f t="shared" ref="AL79" si="798">SUM(AL76:AL78)</f>
        <v>513</v>
      </c>
      <c r="AM79" s="20">
        <f t="shared" ref="AM79" si="799">IF(AL79&gt;0,(AM76*AL76+AM77*AL77+AM78*AL78)/AL79,0)</f>
        <v>8.9690058479532167E-2</v>
      </c>
      <c r="AN79" s="51">
        <f>IF(K79&gt;0,(AN76*K76+AN77*K77+AN78*K78)/K79,0)</f>
        <v>0.21319755190976672</v>
      </c>
      <c r="AO79" s="107">
        <f>IF(L79&gt;0,(AO76*K76+AO77*K77+AO78*K78)/K79,0)</f>
        <v>0.21765190976672649</v>
      </c>
      <c r="AP79" s="56">
        <f t="shared" ref="AP79" si="800">SUM(AP76:AP78)</f>
        <v>99.541985400000002</v>
      </c>
      <c r="AQ79" s="108">
        <f t="shared" si="756"/>
        <v>101.56055850000001</v>
      </c>
      <c r="AR79" s="54"/>
      <c r="AS79" s="54">
        <f t="shared" ref="AS79" si="801">SUM(AS76:AS78)</f>
        <v>503.64</v>
      </c>
      <c r="AT79" s="83"/>
      <c r="AU79" s="84">
        <f>AT78</f>
        <v>398.61999999999887</v>
      </c>
      <c r="AV79" s="49">
        <f t="shared" ref="AV79" si="802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43" t="s">
        <v>57</v>
      </c>
      <c r="D80" s="11">
        <v>4759</v>
      </c>
      <c r="E80" s="11">
        <v>0</v>
      </c>
      <c r="F80" s="11">
        <v>7904</v>
      </c>
      <c r="G80" s="12">
        <v>0.8</v>
      </c>
      <c r="H80" s="12">
        <v>4.9000000000000004</v>
      </c>
      <c r="I80" s="11">
        <v>7716</v>
      </c>
      <c r="J80" s="131">
        <v>4.9000000000000004</v>
      </c>
      <c r="K80" s="11">
        <v>16669</v>
      </c>
      <c r="L80" s="13">
        <v>7.2999999999999995E-2</v>
      </c>
      <c r="M80" s="23">
        <f>ROUND(K80*(1-L80),0)</f>
        <v>15452</v>
      </c>
      <c r="N80" s="14">
        <v>0.65400000000000003</v>
      </c>
      <c r="O80" s="24">
        <f t="shared" ref="O80:O82" si="803">M80*N80</f>
        <v>10105.608</v>
      </c>
      <c r="P80" s="13">
        <v>0.312</v>
      </c>
      <c r="Q80" s="24">
        <f t="shared" ref="Q80:Q82" si="804">M80*P80</f>
        <v>4821.0240000000003</v>
      </c>
      <c r="R80" s="15">
        <v>3.4000000000000002E-2</v>
      </c>
      <c r="S80" s="112">
        <v>0.2248</v>
      </c>
      <c r="T80" s="24">
        <f t="shared" ref="T80:T82" si="805">M80*R80</f>
        <v>525.36800000000005</v>
      </c>
      <c r="U80" s="25">
        <v>0.215</v>
      </c>
      <c r="V80" s="24">
        <f t="shared" ref="V80:V82" si="806">M80*U80</f>
        <v>3322.18</v>
      </c>
      <c r="W80" s="15">
        <v>0.49099999999999999</v>
      </c>
      <c r="X80" s="24">
        <f t="shared" ref="X80:X82" si="807">M80*W80</f>
        <v>7586.9319999999998</v>
      </c>
      <c r="Y80" s="15">
        <v>0.39</v>
      </c>
      <c r="Z80" s="24">
        <f t="shared" ref="Z80:Z82" si="808">Y80*M80</f>
        <v>6026.2800000000007</v>
      </c>
      <c r="AA80" s="116">
        <v>2.5699999999999998E-3</v>
      </c>
      <c r="AB80" s="18">
        <f t="shared" ref="AB80" si="809">M80*AA80</f>
        <v>39.711639999999996</v>
      </c>
      <c r="AC80" s="16">
        <v>2.3999999999999998E-3</v>
      </c>
      <c r="AD80" s="17">
        <f t="shared" ref="AD80:AD82" si="810">M80*AC80</f>
        <v>37.084799999999994</v>
      </c>
      <c r="AE80" s="26">
        <f>IF(M80&gt;0,(AG80+AP80)/M80,0)</f>
        <v>2.4344403442920011E-3</v>
      </c>
      <c r="AF80" s="16">
        <v>2.5999999999999998E-4</v>
      </c>
      <c r="AG80" s="23">
        <f t="shared" ref="AG80:AG82" si="811">AF80*M80</f>
        <v>4.0175199999999993</v>
      </c>
      <c r="AH80" s="92">
        <v>0.21129999999999999</v>
      </c>
      <c r="AI80" s="29">
        <f t="shared" ref="AI80:AI82" si="812">AL80*(1-AM80)*AH80</f>
        <v>33.346943400000001</v>
      </c>
      <c r="AJ80" s="27">
        <f t="shared" ref="AJ80:AJ82" si="813">IF(AND(AH80&gt;0,AF80&gt;0,AC80&gt;0),((AC80-AF80)*AH80)/((AH80-AF80)*AC80),0)</f>
        <v>0.89276519459186254</v>
      </c>
      <c r="AK80" s="58">
        <f t="shared" si="681"/>
        <v>0.89429140848386979</v>
      </c>
      <c r="AL80" s="11">
        <v>174</v>
      </c>
      <c r="AM80" s="13">
        <v>9.2999999999999999E-2</v>
      </c>
      <c r="AN80" s="14">
        <v>0.21290000000000001</v>
      </c>
      <c r="AO80" s="101">
        <v>0.2208</v>
      </c>
      <c r="AP80" s="29">
        <f>AL80*(1-AM80)*AN80</f>
        <v>33.599452200000002</v>
      </c>
      <c r="AQ80" s="102">
        <f t="shared" ref="AQ80" si="814">AL80*(1-AM80)*AO80</f>
        <v>34.846214400000001</v>
      </c>
      <c r="AR80" s="18">
        <v>1.55</v>
      </c>
      <c r="AS80" s="18">
        <v>502.06</v>
      </c>
      <c r="AT80" s="79">
        <f>AT78+AL80-AS80+AU80</f>
        <v>65.339999999998867</v>
      </c>
      <c r="AU80" s="130">
        <v>-5.22</v>
      </c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0" t="s">
        <v>58</v>
      </c>
      <c r="D81" s="33">
        <v>18341</v>
      </c>
      <c r="E81" s="33">
        <v>4</v>
      </c>
      <c r="F81" s="33">
        <v>19483</v>
      </c>
      <c r="G81" s="34">
        <v>0.3</v>
      </c>
      <c r="H81" s="34">
        <v>4.3</v>
      </c>
      <c r="I81" s="33">
        <v>18283</v>
      </c>
      <c r="J81" s="34">
        <v>2.5</v>
      </c>
      <c r="K81" s="33">
        <v>16751</v>
      </c>
      <c r="L81" s="35">
        <v>7.0000000000000007E-2</v>
      </c>
      <c r="M81" s="36">
        <f>ROUND(K81*(1-L81),0)</f>
        <v>15578</v>
      </c>
      <c r="N81" s="37">
        <v>0.70399999999999996</v>
      </c>
      <c r="O81" s="24">
        <f t="shared" si="803"/>
        <v>10966.912</v>
      </c>
      <c r="P81" s="35">
        <v>0.23799999999999999</v>
      </c>
      <c r="Q81" s="24">
        <f t="shared" si="804"/>
        <v>3707.5639999999999</v>
      </c>
      <c r="R81" s="38">
        <v>5.8000000000000003E-2</v>
      </c>
      <c r="S81" s="105">
        <v>0.23449999999999999</v>
      </c>
      <c r="T81" s="24">
        <f t="shared" si="805"/>
        <v>903.524</v>
      </c>
      <c r="U81" s="27">
        <v>0.223</v>
      </c>
      <c r="V81" s="24">
        <f t="shared" si="806"/>
        <v>3473.8940000000002</v>
      </c>
      <c r="W81" s="38">
        <v>0.49199999999999999</v>
      </c>
      <c r="X81" s="24">
        <f t="shared" si="807"/>
        <v>7664.3760000000002</v>
      </c>
      <c r="Y81" s="38">
        <v>0.4</v>
      </c>
      <c r="Z81" s="24">
        <f t="shared" si="808"/>
        <v>6231.2000000000007</v>
      </c>
      <c r="AA81" s="117">
        <v>2.5799999999999998E-3</v>
      </c>
      <c r="AB81" s="18">
        <f t="shared" si="765"/>
        <v>40.191240000000001</v>
      </c>
      <c r="AC81" s="39">
        <v>2.47E-3</v>
      </c>
      <c r="AD81" s="17">
        <f t="shared" si="810"/>
        <v>38.47766</v>
      </c>
      <c r="AE81" s="26">
        <f>IF(M81&gt;0,(AG81+AP81)/M81,0)</f>
        <v>2.6912620362049043E-3</v>
      </c>
      <c r="AF81" s="39">
        <v>2.5999999999999998E-4</v>
      </c>
      <c r="AG81" s="36">
        <f t="shared" si="811"/>
        <v>4.0502799999999999</v>
      </c>
      <c r="AH81" s="27">
        <v>0.20599999999999999</v>
      </c>
      <c r="AI81" s="40">
        <f t="shared" si="812"/>
        <v>37.491999999999997</v>
      </c>
      <c r="AJ81" s="27">
        <f t="shared" si="813"/>
        <v>0.89586754872015295</v>
      </c>
      <c r="AK81" s="28">
        <f t="shared" si="681"/>
        <v>0.90452115793767818</v>
      </c>
      <c r="AL81" s="33">
        <v>200</v>
      </c>
      <c r="AM81" s="35">
        <v>0.09</v>
      </c>
      <c r="AN81" s="37">
        <v>0.20810000000000001</v>
      </c>
      <c r="AO81" s="103">
        <v>0.20300000000000001</v>
      </c>
      <c r="AP81" s="40">
        <f>AL81*(1-AM81)*AN81</f>
        <v>37.874200000000002</v>
      </c>
      <c r="AQ81" s="104">
        <f t="shared" si="726"/>
        <v>36.946000000000005</v>
      </c>
      <c r="AR81" s="41">
        <v>1.55</v>
      </c>
      <c r="AS81" s="41"/>
      <c r="AT81" s="129">
        <f>AT80+AL81-AS81</f>
        <v>265.33999999999889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53</v>
      </c>
      <c r="D82" s="42">
        <v>18400</v>
      </c>
      <c r="E82" s="42">
        <v>2</v>
      </c>
      <c r="F82" s="42">
        <v>17153</v>
      </c>
      <c r="G82" s="36">
        <v>0.8</v>
      </c>
      <c r="H82" s="36">
        <v>4.9000000000000004</v>
      </c>
      <c r="I82" s="42">
        <v>16931</v>
      </c>
      <c r="J82" s="36">
        <v>1.8</v>
      </c>
      <c r="K82" s="42">
        <v>16751</v>
      </c>
      <c r="L82" s="38">
        <v>6.8000000000000005E-2</v>
      </c>
      <c r="M82" s="36">
        <f>ROUND(K82*(1-L82),0)</f>
        <v>15612</v>
      </c>
      <c r="N82" s="27">
        <v>0.73899999999999999</v>
      </c>
      <c r="O82" s="24">
        <f t="shared" si="803"/>
        <v>11537.268</v>
      </c>
      <c r="P82" s="38">
        <v>0.19700000000000001</v>
      </c>
      <c r="Q82" s="24">
        <f t="shared" si="804"/>
        <v>3075.5640000000003</v>
      </c>
      <c r="R82" s="38">
        <v>6.4000000000000001E-2</v>
      </c>
      <c r="S82" s="105">
        <v>0.23130000000000001</v>
      </c>
      <c r="T82" s="24">
        <f t="shared" si="805"/>
        <v>999.16800000000001</v>
      </c>
      <c r="U82" s="27">
        <v>0.222</v>
      </c>
      <c r="V82" s="24">
        <f t="shared" si="806"/>
        <v>3465.864</v>
      </c>
      <c r="W82" s="38">
        <v>0.49099999999999999</v>
      </c>
      <c r="X82" s="24">
        <f t="shared" si="807"/>
        <v>7665.4920000000002</v>
      </c>
      <c r="Y82" s="38">
        <v>0.4</v>
      </c>
      <c r="Z82" s="24">
        <f t="shared" si="808"/>
        <v>6244.8</v>
      </c>
      <c r="AA82" s="118">
        <v>2.5799999999999998E-3</v>
      </c>
      <c r="AB82" s="121">
        <f t="shared" si="765"/>
        <v>40.278959999999998</v>
      </c>
      <c r="AC82" s="45">
        <v>2.5600000000000002E-3</v>
      </c>
      <c r="AD82" s="17">
        <f t="shared" si="810"/>
        <v>39.966720000000002</v>
      </c>
      <c r="AE82" s="26">
        <f>IF(M82&gt;0,(AG82+AP82)/M82,0)</f>
        <v>2.5550816231104277E-3</v>
      </c>
      <c r="AF82" s="45">
        <v>2.5999999999999998E-4</v>
      </c>
      <c r="AG82" s="36">
        <f t="shared" si="811"/>
        <v>4.0591200000000001</v>
      </c>
      <c r="AH82" s="27">
        <v>0.20760000000000001</v>
      </c>
      <c r="AI82" s="40">
        <f t="shared" si="812"/>
        <v>34.231371600000003</v>
      </c>
      <c r="AJ82" s="27">
        <f t="shared" si="813"/>
        <v>0.89956412173242029</v>
      </c>
      <c r="AK82" s="28">
        <f t="shared" si="681"/>
        <v>0.89931803466267135</v>
      </c>
      <c r="AL82" s="42">
        <v>181</v>
      </c>
      <c r="AM82" s="38">
        <v>8.8999999999999996E-2</v>
      </c>
      <c r="AN82" s="27">
        <v>0.21729999999999999</v>
      </c>
      <c r="AO82" s="105">
        <v>0.21879999999999999</v>
      </c>
      <c r="AP82" s="40">
        <f>AL82*(1-AM82)*AN82</f>
        <v>35.8308143</v>
      </c>
      <c r="AQ82" s="106">
        <f t="shared" si="726"/>
        <v>36.078150800000003</v>
      </c>
      <c r="AR82" s="17">
        <v>1.6</v>
      </c>
      <c r="AS82" s="17"/>
      <c r="AT82" s="129">
        <f>AT81+AL82-AS82</f>
        <v>446.33999999999889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5">SUM(D80:D82)</f>
        <v>41500</v>
      </c>
      <c r="E83" s="49"/>
      <c r="F83" s="49">
        <f t="shared" ref="F83" si="816">SUM(F80:F82)</f>
        <v>44540</v>
      </c>
      <c r="G83" s="50"/>
      <c r="H83" s="50"/>
      <c r="I83" s="49">
        <f t="shared" ref="I83:K83" si="817">SUM(I80:I82)</f>
        <v>42930</v>
      </c>
      <c r="J83" s="50"/>
      <c r="K83" s="49">
        <f t="shared" si="817"/>
        <v>50171</v>
      </c>
      <c r="L83" s="20">
        <f t="shared" ref="L83" si="818">IF(K83&gt;0,(K80*L80+K81*L81+K82*L82)/K83,0)</f>
        <v>7.03289749058221E-2</v>
      </c>
      <c r="M83" s="50">
        <f t="shared" ref="M83" si="819">M80+M81+M82</f>
        <v>46642</v>
      </c>
      <c r="N83" s="51">
        <f t="shared" ref="N83" si="820">IF(M83&gt;0,O83/M83,0)</f>
        <v>0.69915072252476307</v>
      </c>
      <c r="O83" s="52">
        <f t="shared" ref="O83" si="821">O80+O81+O82</f>
        <v>32609.788</v>
      </c>
      <c r="P83" s="20">
        <f t="shared" ref="P83" si="822">IF(M83&gt;0,Q83/M83,0)</f>
        <v>0.24879190429226877</v>
      </c>
      <c r="Q83" s="52">
        <f t="shared" ref="Q83" si="823">Q80+Q81+Q82</f>
        <v>11604.152</v>
      </c>
      <c r="R83" s="20">
        <f t="shared" ref="R83" si="824">IF(M83&gt;0,T83/M83,0)</f>
        <v>5.2057373182968138E-2</v>
      </c>
      <c r="S83" s="107"/>
      <c r="T83" s="52">
        <f t="shared" ref="T83" si="825">T80+T81+T82</f>
        <v>2428.06</v>
      </c>
      <c r="U83" s="20">
        <f t="shared" ref="U83" si="826">IF(M83&gt;0,V83/M83,0)</f>
        <v>0.22001496505295656</v>
      </c>
      <c r="V83" s="52">
        <f t="shared" ref="V83" si="827">V80+V81+V82</f>
        <v>10261.938</v>
      </c>
      <c r="W83" s="20">
        <f t="shared" ref="W83" si="828">IF(M83&gt;0,X83/M83,0)</f>
        <v>0.49133399082372115</v>
      </c>
      <c r="X83" s="52">
        <f t="shared" ref="X83" si="829">X80+X81+X82</f>
        <v>22916.800000000003</v>
      </c>
      <c r="Y83" s="20">
        <f t="shared" ref="Y83" si="830">IF(M83&gt;0,Z83/M83,0)</f>
        <v>0.39668710604176499</v>
      </c>
      <c r="Z83" s="52">
        <f t="shared" ref="Z83" si="831">Z80+Z81+Z82</f>
        <v>18502.280000000002</v>
      </c>
      <c r="AA83" s="119">
        <f t="shared" ref="AA83" si="832">IF(M83&gt;0,AB83/M83,0)</f>
        <v>2.5766871060417646E-3</v>
      </c>
      <c r="AB83" s="54">
        <f t="shared" ref="AB83" si="833">SUM(AB80:AB82)</f>
        <v>120.18183999999999</v>
      </c>
      <c r="AC83" s="53">
        <f t="shared" ref="AC83" si="834">IF(M83&gt;0,AD83/M83,0)</f>
        <v>2.4769345225333392E-3</v>
      </c>
      <c r="AD83" s="54">
        <f t="shared" ref="AD83" si="835">SUM(AD80:AD82)</f>
        <v>115.52918</v>
      </c>
      <c r="AE83" s="53">
        <f t="shared" ref="AE83" si="836">IF(M83&gt;0,(AE80*M80+AE81*M81+AE82*M82)/M83,0)</f>
        <v>2.5605974550834015E-3</v>
      </c>
      <c r="AF83" s="53">
        <f t="shared" ref="AF83" si="837">IF(K83&gt;0,(K80*AF80+K81*AF81+K82*AF82)/K83,0)</f>
        <v>2.5999999999999998E-4</v>
      </c>
      <c r="AG83" s="50">
        <f t="shared" ref="AG83" si="838">SUM(AG80:AG82)</f>
        <v>12.126919999999998</v>
      </c>
      <c r="AH83" s="51">
        <f t="shared" ref="AH83" si="839">IF(K83&gt;0,(K80*AH80+K81*AH81+K82*AH82)/K83,0)</f>
        <v>0.20829509676904984</v>
      </c>
      <c r="AI83" s="56">
        <f t="shared" ref="AI83" si="840">SUM(AI80:AI82)</f>
        <v>105.07031500000001</v>
      </c>
      <c r="AJ83" s="51">
        <f t="shared" ref="AJ83" si="841">IF(AND(AD83&gt;0),((AD80*AJ80+AD81*AJ81+AD82*AJ82)/AD83),0)</f>
        <v>0.89615050507943828</v>
      </c>
      <c r="AK83" s="55">
        <f t="shared" si="681"/>
        <v>0.89956045755719127</v>
      </c>
      <c r="AL83" s="49">
        <f t="shared" ref="AL83" si="842">SUM(AL80:AL82)</f>
        <v>555</v>
      </c>
      <c r="AM83" s="20">
        <f t="shared" ref="AM83" si="843">IF(AL83&gt;0,(AM80*AL80+AM81*AL81+AM82*AL82)/AL83,0)</f>
        <v>9.061441441441441E-2</v>
      </c>
      <c r="AN83" s="51">
        <f>IF(K83&gt;0,(AN80*K80+AN81*K81+AN82*K82)/K83,0)</f>
        <v>0.2127664487452911</v>
      </c>
      <c r="AO83" s="107">
        <f>IF(L83&gt;0,(AO80*K80+AO81*K81+AO82*K82)/K83,0)</f>
        <v>0.21418921289190965</v>
      </c>
      <c r="AP83" s="56">
        <f t="shared" ref="AP83" si="844">SUM(AP80:AP82)</f>
        <v>107.3044665</v>
      </c>
      <c r="AQ83" s="108">
        <f t="shared" si="756"/>
        <v>107.87036520000001</v>
      </c>
      <c r="AR83" s="54"/>
      <c r="AS83" s="54">
        <f t="shared" ref="AS83" si="845">SUM(AS80:AS82)</f>
        <v>502.06</v>
      </c>
      <c r="AT83" s="83"/>
      <c r="AU83" s="84">
        <f>AT82</f>
        <v>446.33999999999889</v>
      </c>
      <c r="AV83" s="49">
        <f t="shared" ref="AV83" si="846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54</v>
      </c>
      <c r="D84" s="11">
        <v>14921</v>
      </c>
      <c r="E84" s="11">
        <v>0</v>
      </c>
      <c r="F84" s="11">
        <v>18174</v>
      </c>
      <c r="G84" s="12">
        <v>0.7</v>
      </c>
      <c r="H84" s="12">
        <v>5.3</v>
      </c>
      <c r="I84" s="11">
        <v>17102</v>
      </c>
      <c r="J84" s="12">
        <v>1.4</v>
      </c>
      <c r="K84" s="11">
        <v>16747</v>
      </c>
      <c r="L84" s="13">
        <v>6.7000000000000004E-2</v>
      </c>
      <c r="M84" s="23">
        <f>ROUND(K84*(1-L84),0)</f>
        <v>15625</v>
      </c>
      <c r="N84" s="14">
        <v>0.70799999999999996</v>
      </c>
      <c r="O84" s="24">
        <f t="shared" ref="O84:O86" si="847">M84*N84</f>
        <v>11062.5</v>
      </c>
      <c r="P84" s="13">
        <v>0.20200000000000001</v>
      </c>
      <c r="Q84" s="24">
        <f t="shared" ref="Q84:Q86" si="848">M84*P84</f>
        <v>3156.25</v>
      </c>
      <c r="R84" s="15">
        <v>0.09</v>
      </c>
      <c r="S84" s="112">
        <v>0.24579999999999999</v>
      </c>
      <c r="T84" s="24">
        <f t="shared" ref="T84:T86" si="849">M84*R84</f>
        <v>1406.25</v>
      </c>
      <c r="U84" s="25">
        <v>0.23300000000000001</v>
      </c>
      <c r="V84" s="24">
        <f t="shared" ref="V84:V86" si="850">M84*U84</f>
        <v>3640.625</v>
      </c>
      <c r="W84" s="15">
        <v>0.48399999999999999</v>
      </c>
      <c r="X84" s="24">
        <f t="shared" ref="X84:X86" si="851">M84*W84</f>
        <v>7562.5</v>
      </c>
      <c r="Y84" s="15">
        <v>0.4</v>
      </c>
      <c r="Z84" s="24">
        <f t="shared" ref="Z84:Z86" si="852">Y84*M84</f>
        <v>6250</v>
      </c>
      <c r="AA84" s="116">
        <v>2.8E-3</v>
      </c>
      <c r="AB84" s="18">
        <f t="shared" ref="AB84" si="853">M84*AA84</f>
        <v>43.75</v>
      </c>
      <c r="AC84" s="16">
        <v>2.65E-3</v>
      </c>
      <c r="AD84" s="17">
        <f t="shared" ref="AD84:AD86" si="854">M84*AC84</f>
        <v>41.40625</v>
      </c>
      <c r="AE84" s="26">
        <f>IF(M84&gt;0,(AG84+AP84)/M84,0)</f>
        <v>2.7784079360000003E-3</v>
      </c>
      <c r="AF84" s="16">
        <v>2.5999999999999998E-4</v>
      </c>
      <c r="AG84" s="23">
        <f t="shared" ref="AG84:AG86" si="855">AF84*M84</f>
        <v>4.0625</v>
      </c>
      <c r="AH84" s="92">
        <v>0.20960000000000001</v>
      </c>
      <c r="AI84" s="29">
        <f t="shared" ref="AI84:AI86" si="856">AL84*(1-AM84)*AH84</f>
        <v>37.973232000000003</v>
      </c>
      <c r="AJ84" s="27">
        <f t="shared" ref="AJ84:AJ86" si="857">IF(AND(AH84&gt;0,AF84&gt;0,AC84&gt;0),((AC84-AF84)*AH84)/((AH84-AF84)*AC84),0)</f>
        <v>0.90300693464274961</v>
      </c>
      <c r="AK84" s="58">
        <f t="shared" si="681"/>
        <v>0.90750756401689381</v>
      </c>
      <c r="AL84" s="11">
        <v>198</v>
      </c>
      <c r="AM84" s="13">
        <v>8.5000000000000006E-2</v>
      </c>
      <c r="AN84" s="14">
        <v>0.2172</v>
      </c>
      <c r="AO84" s="101">
        <v>0.22059999999999999</v>
      </c>
      <c r="AP84" s="29">
        <f>AL84*(1-AM84)*AN84</f>
        <v>39.350124000000001</v>
      </c>
      <c r="AQ84" s="102">
        <f t="shared" ref="AQ84" si="858">AL84*(1-AM84)*AO84</f>
        <v>39.966101999999999</v>
      </c>
      <c r="AR84" s="18">
        <v>1.6</v>
      </c>
      <c r="AS84" s="18"/>
      <c r="AT84" s="79">
        <f>AT82+AL84-AS84</f>
        <v>644.33999999999889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58</v>
      </c>
      <c r="D85" s="33">
        <v>20079</v>
      </c>
      <c r="E85" s="33">
        <v>1</v>
      </c>
      <c r="F85" s="33">
        <v>13058</v>
      </c>
      <c r="G85" s="34">
        <v>0.7</v>
      </c>
      <c r="H85" s="34">
        <v>6.8</v>
      </c>
      <c r="I85" s="33">
        <v>13094</v>
      </c>
      <c r="J85" s="34">
        <v>2.7</v>
      </c>
      <c r="K85" s="33">
        <v>16729</v>
      </c>
      <c r="L85" s="35">
        <v>5.8999999999999997E-2</v>
      </c>
      <c r="M85" s="36">
        <f>ROUND(K85*(1-L85),0)</f>
        <v>15742</v>
      </c>
      <c r="N85" s="37">
        <v>0.69799999999999995</v>
      </c>
      <c r="O85" s="24">
        <f t="shared" si="847"/>
        <v>10987.915999999999</v>
      </c>
      <c r="P85" s="35">
        <v>0.253</v>
      </c>
      <c r="Q85" s="24">
        <f t="shared" si="848"/>
        <v>3982.7260000000001</v>
      </c>
      <c r="R85" s="38">
        <v>4.9000000000000002E-2</v>
      </c>
      <c r="S85" s="105">
        <v>0.25879999999999997</v>
      </c>
      <c r="T85" s="24">
        <f t="shared" si="849"/>
        <v>771.35800000000006</v>
      </c>
      <c r="U85" s="27">
        <v>0.23300000000000001</v>
      </c>
      <c r="V85" s="24">
        <f t="shared" si="850"/>
        <v>3667.8860000000004</v>
      </c>
      <c r="W85" s="38">
        <v>0.48399999999999999</v>
      </c>
      <c r="X85" s="24">
        <f t="shared" si="851"/>
        <v>7619.1279999999997</v>
      </c>
      <c r="Y85" s="38">
        <v>0.41</v>
      </c>
      <c r="Z85" s="24">
        <f t="shared" si="852"/>
        <v>6454.2199999999993</v>
      </c>
      <c r="AA85" s="117">
        <v>2.64E-3</v>
      </c>
      <c r="AB85" s="18">
        <f t="shared" si="765"/>
        <v>41.558880000000002</v>
      </c>
      <c r="AC85" s="39">
        <v>2.5300000000000001E-3</v>
      </c>
      <c r="AD85" s="17">
        <f t="shared" si="854"/>
        <v>39.827260000000003</v>
      </c>
      <c r="AE85" s="26">
        <f>IF(M85&gt;0,(AG85+AP85)/M85,0)</f>
        <v>2.7066018422055643E-3</v>
      </c>
      <c r="AF85" s="39">
        <v>2.5999999999999998E-4</v>
      </c>
      <c r="AG85" s="36">
        <f t="shared" si="855"/>
        <v>4.0929199999999994</v>
      </c>
      <c r="AH85" s="27">
        <v>0.20519999999999999</v>
      </c>
      <c r="AI85" s="40">
        <f t="shared" si="856"/>
        <v>36.947901599999994</v>
      </c>
      <c r="AJ85" s="27">
        <f t="shared" si="857"/>
        <v>0.89837148904277786</v>
      </c>
      <c r="AK85" s="28">
        <f t="shared" si="681"/>
        <v>0.90503867980288</v>
      </c>
      <c r="AL85" s="33">
        <v>197</v>
      </c>
      <c r="AM85" s="35">
        <v>8.5999999999999993E-2</v>
      </c>
      <c r="AN85" s="37">
        <v>0.21390000000000001</v>
      </c>
      <c r="AO85" s="103">
        <v>0.2165</v>
      </c>
      <c r="AP85" s="40">
        <f>AL85*(1-AM85)*AN85</f>
        <v>38.514406199999996</v>
      </c>
      <c r="AQ85" s="104">
        <f t="shared" si="726"/>
        <v>38.982557</v>
      </c>
      <c r="AR85" s="41">
        <v>1.55</v>
      </c>
      <c r="AS85" s="41"/>
      <c r="AT85" s="129">
        <f>AT84+AL85-AS85</f>
        <v>841.33999999999889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53</v>
      </c>
      <c r="D86" s="42">
        <v>14500</v>
      </c>
      <c r="E86" s="42">
        <v>0</v>
      </c>
      <c r="F86" s="42">
        <v>19005</v>
      </c>
      <c r="G86" s="36">
        <v>0.7</v>
      </c>
      <c r="H86" s="36">
        <v>4.7</v>
      </c>
      <c r="I86" s="42">
        <v>18147</v>
      </c>
      <c r="J86" s="133">
        <v>0.8</v>
      </c>
      <c r="K86" s="42">
        <v>16749</v>
      </c>
      <c r="L86" s="38">
        <v>6.2E-2</v>
      </c>
      <c r="M86" s="36">
        <f>ROUND(K86*(1-L86),0)</f>
        <v>15711</v>
      </c>
      <c r="N86" s="27">
        <v>0.72099999999999997</v>
      </c>
      <c r="O86" s="24">
        <f t="shared" si="847"/>
        <v>11327.630999999999</v>
      </c>
      <c r="P86" s="38">
        <v>0.21099999999999999</v>
      </c>
      <c r="Q86" s="24">
        <f t="shared" si="848"/>
        <v>3315.0209999999997</v>
      </c>
      <c r="R86" s="38">
        <v>6.8000000000000005E-2</v>
      </c>
      <c r="S86" s="105">
        <v>0.26100000000000001</v>
      </c>
      <c r="T86" s="24">
        <f t="shared" si="849"/>
        <v>1068.3480000000002</v>
      </c>
      <c r="U86" s="27">
        <v>0.22500000000000001</v>
      </c>
      <c r="V86" s="24">
        <f t="shared" si="850"/>
        <v>3534.9749999999999</v>
      </c>
      <c r="W86" s="38">
        <v>0.48599999999999999</v>
      </c>
      <c r="X86" s="24">
        <f t="shared" si="851"/>
        <v>7635.5459999999994</v>
      </c>
      <c r="Y86" s="38">
        <v>0.4</v>
      </c>
      <c r="Z86" s="24">
        <f t="shared" si="852"/>
        <v>6284.4000000000005</v>
      </c>
      <c r="AA86" s="118">
        <v>2.65E-3</v>
      </c>
      <c r="AB86" s="121">
        <f t="shared" si="765"/>
        <v>41.634149999999998</v>
      </c>
      <c r="AC86" s="45">
        <v>2.5699999999999998E-3</v>
      </c>
      <c r="AD86" s="17">
        <f t="shared" si="854"/>
        <v>40.377269999999996</v>
      </c>
      <c r="AE86" s="26">
        <f>IF(M86&gt;0,(AG86+AP86)/M86,0)</f>
        <v>2.480097995035326E-3</v>
      </c>
      <c r="AF86" s="45">
        <v>2.7E-4</v>
      </c>
      <c r="AG86" s="36">
        <f t="shared" si="855"/>
        <v>4.2419700000000002</v>
      </c>
      <c r="AH86" s="27">
        <v>0.20680000000000001</v>
      </c>
      <c r="AI86" s="40">
        <f t="shared" si="856"/>
        <v>33.759686400000007</v>
      </c>
      <c r="AJ86" s="27">
        <f t="shared" si="857"/>
        <v>0.89611160587367211</v>
      </c>
      <c r="AK86" s="28">
        <f t="shared" si="681"/>
        <v>0.89226597066347435</v>
      </c>
      <c r="AL86" s="42">
        <v>179</v>
      </c>
      <c r="AM86" s="38">
        <v>8.7999999999999995E-2</v>
      </c>
      <c r="AN86" s="27">
        <v>0.2127</v>
      </c>
      <c r="AO86" s="105">
        <v>0.2147</v>
      </c>
      <c r="AP86" s="40">
        <f>AL86*(1-AM86)*AN86</f>
        <v>34.722849600000004</v>
      </c>
      <c r="AQ86" s="106">
        <f t="shared" si="726"/>
        <v>35.049345600000002</v>
      </c>
      <c r="AR86" s="17">
        <v>1.6</v>
      </c>
      <c r="AS86" s="17"/>
      <c r="AT86" s="129">
        <f>AT85+AL86-AS86</f>
        <v>1020.3399999999989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59">SUM(D84:D86)</f>
        <v>49500</v>
      </c>
      <c r="E87" s="49"/>
      <c r="F87" s="49">
        <f t="shared" ref="F87" si="860">SUM(F84:F86)</f>
        <v>50237</v>
      </c>
      <c r="G87" s="50"/>
      <c r="H87" s="50"/>
      <c r="I87" s="49">
        <f t="shared" ref="I87:K87" si="861">SUM(I84:I86)</f>
        <v>48343</v>
      </c>
      <c r="J87" s="50"/>
      <c r="K87" s="49">
        <f t="shared" si="861"/>
        <v>50225</v>
      </c>
      <c r="L87" s="20">
        <f t="shared" ref="L87" si="862">IF(K87&gt;0,(K84*L84+K85*L85+K86*L86)/K87,0)</f>
        <v>6.2667954206072671E-2</v>
      </c>
      <c r="M87" s="50">
        <f t="shared" ref="M87" si="863">M84+M85+M86</f>
        <v>47078</v>
      </c>
      <c r="N87" s="51">
        <f t="shared" ref="N87" si="864">IF(M87&gt;0,O87/M87,0)</f>
        <v>0.7089945834572412</v>
      </c>
      <c r="O87" s="52">
        <f t="shared" ref="O87" si="865">O84+O85+O86</f>
        <v>33378.046999999999</v>
      </c>
      <c r="P87" s="20">
        <f t="shared" ref="P87" si="866">IF(M87&gt;0,Q87/M87,0)</f>
        <v>0.22205694804367218</v>
      </c>
      <c r="Q87" s="52">
        <f t="shared" ref="Q87" si="867">Q84+Q85+Q86</f>
        <v>10453.996999999999</v>
      </c>
      <c r="R87" s="20">
        <f t="shared" ref="R87" si="868">IF(M87&gt;0,T87/M87,0)</f>
        <v>6.8948468499086618E-2</v>
      </c>
      <c r="S87" s="107"/>
      <c r="T87" s="52">
        <f t="shared" ref="T87" si="869">T84+T85+T86</f>
        <v>3245.9560000000001</v>
      </c>
      <c r="U87" s="20">
        <f t="shared" ref="U87" si="870">IF(M87&gt;0,V87/M87,0)</f>
        <v>0.23033021793619102</v>
      </c>
      <c r="V87" s="52">
        <f t="shared" ref="V87" si="871">V84+V85+V86</f>
        <v>10843.486000000001</v>
      </c>
      <c r="W87" s="20">
        <f t="shared" ref="W87" si="872">IF(M87&gt;0,X87/M87,0)</f>
        <v>0.48466744551595226</v>
      </c>
      <c r="X87" s="52">
        <f t="shared" ref="X87" si="873">X84+X85+X86</f>
        <v>22817.173999999999</v>
      </c>
      <c r="Y87" s="20">
        <f t="shared" ref="Y87" si="874">IF(M87&gt;0,Z87/M87,0)</f>
        <v>0.4033438123964484</v>
      </c>
      <c r="Z87" s="52">
        <f t="shared" ref="Z87" si="875">Z84+Z85+Z86</f>
        <v>18988.62</v>
      </c>
      <c r="AA87" s="119">
        <f t="shared" ref="AA87" si="876">IF(M87&gt;0,AB87/M87,0)</f>
        <v>2.6964405879604061E-3</v>
      </c>
      <c r="AB87" s="54">
        <f t="shared" ref="AB87" si="877">SUM(AB84:AB86)</f>
        <v>126.94302999999999</v>
      </c>
      <c r="AC87" s="53">
        <f t="shared" ref="AC87" si="878">IF(M87&gt;0,AD87/M87,0)</f>
        <v>2.5831764306045286E-3</v>
      </c>
      <c r="AD87" s="54">
        <f t="shared" ref="AD87" si="879">SUM(AD84:AD86)</f>
        <v>121.61077999999999</v>
      </c>
      <c r="AE87" s="53">
        <f t="shared" ref="AE87" si="880">IF(M87&gt;0,(AE84*M84+AE85*M85+AE86*M86)/M87,0)</f>
        <v>2.6548445091125368E-3</v>
      </c>
      <c r="AF87" s="53">
        <f t="shared" ref="AF87" si="881">IF(K87&gt;0,(K84*AF84+K85*AF85+K86*AF86)/K87,0)</f>
        <v>2.6333479342956694E-4</v>
      </c>
      <c r="AG87" s="50">
        <f t="shared" ref="AG87" si="882">SUM(AG84:AG86)</f>
        <v>12.39739</v>
      </c>
      <c r="AH87" s="51">
        <f t="shared" ref="AH87" si="883">IF(K87&gt;0,(K84*AH84+K85*AH85+K86*AH86)/K87,0)</f>
        <v>0.20720070084619213</v>
      </c>
      <c r="AI87" s="56">
        <f t="shared" ref="AI87" si="884">SUM(AI84:AI86)</f>
        <v>108.68082</v>
      </c>
      <c r="AJ87" s="51">
        <f t="shared" ref="AJ87" si="885">IF(AND(AD87&gt;0),((AD84*AJ84+AD85*AJ85+AD86*AJ86)/AD87),0)</f>
        <v>0.89919944612426683</v>
      </c>
      <c r="AK87" s="55">
        <f t="shared" si="681"/>
        <v>0.90191644838410312</v>
      </c>
      <c r="AL87" s="49">
        <f t="shared" ref="AL87" si="886">SUM(AL84:AL86)</f>
        <v>574</v>
      </c>
      <c r="AM87" s="20">
        <f t="shared" ref="AM87" si="887">IF(AL87&gt;0,(AM84*AL84+AM85*AL85+AM86*AL86)/AL87,0)</f>
        <v>8.6278745644599308E-2</v>
      </c>
      <c r="AN87" s="51">
        <f>IF(K87&gt;0,(AN84*K84+AN85*K85+AN86*K86)/K87,0)</f>
        <v>0.21460017521154806</v>
      </c>
      <c r="AO87" s="107">
        <f>IF(L87&gt;0,(AO84*K84+AO85*K85+AO86*K86)/K87,0)</f>
        <v>0.21726683922349427</v>
      </c>
      <c r="AP87" s="56">
        <f t="shared" ref="AP87" si="888">SUM(AP84:AP86)</f>
        <v>112.58737979999999</v>
      </c>
      <c r="AQ87" s="108">
        <f t="shared" si="756"/>
        <v>113.9980046</v>
      </c>
      <c r="AR87" s="54"/>
      <c r="AS87" s="54">
        <f t="shared" ref="AS87" si="889">SUM(AS84:AS86)</f>
        <v>0</v>
      </c>
      <c r="AT87" s="83"/>
      <c r="AU87" s="84">
        <f>AT86</f>
        <v>1020.3399999999989</v>
      </c>
      <c r="AV87" s="49">
        <f t="shared" ref="AV87" si="890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54</v>
      </c>
      <c r="D88" s="11">
        <v>13200</v>
      </c>
      <c r="E88" s="11">
        <v>0</v>
      </c>
      <c r="F88" s="11">
        <v>13014</v>
      </c>
      <c r="G88" s="12">
        <v>0.4</v>
      </c>
      <c r="H88" s="12">
        <v>4.8</v>
      </c>
      <c r="I88" s="11">
        <v>12363</v>
      </c>
      <c r="J88" s="131">
        <v>3.5</v>
      </c>
      <c r="K88" s="11">
        <v>16731</v>
      </c>
      <c r="L88" s="13">
        <v>6.6000000000000003E-2</v>
      </c>
      <c r="M88" s="23">
        <f>ROUND(K88*(1-L88),0)</f>
        <v>15627</v>
      </c>
      <c r="N88" s="14">
        <v>0.628</v>
      </c>
      <c r="O88" s="24">
        <f t="shared" ref="O88:O90" si="891">M88*N88</f>
        <v>9813.7559999999994</v>
      </c>
      <c r="P88" s="13">
        <v>0.29599999999999999</v>
      </c>
      <c r="Q88" s="24">
        <f t="shared" ref="Q88:Q90" si="892">M88*P88</f>
        <v>4625.5919999999996</v>
      </c>
      <c r="R88" s="15">
        <v>7.5999999999999998E-2</v>
      </c>
      <c r="S88" s="112">
        <v>0.26240000000000002</v>
      </c>
      <c r="T88" s="24">
        <f t="shared" ref="T88:T90" si="893">M88*R88</f>
        <v>1187.652</v>
      </c>
      <c r="U88" s="25">
        <v>0.23200000000000001</v>
      </c>
      <c r="V88" s="24">
        <f t="shared" ref="V88:V90" si="894">M88*U88</f>
        <v>3625.4640000000004</v>
      </c>
      <c r="W88" s="15">
        <v>0.48899999999999999</v>
      </c>
      <c r="X88" s="24">
        <f t="shared" ref="X88:X90" si="895">M88*W88</f>
        <v>7641.6030000000001</v>
      </c>
      <c r="Y88" s="15">
        <v>0.4</v>
      </c>
      <c r="Z88" s="24">
        <f t="shared" ref="Z88:Z90" si="896">Y88*M88</f>
        <v>6250.8</v>
      </c>
      <c r="AA88" s="116">
        <v>2.63E-3</v>
      </c>
      <c r="AB88" s="18">
        <f t="shared" ref="AB88" si="897">M88*AA88</f>
        <v>41.09901</v>
      </c>
      <c r="AC88" s="16">
        <v>2.5300000000000001E-3</v>
      </c>
      <c r="AD88" s="17">
        <f t="shared" ref="AD88:AD90" si="898">M88*AC88</f>
        <v>39.53631</v>
      </c>
      <c r="AE88" s="26">
        <f>IF(M88&gt;0,(AG88+AP88)/M88,0)</f>
        <v>2.6683057016701865E-3</v>
      </c>
      <c r="AF88" s="16">
        <v>2.7E-4</v>
      </c>
      <c r="AG88" s="23">
        <f t="shared" ref="AG88:AG90" si="899">AF88*M88</f>
        <v>4.21929</v>
      </c>
      <c r="AH88" s="92">
        <v>0.21</v>
      </c>
      <c r="AI88" s="29">
        <f t="shared" ref="AI88:AI90" si="900">AL88*(1-AM88)*AH88</f>
        <v>36.933120000000002</v>
      </c>
      <c r="AJ88" s="27">
        <f t="shared" ref="AJ88:AJ90" si="901">IF(AND(AH88&gt;0,AF88&gt;0,AC88&gt;0),((AC88-AF88)*AH88)/((AH88-AF88)*AC88),0)</f>
        <v>0.89443061462987705</v>
      </c>
      <c r="AK88" s="58">
        <f t="shared" si="681"/>
        <v>0.8999524433425089</v>
      </c>
      <c r="AL88" s="11">
        <v>192</v>
      </c>
      <c r="AM88" s="13">
        <v>8.4000000000000005E-2</v>
      </c>
      <c r="AN88" s="14">
        <v>0.21310000000000001</v>
      </c>
      <c r="AO88" s="101">
        <v>0.21190000000000001</v>
      </c>
      <c r="AP88" s="29">
        <f>AL88*(1-AM88)*AN88</f>
        <v>37.478323200000005</v>
      </c>
      <c r="AQ88" s="102">
        <f t="shared" ref="AQ88" si="902">AL88*(1-AM88)*AO88</f>
        <v>37.267276800000005</v>
      </c>
      <c r="AR88" s="18">
        <v>1.55</v>
      </c>
      <c r="AS88" s="18"/>
      <c r="AT88" s="79">
        <f>AT86+AL88-AS88</f>
        <v>1212.3399999999988</v>
      </c>
      <c r="AU88" s="80"/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55</v>
      </c>
      <c r="D89" s="33">
        <v>16200</v>
      </c>
      <c r="E89" s="33">
        <v>0</v>
      </c>
      <c r="F89" s="33">
        <v>14691</v>
      </c>
      <c r="G89" s="34">
        <v>1</v>
      </c>
      <c r="H89" s="34">
        <v>6.2</v>
      </c>
      <c r="I89" s="33">
        <v>14620</v>
      </c>
      <c r="J89" s="34">
        <v>2.6</v>
      </c>
      <c r="K89" s="33">
        <v>16704</v>
      </c>
      <c r="L89" s="35">
        <v>6.0999999999999999E-2</v>
      </c>
      <c r="M89" s="36">
        <f>ROUND(K89*(1-L89),0)</f>
        <v>15685</v>
      </c>
      <c r="N89" s="37">
        <v>0.76900000000000002</v>
      </c>
      <c r="O89" s="24">
        <f t="shared" si="891"/>
        <v>12061.764999999999</v>
      </c>
      <c r="P89" s="35">
        <v>0.189</v>
      </c>
      <c r="Q89" s="24">
        <f t="shared" si="892"/>
        <v>2964.4650000000001</v>
      </c>
      <c r="R89" s="38">
        <v>4.2000000000000003E-2</v>
      </c>
      <c r="S89" s="105">
        <v>0.26319999999999999</v>
      </c>
      <c r="T89" s="24">
        <f t="shared" si="893"/>
        <v>658.7700000000001</v>
      </c>
      <c r="U89" s="27">
        <v>0.22700000000000001</v>
      </c>
      <c r="V89" s="24">
        <f t="shared" si="894"/>
        <v>3560.4949999999999</v>
      </c>
      <c r="W89" s="38">
        <v>0.496</v>
      </c>
      <c r="X89" s="24">
        <f t="shared" si="895"/>
        <v>7779.76</v>
      </c>
      <c r="Y89" s="38">
        <v>0.4</v>
      </c>
      <c r="Z89" s="24">
        <f t="shared" si="896"/>
        <v>6274</v>
      </c>
      <c r="AA89" s="117">
        <v>2.7000000000000001E-3</v>
      </c>
      <c r="AB89" s="18">
        <f t="shared" si="765"/>
        <v>42.349499999999999</v>
      </c>
      <c r="AC89" s="39">
        <v>2.5300000000000001E-3</v>
      </c>
      <c r="AD89" s="17">
        <f t="shared" si="898"/>
        <v>39.683050000000001</v>
      </c>
      <c r="AE89" s="26">
        <f>IF(M89&gt;0,(AG89+AP89)/M89,0)</f>
        <v>2.6710784124960151E-3</v>
      </c>
      <c r="AF89" s="39">
        <v>2.7E-4</v>
      </c>
      <c r="AG89" s="36">
        <f t="shared" si="899"/>
        <v>4.2349500000000004</v>
      </c>
      <c r="AH89" s="27">
        <v>0.2092</v>
      </c>
      <c r="AI89" s="40">
        <f t="shared" si="900"/>
        <v>36.257079600000004</v>
      </c>
      <c r="AJ89" s="27">
        <f t="shared" si="901"/>
        <v>0.89443501795048708</v>
      </c>
      <c r="AK89" s="28">
        <f t="shared" si="681"/>
        <v>0.90003554564487909</v>
      </c>
      <c r="AL89" s="33">
        <v>189</v>
      </c>
      <c r="AM89" s="35">
        <v>8.3000000000000004E-2</v>
      </c>
      <c r="AN89" s="37">
        <v>0.21729999999999999</v>
      </c>
      <c r="AO89" s="103">
        <v>0.21460000000000001</v>
      </c>
      <c r="AP89" s="40">
        <f>AL89*(1-AM89)*AN89</f>
        <v>37.660914900000002</v>
      </c>
      <c r="AQ89" s="104">
        <f t="shared" si="726"/>
        <v>37.192969800000007</v>
      </c>
      <c r="AR89" s="41">
        <v>1.58</v>
      </c>
      <c r="AS89" s="41"/>
      <c r="AT89" s="129">
        <f>AT88+AL89-AS89</f>
        <v>1401.3399999999988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0" t="s">
        <v>53</v>
      </c>
      <c r="D90" s="42">
        <v>15000</v>
      </c>
      <c r="E90" s="42">
        <v>0</v>
      </c>
      <c r="F90" s="42">
        <v>18279</v>
      </c>
      <c r="G90" s="36">
        <v>0.5</v>
      </c>
      <c r="H90" s="36">
        <v>3.7</v>
      </c>
      <c r="I90" s="42">
        <v>17816</v>
      </c>
      <c r="J90" s="133">
        <v>1.5</v>
      </c>
      <c r="K90" s="42">
        <v>16688</v>
      </c>
      <c r="L90" s="38">
        <v>6.6000000000000003E-2</v>
      </c>
      <c r="M90" s="36">
        <f>ROUND(K90*(1-L90),0)</f>
        <v>15587</v>
      </c>
      <c r="N90" s="27">
        <v>0.70599999999999996</v>
      </c>
      <c r="O90" s="24">
        <f t="shared" si="891"/>
        <v>11004.421999999999</v>
      </c>
      <c r="P90" s="38">
        <v>0.224</v>
      </c>
      <c r="Q90" s="24">
        <f t="shared" si="892"/>
        <v>3491.4880000000003</v>
      </c>
      <c r="R90" s="38">
        <v>7.0000000000000007E-2</v>
      </c>
      <c r="S90" s="105">
        <v>0.2442</v>
      </c>
      <c r="T90" s="24">
        <f t="shared" si="893"/>
        <v>1091.0900000000001</v>
      </c>
      <c r="U90" s="27">
        <v>0.22</v>
      </c>
      <c r="V90" s="24">
        <f t="shared" si="894"/>
        <v>3429.14</v>
      </c>
      <c r="W90" s="38">
        <v>0.501</v>
      </c>
      <c r="X90" s="24">
        <f t="shared" si="895"/>
        <v>7809.0870000000004</v>
      </c>
      <c r="Y90" s="38">
        <v>0.4</v>
      </c>
      <c r="Z90" s="24">
        <f t="shared" si="896"/>
        <v>6234.8</v>
      </c>
      <c r="AA90" s="118">
        <v>2.66E-3</v>
      </c>
      <c r="AB90" s="121">
        <f t="shared" si="765"/>
        <v>41.461420000000004</v>
      </c>
      <c r="AC90" s="45">
        <v>2.5300000000000001E-3</v>
      </c>
      <c r="AD90" s="17">
        <f t="shared" si="898"/>
        <v>39.435110000000002</v>
      </c>
      <c r="AE90" s="26">
        <f>IF(M90&gt;0,(AG90+AP90)/M90,0)</f>
        <v>2.4266667350997624E-3</v>
      </c>
      <c r="AF90" s="45">
        <v>2.7999999999999998E-4</v>
      </c>
      <c r="AG90" s="36">
        <f t="shared" si="899"/>
        <v>4.3643599999999996</v>
      </c>
      <c r="AH90" s="27">
        <v>0.2104</v>
      </c>
      <c r="AI90" s="40">
        <f t="shared" si="900"/>
        <v>34.7311488</v>
      </c>
      <c r="AJ90" s="27">
        <f t="shared" si="901"/>
        <v>0.89051315679577792</v>
      </c>
      <c r="AK90" s="28">
        <f t="shared" si="681"/>
        <v>0.88583904318300377</v>
      </c>
      <c r="AL90" s="42">
        <v>181</v>
      </c>
      <c r="AM90" s="38">
        <v>8.7999999999999995E-2</v>
      </c>
      <c r="AN90" s="27">
        <v>0.20269999999999999</v>
      </c>
      <c r="AO90" s="105">
        <v>0.21049999999999999</v>
      </c>
      <c r="AP90" s="40">
        <f>AL90*(1-AM90)*AN90</f>
        <v>33.460094399999996</v>
      </c>
      <c r="AQ90" s="106">
        <f t="shared" si="726"/>
        <v>34.747655999999999</v>
      </c>
      <c r="AR90" s="17">
        <v>1.6</v>
      </c>
      <c r="AS90" s="17"/>
      <c r="AT90" s="129">
        <f>AT89+AL90-AS90</f>
        <v>1582.3399999999988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3">SUM(D88:D90)</f>
        <v>44400</v>
      </c>
      <c r="E91" s="49"/>
      <c r="F91" s="49">
        <f t="shared" ref="F91" si="904">SUM(F88:F90)</f>
        <v>45984</v>
      </c>
      <c r="G91" s="50"/>
      <c r="H91" s="50"/>
      <c r="I91" s="49">
        <f t="shared" ref="I91:K91" si="905">SUM(I88:I90)</f>
        <v>44799</v>
      </c>
      <c r="J91" s="50"/>
      <c r="K91" s="49">
        <f t="shared" si="905"/>
        <v>50123</v>
      </c>
      <c r="L91" s="20">
        <f t="shared" ref="L91" si="906">IF(K91&gt;0,(K88*L88+K89*L89+K90*L90)/K91,0)</f>
        <v>6.4333699100213471E-2</v>
      </c>
      <c r="M91" s="50">
        <f t="shared" ref="M91" si="907">M88+M89+M90</f>
        <v>46899</v>
      </c>
      <c r="N91" s="51">
        <f t="shared" ref="N91" si="908">IF(M91&gt;0,O91/M91,0)</f>
        <v>0.70107983112646322</v>
      </c>
      <c r="O91" s="52">
        <f t="shared" ref="O91" si="909">O88+O89+O90</f>
        <v>32879.942999999999</v>
      </c>
      <c r="P91" s="20">
        <f t="shared" ref="P91" si="910">IF(M91&gt;0,Q91/M91,0)</f>
        <v>0.23628531525192434</v>
      </c>
      <c r="Q91" s="52">
        <f t="shared" ref="Q91" si="911">Q88+Q89+Q90</f>
        <v>11081.545</v>
      </c>
      <c r="R91" s="20">
        <f t="shared" ref="R91" si="912">IF(M91&gt;0,T91/M91,0)</f>
        <v>6.2634853621612405E-2</v>
      </c>
      <c r="S91" s="107"/>
      <c r="T91" s="52">
        <f t="shared" ref="T91" si="913">T88+T89+T90</f>
        <v>2937.5120000000002</v>
      </c>
      <c r="U91" s="20">
        <f t="shared" ref="U91" si="914">IF(M91&gt;0,V91/M91,0)</f>
        <v>0.22633955947888015</v>
      </c>
      <c r="V91" s="52">
        <f t="shared" ref="V91" si="915">V88+V89+V90</f>
        <v>10615.099</v>
      </c>
      <c r="W91" s="20">
        <f t="shared" ref="W91" si="916">IF(M91&gt;0,X91/M91,0)</f>
        <v>0.4953293247190772</v>
      </c>
      <c r="X91" s="52">
        <f t="shared" ref="X91" si="917">X88+X89+X90</f>
        <v>23230.45</v>
      </c>
      <c r="Y91" s="20">
        <f t="shared" ref="Y91" si="918">IF(M91&gt;0,Z91/M91,0)</f>
        <v>0.39999999999999997</v>
      </c>
      <c r="Z91" s="52">
        <f t="shared" ref="Z91" si="919">Z88+Z89+Z90</f>
        <v>18759.599999999999</v>
      </c>
      <c r="AA91" s="119">
        <f t="shared" ref="AA91" si="920">IF(M91&gt;0,AB91/M91,0)</f>
        <v>2.6633815219940724E-3</v>
      </c>
      <c r="AB91" s="54">
        <f t="shared" ref="AB91" si="921">SUM(AB88:AB90)</f>
        <v>124.90993</v>
      </c>
      <c r="AC91" s="53">
        <f t="shared" ref="AC91" si="922">IF(M91&gt;0,AD91/M91,0)</f>
        <v>2.5300000000000001E-3</v>
      </c>
      <c r="AD91" s="54">
        <f t="shared" ref="AD91" si="923">SUM(AD88:AD90)</f>
        <v>118.65447</v>
      </c>
      <c r="AE91" s="53">
        <f t="shared" ref="AE91" si="924">IF(M91&gt;0,(AE88*M88+AE89*M89+AE90*M90)/M91,0)</f>
        <v>2.5889236977334269E-3</v>
      </c>
      <c r="AF91" s="53">
        <f t="shared" ref="AF91" si="925">IF(K91&gt;0,(K88*AF88+K89*AF89+K90*AF90)/K91,0)</f>
        <v>2.7332940965225542E-4</v>
      </c>
      <c r="AG91" s="50">
        <f t="shared" ref="AG91" si="926">SUM(AG88:AG90)</f>
        <v>12.8186</v>
      </c>
      <c r="AH91" s="51">
        <f t="shared" ref="AH91" si="927">IF(K91&gt;0,(K88*AH88+K89*AH89+K90*AH90)/K91,0)</f>
        <v>0.20986656824212438</v>
      </c>
      <c r="AI91" s="56">
        <f t="shared" ref="AI91" si="928">SUM(AI88:AI90)</f>
        <v>107.9213484</v>
      </c>
      <c r="AJ91" s="51">
        <f t="shared" ref="AJ91" si="929">IF(AND(AD91&gt;0),((AD88*AJ88+AD89*AJ89+AD90*AJ90)/AD91),0)</f>
        <v>0.89313011037229506</v>
      </c>
      <c r="AK91" s="55">
        <f t="shared" si="681"/>
        <v>0.89558347085073864</v>
      </c>
      <c r="AL91" s="49">
        <f t="shared" ref="AL91" si="930">SUM(AL88:AL90)</f>
        <v>562</v>
      </c>
      <c r="AM91" s="20">
        <f t="shared" ref="AM91" si="931">IF(AL91&gt;0,(AM88*AL88+AM89*AL89+AM90*AL90)/AL91,0)</f>
        <v>8.4951957295373665E-2</v>
      </c>
      <c r="AN91" s="51">
        <f>IF(K91&gt;0,(AN88*K88+AN89*K89+AN90*K90)/K91,0)</f>
        <v>0.21103710671747503</v>
      </c>
      <c r="AO91" s="107">
        <f>IF(L91&gt;0,(AO88*K88+AO89*K89+AO90*K90)/K91,0)</f>
        <v>0.21233368513456899</v>
      </c>
      <c r="AP91" s="56">
        <f t="shared" ref="AP91:AQ103" si="932">SUM(AP88:AP90)</f>
        <v>108.5993325</v>
      </c>
      <c r="AQ91" s="108">
        <f t="shared" si="932"/>
        <v>109.20790260000001</v>
      </c>
      <c r="AR91" s="54"/>
      <c r="AS91" s="54">
        <f t="shared" ref="AS91" si="933">SUM(AS88:AS90)</f>
        <v>0</v>
      </c>
      <c r="AT91" s="83"/>
      <c r="AU91" s="84">
        <f>AT90</f>
        <v>1582.3399999999988</v>
      </c>
      <c r="AV91" s="49">
        <f t="shared" ref="AV91" si="934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61</v>
      </c>
      <c r="D92" s="11">
        <v>3300</v>
      </c>
      <c r="E92" s="11">
        <v>1</v>
      </c>
      <c r="F92" s="11">
        <v>14865</v>
      </c>
      <c r="G92" s="12">
        <v>1</v>
      </c>
      <c r="H92" s="12">
        <v>7.2</v>
      </c>
      <c r="I92" s="11">
        <v>14583</v>
      </c>
      <c r="J92" s="12">
        <v>2</v>
      </c>
      <c r="K92" s="11">
        <v>16299</v>
      </c>
      <c r="L92" s="13">
        <v>6.2E-2</v>
      </c>
      <c r="M92" s="23">
        <f>ROUND(K92*(1-L92),0)</f>
        <v>15288</v>
      </c>
      <c r="N92" s="14">
        <v>0.80500000000000005</v>
      </c>
      <c r="O92" s="24">
        <f t="shared" ref="O92:O94" si="935">M92*N92</f>
        <v>12306.84</v>
      </c>
      <c r="P92" s="13">
        <v>0.125</v>
      </c>
      <c r="Q92" s="24">
        <f t="shared" ref="Q92:Q94" si="936">M92*P92</f>
        <v>1911</v>
      </c>
      <c r="R92" s="15">
        <v>7.0000000000000007E-2</v>
      </c>
      <c r="S92" s="112">
        <v>0.26079999999999998</v>
      </c>
      <c r="T92" s="24">
        <f t="shared" ref="T92:T94" si="937">M92*R92</f>
        <v>1070.1600000000001</v>
      </c>
      <c r="U92" s="25">
        <v>0.21299999999999999</v>
      </c>
      <c r="V92" s="24">
        <f t="shared" ref="V92:V94" si="938">M92*U92</f>
        <v>3256.3440000000001</v>
      </c>
      <c r="W92" s="15">
        <v>0.51200000000000001</v>
      </c>
      <c r="X92" s="24">
        <f t="shared" ref="X92:X94" si="939">M92*W92</f>
        <v>7827.4560000000001</v>
      </c>
      <c r="Y92" s="15">
        <v>0.39</v>
      </c>
      <c r="Z92" s="24">
        <f t="shared" ref="Z92:Z94" si="940">Y92*M92</f>
        <v>5962.3200000000006</v>
      </c>
      <c r="AA92" s="116">
        <v>2.5699999999999998E-3</v>
      </c>
      <c r="AB92" s="18">
        <f t="shared" ref="AB92" si="941">M92*AA92</f>
        <v>39.29016</v>
      </c>
      <c r="AC92" s="16">
        <v>2.3700000000000001E-3</v>
      </c>
      <c r="AD92" s="17">
        <f t="shared" ref="AD92:AD94" si="942">M92*AC92</f>
        <v>36.232559999999999</v>
      </c>
      <c r="AE92" s="26">
        <f>IF(M92&gt;0,(AG92+AP92)/M92,0)</f>
        <v>2.4980916666666668E-3</v>
      </c>
      <c r="AF92" s="16">
        <v>2.7E-4</v>
      </c>
      <c r="AG92" s="23">
        <f t="shared" ref="AG92:AG94" si="943">AF92*M92</f>
        <v>4.1277600000000003</v>
      </c>
      <c r="AH92" s="92">
        <v>0.20499999999999999</v>
      </c>
      <c r="AI92" s="29">
        <f t="shared" ref="AI92:AI94" si="944">AL92*(1-AM92)*AH92</f>
        <v>34.213270000000001</v>
      </c>
      <c r="AJ92" s="27">
        <f t="shared" ref="AJ92:AJ94" si="945">IF(AND(AH92&gt;0,AF92&gt;0,AC92&gt;0),((AC92-AF92)*AH92)/((AH92-AF92)*AC92),0)</f>
        <v>0.88724451531408777</v>
      </c>
      <c r="AK92" s="58">
        <f t="shared" si="681"/>
        <v>0.89309896061589888</v>
      </c>
      <c r="AL92" s="11">
        <v>182</v>
      </c>
      <c r="AM92" s="13">
        <v>8.3000000000000004E-2</v>
      </c>
      <c r="AN92" s="14">
        <v>0.2041</v>
      </c>
      <c r="AO92" s="101">
        <v>0.2014</v>
      </c>
      <c r="AP92" s="29">
        <f>AL92*(1-AM92)*AN92</f>
        <v>34.063065399999999</v>
      </c>
      <c r="AQ92" s="102">
        <f t="shared" ref="AQ92" si="946">AL92*(1-AM92)*AO92</f>
        <v>33.6124516</v>
      </c>
      <c r="AR92" s="18">
        <v>1.55</v>
      </c>
      <c r="AS92" s="18">
        <v>1003.98</v>
      </c>
      <c r="AT92" s="79">
        <f>AT90+AL92-AS92+AU92</f>
        <v>763.29999999999882</v>
      </c>
      <c r="AU92" s="80">
        <v>2.94</v>
      </c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55</v>
      </c>
      <c r="D93" s="33">
        <v>20500</v>
      </c>
      <c r="E93" s="33">
        <v>4</v>
      </c>
      <c r="F93" s="33">
        <v>15321</v>
      </c>
      <c r="G93" s="34">
        <v>0.8</v>
      </c>
      <c r="H93" s="34">
        <v>6.4</v>
      </c>
      <c r="I93" s="33">
        <v>14729</v>
      </c>
      <c r="J93" s="34">
        <v>2.2000000000000002</v>
      </c>
      <c r="K93" s="33">
        <v>16163</v>
      </c>
      <c r="L93" s="35">
        <v>6.0999999999999999E-2</v>
      </c>
      <c r="M93" s="36">
        <f>ROUND(K93*(1-L93),0)</f>
        <v>15177</v>
      </c>
      <c r="N93" s="37">
        <v>0.63</v>
      </c>
      <c r="O93" s="24">
        <f t="shared" si="935"/>
        <v>9561.51</v>
      </c>
      <c r="P93" s="35">
        <v>0.28999999999999998</v>
      </c>
      <c r="Q93" s="24">
        <f t="shared" si="936"/>
        <v>4401.33</v>
      </c>
      <c r="R93" s="38">
        <v>0.08</v>
      </c>
      <c r="S93" s="105">
        <v>0.2626</v>
      </c>
      <c r="T93" s="24">
        <f t="shared" si="937"/>
        <v>1214.1600000000001</v>
      </c>
      <c r="U93" s="27">
        <v>0.215</v>
      </c>
      <c r="V93" s="24">
        <f t="shared" si="938"/>
        <v>3263.0549999999998</v>
      </c>
      <c r="W93" s="38">
        <v>0.505</v>
      </c>
      <c r="X93" s="24">
        <f t="shared" si="939"/>
        <v>7664.3850000000002</v>
      </c>
      <c r="Y93" s="38">
        <v>0.4</v>
      </c>
      <c r="Z93" s="24">
        <f t="shared" si="940"/>
        <v>6070.8</v>
      </c>
      <c r="AA93" s="117">
        <v>2.2899999999999999E-3</v>
      </c>
      <c r="AB93" s="18">
        <f t="shared" si="765"/>
        <v>34.755330000000001</v>
      </c>
      <c r="AC93" s="39">
        <v>2.3E-3</v>
      </c>
      <c r="AD93" s="17">
        <f t="shared" si="942"/>
        <v>34.9071</v>
      </c>
      <c r="AE93" s="26">
        <f>IF(M93&gt;0,(AG93+AP93)/M93,0)</f>
        <v>2.4049995651314483E-3</v>
      </c>
      <c r="AF93" s="39">
        <v>2.5999999999999998E-4</v>
      </c>
      <c r="AG93" s="36">
        <f t="shared" si="943"/>
        <v>3.9460199999999999</v>
      </c>
      <c r="AH93" s="27">
        <v>0.21299999999999999</v>
      </c>
      <c r="AI93" s="40">
        <f t="shared" si="944"/>
        <v>32.281853999999996</v>
      </c>
      <c r="AJ93" s="27">
        <f t="shared" si="945"/>
        <v>0.88804051485585611</v>
      </c>
      <c r="AK93" s="28">
        <f t="shared" si="681"/>
        <v>0.89297275183871672</v>
      </c>
      <c r="AL93" s="33">
        <v>166</v>
      </c>
      <c r="AM93" s="35">
        <v>8.6999999999999994E-2</v>
      </c>
      <c r="AN93" s="37">
        <v>0.21479999999999999</v>
      </c>
      <c r="AO93" s="103">
        <v>0.2094</v>
      </c>
      <c r="AP93" s="40">
        <f>AL93*(1-AM93)*AN93</f>
        <v>32.554658399999994</v>
      </c>
      <c r="AQ93" s="104">
        <f t="shared" si="726"/>
        <v>31.736245199999999</v>
      </c>
      <c r="AR93" s="41">
        <v>1.55</v>
      </c>
      <c r="AS93" s="41"/>
      <c r="AT93" s="129">
        <f>AT92+AL93-AS93</f>
        <v>929.29999999999882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43" t="s">
        <v>57</v>
      </c>
      <c r="D94" s="42">
        <v>21200</v>
      </c>
      <c r="E94" s="42">
        <v>1</v>
      </c>
      <c r="F94" s="42">
        <v>16780</v>
      </c>
      <c r="G94" s="36">
        <v>0.8</v>
      </c>
      <c r="H94" s="36">
        <v>6.3</v>
      </c>
      <c r="I94" s="42">
        <v>16706</v>
      </c>
      <c r="J94" s="36">
        <v>1</v>
      </c>
      <c r="K94" s="42">
        <v>15968</v>
      </c>
      <c r="L94" s="38">
        <v>6.0999999999999999E-2</v>
      </c>
      <c r="M94" s="36">
        <f>ROUND(K94*(1-L94),0)</f>
        <v>14994</v>
      </c>
      <c r="N94" s="27">
        <v>0.61799999999999999</v>
      </c>
      <c r="O94" s="24">
        <f t="shared" si="935"/>
        <v>9266.2919999999995</v>
      </c>
      <c r="P94" s="38">
        <v>0.29499999999999998</v>
      </c>
      <c r="Q94" s="24">
        <f t="shared" si="936"/>
        <v>4423.2299999999996</v>
      </c>
      <c r="R94" s="38">
        <v>8.6999999999999994E-2</v>
      </c>
      <c r="S94" s="105">
        <v>0.25629999999999997</v>
      </c>
      <c r="T94" s="24">
        <f t="shared" si="937"/>
        <v>1304.4779999999998</v>
      </c>
      <c r="U94" s="27">
        <v>0.218</v>
      </c>
      <c r="V94" s="24">
        <f t="shared" si="938"/>
        <v>3268.692</v>
      </c>
      <c r="W94" s="38">
        <v>0.496</v>
      </c>
      <c r="X94" s="24">
        <f t="shared" si="939"/>
        <v>7437.0240000000003</v>
      </c>
      <c r="Y94" s="38">
        <v>0.39</v>
      </c>
      <c r="Z94" s="24">
        <f t="shared" si="940"/>
        <v>5847.66</v>
      </c>
      <c r="AA94" s="118">
        <v>2.4599999999999999E-3</v>
      </c>
      <c r="AB94" s="121">
        <f t="shared" si="765"/>
        <v>36.885239999999996</v>
      </c>
      <c r="AC94" s="45">
        <v>2.33E-3</v>
      </c>
      <c r="AD94" s="17">
        <f t="shared" si="942"/>
        <v>34.936019999999999</v>
      </c>
      <c r="AE94" s="26">
        <f>IF(M94&gt;0,(AG94+AP94)/M94,0)</f>
        <v>2.3092801120448178E-3</v>
      </c>
      <c r="AF94" s="45">
        <v>2.5000000000000001E-4</v>
      </c>
      <c r="AG94" s="36">
        <f t="shared" si="943"/>
        <v>3.7484999999999999</v>
      </c>
      <c r="AH94" s="27">
        <v>0.20979999999999999</v>
      </c>
      <c r="AI94" s="40">
        <f t="shared" si="944"/>
        <v>30.355961999999998</v>
      </c>
      <c r="AJ94" s="27">
        <f t="shared" si="945"/>
        <v>0.89376888755078077</v>
      </c>
      <c r="AK94" s="28">
        <f t="shared" si="681"/>
        <v>0.89278706200100855</v>
      </c>
      <c r="AL94" s="42">
        <v>159</v>
      </c>
      <c r="AM94" s="38">
        <v>0.09</v>
      </c>
      <c r="AN94" s="27">
        <v>0.21340000000000001</v>
      </c>
      <c r="AO94" s="105">
        <v>0.20660000000000001</v>
      </c>
      <c r="AP94" s="40">
        <f>AL94*(1-AM94)*AN94</f>
        <v>30.876846</v>
      </c>
      <c r="AQ94" s="106">
        <f t="shared" si="726"/>
        <v>29.892954</v>
      </c>
      <c r="AR94" s="17">
        <v>1.55</v>
      </c>
      <c r="AS94" s="17"/>
      <c r="AT94" s="129">
        <f>AT93+AL94-AS94</f>
        <v>1088.2999999999988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47">SUM(D92:D94)</f>
        <v>45000</v>
      </c>
      <c r="E95" s="49"/>
      <c r="F95" s="49">
        <f t="shared" ref="F95" si="948">SUM(F92:F94)</f>
        <v>46966</v>
      </c>
      <c r="G95" s="50"/>
      <c r="H95" s="50"/>
      <c r="I95" s="49">
        <f t="shared" ref="I95:K95" si="949">SUM(I92:I94)</f>
        <v>46018</v>
      </c>
      <c r="J95" s="50"/>
      <c r="K95" s="49">
        <f t="shared" si="949"/>
        <v>48430</v>
      </c>
      <c r="L95" s="20">
        <f t="shared" ref="L95" si="950">IF(K95&gt;0,(K92*L92+K93*L93+K94*L94)/K95,0)</f>
        <v>6.1336547594466238E-2</v>
      </c>
      <c r="M95" s="50">
        <f t="shared" ref="M95" si="951">M92+M93+M94</f>
        <v>45459</v>
      </c>
      <c r="N95" s="51">
        <f t="shared" ref="N95" si="952">IF(M95&gt;0,O95/M95,0)</f>
        <v>0.68489500428957961</v>
      </c>
      <c r="O95" s="52">
        <f t="shared" ref="O95" si="953">O92+O93+O94</f>
        <v>31134.642</v>
      </c>
      <c r="P95" s="20">
        <f t="shared" ref="P95" si="954">IF(M95&gt;0,Q95/M95,0)</f>
        <v>0.23615917640071271</v>
      </c>
      <c r="Q95" s="52">
        <f t="shared" ref="Q95" si="955">Q92+Q93+Q94</f>
        <v>10735.56</v>
      </c>
      <c r="R95" s="20">
        <f t="shared" ref="R95" si="956">IF(M95&gt;0,T95/M95,0)</f>
        <v>7.8945819309707649E-2</v>
      </c>
      <c r="S95" s="107"/>
      <c r="T95" s="52">
        <f t="shared" ref="T95" si="957">T92+T93+T94</f>
        <v>3588.7979999999998</v>
      </c>
      <c r="U95" s="20">
        <f t="shared" ref="U95" si="958">IF(M95&gt;0,V95/M95,0)</f>
        <v>0.21531690094370753</v>
      </c>
      <c r="V95" s="52">
        <f t="shared" ref="V95" si="959">V92+V93+V94</f>
        <v>9788.0910000000003</v>
      </c>
      <c r="W95" s="20">
        <f t="shared" ref="W95" si="960">IF(M95&gt;0,X95/M95,0)</f>
        <v>0.50438560021117929</v>
      </c>
      <c r="X95" s="52">
        <f t="shared" ref="X95" si="961">X92+X93+X94</f>
        <v>22928.865000000002</v>
      </c>
      <c r="Y95" s="20">
        <f t="shared" ref="Y95" si="962">IF(M95&gt;0,Z95/M95,0)</f>
        <v>0.39333861281594401</v>
      </c>
      <c r="Z95" s="52">
        <f t="shared" ref="Z95" si="963">Z92+Z93+Z94</f>
        <v>17880.78</v>
      </c>
      <c r="AA95" s="119">
        <f t="shared" ref="AA95" si="964">IF(M95&gt;0,AB95/M95,0)</f>
        <v>2.4402369167821551E-3</v>
      </c>
      <c r="AB95" s="54">
        <f t="shared" ref="AB95" si="965">SUM(AB92:AB94)</f>
        <v>110.93073</v>
      </c>
      <c r="AC95" s="53">
        <f t="shared" ref="AC95" si="966">IF(M95&gt;0,AD95/M95,0)</f>
        <v>2.3334362832442418E-3</v>
      </c>
      <c r="AD95" s="54">
        <f t="shared" ref="AD95" si="967">SUM(AD92:AD94)</f>
        <v>106.07567999999999</v>
      </c>
      <c r="AE95" s="53">
        <f t="shared" ref="AE95" si="968">IF(M95&gt;0,(AE92*M92+AE93*M93+AE94*M94)/M95,0)</f>
        <v>2.4047350315669065E-3</v>
      </c>
      <c r="AF95" s="53">
        <f t="shared" ref="AF95" si="969">IF(K95&gt;0,(K92*AF92+K93*AF93+K94*AF94)/K95,0)</f>
        <v>2.6006834606648777E-4</v>
      </c>
      <c r="AG95" s="50">
        <f t="shared" ref="AG95" si="970">SUM(AG92:AG94)</f>
        <v>11.822279999999999</v>
      </c>
      <c r="AH95" s="51">
        <f t="shared" ref="AH95" si="971">IF(K95&gt;0,(K92*AH92+K93*AH93+K94*AH94)/K95,0)</f>
        <v>0.20925253768325416</v>
      </c>
      <c r="AI95" s="56">
        <f t="shared" ref="AI95" si="972">SUM(AI92:AI94)</f>
        <v>96.851086000000009</v>
      </c>
      <c r="AJ95" s="51">
        <f t="shared" ref="AJ95" si="973">IF(AND(AD95&gt;0),((AD92*AJ92+AD93*AJ93+AD94*AJ94)/AD95),0)</f>
        <v>0.88965526238215298</v>
      </c>
      <c r="AK95" s="55">
        <f t="shared" si="681"/>
        <v>0.89295354133719851</v>
      </c>
      <c r="AL95" s="49">
        <f t="shared" ref="AL95" si="974">SUM(AL92:AL94)</f>
        <v>507</v>
      </c>
      <c r="AM95" s="20">
        <f t="shared" ref="AM95" si="975">IF(AL95&gt;0,(AM92*AL92+AM93*AL93+AM94*AL94)/AL95,0)</f>
        <v>8.650493096646944E-2</v>
      </c>
      <c r="AN95" s="51">
        <f>IF(K95&gt;0,(AN92*K92+AN93*K93+AN94*K94)/K95,0)</f>
        <v>0.21073734255626678</v>
      </c>
      <c r="AO95" s="107">
        <f>IF(L95&gt;0,(AO92*K92+AO93*K93+AO94*K94)/K95,0)</f>
        <v>0.20578442287838114</v>
      </c>
      <c r="AP95" s="56">
        <f t="shared" ref="AP95" si="976">SUM(AP92:AP94)</f>
        <v>97.494569799999994</v>
      </c>
      <c r="AQ95" s="108">
        <f t="shared" si="932"/>
        <v>95.241650800000002</v>
      </c>
      <c r="AR95" s="54"/>
      <c r="AS95" s="54">
        <f t="shared" ref="AS95" si="977">SUM(AS92:AS94)</f>
        <v>1003.98</v>
      </c>
      <c r="AT95" s="83"/>
      <c r="AU95" s="84">
        <f>AT94</f>
        <v>1088.2999999999988</v>
      </c>
      <c r="AV95" s="49">
        <f t="shared" ref="AV95" si="978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58</v>
      </c>
      <c r="D96" s="11">
        <v>4400</v>
      </c>
      <c r="E96" s="11">
        <v>0</v>
      </c>
      <c r="F96" s="11">
        <v>5425</v>
      </c>
      <c r="G96" s="12">
        <v>0.5</v>
      </c>
      <c r="H96" s="12">
        <v>5</v>
      </c>
      <c r="I96" s="11">
        <v>5393</v>
      </c>
      <c r="J96" s="12">
        <v>6.5</v>
      </c>
      <c r="K96" s="11">
        <v>16497</v>
      </c>
      <c r="L96" s="13">
        <v>7.1999999999999995E-2</v>
      </c>
      <c r="M96" s="23">
        <f>ROUND(K96*(1-L96),0)</f>
        <v>15309</v>
      </c>
      <c r="N96" s="14">
        <v>0.66800000000000004</v>
      </c>
      <c r="O96" s="24">
        <f t="shared" ref="O96:O98" si="979">M96*N96</f>
        <v>10226.412</v>
      </c>
      <c r="P96" s="13">
        <v>0.23899999999999999</v>
      </c>
      <c r="Q96" s="24">
        <f t="shared" ref="Q96:Q98" si="980">M96*P96</f>
        <v>3658.8509999999997</v>
      </c>
      <c r="R96" s="15">
        <v>9.2999999999999999E-2</v>
      </c>
      <c r="S96" s="112">
        <v>0.26450000000000001</v>
      </c>
      <c r="T96" s="24">
        <f t="shared" ref="T96:T98" si="981">M96*R96</f>
        <v>1423.7370000000001</v>
      </c>
      <c r="U96" s="25">
        <v>0.223</v>
      </c>
      <c r="V96" s="24">
        <f t="shared" ref="V96:V98" si="982">M96*U96</f>
        <v>3413.9070000000002</v>
      </c>
      <c r="W96" s="15">
        <v>0.497</v>
      </c>
      <c r="X96" s="24">
        <f t="shared" ref="X96:X98" si="983">M96*W96</f>
        <v>7608.5730000000003</v>
      </c>
      <c r="Y96" s="15">
        <v>0.39</v>
      </c>
      <c r="Z96" s="24">
        <f t="shared" ref="Z96:Z98" si="984">Y96*M96</f>
        <v>5970.51</v>
      </c>
      <c r="AA96" s="116">
        <v>2.49E-3</v>
      </c>
      <c r="AB96" s="18">
        <f t="shared" ref="AB96" si="985">M96*AA96</f>
        <v>38.119410000000002</v>
      </c>
      <c r="AC96" s="16">
        <v>2.5100000000000001E-3</v>
      </c>
      <c r="AD96" s="17">
        <f t="shared" ref="AD96:AD98" si="986">M96*AC96</f>
        <v>38.42559</v>
      </c>
      <c r="AE96" s="26">
        <f>IF(M96&gt;0,(AG96+AP96)/M96,0)</f>
        <v>2.4969590175713632E-3</v>
      </c>
      <c r="AF96" s="16">
        <v>2.7E-4</v>
      </c>
      <c r="AG96" s="23">
        <f t="shared" ref="AG96:AG98" si="987">AF96*M96</f>
        <v>4.1334299999999997</v>
      </c>
      <c r="AH96" s="92">
        <v>0.20610000000000001</v>
      </c>
      <c r="AI96" s="29">
        <f t="shared" ref="AI96:AI98" si="988">AL96*(1-AM96)*AH96</f>
        <v>32.3651196</v>
      </c>
      <c r="AJ96" s="27">
        <f t="shared" ref="AJ96:AJ98" si="989">IF(AND(AH96&gt;0,AF96&gt;0,AC96&gt;0),((AC96-AF96)*AH96)/((AH96-AF96)*AC96),0)</f>
        <v>0.89360093513135919</v>
      </c>
      <c r="AK96" s="58">
        <f t="shared" si="681"/>
        <v>0.8929790376924911</v>
      </c>
      <c r="AL96" s="11">
        <v>172</v>
      </c>
      <c r="AM96" s="13">
        <v>8.6999999999999994E-2</v>
      </c>
      <c r="AN96" s="14">
        <v>0.21709999999999999</v>
      </c>
      <c r="AO96" s="101">
        <v>0.22009999999999999</v>
      </c>
      <c r="AP96" s="29">
        <f>AL96*(1-AM96)*AN96</f>
        <v>34.092515599999999</v>
      </c>
      <c r="AQ96" s="102">
        <f t="shared" ref="AQ96" si="990">AL96*(1-AM96)*AO96</f>
        <v>34.5636236</v>
      </c>
      <c r="AR96" s="18">
        <v>1.6</v>
      </c>
      <c r="AS96" s="18">
        <v>1008.28</v>
      </c>
      <c r="AT96" s="79">
        <f>AT94+AL96-AS96+AU96</f>
        <v>264.95999999999884</v>
      </c>
      <c r="AU96" s="80">
        <v>12.94</v>
      </c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55</v>
      </c>
      <c r="D97" s="33">
        <v>13300</v>
      </c>
      <c r="E97" s="33">
        <v>2</v>
      </c>
      <c r="F97" s="33">
        <v>12113</v>
      </c>
      <c r="G97" s="34">
        <v>0.9</v>
      </c>
      <c r="H97" s="34">
        <v>7</v>
      </c>
      <c r="I97" s="33">
        <v>12080</v>
      </c>
      <c r="J97" s="34">
        <v>5.2</v>
      </c>
      <c r="K97" s="33">
        <v>16571</v>
      </c>
      <c r="L97" s="35">
        <v>6.6000000000000003E-2</v>
      </c>
      <c r="M97" s="36">
        <f>ROUND(K97*(1-L97),0)</f>
        <v>15477</v>
      </c>
      <c r="N97" s="37">
        <v>0.65200000000000002</v>
      </c>
      <c r="O97" s="24">
        <f t="shared" si="979"/>
        <v>10091.004000000001</v>
      </c>
      <c r="P97" s="35">
        <v>0.23899999999999999</v>
      </c>
      <c r="Q97" s="24">
        <f t="shared" si="980"/>
        <v>3699.0029999999997</v>
      </c>
      <c r="R97" s="38">
        <v>0.109</v>
      </c>
      <c r="S97" s="105">
        <v>0.26</v>
      </c>
      <c r="T97" s="24">
        <f t="shared" si="981"/>
        <v>1686.9929999999999</v>
      </c>
      <c r="U97" s="27">
        <v>0.23200000000000001</v>
      </c>
      <c r="V97" s="24">
        <f t="shared" si="982"/>
        <v>3590.6640000000002</v>
      </c>
      <c r="W97" s="38">
        <v>0.48599999999999999</v>
      </c>
      <c r="X97" s="24">
        <f t="shared" si="983"/>
        <v>7521.8220000000001</v>
      </c>
      <c r="Y97" s="38">
        <v>0.39</v>
      </c>
      <c r="Z97" s="24">
        <f t="shared" si="984"/>
        <v>6036.0300000000007</v>
      </c>
      <c r="AA97" s="117">
        <v>2.5200000000000001E-3</v>
      </c>
      <c r="AB97" s="18">
        <f t="shared" si="765"/>
        <v>39.002040000000001</v>
      </c>
      <c r="AC97" s="39">
        <v>2.6199999999999999E-3</v>
      </c>
      <c r="AD97" s="17">
        <f t="shared" si="986"/>
        <v>40.54974</v>
      </c>
      <c r="AE97" s="26">
        <f>IF(M97&gt;0,(AG97+AP97)/M97,0)</f>
        <v>2.4133599017897526E-3</v>
      </c>
      <c r="AF97" s="39">
        <v>2.7E-4</v>
      </c>
      <c r="AG97" s="36">
        <f t="shared" si="987"/>
        <v>4.1787900000000002</v>
      </c>
      <c r="AH97" s="27">
        <v>0.20399999999999999</v>
      </c>
      <c r="AI97" s="40">
        <f t="shared" si="988"/>
        <v>33.156528000000002</v>
      </c>
      <c r="AJ97" s="27">
        <f t="shared" si="989"/>
        <v>0.89813527333549914</v>
      </c>
      <c r="AK97" s="28">
        <f t="shared" si="681"/>
        <v>0.88929921560380509</v>
      </c>
      <c r="AL97" s="33">
        <v>179</v>
      </c>
      <c r="AM97" s="35">
        <v>9.1999999999999998E-2</v>
      </c>
      <c r="AN97" s="37">
        <v>0.2041</v>
      </c>
      <c r="AO97" s="103">
        <v>0.20369999999999999</v>
      </c>
      <c r="AP97" s="40">
        <f>AL97*(1-AM97)*AN97</f>
        <v>33.172781200000003</v>
      </c>
      <c r="AQ97" s="104">
        <f t="shared" si="726"/>
        <v>33.107768399999998</v>
      </c>
      <c r="AR97" s="41">
        <v>1.6</v>
      </c>
      <c r="AS97" s="41"/>
      <c r="AT97" s="129">
        <f>AT96+AL97-AS97</f>
        <v>443.95999999999884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43" t="s">
        <v>57</v>
      </c>
      <c r="D98" s="42">
        <v>16700</v>
      </c>
      <c r="E98" s="42">
        <v>1</v>
      </c>
      <c r="F98" s="42">
        <v>18098</v>
      </c>
      <c r="G98" s="36">
        <v>0.7</v>
      </c>
      <c r="H98" s="36">
        <v>5.0999999999999996</v>
      </c>
      <c r="I98" s="42">
        <v>17592</v>
      </c>
      <c r="J98" s="36">
        <v>4.5</v>
      </c>
      <c r="K98" s="42">
        <v>17170</v>
      </c>
      <c r="L98" s="38">
        <v>7.0000000000000007E-2</v>
      </c>
      <c r="M98" s="36">
        <f>ROUND(K98*(1-L98),0)</f>
        <v>15968</v>
      </c>
      <c r="N98" s="27">
        <v>0.58499999999999996</v>
      </c>
      <c r="O98" s="24">
        <f t="shared" si="979"/>
        <v>9341.2799999999988</v>
      </c>
      <c r="P98" s="38">
        <v>0.29499999999999998</v>
      </c>
      <c r="Q98" s="24">
        <f t="shared" si="980"/>
        <v>4710.5599999999995</v>
      </c>
      <c r="R98" s="38">
        <v>0.12</v>
      </c>
      <c r="S98" s="105">
        <v>0.26540000000000002</v>
      </c>
      <c r="T98" s="24">
        <f t="shared" si="981"/>
        <v>1916.1599999999999</v>
      </c>
      <c r="U98" s="27">
        <v>0.23</v>
      </c>
      <c r="V98" s="24">
        <f t="shared" si="982"/>
        <v>3672.6400000000003</v>
      </c>
      <c r="W98" s="38">
        <v>0.496</v>
      </c>
      <c r="X98" s="24">
        <f t="shared" si="983"/>
        <v>7920.1279999999997</v>
      </c>
      <c r="Y98" s="38">
        <v>0.41</v>
      </c>
      <c r="Z98" s="24">
        <f t="shared" si="984"/>
        <v>6546.8799999999992</v>
      </c>
      <c r="AA98" s="118">
        <v>2.7000000000000001E-3</v>
      </c>
      <c r="AB98" s="121">
        <f t="shared" si="765"/>
        <v>43.113600000000005</v>
      </c>
      <c r="AC98" s="45">
        <v>2.6900000000000001E-3</v>
      </c>
      <c r="AD98" s="17">
        <f t="shared" si="986"/>
        <v>42.953920000000004</v>
      </c>
      <c r="AE98" s="26">
        <f>IF(M98&gt;0,(AG98+AP98)/M98,0)</f>
        <v>2.5710509018036071E-3</v>
      </c>
      <c r="AF98" s="45">
        <v>2.7E-4</v>
      </c>
      <c r="AG98" s="36">
        <f t="shared" si="987"/>
        <v>4.3113599999999996</v>
      </c>
      <c r="AH98" s="27">
        <v>0.2104</v>
      </c>
      <c r="AI98" s="40">
        <f t="shared" si="988"/>
        <v>35.268089599999996</v>
      </c>
      <c r="AJ98" s="27">
        <f t="shared" si="989"/>
        <v>0.90078420209687871</v>
      </c>
      <c r="AK98" s="28">
        <f t="shared" si="681"/>
        <v>0.89608833466642379</v>
      </c>
      <c r="AL98" s="42">
        <v>184</v>
      </c>
      <c r="AM98" s="38">
        <v>8.8999999999999996E-2</v>
      </c>
      <c r="AN98" s="27">
        <v>0.21920000000000001</v>
      </c>
      <c r="AO98" s="105">
        <v>0.21260000000000001</v>
      </c>
      <c r="AP98" s="40">
        <f>AL98*(1-AM98)*AN98</f>
        <v>36.743180799999998</v>
      </c>
      <c r="AQ98" s="106">
        <f t="shared" si="726"/>
        <v>35.636862399999998</v>
      </c>
      <c r="AR98" s="17">
        <v>1.6</v>
      </c>
      <c r="AS98" s="17"/>
      <c r="AT98" s="129">
        <f>AT97+AL98-AS98</f>
        <v>627.9599999999989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91">SUM(D96:D98)</f>
        <v>34400</v>
      </c>
      <c r="E99" s="49"/>
      <c r="F99" s="49">
        <f t="shared" ref="F99" si="992">SUM(F96:F98)</f>
        <v>35636</v>
      </c>
      <c r="G99" s="50"/>
      <c r="H99" s="50"/>
      <c r="I99" s="49">
        <f t="shared" ref="I99:K99" si="993">SUM(I96:I98)</f>
        <v>35065</v>
      </c>
      <c r="J99" s="50"/>
      <c r="K99" s="49">
        <f t="shared" si="993"/>
        <v>50238</v>
      </c>
      <c r="L99" s="20">
        <f t="shared" ref="L99" si="994">IF(K99&gt;0,(K96*L96+K97*L97+K98*L98)/K99,0)</f>
        <v>6.9337354194036388E-2</v>
      </c>
      <c r="M99" s="50">
        <f t="shared" ref="M99" si="995">M96+M97+M98</f>
        <v>46754</v>
      </c>
      <c r="N99" s="51">
        <f t="shared" ref="N99" si="996">IF(M99&gt;0,O99/M99,0)</f>
        <v>0.63435633314796591</v>
      </c>
      <c r="O99" s="52">
        <f t="shared" ref="O99" si="997">O96+O97+O98</f>
        <v>29658.696</v>
      </c>
      <c r="P99" s="20">
        <f t="shared" ref="P99" si="998">IF(M99&gt;0,Q99/M99,0)</f>
        <v>0.25812580741754715</v>
      </c>
      <c r="Q99" s="52">
        <f t="shared" ref="Q99" si="999">Q96+Q97+Q98</f>
        <v>12068.413999999999</v>
      </c>
      <c r="R99" s="20">
        <f t="shared" ref="R99" si="1000">IF(M99&gt;0,T99/M99,0)</f>
        <v>0.10751785943448687</v>
      </c>
      <c r="S99" s="107"/>
      <c r="T99" s="52">
        <f t="shared" ref="T99" si="1001">T96+T97+T98</f>
        <v>5026.8899999999994</v>
      </c>
      <c r="U99" s="20">
        <f t="shared" ref="U99" si="1002">IF(M99&gt;0,V99/M99,0)</f>
        <v>0.22837000042777086</v>
      </c>
      <c r="V99" s="52">
        <f t="shared" ref="V99" si="1003">V96+V97+V98</f>
        <v>10677.210999999999</v>
      </c>
      <c r="W99" s="20">
        <f t="shared" ref="W99" si="1004">IF(M99&gt;0,X99/M99,0)</f>
        <v>0.49301713222398086</v>
      </c>
      <c r="X99" s="52">
        <f t="shared" ref="X99" si="1005">X96+X97+X98</f>
        <v>23050.523000000001</v>
      </c>
      <c r="Y99" s="20">
        <f t="shared" ref="Y99" si="1006">IF(M99&gt;0,Z99/M99,0)</f>
        <v>0.39683064550626679</v>
      </c>
      <c r="Z99" s="52">
        <f t="shared" ref="Z99" si="1007">Z96+Z97+Z98</f>
        <v>18553.419999999998</v>
      </c>
      <c r="AA99" s="119">
        <f t="shared" ref="AA99" si="1008">IF(M99&gt;0,AB99/M99,0)</f>
        <v>2.571652692817727E-3</v>
      </c>
      <c r="AB99" s="54">
        <f t="shared" ref="AB99" si="1009">SUM(AB96:AB98)</f>
        <v>120.23505000000002</v>
      </c>
      <c r="AC99" s="53">
        <f t="shared" ref="AC99" si="1010">IF(M99&gt;0,AD99/M99,0)</f>
        <v>2.6078891645634596E-3</v>
      </c>
      <c r="AD99" s="54">
        <f t="shared" ref="AD99" si="1011">SUM(AD96:AD98)</f>
        <v>121.92925</v>
      </c>
      <c r="AE99" s="53">
        <f t="shared" ref="AE99" si="1012">IF(M99&gt;0,(AE96*M96+AE97*M97+AE98*M98)/M99,0)</f>
        <v>2.4945899302733455E-3</v>
      </c>
      <c r="AF99" s="53">
        <f t="shared" ref="AF99" si="1013">IF(K99&gt;0,(K96*AF96+K97*AF97+K98*AF98)/K99,0)</f>
        <v>2.7E-4</v>
      </c>
      <c r="AG99" s="50">
        <f t="shared" ref="AG99" si="1014">SUM(AG96:AG98)</f>
        <v>12.62358</v>
      </c>
      <c r="AH99" s="51">
        <f t="shared" ref="AH99" si="1015">IF(K99&gt;0,(K96*AH96+K97*AH97+K98*AH98)/K99,0)</f>
        <v>0.20687693976671045</v>
      </c>
      <c r="AI99" s="56">
        <f t="shared" ref="AI99" si="1016">SUM(AI96:AI98)</f>
        <v>100.78973719999999</v>
      </c>
      <c r="AJ99" s="51">
        <f t="shared" ref="AJ99" si="1017">IF(AND(AD99&gt;0),((AD96*AJ96+AD97*AJ97+AD98*AJ98)/AD99),0)</f>
        <v>0.89763947149425427</v>
      </c>
      <c r="AK99" s="55">
        <f t="shared" si="681"/>
        <v>0.89289480901378704</v>
      </c>
      <c r="AL99" s="49">
        <f t="shared" ref="AL99" si="1018">SUM(AL96:AL98)</f>
        <v>535</v>
      </c>
      <c r="AM99" s="20">
        <f t="shared" ref="AM99" si="1019">IF(AL99&gt;0,(AM96*AL96+AM97*AL97+AM98*AL98)/AL99,0)</f>
        <v>8.9360747663551385E-2</v>
      </c>
      <c r="AN99" s="51">
        <f>IF(K99&gt;0,(AN96*K96+AN97*K97+AN98*K98)/K99,0)</f>
        <v>0.21352967474819856</v>
      </c>
      <c r="AO99" s="107">
        <f>IF(L99&gt;0,(AO96*K96+AO97*K97+AO98*K98)/K99,0)</f>
        <v>0.2121271627055217</v>
      </c>
      <c r="AP99" s="56">
        <f t="shared" ref="AP99" si="1020">SUM(AP96:AP98)</f>
        <v>104.00847759999999</v>
      </c>
      <c r="AQ99" s="108">
        <f t="shared" si="932"/>
        <v>103.3082544</v>
      </c>
      <c r="AR99" s="54"/>
      <c r="AS99" s="54">
        <f t="shared" ref="AS99" si="1021">SUM(AS96:AS98)</f>
        <v>1008.28</v>
      </c>
      <c r="AT99" s="83"/>
      <c r="AU99" s="84">
        <f>AT98</f>
        <v>627.9599999999989</v>
      </c>
      <c r="AV99" s="49">
        <f t="shared" ref="AV99" si="1022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58</v>
      </c>
      <c r="D100" s="11">
        <v>5024</v>
      </c>
      <c r="E100" s="11">
        <v>0</v>
      </c>
      <c r="F100" s="11">
        <v>17146</v>
      </c>
      <c r="G100" s="12">
        <v>0.7</v>
      </c>
      <c r="H100" s="12">
        <v>5.0999999999999996</v>
      </c>
      <c r="I100" s="11">
        <v>16403</v>
      </c>
      <c r="J100" s="12">
        <v>4.0999999999999996</v>
      </c>
      <c r="K100" s="11">
        <v>17011</v>
      </c>
      <c r="L100" s="13">
        <v>7.3999999999999996E-2</v>
      </c>
      <c r="M100" s="23">
        <f>ROUND(K100*(1-L100),0)</f>
        <v>15752</v>
      </c>
      <c r="N100" s="14">
        <v>0.70799999999999996</v>
      </c>
      <c r="O100" s="24">
        <f t="shared" ref="O100:O102" si="1023">M100*N100</f>
        <v>11152.415999999999</v>
      </c>
      <c r="P100" s="13">
        <v>0.23699999999999999</v>
      </c>
      <c r="Q100" s="24">
        <f t="shared" ref="Q100:Q102" si="1024">M100*P100</f>
        <v>3733.2239999999997</v>
      </c>
      <c r="R100" s="15">
        <v>5.5E-2</v>
      </c>
      <c r="S100" s="112">
        <v>0.28289999999999998</v>
      </c>
      <c r="T100" s="24">
        <f t="shared" ref="T100:T102" si="1025">M100*R100</f>
        <v>866.36</v>
      </c>
      <c r="U100" s="25">
        <v>0.249</v>
      </c>
      <c r="V100" s="24">
        <f t="shared" ref="V100:V102" si="1026">M100*U100</f>
        <v>3922.248</v>
      </c>
      <c r="W100" s="15">
        <v>0.47099999999999997</v>
      </c>
      <c r="X100" s="24">
        <f t="shared" ref="X100:X102" si="1027">M100*W100</f>
        <v>7419.192</v>
      </c>
      <c r="Y100" s="15">
        <v>0.41</v>
      </c>
      <c r="Z100" s="24">
        <f t="shared" ref="Z100:Z102" si="1028">Y100*M100</f>
        <v>6458.32</v>
      </c>
      <c r="AA100" s="116">
        <v>2.5899999999999999E-3</v>
      </c>
      <c r="AB100" s="18">
        <f t="shared" ref="AB100" si="1029">M100*AA100</f>
        <v>40.79768</v>
      </c>
      <c r="AC100" s="16">
        <v>2.6800000000000001E-3</v>
      </c>
      <c r="AD100" s="17">
        <f t="shared" ref="AD100:AD102" si="1030">M100*AC100</f>
        <v>42.215360000000004</v>
      </c>
      <c r="AE100" s="26">
        <f>IF(M100&gt;0,(AG100+AP100)/M100,0)</f>
        <v>2.6873923882681562E-3</v>
      </c>
      <c r="AF100" s="16">
        <v>2.7E-4</v>
      </c>
      <c r="AG100" s="23">
        <f t="shared" ref="AG100:AG102" si="1031">AF100*M100</f>
        <v>4.2530400000000004</v>
      </c>
      <c r="AH100" s="92">
        <v>0.20499999999999999</v>
      </c>
      <c r="AI100" s="29">
        <f t="shared" ref="AI100:AI102" si="1032">AL100*(1-AM100)*AH100</f>
        <v>36.122844999999998</v>
      </c>
      <c r="AJ100" s="27">
        <f t="shared" ref="AJ100:AJ102" si="1033">IF(AND(AH100&gt;0,AF100&gt;0,AC100&gt;0),((AC100-AF100)*AH100)/((AH100-AF100)*AC100),0)</f>
        <v>0.90043967628277788</v>
      </c>
      <c r="AK100" s="58">
        <f t="shared" si="681"/>
        <v>0.90065616000653648</v>
      </c>
      <c r="AL100" s="11">
        <v>193</v>
      </c>
      <c r="AM100" s="13">
        <v>8.6999999999999994E-2</v>
      </c>
      <c r="AN100" s="14">
        <v>0.21609999999999999</v>
      </c>
      <c r="AO100" s="101">
        <v>0.21759999999999999</v>
      </c>
      <c r="AP100" s="29">
        <f>AL100*(1-AM100)*AN100</f>
        <v>38.078764899999996</v>
      </c>
      <c r="AQ100" s="102">
        <f t="shared" ref="AQ100" si="1034">AL100*(1-AM100)*AO100</f>
        <v>38.343078399999996</v>
      </c>
      <c r="AR100" s="18">
        <v>1.55</v>
      </c>
      <c r="AS100" s="18">
        <v>509.48</v>
      </c>
      <c r="AT100" s="79">
        <f>AT98+AL100-AS100+AU100</f>
        <v>320.83999999999889</v>
      </c>
      <c r="AU100" s="134">
        <v>9.36</v>
      </c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53</v>
      </c>
      <c r="D101" s="33">
        <v>22500</v>
      </c>
      <c r="E101" s="33">
        <v>4</v>
      </c>
      <c r="F101" s="33">
        <v>17270</v>
      </c>
      <c r="G101" s="34">
        <v>1</v>
      </c>
      <c r="H101" s="34">
        <v>6.3</v>
      </c>
      <c r="I101" s="33">
        <v>16600</v>
      </c>
      <c r="J101" s="34">
        <v>4.2</v>
      </c>
      <c r="K101" s="33">
        <v>17470</v>
      </c>
      <c r="L101" s="35">
        <v>6.8000000000000005E-2</v>
      </c>
      <c r="M101" s="36">
        <f>ROUND(K101*(1-L101),0)</f>
        <v>16282</v>
      </c>
      <c r="N101" s="37">
        <v>0.748</v>
      </c>
      <c r="O101" s="24">
        <f t="shared" si="1023"/>
        <v>12178.936</v>
      </c>
      <c r="P101" s="35">
        <v>0.128</v>
      </c>
      <c r="Q101" s="24">
        <f t="shared" si="1024"/>
        <v>2084.096</v>
      </c>
      <c r="R101" s="38">
        <v>0.124</v>
      </c>
      <c r="S101" s="105">
        <v>0.2838</v>
      </c>
      <c r="T101" s="24">
        <f t="shared" si="1025"/>
        <v>2018.9680000000001</v>
      </c>
      <c r="U101" s="27">
        <v>0.23499999999999999</v>
      </c>
      <c r="V101" s="24">
        <f t="shared" si="1026"/>
        <v>3826.27</v>
      </c>
      <c r="W101" s="38">
        <v>0.49099999999999999</v>
      </c>
      <c r="X101" s="24">
        <f t="shared" si="1027"/>
        <v>7994.4619999999995</v>
      </c>
      <c r="Y101" s="38">
        <v>0.41</v>
      </c>
      <c r="Z101" s="24">
        <f t="shared" si="1028"/>
        <v>6675.62</v>
      </c>
      <c r="AA101" s="117">
        <v>2.7499999999999998E-3</v>
      </c>
      <c r="AB101" s="18">
        <f t="shared" si="765"/>
        <v>44.775499999999994</v>
      </c>
      <c r="AC101" s="39">
        <v>2.9299999999999999E-3</v>
      </c>
      <c r="AD101" s="17">
        <f t="shared" si="1030"/>
        <v>47.70626</v>
      </c>
      <c r="AE101" s="26">
        <f>IF(M101&gt;0,(AG101+AP101)/M101,0)</f>
        <v>2.756750915120993E-3</v>
      </c>
      <c r="AF101" s="39">
        <v>2.5000000000000001E-4</v>
      </c>
      <c r="AG101" s="36">
        <f t="shared" si="1031"/>
        <v>4.0705</v>
      </c>
      <c r="AH101" s="27">
        <v>0.20669999999999999</v>
      </c>
      <c r="AI101" s="40">
        <f t="shared" si="1032"/>
        <v>39.964204799999997</v>
      </c>
      <c r="AJ101" s="27">
        <f t="shared" si="1033"/>
        <v>0.91578339175911339</v>
      </c>
      <c r="AK101" s="28">
        <f t="shared" si="681"/>
        <v>0.91039168548520255</v>
      </c>
      <c r="AL101" s="33">
        <v>212</v>
      </c>
      <c r="AM101" s="35">
        <v>8.7999999999999995E-2</v>
      </c>
      <c r="AN101" s="37">
        <v>0.21110000000000001</v>
      </c>
      <c r="AO101" s="103">
        <v>0.2089</v>
      </c>
      <c r="AP101" s="40">
        <f>AL101*(1-AM101)*AN101</f>
        <v>40.814918400000003</v>
      </c>
      <c r="AQ101" s="104">
        <f t="shared" si="726"/>
        <v>40.3895616</v>
      </c>
      <c r="AR101" s="41">
        <v>1.65</v>
      </c>
      <c r="AS101" s="41"/>
      <c r="AT101" s="129">
        <f>AT100+AL101-AS101</f>
        <v>532.83999999999889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43" t="s">
        <v>57</v>
      </c>
      <c r="D102" s="42">
        <v>20500</v>
      </c>
      <c r="E102" s="42">
        <v>0</v>
      </c>
      <c r="F102" s="42">
        <v>17614</v>
      </c>
      <c r="G102" s="36">
        <v>1</v>
      </c>
      <c r="H102" s="36">
        <v>6.7</v>
      </c>
      <c r="I102" s="42">
        <v>17169</v>
      </c>
      <c r="J102" s="36">
        <v>3.3</v>
      </c>
      <c r="K102" s="42">
        <v>17272</v>
      </c>
      <c r="L102" s="38">
        <v>6.5000000000000002E-2</v>
      </c>
      <c r="M102" s="36">
        <f>ROUND(K102*(1-L102),0)</f>
        <v>16149</v>
      </c>
      <c r="N102" s="27">
        <v>0.69399999999999995</v>
      </c>
      <c r="O102" s="24">
        <f t="shared" si="1023"/>
        <v>11207.405999999999</v>
      </c>
      <c r="P102" s="38">
        <v>0.24099999999999999</v>
      </c>
      <c r="Q102" s="24">
        <f t="shared" si="1024"/>
        <v>3891.9089999999997</v>
      </c>
      <c r="R102" s="38">
        <v>6.5000000000000002E-2</v>
      </c>
      <c r="S102" s="105">
        <v>0.25700000000000001</v>
      </c>
      <c r="T102" s="24">
        <f t="shared" si="1025"/>
        <v>1049.6849999999999</v>
      </c>
      <c r="U102" s="27">
        <v>0.24299999999999999</v>
      </c>
      <c r="V102" s="24">
        <f t="shared" si="1026"/>
        <v>3924.2069999999999</v>
      </c>
      <c r="W102" s="38">
        <v>0.49199999999999999</v>
      </c>
      <c r="X102" s="24">
        <f t="shared" si="1027"/>
        <v>7945.308</v>
      </c>
      <c r="Y102" s="38">
        <v>0.42</v>
      </c>
      <c r="Z102" s="24">
        <f t="shared" si="1028"/>
        <v>6782.58</v>
      </c>
      <c r="AA102" s="118">
        <v>2.6800000000000001E-3</v>
      </c>
      <c r="AB102" s="121">
        <f t="shared" si="765"/>
        <v>43.279319999999998</v>
      </c>
      <c r="AC102" s="45">
        <v>2.8999999999999998E-3</v>
      </c>
      <c r="AD102" s="17">
        <f t="shared" si="1030"/>
        <v>46.832099999999997</v>
      </c>
      <c r="AE102" s="26">
        <f>IF(M102&gt;0,(AG102+AP102)/M102,0)</f>
        <v>2.7278741222366712E-3</v>
      </c>
      <c r="AF102" s="45">
        <v>2.5999999999999998E-4</v>
      </c>
      <c r="AG102" s="36">
        <f t="shared" si="1031"/>
        <v>4.1987399999999999</v>
      </c>
      <c r="AH102" s="27">
        <v>0.21299999999999999</v>
      </c>
      <c r="AI102" s="40">
        <f t="shared" si="1032"/>
        <v>38.032428000000003</v>
      </c>
      <c r="AJ102" s="27">
        <f t="shared" si="1033"/>
        <v>0.91145740469992509</v>
      </c>
      <c r="AK102" s="28">
        <f t="shared" si="681"/>
        <v>0.90574276081985972</v>
      </c>
      <c r="AL102" s="42">
        <v>196</v>
      </c>
      <c r="AM102" s="38">
        <v>8.8999999999999996E-2</v>
      </c>
      <c r="AN102" s="27">
        <v>0.22320000000000001</v>
      </c>
      <c r="AO102" s="105">
        <v>0.22059999999999999</v>
      </c>
      <c r="AP102" s="40">
        <f>AL102*(1-AM102)*AN102</f>
        <v>39.853699200000001</v>
      </c>
      <c r="AQ102" s="106">
        <f t="shared" si="726"/>
        <v>39.389453600000003</v>
      </c>
      <c r="AR102" s="17">
        <v>1.6</v>
      </c>
      <c r="AS102" s="17"/>
      <c r="AT102" s="129">
        <f>AT101+AL102-AS102</f>
        <v>728.83999999999889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35">SUM(D100:D102)</f>
        <v>48024</v>
      </c>
      <c r="E103" s="49"/>
      <c r="F103" s="49">
        <f t="shared" ref="F103" si="1036">SUM(F100:F102)</f>
        <v>52030</v>
      </c>
      <c r="G103" s="50"/>
      <c r="H103" s="50"/>
      <c r="I103" s="49">
        <f t="shared" ref="I103:K103" si="1037">SUM(I100:I102)</f>
        <v>50172</v>
      </c>
      <c r="J103" s="50"/>
      <c r="K103" s="49">
        <f t="shared" si="1037"/>
        <v>51753</v>
      </c>
      <c r="L103" s="20">
        <f t="shared" ref="L103" si="1038">IF(K103&gt;0,(K100*L100+K101*L101+K102*L102)/K103,0)</f>
        <v>6.8970958205321425E-2</v>
      </c>
      <c r="M103" s="50">
        <f t="shared" ref="M103" si="1039">M100+M101+M102</f>
        <v>48183</v>
      </c>
      <c r="N103" s="51">
        <f t="shared" ref="N103" si="1040">IF(M103&gt;0,O103/M103,0)</f>
        <v>0.71682456468048905</v>
      </c>
      <c r="O103" s="52">
        <f t="shared" ref="O103" si="1041">O100+O101+O102</f>
        <v>34538.758000000002</v>
      </c>
      <c r="P103" s="20">
        <f t="shared" ref="P103" si="1042">IF(M103&gt;0,Q103/M103,0)</f>
        <v>0.20150735736670608</v>
      </c>
      <c r="Q103" s="52">
        <f t="shared" ref="Q103" si="1043">Q100+Q101+Q102</f>
        <v>9709.2289999999994</v>
      </c>
      <c r="R103" s="20">
        <f t="shared" ref="R103" si="1044">IF(M103&gt;0,T103/M103,0)</f>
        <v>8.1668077952804924E-2</v>
      </c>
      <c r="S103" s="107"/>
      <c r="T103" s="52">
        <f t="shared" ref="T103" si="1045">T100+T101+T102</f>
        <v>3935.0129999999999</v>
      </c>
      <c r="U103" s="20">
        <f t="shared" ref="U103" si="1046">IF(M103&gt;0,V103/M103,0)</f>
        <v>0.24225816159226285</v>
      </c>
      <c r="V103" s="52">
        <f t="shared" ref="V103" si="1047">V100+V101+V102</f>
        <v>11672.725</v>
      </c>
      <c r="W103" s="20">
        <f t="shared" ref="W103" si="1048">IF(M103&gt;0,X103/M103,0)</f>
        <v>0.48479675404188199</v>
      </c>
      <c r="X103" s="52">
        <f t="shared" ref="X103" si="1049">X100+X101+X102</f>
        <v>23358.962</v>
      </c>
      <c r="Y103" s="20">
        <f t="shared" ref="Y103" si="1050">IF(M103&gt;0,Z103/M103,0)</f>
        <v>0.41335159703629903</v>
      </c>
      <c r="Z103" s="52">
        <f t="shared" ref="Z103" si="1051">Z100+Z101+Z102</f>
        <v>19916.519999999997</v>
      </c>
      <c r="AA103" s="119">
        <f t="shared" ref="AA103" si="1052">IF(M103&gt;0,AB103/M103,0)</f>
        <v>2.6742315754519227E-3</v>
      </c>
      <c r="AB103" s="54">
        <f t="shared" ref="AB103" si="1053">SUM(AB100:AB102)</f>
        <v>128.85249999999999</v>
      </c>
      <c r="AC103" s="53">
        <f t="shared" ref="AC103" si="1054">IF(M103&gt;0,AD103/M103,0)</f>
        <v>2.8382151381192533E-3</v>
      </c>
      <c r="AD103" s="54">
        <f t="shared" ref="AD103" si="1055">SUM(AD100:AD102)</f>
        <v>136.75371999999999</v>
      </c>
      <c r="AE103" s="53">
        <f t="shared" ref="AE103" si="1056">IF(M103&gt;0,(AE100*M100+AE101*M101+AE102*M102)/M103,0)</f>
        <v>2.7243978685428474E-3</v>
      </c>
      <c r="AF103" s="53">
        <f t="shared" ref="AF103" si="1057">IF(K103&gt;0,(K100*AF100+K101*AF101+K102*AF102)/K103,0)</f>
        <v>2.5991130948930499E-4</v>
      </c>
      <c r="AG103" s="50">
        <f t="shared" ref="AG103" si="1058">SUM(AG100:AG102)</f>
        <v>12.522280000000002</v>
      </c>
      <c r="AH103" s="51">
        <f t="shared" ref="AH103" si="1059">IF(K103&gt;0,(K100*AH100+K101*AH101+K102*AH102)/K103,0)</f>
        <v>0.20824377330782756</v>
      </c>
      <c r="AI103" s="56">
        <f t="shared" ref="AI103" si="1060">SUM(AI100:AI102)</f>
        <v>114.1194778</v>
      </c>
      <c r="AJ103" s="51">
        <f t="shared" ref="AJ103" si="1061">IF(AND(AD103&gt;0),((AD100*AJ100+AD101*AJ101+AD102*AJ102)/AD103),0)</f>
        <v>0.90956538517672825</v>
      </c>
      <c r="AK103" s="55">
        <f t="shared" si="681"/>
        <v>0.90568449654255923</v>
      </c>
      <c r="AL103" s="49">
        <f t="shared" ref="AL103" si="1062">SUM(AL100:AL102)</f>
        <v>601</v>
      </c>
      <c r="AM103" s="20">
        <f t="shared" ref="AM103" si="1063">IF(AL103&gt;0,(AM100*AL100+AM101*AL101+AM102*AL102)/AL103,0)</f>
        <v>8.8004991680532454E-2</v>
      </c>
      <c r="AN103" s="51">
        <f>IF(K103&gt;0,(AN100*K100+AN101*K101+AN102*K102)/K103,0)</f>
        <v>0.21678172279867833</v>
      </c>
      <c r="AO103" s="107">
        <f>IF(L103&gt;0,(AO100*K100+AO101*K101+AO102*K102)/K103,0)</f>
        <v>0.21566440206364848</v>
      </c>
      <c r="AP103" s="56">
        <f t="shared" ref="AP103" si="1064">SUM(AP100:AP102)</f>
        <v>118.74738249999999</v>
      </c>
      <c r="AQ103" s="108">
        <f t="shared" si="932"/>
        <v>118.1220936</v>
      </c>
      <c r="AR103" s="54"/>
      <c r="AS103" s="54">
        <f t="shared" ref="AS103" si="1065">SUM(AS100:AS102)</f>
        <v>509.48</v>
      </c>
      <c r="AT103" s="136"/>
      <c r="AU103" s="84">
        <f>AT102</f>
        <v>728.83999999999889</v>
      </c>
      <c r="AV103" s="49">
        <f t="shared" ref="AV103" si="1066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0" t="s">
        <v>58</v>
      </c>
      <c r="D104" s="11">
        <v>4363</v>
      </c>
      <c r="E104" s="11">
        <v>1</v>
      </c>
      <c r="F104" s="11">
        <v>15112</v>
      </c>
      <c r="G104" s="12">
        <v>0.8</v>
      </c>
      <c r="H104" s="12">
        <v>6</v>
      </c>
      <c r="I104" s="11">
        <v>14067</v>
      </c>
      <c r="J104" s="12">
        <v>4.5999999999999996</v>
      </c>
      <c r="K104" s="11">
        <v>17413</v>
      </c>
      <c r="L104" s="13">
        <v>6.5000000000000002E-2</v>
      </c>
      <c r="M104" s="23">
        <f>ROUND(K104*(1-L104),0)</f>
        <v>16281</v>
      </c>
      <c r="N104" s="14">
        <v>0.68700000000000006</v>
      </c>
      <c r="O104" s="24">
        <f t="shared" ref="O104:O106" si="1067">M104*N104</f>
        <v>11185.047</v>
      </c>
      <c r="P104" s="13">
        <v>0.25800000000000001</v>
      </c>
      <c r="Q104" s="24">
        <f t="shared" ref="Q104:Q106" si="1068">M104*P104</f>
        <v>4200.4980000000005</v>
      </c>
      <c r="R104" s="15">
        <v>5.5E-2</v>
      </c>
      <c r="S104" s="112">
        <v>0.2397</v>
      </c>
      <c r="T104" s="24">
        <f t="shared" ref="T104:T106" si="1069">M104*R104</f>
        <v>895.45500000000004</v>
      </c>
      <c r="U104" s="25">
        <v>0.247</v>
      </c>
      <c r="V104" s="24">
        <f t="shared" ref="V104:V106" si="1070">M104*U104</f>
        <v>4021.4070000000002</v>
      </c>
      <c r="W104" s="15">
        <v>0.46600000000000003</v>
      </c>
      <c r="X104" s="24">
        <f t="shared" ref="X104:X106" si="1071">M104*W104</f>
        <v>7586.9460000000008</v>
      </c>
      <c r="Y104" s="15">
        <v>0.42</v>
      </c>
      <c r="Z104" s="24">
        <f t="shared" ref="Z104:Z106" si="1072">Y104*M104</f>
        <v>6838.0199999999995</v>
      </c>
      <c r="AA104" s="116">
        <v>2.7299999999999998E-3</v>
      </c>
      <c r="AB104" s="18">
        <f t="shared" ref="AB104" si="1073">M104*AA104</f>
        <v>44.447129999999994</v>
      </c>
      <c r="AC104" s="16">
        <v>2.8900000000000002E-3</v>
      </c>
      <c r="AD104" s="17">
        <f t="shared" ref="AD104:AD106" si="1074">M104*AC104</f>
        <v>47.052090000000007</v>
      </c>
      <c r="AE104" s="26">
        <f>IF(M104&gt;0,(AG104+AP104)/M104,0)</f>
        <v>2.822792150359315E-3</v>
      </c>
      <c r="AF104" s="16">
        <v>2.5000000000000001E-4</v>
      </c>
      <c r="AG104" s="23">
        <f t="shared" ref="AG104:AG106" si="1075">AF104*M104</f>
        <v>4.0702499999999997</v>
      </c>
      <c r="AH104" s="92">
        <v>0.21340000000000001</v>
      </c>
      <c r="AI104" s="29">
        <f t="shared" ref="AI104:AI106" si="1076">AL104*(1-AM104)*AH104</f>
        <v>39.378061800000005</v>
      </c>
      <c r="AJ104" s="27">
        <f t="shared" ref="AJ104:AJ106" si="1077">IF(AND(AH104&gt;0,AF104&gt;0,AC104&gt;0),((AC104-AF104)*AH104)/((AH104-AF104)*AC104),0)</f>
        <v>0.91456623217238209</v>
      </c>
      <c r="AK104" s="58">
        <f t="shared" si="681"/>
        <v>0.91244009785367575</v>
      </c>
      <c r="AL104" s="11">
        <v>203</v>
      </c>
      <c r="AM104" s="13">
        <v>9.0999999999999998E-2</v>
      </c>
      <c r="AN104" s="14">
        <v>0.22700000000000001</v>
      </c>
      <c r="AO104" s="101">
        <v>0.2137</v>
      </c>
      <c r="AP104" s="29">
        <f>AL104*(1-AM104)*AN104</f>
        <v>41.887629000000004</v>
      </c>
      <c r="AQ104" s="102">
        <f t="shared" ref="AQ104" si="1078">AL104*(1-AM104)*AO104</f>
        <v>39.433419900000004</v>
      </c>
      <c r="AR104" s="18">
        <v>1.55</v>
      </c>
      <c r="AS104" s="18">
        <v>508.74</v>
      </c>
      <c r="AT104" s="79">
        <f>AT102+AL104-AS104+AU104</f>
        <v>429.27999999999889</v>
      </c>
      <c r="AU104" s="80">
        <v>6.18</v>
      </c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0" t="s">
        <v>53</v>
      </c>
      <c r="D105" s="33">
        <v>21693</v>
      </c>
      <c r="E105" s="33">
        <v>5</v>
      </c>
      <c r="F105" s="33">
        <v>18068</v>
      </c>
      <c r="G105" s="34">
        <v>1.1000000000000001</v>
      </c>
      <c r="H105" s="34">
        <v>6.3</v>
      </c>
      <c r="I105" s="33">
        <v>17442</v>
      </c>
      <c r="J105" s="34">
        <v>4.2</v>
      </c>
      <c r="K105" s="33">
        <v>17515</v>
      </c>
      <c r="L105" s="35">
        <v>6.7000000000000004E-2</v>
      </c>
      <c r="M105" s="36">
        <f>ROUND(K105*(1-L105),0)</f>
        <v>16341</v>
      </c>
      <c r="N105" s="37">
        <v>0.77500000000000002</v>
      </c>
      <c r="O105" s="24">
        <f t="shared" si="1067"/>
        <v>12664.275</v>
      </c>
      <c r="P105" s="35">
        <v>0.188</v>
      </c>
      <c r="Q105" s="24">
        <f t="shared" si="1068"/>
        <v>3072.1080000000002</v>
      </c>
      <c r="R105" s="38">
        <v>3.6999999999999998E-2</v>
      </c>
      <c r="S105" s="105">
        <v>0.24149999999999999</v>
      </c>
      <c r="T105" s="24">
        <f t="shared" si="1069"/>
        <v>604.61699999999996</v>
      </c>
      <c r="U105" s="27">
        <v>0.24099999999999999</v>
      </c>
      <c r="V105" s="24">
        <f t="shared" si="1070"/>
        <v>3938.181</v>
      </c>
      <c r="W105" s="38">
        <v>0.48099999999999998</v>
      </c>
      <c r="X105" s="24">
        <f t="shared" si="1071"/>
        <v>7860.0209999999997</v>
      </c>
      <c r="Y105" s="38">
        <v>0.4</v>
      </c>
      <c r="Z105" s="24">
        <f t="shared" si="1072"/>
        <v>6536.4000000000005</v>
      </c>
      <c r="AA105" s="117">
        <v>2.7599999999999999E-3</v>
      </c>
      <c r="AB105" s="18">
        <f t="shared" si="765"/>
        <v>45.10116</v>
      </c>
      <c r="AC105" s="39">
        <v>3.0699999999999998E-3</v>
      </c>
      <c r="AD105" s="17">
        <f t="shared" si="1074"/>
        <v>50.166869999999996</v>
      </c>
      <c r="AE105" s="26">
        <f>IF(M105&gt;0,(AG105+AP105)/M105,0)</f>
        <v>2.734485680190931E-3</v>
      </c>
      <c r="AF105" s="39">
        <v>2.7E-4</v>
      </c>
      <c r="AG105" s="36">
        <f t="shared" si="1075"/>
        <v>4.4120699999999999</v>
      </c>
      <c r="AH105" s="27">
        <v>0.2172</v>
      </c>
      <c r="AI105" s="40">
        <f t="shared" si="1076"/>
        <v>38.415078000000001</v>
      </c>
      <c r="AJ105" s="27">
        <f t="shared" si="1077"/>
        <v>0.9131872948403027</v>
      </c>
      <c r="AK105" s="28">
        <f t="shared" si="681"/>
        <v>0.90233109736524486</v>
      </c>
      <c r="AL105" s="33">
        <v>195</v>
      </c>
      <c r="AM105" s="35">
        <v>9.2999999999999999E-2</v>
      </c>
      <c r="AN105" s="37">
        <v>0.22770000000000001</v>
      </c>
      <c r="AO105" s="103">
        <v>0.21099999999999999</v>
      </c>
      <c r="AP105" s="40">
        <f>AL105*(1-AM105)*AN105</f>
        <v>40.272160500000005</v>
      </c>
      <c r="AQ105" s="104">
        <f t="shared" si="726"/>
        <v>37.318514999999998</v>
      </c>
      <c r="AR105" s="41">
        <v>1.6</v>
      </c>
      <c r="AS105" s="41"/>
      <c r="AT105" s="129">
        <f>AT104+AL105-AS105</f>
        <v>624.27999999999884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0" t="s">
        <v>59</v>
      </c>
      <c r="D106" s="42">
        <v>22100</v>
      </c>
      <c r="E106" s="42">
        <v>2</v>
      </c>
      <c r="F106" s="42">
        <v>18630</v>
      </c>
      <c r="G106" s="36">
        <v>0.9</v>
      </c>
      <c r="H106" s="36">
        <v>6.1</v>
      </c>
      <c r="I106" s="42">
        <v>18425</v>
      </c>
      <c r="J106" s="36">
        <v>3.1</v>
      </c>
      <c r="K106" s="42">
        <v>17541</v>
      </c>
      <c r="L106" s="38">
        <v>6.0999999999999999E-2</v>
      </c>
      <c r="M106" s="36">
        <f>ROUND(K106*(1-L106),0)</f>
        <v>16471</v>
      </c>
      <c r="N106" s="27">
        <v>0.80100000000000005</v>
      </c>
      <c r="O106" s="24">
        <f t="shared" si="1067"/>
        <v>13193.271000000001</v>
      </c>
      <c r="P106" s="38">
        <v>0.17599999999999999</v>
      </c>
      <c r="Q106" s="24">
        <f t="shared" si="1068"/>
        <v>2898.8959999999997</v>
      </c>
      <c r="R106" s="38">
        <v>2.3E-2</v>
      </c>
      <c r="S106" s="105">
        <v>0.28389999999999999</v>
      </c>
      <c r="T106" s="24">
        <f t="shared" si="1069"/>
        <v>378.83299999999997</v>
      </c>
      <c r="U106" s="27">
        <v>0.24099999999999999</v>
      </c>
      <c r="V106" s="24">
        <f t="shared" si="1070"/>
        <v>3969.511</v>
      </c>
      <c r="W106" s="38">
        <v>0.49399999999999999</v>
      </c>
      <c r="X106" s="24">
        <f t="shared" si="1071"/>
        <v>8136.674</v>
      </c>
      <c r="Y106" s="38">
        <v>0.43</v>
      </c>
      <c r="Z106" s="24">
        <f t="shared" si="1072"/>
        <v>7082.53</v>
      </c>
      <c r="AA106" s="118">
        <v>2.7499999999999998E-3</v>
      </c>
      <c r="AB106" s="121">
        <f t="shared" si="765"/>
        <v>45.295249999999996</v>
      </c>
      <c r="AC106" s="45">
        <v>3.0300000000000001E-3</v>
      </c>
      <c r="AD106" s="17">
        <f t="shared" si="1074"/>
        <v>49.907130000000002</v>
      </c>
      <c r="AE106" s="26">
        <f>IF(M106&gt;0,(AG106+AP106)/M106,0)</f>
        <v>2.9244514662133446E-3</v>
      </c>
      <c r="AF106" s="45">
        <v>2.7E-4</v>
      </c>
      <c r="AG106" s="36">
        <f t="shared" si="1075"/>
        <v>4.4471699999999998</v>
      </c>
      <c r="AH106" s="27">
        <v>0.219</v>
      </c>
      <c r="AI106" s="40">
        <f t="shared" si="1076"/>
        <v>40.589241000000001</v>
      </c>
      <c r="AJ106" s="27">
        <f t="shared" si="1077"/>
        <v>0.91201549176999719</v>
      </c>
      <c r="AK106" s="28">
        <f t="shared" si="681"/>
        <v>0.90871506606643193</v>
      </c>
      <c r="AL106" s="42">
        <v>203</v>
      </c>
      <c r="AM106" s="38">
        <v>8.6999999999999994E-2</v>
      </c>
      <c r="AN106" s="27">
        <v>0.2359</v>
      </c>
      <c r="AO106" s="105">
        <v>0.221</v>
      </c>
      <c r="AP106" s="40">
        <f>AL106*(1-AM106)*AN106</f>
        <v>43.721470099999998</v>
      </c>
      <c r="AQ106" s="106">
        <f t="shared" si="726"/>
        <v>40.959918999999999</v>
      </c>
      <c r="AR106" s="17">
        <v>1.55</v>
      </c>
      <c r="AS106" s="17"/>
      <c r="AT106" s="129">
        <f>AT105+AL106-AS106</f>
        <v>827.27999999999884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79">SUM(D104:D106)</f>
        <v>48156</v>
      </c>
      <c r="E107" s="49"/>
      <c r="F107" s="49">
        <f t="shared" ref="F107" si="1080">SUM(F104:F106)</f>
        <v>51810</v>
      </c>
      <c r="G107" s="50"/>
      <c r="H107" s="50"/>
      <c r="I107" s="49">
        <f t="shared" ref="I107:K107" si="1081">SUM(I104:I106)</f>
        <v>49934</v>
      </c>
      <c r="J107" s="50"/>
      <c r="K107" s="49">
        <f t="shared" si="1081"/>
        <v>52469</v>
      </c>
      <c r="L107" s="20">
        <f t="shared" ref="L107" si="1082">IF(K107&gt;0,(K104*L104+K105*L105+K106*L106)/K107,0)</f>
        <v>6.4330385560997932E-2</v>
      </c>
      <c r="M107" s="50">
        <f t="shared" ref="M107" si="1083">M104+M105+M106</f>
        <v>49093</v>
      </c>
      <c r="N107" s="51">
        <f t="shared" ref="N107" si="1084">IF(M107&gt;0,O107/M107,0)</f>
        <v>0.75453920110810102</v>
      </c>
      <c r="O107" s="52">
        <f t="shared" ref="O107" si="1085">O104+O105+O106</f>
        <v>37042.593000000001</v>
      </c>
      <c r="P107" s="20">
        <f t="shared" ref="P107" si="1086">IF(M107&gt;0,Q107/M107,0)</f>
        <v>0.20718843827022182</v>
      </c>
      <c r="Q107" s="52">
        <f t="shared" ref="Q107" si="1087">Q104+Q105+Q106</f>
        <v>10171.502</v>
      </c>
      <c r="R107" s="20">
        <f t="shared" ref="R107" si="1088">IF(M107&gt;0,T107/M107,0)</f>
        <v>3.8272360621677229E-2</v>
      </c>
      <c r="S107" s="107"/>
      <c r="T107" s="52">
        <f t="shared" ref="T107" si="1089">T104+T105+T106</f>
        <v>1878.9050000000002</v>
      </c>
      <c r="U107" s="20">
        <f t="shared" ref="U107" si="1090">IF(M107&gt;0,V107/M107,0)</f>
        <v>0.2429898152486098</v>
      </c>
      <c r="V107" s="52">
        <f t="shared" ref="V107" si="1091">V104+V105+V106</f>
        <v>11929.099</v>
      </c>
      <c r="W107" s="20">
        <f t="shared" ref="W107" si="1092">IF(M107&gt;0,X107/M107,0)</f>
        <v>0.48038704092233109</v>
      </c>
      <c r="X107" s="52">
        <f t="shared" ref="X107" si="1093">X104+X105+X106</f>
        <v>23583.641</v>
      </c>
      <c r="Y107" s="20">
        <f t="shared" ref="Y107" si="1094">IF(M107&gt;0,Z107/M107,0)</f>
        <v>0.41669789990426337</v>
      </c>
      <c r="Z107" s="52">
        <f t="shared" ref="Z107" si="1095">Z104+Z105+Z106</f>
        <v>20456.95</v>
      </c>
      <c r="AA107" s="119">
        <f t="shared" ref="AA107" si="1096">IF(M107&gt;0,AB107/M107,0)</f>
        <v>2.7466958629539851E-3</v>
      </c>
      <c r="AB107" s="54">
        <f t="shared" ref="AB107" si="1097">SUM(AB104:AB106)</f>
        <v>134.84353999999999</v>
      </c>
      <c r="AC107" s="53">
        <f t="shared" ref="AC107" si="1098">IF(M107&gt;0,AD107/M107,0)</f>
        <v>2.9968852993298434E-3</v>
      </c>
      <c r="AD107" s="54">
        <f t="shared" ref="AD107" si="1099">SUM(AD104:AD106)</f>
        <v>147.12609</v>
      </c>
      <c r="AE107" s="53">
        <f t="shared" ref="AE107" si="1100">IF(M107&gt;0,(AE104*M104+AE105*M105+AE106*M106)/M107,0)</f>
        <v>2.8275059499317623E-3</v>
      </c>
      <c r="AF107" s="53">
        <f t="shared" ref="AF107" si="1101">IF(K107&gt;0,(K104*AF104+K105*AF105+K106*AF106)/K107,0)</f>
        <v>2.6336255693838268E-4</v>
      </c>
      <c r="AG107" s="50">
        <f t="shared" ref="AG107" si="1102">SUM(AG104:AG106)</f>
        <v>12.929489999999999</v>
      </c>
      <c r="AH107" s="51">
        <f t="shared" ref="AH107" si="1103">IF(K107&gt;0,(K104*AH104+K105*AH105+K106*AH106)/K107,0)</f>
        <v>0.21654064685814481</v>
      </c>
      <c r="AI107" s="56">
        <f t="shared" ref="AI107" si="1104">SUM(AI104:AI106)</f>
        <v>118.38238080000001</v>
      </c>
      <c r="AJ107" s="51">
        <f t="shared" ref="AJ107" si="1105">IF(AND(AD107&gt;0),((AD104*AJ104+AD105*AJ105+AD106*AJ106)/AD107),0)</f>
        <v>0.91323079871707413</v>
      </c>
      <c r="AK107" s="55">
        <f t="shared" si="681"/>
        <v>0.9078955857848654</v>
      </c>
      <c r="AL107" s="49">
        <f t="shared" ref="AL107" si="1106">SUM(AL104:AL106)</f>
        <v>601</v>
      </c>
      <c r="AM107" s="20">
        <f t="shared" ref="AM107" si="1107">IF(AL107&gt;0,(AM104*AL104+AM105*AL105+AM106*AL106)/AL107,0)</f>
        <v>9.0297836938435946E-2</v>
      </c>
      <c r="AN107" s="51">
        <f>IF(K107&gt;0,(AN104*K104+AN105*K105+AN106*K106)/K107,0)</f>
        <v>0.23020904534105854</v>
      </c>
      <c r="AO107" s="107">
        <f>IF(L107&gt;0,(AO104*K104+AO105*K105+AO106*K106)/K107,0)</f>
        <v>0.21523917170138557</v>
      </c>
      <c r="AP107" s="56">
        <f t="shared" ref="AP107:AQ119" si="1108">SUM(AP104:AP106)</f>
        <v>125.88125960000002</v>
      </c>
      <c r="AQ107" s="108">
        <f t="shared" si="1108"/>
        <v>117.71185390000001</v>
      </c>
      <c r="AR107" s="54"/>
      <c r="AS107" s="54">
        <f t="shared" ref="AS107" si="1109">SUM(AS104:AS106)</f>
        <v>508.74</v>
      </c>
      <c r="AT107" s="83"/>
      <c r="AU107" s="84">
        <f>AT106</f>
        <v>827.27999999999884</v>
      </c>
      <c r="AV107" s="49">
        <f t="shared" ref="AV107" si="1110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55</v>
      </c>
      <c r="D108" s="11">
        <v>6808</v>
      </c>
      <c r="E108" s="11">
        <v>0</v>
      </c>
      <c r="F108" s="11">
        <v>9465</v>
      </c>
      <c r="G108" s="12">
        <v>1</v>
      </c>
      <c r="H108" s="12">
        <v>5.6</v>
      </c>
      <c r="I108" s="11">
        <v>9129</v>
      </c>
      <c r="J108" s="12">
        <v>6</v>
      </c>
      <c r="K108" s="11">
        <v>16853</v>
      </c>
      <c r="L108" s="13">
        <v>0.06</v>
      </c>
      <c r="M108" s="23">
        <f>ROUND(K108*(1-L108),0)</f>
        <v>15842</v>
      </c>
      <c r="N108" s="14">
        <v>0.82</v>
      </c>
      <c r="O108" s="24">
        <f t="shared" ref="O108:O110" si="1111">M108*N108</f>
        <v>12990.439999999999</v>
      </c>
      <c r="P108" s="13">
        <v>0.154</v>
      </c>
      <c r="Q108" s="24">
        <f t="shared" ref="Q108:Q110" si="1112">M108*P108</f>
        <v>2439.6680000000001</v>
      </c>
      <c r="R108" s="15">
        <v>2.5999999999999999E-2</v>
      </c>
      <c r="S108" s="112">
        <v>0.31890000000000002</v>
      </c>
      <c r="T108" s="24">
        <f t="shared" ref="T108:T110" si="1113">M108*R108</f>
        <v>411.892</v>
      </c>
      <c r="U108" s="25">
        <v>0.23699999999999999</v>
      </c>
      <c r="V108" s="24">
        <f t="shared" ref="V108:V110" si="1114">M108*U108</f>
        <v>3754.5539999999996</v>
      </c>
      <c r="W108" s="15">
        <v>0.48199999999999998</v>
      </c>
      <c r="X108" s="24">
        <f t="shared" ref="X108:X110" si="1115">M108*W108</f>
        <v>7635.8440000000001</v>
      </c>
      <c r="Y108" s="15">
        <v>0.43</v>
      </c>
      <c r="Z108" s="24">
        <f t="shared" ref="Z108:Z110" si="1116">Y108*M108</f>
        <v>6812.0599999999995</v>
      </c>
      <c r="AA108" s="116">
        <v>2.64E-3</v>
      </c>
      <c r="AB108" s="18">
        <f t="shared" ref="AB108" si="1117">M108*AA108</f>
        <v>41.822879999999998</v>
      </c>
      <c r="AC108" s="16">
        <v>2.8700000000000002E-3</v>
      </c>
      <c r="AD108" s="17">
        <f t="shared" ref="AD108:AD110" si="1118">M108*AC108</f>
        <v>45.466540000000002</v>
      </c>
      <c r="AE108" s="26">
        <f>IF(M108&gt;0,(AG108+AP108)/M108,0)</f>
        <v>2.7636864663552578E-3</v>
      </c>
      <c r="AF108" s="16">
        <v>2.2000000000000001E-4</v>
      </c>
      <c r="AG108" s="23">
        <f t="shared" ref="AG108:AG110" si="1119">AF108*M108</f>
        <v>3.4852400000000001</v>
      </c>
      <c r="AH108" s="92">
        <v>0.22090000000000001</v>
      </c>
      <c r="AI108" s="29">
        <f t="shared" ref="AI108:AI110" si="1120">AL108*(1-AM108)*AH108</f>
        <v>38.319523000000004</v>
      </c>
      <c r="AJ108" s="27">
        <f t="shared" ref="AJ108:AJ110" si="1121">IF(AND(AH108&gt;0,AF108&gt;0,AC108&gt;0),((AC108-AF108)*AH108)/((AH108-AF108)*AC108),0)</f>
        <v>0.92426544750182982</v>
      </c>
      <c r="AK108" s="58">
        <f t="shared" si="681"/>
        <v>0.92126866862440249</v>
      </c>
      <c r="AL108" s="11">
        <v>190</v>
      </c>
      <c r="AM108" s="13">
        <v>8.6999999999999994E-2</v>
      </c>
      <c r="AN108" s="14">
        <v>0.23230000000000001</v>
      </c>
      <c r="AO108" s="101">
        <v>0.21740000000000001</v>
      </c>
      <c r="AP108" s="29">
        <f>AL108*(1-AM108)*AN108</f>
        <v>40.297080999999999</v>
      </c>
      <c r="AQ108" s="102">
        <f t="shared" ref="AQ108" si="1122">AL108*(1-AM108)*AO108</f>
        <v>37.712378000000001</v>
      </c>
      <c r="AR108" s="18">
        <v>1.58</v>
      </c>
      <c r="AS108" s="18">
        <v>503.44</v>
      </c>
      <c r="AT108" s="79">
        <f>AT106+AL108-AS108</f>
        <v>513.83999999999878</v>
      </c>
      <c r="AU108" s="80"/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0" t="s">
        <v>53</v>
      </c>
      <c r="D109" s="33">
        <v>15892</v>
      </c>
      <c r="E109" s="33">
        <v>5</v>
      </c>
      <c r="F109" s="33">
        <v>19313</v>
      </c>
      <c r="G109" s="34">
        <v>1.6</v>
      </c>
      <c r="H109" s="34">
        <v>4.4000000000000004</v>
      </c>
      <c r="I109" s="33">
        <v>18624</v>
      </c>
      <c r="J109" s="34">
        <v>4.0999999999999996</v>
      </c>
      <c r="K109" s="33">
        <v>16231</v>
      </c>
      <c r="L109" s="35">
        <v>6.6000000000000003E-2</v>
      </c>
      <c r="M109" s="36">
        <f>ROUND(K109*(1-L109),0)</f>
        <v>15160</v>
      </c>
      <c r="N109" s="37">
        <v>0.80300000000000005</v>
      </c>
      <c r="O109" s="24">
        <f t="shared" si="1111"/>
        <v>12173.480000000001</v>
      </c>
      <c r="P109" s="35">
        <v>0.155</v>
      </c>
      <c r="Q109" s="24">
        <f t="shared" si="1112"/>
        <v>2349.8000000000002</v>
      </c>
      <c r="R109" s="38">
        <v>4.2000000000000003E-2</v>
      </c>
      <c r="S109" s="105">
        <v>0.24229999999999999</v>
      </c>
      <c r="T109" s="24">
        <f t="shared" si="1113"/>
        <v>636.72</v>
      </c>
      <c r="U109" s="27">
        <v>0.21099999999999999</v>
      </c>
      <c r="V109" s="24">
        <f t="shared" si="1114"/>
        <v>3198.7599999999998</v>
      </c>
      <c r="W109" s="38">
        <v>0.5</v>
      </c>
      <c r="X109" s="24">
        <f t="shared" si="1115"/>
        <v>7580</v>
      </c>
      <c r="Y109" s="38">
        <v>0.4</v>
      </c>
      <c r="Z109" s="24">
        <f t="shared" si="1116"/>
        <v>6064</v>
      </c>
      <c r="AA109" s="117">
        <v>2.7100000000000002E-3</v>
      </c>
      <c r="AB109" s="18">
        <f t="shared" si="765"/>
        <v>41.083600000000004</v>
      </c>
      <c r="AC109" s="39">
        <v>2.9399999999999999E-3</v>
      </c>
      <c r="AD109" s="17">
        <f t="shared" si="1118"/>
        <v>44.570399999999999</v>
      </c>
      <c r="AE109" s="26">
        <f>IF(M109&gt;0,(AG109+AP109)/M109,0)</f>
        <v>2.8290332453825861E-3</v>
      </c>
      <c r="AF109" s="39">
        <v>2.5999999999999998E-4</v>
      </c>
      <c r="AG109" s="36">
        <f t="shared" si="1119"/>
        <v>3.9415999999999998</v>
      </c>
      <c r="AH109" s="27">
        <v>0.21909999999999999</v>
      </c>
      <c r="AI109" s="40">
        <f t="shared" si="1120"/>
        <v>36.686104</v>
      </c>
      <c r="AJ109" s="27">
        <f t="shared" si="1121"/>
        <v>0.91264763993698383</v>
      </c>
      <c r="AK109" s="28">
        <f t="shared" si="681"/>
        <v>0.9091120174646844</v>
      </c>
      <c r="AL109" s="33">
        <v>184</v>
      </c>
      <c r="AM109" s="35">
        <v>0.09</v>
      </c>
      <c r="AN109" s="37">
        <v>0.2326</v>
      </c>
      <c r="AO109" s="103">
        <v>0.21829999999999999</v>
      </c>
      <c r="AP109" s="40">
        <f>AL109*(1-AM109)*AN109</f>
        <v>38.946544000000003</v>
      </c>
      <c r="AQ109" s="104">
        <f t="shared" si="726"/>
        <v>36.552152</v>
      </c>
      <c r="AR109" s="41">
        <v>1.6</v>
      </c>
      <c r="AS109" s="41"/>
      <c r="AT109" s="129">
        <f>AT108+AL109-AS109</f>
        <v>697.83999999999878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0" t="s">
        <v>59</v>
      </c>
      <c r="D110" s="42">
        <v>17600</v>
      </c>
      <c r="E110" s="42">
        <v>5</v>
      </c>
      <c r="F110" s="42">
        <v>18670</v>
      </c>
      <c r="G110" s="36">
        <v>1</v>
      </c>
      <c r="H110" s="36">
        <v>6.5</v>
      </c>
      <c r="I110" s="42">
        <v>17643</v>
      </c>
      <c r="J110" s="36">
        <v>2.5</v>
      </c>
      <c r="K110" s="42">
        <v>16055</v>
      </c>
      <c r="L110" s="38">
        <v>6.8000000000000005E-2</v>
      </c>
      <c r="M110" s="36">
        <f>ROUND(K110*(1-L110),0)</f>
        <v>14963</v>
      </c>
      <c r="N110" s="27">
        <v>0.748</v>
      </c>
      <c r="O110" s="24">
        <f t="shared" si="1111"/>
        <v>11192.324000000001</v>
      </c>
      <c r="P110" s="38">
        <v>0.22800000000000001</v>
      </c>
      <c r="Q110" s="24">
        <f t="shared" si="1112"/>
        <v>3411.5640000000003</v>
      </c>
      <c r="R110" s="38">
        <v>2.4E-2</v>
      </c>
      <c r="S110" s="105">
        <v>0.20960000000000001</v>
      </c>
      <c r="T110" s="24">
        <f t="shared" si="1113"/>
        <v>359.11200000000002</v>
      </c>
      <c r="U110" s="27">
        <v>0.19800000000000001</v>
      </c>
      <c r="V110" s="24">
        <f t="shared" si="1114"/>
        <v>2962.674</v>
      </c>
      <c r="W110" s="38">
        <v>0.505</v>
      </c>
      <c r="X110" s="24">
        <f t="shared" si="1115"/>
        <v>7556.3150000000005</v>
      </c>
      <c r="Y110" s="38">
        <v>0.4</v>
      </c>
      <c r="Z110" s="24">
        <f t="shared" si="1116"/>
        <v>5985.2000000000007</v>
      </c>
      <c r="AA110" s="118">
        <v>2.7799999999999999E-3</v>
      </c>
      <c r="AB110" s="121">
        <f t="shared" si="765"/>
        <v>41.597139999999996</v>
      </c>
      <c r="AC110" s="45">
        <v>2.96E-3</v>
      </c>
      <c r="AD110" s="17">
        <f t="shared" si="1118"/>
        <v>44.290480000000002</v>
      </c>
      <c r="AE110" s="26">
        <f>IF(M110&gt;0,(AG110+AP110)/M110,0)</f>
        <v>2.9008818418766293E-3</v>
      </c>
      <c r="AF110" s="45">
        <v>2.4000000000000001E-4</v>
      </c>
      <c r="AG110" s="36">
        <f t="shared" si="1119"/>
        <v>3.5911200000000001</v>
      </c>
      <c r="AH110" s="27">
        <v>0.22009999999999999</v>
      </c>
      <c r="AI110" s="40">
        <f t="shared" si="1120"/>
        <v>37.053834999999999</v>
      </c>
      <c r="AJ110" s="27">
        <f t="shared" si="1121"/>
        <v>0.91992201425477149</v>
      </c>
      <c r="AK110" s="28">
        <f t="shared" si="681"/>
        <v>0.91819832406625956</v>
      </c>
      <c r="AL110" s="42">
        <v>185</v>
      </c>
      <c r="AM110" s="38">
        <v>0.09</v>
      </c>
      <c r="AN110" s="27">
        <v>0.23649999999999999</v>
      </c>
      <c r="AO110" s="105">
        <v>0.22189999999999999</v>
      </c>
      <c r="AP110" s="40">
        <f>AL110*(1-AM110)*AN110</f>
        <v>39.814774999999997</v>
      </c>
      <c r="AQ110" s="106">
        <f t="shared" si="726"/>
        <v>37.356864999999999</v>
      </c>
      <c r="AR110" s="17">
        <v>1.55</v>
      </c>
      <c r="AS110" s="17"/>
      <c r="AT110" s="129">
        <f>AT109+AL110-AS110</f>
        <v>882.83999999999878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23">SUM(D108:D110)</f>
        <v>40300</v>
      </c>
      <c r="E111" s="49"/>
      <c r="F111" s="49">
        <f t="shared" ref="F111" si="1124">SUM(F108:F110)</f>
        <v>47448</v>
      </c>
      <c r="G111" s="50"/>
      <c r="H111" s="50"/>
      <c r="I111" s="49">
        <f t="shared" ref="I111:K111" si="1125">SUM(I108:I110)</f>
        <v>45396</v>
      </c>
      <c r="J111" s="50"/>
      <c r="K111" s="49">
        <f t="shared" si="1125"/>
        <v>49139</v>
      </c>
      <c r="L111" s="20">
        <f t="shared" ref="L111" si="1126">IF(K111&gt;0,(K108*L108+K109*L109+K110*L110)/K111,0)</f>
        <v>6.4595657217281596E-2</v>
      </c>
      <c r="M111" s="50">
        <f t="shared" ref="M111" si="1127">M108+M109+M110</f>
        <v>45965</v>
      </c>
      <c r="N111" s="51">
        <f t="shared" ref="N111" si="1128">IF(M111&gt;0,O111/M111,0)</f>
        <v>0.79095494397911448</v>
      </c>
      <c r="O111" s="52">
        <f t="shared" ref="O111" si="1129">O108+O109+O110</f>
        <v>36356.243999999999</v>
      </c>
      <c r="P111" s="20">
        <f t="shared" ref="P111" si="1130">IF(M111&gt;0,Q111/M111,0)</f>
        <v>0.17841905797889701</v>
      </c>
      <c r="Q111" s="52">
        <f t="shared" ref="Q111" si="1131">Q108+Q109+Q110</f>
        <v>8201.0320000000011</v>
      </c>
      <c r="R111" s="20">
        <f t="shared" ref="R111" si="1132">IF(M111&gt;0,T111/M111,0)</f>
        <v>3.0625998041988473E-2</v>
      </c>
      <c r="S111" s="107"/>
      <c r="T111" s="52">
        <f t="shared" ref="T111" si="1133">T108+T109+T110</f>
        <v>1407.7240000000002</v>
      </c>
      <c r="U111" s="20">
        <f t="shared" ref="U111" si="1134">IF(M111&gt;0,V111/M111,0)</f>
        <v>0.21572909822691178</v>
      </c>
      <c r="V111" s="52">
        <f t="shared" ref="V111" si="1135">V108+V109+V110</f>
        <v>9915.9879999999994</v>
      </c>
      <c r="W111" s="20">
        <f t="shared" ref="W111" si="1136">IF(M111&gt;0,X111/M111,0)</f>
        <v>0.49542388774067225</v>
      </c>
      <c r="X111" s="52">
        <f t="shared" ref="X111" si="1137">X108+X109+X110</f>
        <v>22772.159</v>
      </c>
      <c r="Y111" s="20">
        <f t="shared" ref="Y111" si="1138">IF(M111&gt;0,Z111/M111,0)</f>
        <v>0.41033960622212556</v>
      </c>
      <c r="Z111" s="52">
        <f t="shared" ref="Z111" si="1139">Z108+Z109+Z110</f>
        <v>18861.260000000002</v>
      </c>
      <c r="AA111" s="119">
        <f>IF(M111&gt;0,AB111/M111,0)</f>
        <v>2.7086613727836397E-3</v>
      </c>
      <c r="AB111" s="54">
        <f t="shared" ref="AB111" si="1140">SUM(AB108:AB110)</f>
        <v>124.50362</v>
      </c>
      <c r="AC111" s="53">
        <f t="shared" ref="AC111" si="1141">IF(M111&gt;0,AD111/M111,0)</f>
        <v>2.9223848580441645E-3</v>
      </c>
      <c r="AD111" s="54">
        <f t="shared" ref="AD111" si="1142">SUM(AD108:AD110)</f>
        <v>134.32742000000002</v>
      </c>
      <c r="AE111" s="53">
        <f t="shared" ref="AE111" si="1143">IF(M111&gt;0,(AE108*M108+AE109*M109+AE110*M110)/M111,0)</f>
        <v>2.8299001414119444E-3</v>
      </c>
      <c r="AF111" s="53">
        <f t="shared" ref="AF111" si="1144">IF(K111&gt;0,(K108*AF108+K109*AF109+K110*AF110)/K111,0)</f>
        <v>2.3974684059504666E-4</v>
      </c>
      <c r="AG111" s="50">
        <f t="shared" ref="AG111" si="1145">SUM(AG108:AG110)</f>
        <v>11.01796</v>
      </c>
      <c r="AH111" s="51">
        <f t="shared" ref="AH111" si="1146">IF(K111&gt;0,(K108*AH108+K109*AH109+K110*AH110)/K111,0)</f>
        <v>0.2200440647957834</v>
      </c>
      <c r="AI111" s="56">
        <f t="shared" ref="AI111" si="1147">SUM(AI108:AI110)</f>
        <v>112.059462</v>
      </c>
      <c r="AJ111" s="51">
        <f t="shared" ref="AJ111" si="1148">IF(AND(AD111&gt;0),((AD108*AJ108+AD109*AJ109+AD110*AJ110)/AD111),0)</f>
        <v>0.91897849213822358</v>
      </c>
      <c r="AK111" s="55">
        <f t="shared" si="681"/>
        <v>0.91622045276570707</v>
      </c>
      <c r="AL111" s="49">
        <f t="shared" ref="AL111" si="1149">SUM(AL108:AL110)</f>
        <v>559</v>
      </c>
      <c r="AM111" s="20">
        <f t="shared" ref="AM111" si="1150">IF(AL111&gt;0,(AM108*AL108+AM109*AL109+AM110*AL110)/AL111,0)</f>
        <v>8.8980322003577805E-2</v>
      </c>
      <c r="AN111" s="51">
        <f>IF(K111&gt;0,(AN108*K108+AN109*K109+AN110*K110)/K111,0)</f>
        <v>0.23377134251816278</v>
      </c>
      <c r="AO111" s="107">
        <f>IF(L111&gt;0,(AO108*K108+AO109*K109+AO110*K110)/K111,0)</f>
        <v>0.21916754512708844</v>
      </c>
      <c r="AP111" s="56">
        <f t="shared" ref="AP111" si="1151">SUM(AP108:AP110)</f>
        <v>119.05840000000001</v>
      </c>
      <c r="AQ111" s="108">
        <f t="shared" si="1108"/>
        <v>111.62139500000001</v>
      </c>
      <c r="AR111" s="54"/>
      <c r="AS111" s="54">
        <f t="shared" ref="AS111" si="1152">SUM(AS108:AS110)</f>
        <v>503.44</v>
      </c>
      <c r="AT111" s="83"/>
      <c r="AU111" s="84">
        <f>AT110</f>
        <v>882.83999999999878</v>
      </c>
      <c r="AV111" s="49">
        <f t="shared" ref="AV111" si="1153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55</v>
      </c>
      <c r="D112" s="11">
        <v>19200</v>
      </c>
      <c r="E112" s="11">
        <v>0</v>
      </c>
      <c r="F112" s="11">
        <v>17649</v>
      </c>
      <c r="G112" s="12">
        <v>0.5</v>
      </c>
      <c r="H112" s="12">
        <v>5.9</v>
      </c>
      <c r="I112" s="11">
        <v>17388</v>
      </c>
      <c r="J112" s="12">
        <v>2.6</v>
      </c>
      <c r="K112" s="11">
        <v>16116</v>
      </c>
      <c r="L112" s="13">
        <v>5.3999999999999999E-2</v>
      </c>
      <c r="M112" s="23">
        <f>ROUND(K112*(1-L112),0)</f>
        <v>15246</v>
      </c>
      <c r="N112" s="14">
        <v>0.753</v>
      </c>
      <c r="O112" s="24">
        <f t="shared" ref="O112:O114" si="1154">M112*N112</f>
        <v>11480.237999999999</v>
      </c>
      <c r="P112" s="13">
        <v>0.22500000000000001</v>
      </c>
      <c r="Q112" s="24">
        <f t="shared" ref="Q112:Q114" si="1155">M112*P112</f>
        <v>3430.35</v>
      </c>
      <c r="R112" s="15">
        <v>2.1999999999999999E-2</v>
      </c>
      <c r="S112" s="112">
        <v>0.22570000000000001</v>
      </c>
      <c r="T112" s="24">
        <f t="shared" ref="T112:T114" si="1156">M112*R112</f>
        <v>335.41199999999998</v>
      </c>
      <c r="U112" s="25">
        <v>0.19500000000000001</v>
      </c>
      <c r="V112" s="24">
        <f t="shared" ref="V112:V114" si="1157">M112*U112</f>
        <v>2972.9700000000003</v>
      </c>
      <c r="W112" s="15">
        <v>0.51500000000000001</v>
      </c>
      <c r="X112" s="24">
        <f t="shared" ref="X112:X114" si="1158">M112*W112</f>
        <v>7851.6900000000005</v>
      </c>
      <c r="Y112" s="15">
        <v>0.39</v>
      </c>
      <c r="Z112" s="24">
        <f t="shared" ref="Z112:Z114" si="1159">Y112*M112</f>
        <v>5945.9400000000005</v>
      </c>
      <c r="AA112" s="116">
        <v>2.7200000000000002E-3</v>
      </c>
      <c r="AB112" s="18">
        <f t="shared" ref="AB112" si="1160">M112*AA112</f>
        <v>41.469120000000004</v>
      </c>
      <c r="AC112" s="16">
        <v>2.8800000000000002E-3</v>
      </c>
      <c r="AD112" s="17">
        <f t="shared" ref="AD112:AD114" si="1161">M112*AC112</f>
        <v>43.908480000000004</v>
      </c>
      <c r="AE112" s="26">
        <f>IF(M112&gt;0,(AG112+AP112)/M112,0)</f>
        <v>2.8090697887970615E-3</v>
      </c>
      <c r="AF112" s="16">
        <v>2.4000000000000001E-4</v>
      </c>
      <c r="AG112" s="23">
        <f t="shared" ref="AG112:AG114" si="1162">AF112*M112</f>
        <v>3.6590400000000001</v>
      </c>
      <c r="AH112" s="92">
        <v>0.21820000000000001</v>
      </c>
      <c r="AI112" s="29">
        <f t="shared" ref="AI112:AI114" si="1163">AL112*(1-AM112)*AH112</f>
        <v>35.939722000000003</v>
      </c>
      <c r="AJ112" s="27">
        <f t="shared" ref="AJ112:AJ114" si="1164">IF(AND(AH112&gt;0,AF112&gt;0,AC112&gt;0),((AC112-AF112)*AH112)/((AH112-AF112)*AC112),0)</f>
        <v>0.91767602618217392</v>
      </c>
      <c r="AK112" s="58">
        <f t="shared" si="681"/>
        <v>0.91548642044690198</v>
      </c>
      <c r="AL112" s="11">
        <v>181</v>
      </c>
      <c r="AM112" s="13">
        <v>0.09</v>
      </c>
      <c r="AN112" s="14">
        <v>0.23780000000000001</v>
      </c>
      <c r="AO112" s="101">
        <v>0.22739999999999999</v>
      </c>
      <c r="AP112" s="29">
        <f>AL112*(1-AM112)*AN112</f>
        <v>39.168038000000003</v>
      </c>
      <c r="AQ112" s="102">
        <f t="shared" ref="AQ112" si="1165">AL112*(1-AM112)*AO112</f>
        <v>37.455053999999997</v>
      </c>
      <c r="AR112" s="18">
        <v>1.56</v>
      </c>
      <c r="AS112" s="18"/>
      <c r="AT112" s="79">
        <f>AT110+AL112-AS112</f>
        <v>1063.8399999999988</v>
      </c>
      <c r="AU112" s="80"/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43" t="s">
        <v>57</v>
      </c>
      <c r="D113" s="33">
        <v>20400</v>
      </c>
      <c r="E113" s="33">
        <v>1</v>
      </c>
      <c r="F113" s="33">
        <v>13227</v>
      </c>
      <c r="G113" s="34">
        <v>0.4</v>
      </c>
      <c r="H113" s="34">
        <v>5.5</v>
      </c>
      <c r="I113" s="33">
        <v>13117</v>
      </c>
      <c r="J113" s="34">
        <v>3.5</v>
      </c>
      <c r="K113" s="33">
        <v>16172</v>
      </c>
      <c r="L113" s="35">
        <v>7.1999999999999995E-2</v>
      </c>
      <c r="M113" s="36">
        <f>ROUND(K113*(1-L113),0)</f>
        <v>15008</v>
      </c>
      <c r="N113" s="37">
        <v>0.71</v>
      </c>
      <c r="O113" s="24">
        <f t="shared" si="1154"/>
        <v>10655.68</v>
      </c>
      <c r="P113" s="35">
        <v>0.245</v>
      </c>
      <c r="Q113" s="24">
        <f t="shared" si="1155"/>
        <v>3676.96</v>
      </c>
      <c r="R113" s="38">
        <v>4.4999999999999998E-2</v>
      </c>
      <c r="S113" s="105">
        <v>0.20960000000000001</v>
      </c>
      <c r="T113" s="24">
        <f t="shared" si="1156"/>
        <v>675.36</v>
      </c>
      <c r="U113" s="27">
        <v>0.20100000000000001</v>
      </c>
      <c r="V113" s="24">
        <f t="shared" si="1157"/>
        <v>3016.6080000000002</v>
      </c>
      <c r="W113" s="38">
        <v>0.501</v>
      </c>
      <c r="X113" s="24">
        <f t="shared" si="1158"/>
        <v>7519.0079999999998</v>
      </c>
      <c r="Y113" s="38">
        <v>0.39</v>
      </c>
      <c r="Z113" s="24">
        <f t="shared" si="1159"/>
        <v>5853.12</v>
      </c>
      <c r="AA113" s="117">
        <v>2.7100000000000002E-3</v>
      </c>
      <c r="AB113" s="18">
        <f t="shared" si="765"/>
        <v>40.671680000000002</v>
      </c>
      <c r="AC113" s="39">
        <v>2.8400000000000001E-3</v>
      </c>
      <c r="AD113" s="17">
        <f t="shared" si="1161"/>
        <v>42.622720000000001</v>
      </c>
      <c r="AE113" s="26">
        <f>IF(M113&gt;0,(AG113+AP113)/M113,0)</f>
        <v>2.7991324626865672E-3</v>
      </c>
      <c r="AF113" s="39">
        <v>2.4000000000000001E-4</v>
      </c>
      <c r="AG113" s="36">
        <f t="shared" si="1162"/>
        <v>3.6019200000000002</v>
      </c>
      <c r="AH113" s="27">
        <v>0.21379999999999999</v>
      </c>
      <c r="AI113" s="40">
        <f t="shared" si="1163"/>
        <v>36.576903999999999</v>
      </c>
      <c r="AJ113" s="27">
        <f t="shared" si="1164"/>
        <v>0.91652179418522728</v>
      </c>
      <c r="AK113" s="28">
        <f t="shared" si="681"/>
        <v>0.91523757648879966</v>
      </c>
      <c r="AL113" s="33">
        <v>188</v>
      </c>
      <c r="AM113" s="35">
        <v>0.09</v>
      </c>
      <c r="AN113" s="37">
        <v>0.22450000000000001</v>
      </c>
      <c r="AO113" s="103">
        <v>0.21510000000000001</v>
      </c>
      <c r="AP113" s="40">
        <f>AL113*(1-AM113)*AN113</f>
        <v>38.40746</v>
      </c>
      <c r="AQ113" s="104">
        <f t="shared" si="726"/>
        <v>36.799308000000003</v>
      </c>
      <c r="AR113" s="41">
        <v>1.6</v>
      </c>
      <c r="AS113" s="41"/>
      <c r="AT113" s="129">
        <f>AT112+AL113-AS113</f>
        <v>1251.8399999999988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0" t="s">
        <v>59</v>
      </c>
      <c r="D114" s="42">
        <v>13000</v>
      </c>
      <c r="E114" s="42">
        <v>1</v>
      </c>
      <c r="F114" s="42">
        <v>17314</v>
      </c>
      <c r="G114" s="36">
        <v>0.4</v>
      </c>
      <c r="H114" s="36">
        <v>5</v>
      </c>
      <c r="I114" s="42">
        <v>16355</v>
      </c>
      <c r="J114" s="36">
        <v>2.2999999999999998</v>
      </c>
      <c r="K114" s="42">
        <v>14148</v>
      </c>
      <c r="L114" s="38">
        <v>6.3E-2</v>
      </c>
      <c r="M114" s="36">
        <f>ROUND(K114*(1-L114),0)</f>
        <v>13257</v>
      </c>
      <c r="N114" s="27">
        <v>0.73</v>
      </c>
      <c r="O114" s="24">
        <f t="shared" si="1154"/>
        <v>9677.61</v>
      </c>
      <c r="P114" s="38">
        <v>0.25</v>
      </c>
      <c r="Q114" s="24">
        <f t="shared" si="1155"/>
        <v>3314.25</v>
      </c>
      <c r="R114" s="38">
        <v>0.02</v>
      </c>
      <c r="S114" s="105">
        <v>0.2056</v>
      </c>
      <c r="T114" s="24">
        <f t="shared" si="1156"/>
        <v>265.14</v>
      </c>
      <c r="U114" s="27">
        <v>0.20300000000000001</v>
      </c>
      <c r="V114" s="24">
        <f t="shared" si="1157"/>
        <v>2691.1710000000003</v>
      </c>
      <c r="W114" s="38">
        <v>0.51</v>
      </c>
      <c r="X114" s="24">
        <f t="shared" si="1158"/>
        <v>6761.07</v>
      </c>
      <c r="Y114" s="38">
        <v>0.39</v>
      </c>
      <c r="Z114" s="24">
        <f t="shared" si="1159"/>
        <v>5170.2300000000005</v>
      </c>
      <c r="AA114" s="118">
        <v>2.7100000000000002E-3</v>
      </c>
      <c r="AB114" s="121">
        <f t="shared" si="765"/>
        <v>35.926470000000002</v>
      </c>
      <c r="AC114" s="45">
        <v>2.8400000000000001E-3</v>
      </c>
      <c r="AD114" s="17">
        <f t="shared" si="1161"/>
        <v>37.649880000000003</v>
      </c>
      <c r="AE114" s="26">
        <f>IF(M114&gt;0,(AG114+AP114)/M114,0)</f>
        <v>2.9512980312287845E-3</v>
      </c>
      <c r="AF114" s="45">
        <v>2.4000000000000001E-4</v>
      </c>
      <c r="AG114" s="36">
        <f t="shared" si="1162"/>
        <v>3.1816800000000001</v>
      </c>
      <c r="AH114" s="27">
        <v>0.2109</v>
      </c>
      <c r="AI114" s="40">
        <f t="shared" si="1163"/>
        <v>32.590377000000004</v>
      </c>
      <c r="AJ114" s="27">
        <f t="shared" si="1164"/>
        <v>0.91653595741352134</v>
      </c>
      <c r="AK114" s="28">
        <f t="shared" si="681"/>
        <v>0.9196287355793048</v>
      </c>
      <c r="AL114" s="42">
        <v>170</v>
      </c>
      <c r="AM114" s="38">
        <v>9.0999999999999998E-2</v>
      </c>
      <c r="AN114" s="27">
        <v>0.2326</v>
      </c>
      <c r="AO114" s="105">
        <v>0.22539999999999999</v>
      </c>
      <c r="AP114" s="40">
        <f>AL114*(1-AM114)*AN114</f>
        <v>35.943677999999998</v>
      </c>
      <c r="AQ114" s="106">
        <f t="shared" si="726"/>
        <v>34.831061999999996</v>
      </c>
      <c r="AR114" s="17">
        <v>1.55</v>
      </c>
      <c r="AS114" s="17"/>
      <c r="AT114" s="129">
        <f>AT113+AL114-AS114</f>
        <v>1421.8399999999988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66">SUM(D112:D114)</f>
        <v>52600</v>
      </c>
      <c r="E115" s="49"/>
      <c r="F115" s="49">
        <f t="shared" ref="F115" si="1167">SUM(F112:F114)</f>
        <v>48190</v>
      </c>
      <c r="G115" s="50"/>
      <c r="H115" s="50"/>
      <c r="I115" s="49">
        <f t="shared" ref="I115:K115" si="1168">SUM(I112:I114)</f>
        <v>46860</v>
      </c>
      <c r="J115" s="50"/>
      <c r="K115" s="49">
        <f t="shared" si="1168"/>
        <v>46436</v>
      </c>
      <c r="L115" s="20">
        <f t="shared" ref="L115" si="1169">IF(K115&gt;0,(K112*L112+K113*L113+K114*L114)/K115,0)</f>
        <v>6.3010853648031703E-2</v>
      </c>
      <c r="M115" s="50">
        <f t="shared" ref="M115" si="1170">M112+M113+M114</f>
        <v>43511</v>
      </c>
      <c r="N115" s="51">
        <f t="shared" ref="N115" si="1171">IF(M115&gt;0,O115/M115,0)</f>
        <v>0.73116058008319729</v>
      </c>
      <c r="O115" s="52">
        <f t="shared" ref="O115" si="1172">O112+O113+O114</f>
        <v>31813.527999999998</v>
      </c>
      <c r="P115" s="20">
        <f t="shared" ref="P115" si="1173">IF(M115&gt;0,Q115/M115,0)</f>
        <v>0.23951552480981819</v>
      </c>
      <c r="Q115" s="52">
        <f t="shared" ref="Q115" si="1174">Q112+Q113+Q114</f>
        <v>10421.56</v>
      </c>
      <c r="R115" s="20">
        <f t="shared" ref="R115" si="1175">IF(M115&gt;0,T115/M115,0)</f>
        <v>2.9323895106984438E-2</v>
      </c>
      <c r="S115" s="107"/>
      <c r="T115" s="52">
        <f t="shared" ref="T115" si="1176">T112+T113+T114</f>
        <v>1275.9119999999998</v>
      </c>
      <c r="U115" s="20">
        <f t="shared" ref="U115" si="1177">IF(M115&gt;0,V115/M115,0)</f>
        <v>0.19950699823033255</v>
      </c>
      <c r="V115" s="52">
        <f t="shared" ref="V115" si="1178">V112+V113+V114</f>
        <v>8680.7489999999998</v>
      </c>
      <c r="W115" s="20">
        <f t="shared" ref="W115" si="1179">IF(M115&gt;0,X115/M115,0)</f>
        <v>0.50864765231780473</v>
      </c>
      <c r="X115" s="52">
        <f t="shared" ref="X115" si="1180">X112+X113+X114</f>
        <v>22131.768</v>
      </c>
      <c r="Y115" s="20">
        <f t="shared" ref="Y115" si="1181">IF(M115&gt;0,Z115/M115,0)</f>
        <v>0.39</v>
      </c>
      <c r="Z115" s="52">
        <f t="shared" ref="Z115" si="1182">Z112+Z113+Z114</f>
        <v>16969.29</v>
      </c>
      <c r="AA115" s="119">
        <f t="shared" ref="AA115" si="1183">IF(M115&gt;0,AB115/M115,0)</f>
        <v>2.7135039415320267E-3</v>
      </c>
      <c r="AB115" s="54">
        <f t="shared" ref="AB115" si="1184">SUM(AB112:AB114)</f>
        <v>118.06727000000001</v>
      </c>
      <c r="AC115" s="53">
        <f t="shared" ref="AC115" si="1185">IF(M115&gt;0,AD115/M115,0)</f>
        <v>2.8540157661281059E-3</v>
      </c>
      <c r="AD115" s="54">
        <f t="shared" ref="AD115" si="1186">SUM(AD112:AD114)</f>
        <v>124.18108000000001</v>
      </c>
      <c r="AE115" s="53">
        <f t="shared" ref="AE115" si="1187">IF(M115&gt;0,(AE112*M112+AE113*M113+AE114*M114)/M115,0)</f>
        <v>2.8489764887040057E-3</v>
      </c>
      <c r="AF115" s="53">
        <f t="shared" ref="AF115" si="1188">IF(K115&gt;0,(K112*AF112+K113*AF113+K114*AF114)/K115,0)</f>
        <v>2.4000000000000001E-4</v>
      </c>
      <c r="AG115" s="50">
        <f t="shared" ref="AG115" si="1189">SUM(AG112:AG114)</f>
        <v>10.442640000000001</v>
      </c>
      <c r="AH115" s="51">
        <f t="shared" ref="AH115" si="1190">IF(K115&gt;0,(K112*AH112+K113*AH113+K114*AH114)/K115,0)</f>
        <v>0.21444349211818414</v>
      </c>
      <c r="AI115" s="56">
        <f t="shared" ref="AI115" si="1191">SUM(AI112:AI114)</f>
        <v>105.10700300000001</v>
      </c>
      <c r="AJ115" s="51">
        <f t="shared" ref="AJ115" si="1192">IF(AND(AD115&gt;0),((AD112*AJ112+AD113*AJ113+AD114*AJ114)/AD115),0)</f>
        <v>0.9169342065784758</v>
      </c>
      <c r="AK115" s="55">
        <f t="shared" si="681"/>
        <v>0.91670924493782568</v>
      </c>
      <c r="AL115" s="49">
        <f t="shared" ref="AL115" si="1193">SUM(AL112:AL114)</f>
        <v>539</v>
      </c>
      <c r="AM115" s="20">
        <f t="shared" ref="AM115" si="1194">IF(AL115&gt;0,(AM112*AL112+AM113*AL113+AM114*AL114)/AL115,0)</f>
        <v>9.031539888682745E-2</v>
      </c>
      <c r="AN115" s="51">
        <f>IF(K115&gt;0,(AN112*K112+AN113*K113+AN114*K114)/K115,0)</f>
        <v>0.23158376259798433</v>
      </c>
      <c r="AO115" s="107">
        <f>IF(L115&gt;0,(AO112*K112+AO113*K113+AO114*K114)/K115,0)</f>
        <v>0.22250699457317596</v>
      </c>
      <c r="AP115" s="56">
        <f t="shared" ref="AP115" si="1195">SUM(AP112:AP114)</f>
        <v>113.51917600000002</v>
      </c>
      <c r="AQ115" s="108">
        <f t="shared" si="1108"/>
        <v>109.08542399999999</v>
      </c>
      <c r="AR115" s="54"/>
      <c r="AS115" s="54">
        <f t="shared" ref="AS115" si="1196">SUM(AS112:AS114)</f>
        <v>0</v>
      </c>
      <c r="AT115" s="83"/>
      <c r="AU115" s="84">
        <f>AT114</f>
        <v>1421.8399999999988</v>
      </c>
      <c r="AV115" s="49">
        <f t="shared" ref="AV115" si="1197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55</v>
      </c>
      <c r="D116" s="11">
        <v>14000</v>
      </c>
      <c r="E116" s="11">
        <v>0</v>
      </c>
      <c r="F116" s="11">
        <v>19348</v>
      </c>
      <c r="G116" s="12">
        <v>0.7</v>
      </c>
      <c r="H116" s="12">
        <v>4.3</v>
      </c>
      <c r="I116" s="11">
        <v>18159</v>
      </c>
      <c r="J116" s="12">
        <v>1.5</v>
      </c>
      <c r="K116" s="11">
        <v>16178</v>
      </c>
      <c r="L116" s="13">
        <v>7.3999999999999996E-2</v>
      </c>
      <c r="M116" s="23">
        <f>ROUND(K116*(1-L116),0)</f>
        <v>14981</v>
      </c>
      <c r="N116" s="14">
        <v>0.59799999999999998</v>
      </c>
      <c r="O116" s="24">
        <f t="shared" ref="O116:O118" si="1198">M116*N116</f>
        <v>8958.637999999999</v>
      </c>
      <c r="P116" s="13">
        <v>0.373</v>
      </c>
      <c r="Q116" s="24">
        <f t="shared" ref="Q116:Q118" si="1199">M116*P116</f>
        <v>5587.9129999999996</v>
      </c>
      <c r="R116" s="15">
        <v>2.9000000000000001E-2</v>
      </c>
      <c r="S116" s="112">
        <v>0.20610000000000001</v>
      </c>
      <c r="T116" s="24">
        <f t="shared" ref="T116:T118" si="1200">M116*R116</f>
        <v>434.44900000000001</v>
      </c>
      <c r="U116" s="25">
        <v>0.2</v>
      </c>
      <c r="V116" s="24">
        <f t="shared" ref="V116:V118" si="1201">M116*U116</f>
        <v>2996.2000000000003</v>
      </c>
      <c r="W116" s="15">
        <v>0.504</v>
      </c>
      <c r="X116" s="24">
        <f t="shared" ref="X116:X118" si="1202">M116*W116</f>
        <v>7550.424</v>
      </c>
      <c r="Y116" s="15">
        <v>0.38</v>
      </c>
      <c r="Z116" s="24">
        <f t="shared" ref="Z116:Z118" si="1203">Y116*M116</f>
        <v>5692.78</v>
      </c>
      <c r="AA116" s="116">
        <v>2.8600000000000001E-3</v>
      </c>
      <c r="AB116" s="18">
        <f t="shared" ref="AB116" si="1204">M116*AA116</f>
        <v>42.845660000000002</v>
      </c>
      <c r="AC116" s="16">
        <v>2.8600000000000001E-3</v>
      </c>
      <c r="AD116" s="17">
        <f t="shared" ref="AD116:AD118" si="1205">M116*AC116</f>
        <v>42.845660000000002</v>
      </c>
      <c r="AE116" s="26">
        <f>IF(M116&gt;0,(AG116+AP116)/M116,0)</f>
        <v>2.9608699285761961E-3</v>
      </c>
      <c r="AF116" s="16">
        <v>2.5000000000000001E-4</v>
      </c>
      <c r="AG116" s="23">
        <f t="shared" ref="AG116:AG118" si="1206">AF116*M116</f>
        <v>3.74525</v>
      </c>
      <c r="AH116" s="92">
        <v>0.21190000000000001</v>
      </c>
      <c r="AI116" s="29">
        <f t="shared" ref="AI116:AI118" si="1207">AL116*(1-AM116)*AH116</f>
        <v>38.264054399999999</v>
      </c>
      <c r="AJ116" s="27">
        <f t="shared" ref="AJ116:AJ118" si="1208">IF(AND(AH116&gt;0,AF116&gt;0,AC116&gt;0),((AC116-AF116)*AH116)/((AH116-AF116)*AC116),0)</f>
        <v>0.91366535661362036</v>
      </c>
      <c r="AK116" s="58">
        <f t="shared" si="681"/>
        <v>0.9165842352060658</v>
      </c>
      <c r="AL116" s="11">
        <v>198</v>
      </c>
      <c r="AM116" s="13">
        <v>8.7999999999999995E-2</v>
      </c>
      <c r="AN116" s="14">
        <v>0.22489999999999999</v>
      </c>
      <c r="AO116" s="101">
        <v>0.21790000000000001</v>
      </c>
      <c r="AP116" s="29">
        <f>AL116*(1-AM116)*AN116</f>
        <v>40.611542399999998</v>
      </c>
      <c r="AQ116" s="102">
        <f t="shared" ref="AQ116" si="1209">AL116*(1-AM116)*AO116</f>
        <v>39.347510399999997</v>
      </c>
      <c r="AR116" s="18">
        <v>1.56</v>
      </c>
      <c r="AS116" s="18"/>
      <c r="AT116" s="79">
        <f>AT114+AL116-AS116</f>
        <v>1619.8399999999988</v>
      </c>
      <c r="AU116" s="134"/>
      <c r="AV116" s="11"/>
      <c r="AW116" s="30"/>
      <c r="AX116" s="19"/>
      <c r="AY116" s="19"/>
      <c r="AZ116" s="19"/>
      <c r="BA116" s="19"/>
      <c r="BB116" s="31"/>
    </row>
    <row r="117" spans="1:54">
      <c r="A117" s="147"/>
      <c r="B117" s="32">
        <v>2</v>
      </c>
      <c r="C117" s="143" t="s">
        <v>57</v>
      </c>
      <c r="D117" s="33">
        <v>17400</v>
      </c>
      <c r="E117" s="33">
        <v>0</v>
      </c>
      <c r="F117" s="33">
        <v>12248</v>
      </c>
      <c r="G117" s="34">
        <v>0.7</v>
      </c>
      <c r="H117" s="34">
        <v>6.1</v>
      </c>
      <c r="I117" s="33">
        <v>12248</v>
      </c>
      <c r="J117" s="34">
        <v>2.2999999999999998</v>
      </c>
      <c r="K117" s="33">
        <v>16154</v>
      </c>
      <c r="L117" s="35">
        <v>6.2E-2</v>
      </c>
      <c r="M117" s="36">
        <f>ROUND(K117*(1-L117),0)</f>
        <v>15152</v>
      </c>
      <c r="N117" s="37">
        <v>0.65200000000000002</v>
      </c>
      <c r="O117" s="24">
        <f t="shared" si="1198"/>
        <v>9879.1040000000012</v>
      </c>
      <c r="P117" s="35">
        <v>0.32300000000000001</v>
      </c>
      <c r="Q117" s="24">
        <f t="shared" si="1199"/>
        <v>4894.0960000000005</v>
      </c>
      <c r="R117" s="38">
        <v>2.5000000000000001E-2</v>
      </c>
      <c r="S117" s="105">
        <v>0.2026</v>
      </c>
      <c r="T117" s="24">
        <f t="shared" si="1200"/>
        <v>378.8</v>
      </c>
      <c r="U117" s="27">
        <v>0.21</v>
      </c>
      <c r="V117" s="24">
        <f t="shared" si="1201"/>
        <v>3181.92</v>
      </c>
      <c r="W117" s="38">
        <v>0.504</v>
      </c>
      <c r="X117" s="24">
        <f t="shared" si="1202"/>
        <v>7636.6080000000002</v>
      </c>
      <c r="Y117" s="38">
        <v>0.39</v>
      </c>
      <c r="Z117" s="24">
        <f t="shared" si="1203"/>
        <v>5909.2800000000007</v>
      </c>
      <c r="AA117" s="117"/>
      <c r="AB117" s="18">
        <f t="shared" si="765"/>
        <v>0</v>
      </c>
      <c r="AC117" s="39">
        <v>2.7699999999999999E-3</v>
      </c>
      <c r="AD117" s="17">
        <f t="shared" si="1205"/>
        <v>41.971039999999995</v>
      </c>
      <c r="AE117" s="26">
        <f>IF(M117&gt;0,(AG117+AP117)/M117,0)</f>
        <v>2.9564040390707498E-3</v>
      </c>
      <c r="AF117" s="39">
        <v>2.5999999999999998E-4</v>
      </c>
      <c r="AG117" s="36">
        <f t="shared" si="1206"/>
        <v>3.9395199999999995</v>
      </c>
      <c r="AH117" s="27">
        <v>0.2094</v>
      </c>
      <c r="AI117" s="40">
        <f t="shared" si="1207"/>
        <v>37.688230799999999</v>
      </c>
      <c r="AJ117" s="27">
        <f t="shared" si="1208"/>
        <v>0.9072636815233367</v>
      </c>
      <c r="AK117" s="28">
        <f t="shared" si="681"/>
        <v>0.91310116516840178</v>
      </c>
      <c r="AL117" s="33">
        <v>198</v>
      </c>
      <c r="AM117" s="35">
        <v>9.0999999999999998E-2</v>
      </c>
      <c r="AN117" s="37">
        <v>0.22700000000000001</v>
      </c>
      <c r="AO117" s="103"/>
      <c r="AP117" s="40">
        <f>AL117*(1-AM117)*AN117</f>
        <v>40.855913999999999</v>
      </c>
      <c r="AQ117" s="104">
        <f t="shared" si="726"/>
        <v>0</v>
      </c>
      <c r="AR117" s="41">
        <v>1.55</v>
      </c>
      <c r="AS117" s="41"/>
      <c r="AT117" s="129">
        <f>AT116+AL117-AS117</f>
        <v>1817.8399999999988</v>
      </c>
      <c r="AU117" s="82"/>
      <c r="AV117" s="42"/>
      <c r="AW117" s="43"/>
      <c r="AX117" s="44"/>
      <c r="AY117" s="44"/>
      <c r="AZ117" s="44"/>
      <c r="BA117" s="44"/>
      <c r="BB117" s="31"/>
    </row>
    <row r="118" spans="1:54">
      <c r="A118" s="147"/>
      <c r="B118" s="32">
        <v>3</v>
      </c>
      <c r="C118" s="143" t="s">
        <v>58</v>
      </c>
      <c r="D118" s="42">
        <v>14500</v>
      </c>
      <c r="E118" s="42">
        <v>0</v>
      </c>
      <c r="F118" s="42">
        <v>18410</v>
      </c>
      <c r="G118" s="36">
        <v>0.5</v>
      </c>
      <c r="H118" s="36">
        <v>4.9000000000000004</v>
      </c>
      <c r="I118" s="42">
        <v>17215</v>
      </c>
      <c r="J118" s="36">
        <v>1.7</v>
      </c>
      <c r="K118" s="42">
        <v>15955</v>
      </c>
      <c r="L118" s="38">
        <v>6.6000000000000003E-2</v>
      </c>
      <c r="M118" s="36">
        <f>ROUND(K118*(1-L118),0)</f>
        <v>14902</v>
      </c>
      <c r="N118" s="27">
        <v>0.67</v>
      </c>
      <c r="O118" s="24">
        <f t="shared" si="1198"/>
        <v>9984.34</v>
      </c>
      <c r="P118" s="38">
        <v>0.27900000000000003</v>
      </c>
      <c r="Q118" s="24">
        <f t="shared" si="1199"/>
        <v>4157.6580000000004</v>
      </c>
      <c r="R118" s="38">
        <v>5.0999999999999997E-2</v>
      </c>
      <c r="S118" s="105">
        <v>0.20419999999999999</v>
      </c>
      <c r="T118" s="24">
        <f t="shared" si="1200"/>
        <v>760.00199999999995</v>
      </c>
      <c r="U118" s="27"/>
      <c r="V118" s="24">
        <f t="shared" si="1201"/>
        <v>0</v>
      </c>
      <c r="W118" s="38"/>
      <c r="X118" s="24">
        <f t="shared" si="1202"/>
        <v>0</v>
      </c>
      <c r="Y118" s="38">
        <v>0.4</v>
      </c>
      <c r="Z118" s="24">
        <f t="shared" si="1203"/>
        <v>5960.8</v>
      </c>
      <c r="AA118" s="118"/>
      <c r="AB118" s="121">
        <f t="shared" si="765"/>
        <v>0</v>
      </c>
      <c r="AC118" s="45">
        <v>2.7399999999999998E-3</v>
      </c>
      <c r="AD118" s="17">
        <f t="shared" si="1205"/>
        <v>40.831479999999999</v>
      </c>
      <c r="AE118" s="26">
        <f>IF(M118&gt;0,(AG118+AP118)/M118,0)</f>
        <v>2.5999999999999998E-4</v>
      </c>
      <c r="AF118" s="45">
        <v>2.5999999999999998E-4</v>
      </c>
      <c r="AG118" s="36">
        <f t="shared" si="1206"/>
        <v>3.8745199999999995</v>
      </c>
      <c r="AH118" s="27">
        <v>0.20480000000000001</v>
      </c>
      <c r="AI118" s="40">
        <f t="shared" si="1207"/>
        <v>35.652812800000007</v>
      </c>
      <c r="AJ118" s="27">
        <f t="shared" si="1208"/>
        <v>0.90626001446007753</v>
      </c>
      <c r="AK118" s="28">
        <f t="shared" si="681"/>
        <v>0</v>
      </c>
      <c r="AL118" s="42">
        <v>193</v>
      </c>
      <c r="AM118" s="38">
        <v>9.8000000000000004E-2</v>
      </c>
      <c r="AN118" s="27"/>
      <c r="AO118" s="105"/>
      <c r="AP118" s="40">
        <f>AL118*(1-AM118)*AN118</f>
        <v>0</v>
      </c>
      <c r="AQ118" s="106">
        <f t="shared" si="726"/>
        <v>0</v>
      </c>
      <c r="AR118" s="17">
        <v>1.55</v>
      </c>
      <c r="AS118" s="17"/>
      <c r="AT118" s="129">
        <f>AT117+AL118-AS118</f>
        <v>2010.8399999999988</v>
      </c>
      <c r="AU118" s="82"/>
      <c r="AV118" s="42"/>
      <c r="AW118" s="46"/>
      <c r="AX118" s="40"/>
      <c r="AY118" s="40"/>
      <c r="AZ118" s="40"/>
      <c r="BA118" s="40"/>
      <c r="BB118" s="31"/>
    </row>
    <row r="119" spans="1:54">
      <c r="A119" s="148"/>
      <c r="B119" s="47" t="s">
        <v>56</v>
      </c>
      <c r="C119" s="48"/>
      <c r="D119" s="49">
        <f t="shared" ref="D119" si="1210">SUM(D116:D118)</f>
        <v>45900</v>
      </c>
      <c r="E119" s="49"/>
      <c r="F119" s="49">
        <f t="shared" ref="F119" si="1211">SUM(F116:F118)</f>
        <v>50006</v>
      </c>
      <c r="G119" s="50"/>
      <c r="H119" s="50"/>
      <c r="I119" s="49">
        <f t="shared" ref="I119:K119" si="1212">SUM(I116:I118)</f>
        <v>47622</v>
      </c>
      <c r="J119" s="50"/>
      <c r="K119" s="49">
        <f t="shared" si="1212"/>
        <v>48287</v>
      </c>
      <c r="L119" s="20">
        <f t="shared" ref="L119" si="1213">IF(K119&gt;0,(K116*L116+K117*L117+K118*L118)/K119,0)</f>
        <v>6.7342141777289949E-2</v>
      </c>
      <c r="M119" s="50">
        <f t="shared" ref="M119" si="1214">M116+M117+M118</f>
        <v>45035</v>
      </c>
      <c r="N119" s="51">
        <f t="shared" ref="N119" si="1215">IF(M119&gt;0,O119/M119,0)</f>
        <v>0.63999293882535802</v>
      </c>
      <c r="O119" s="52">
        <f t="shared" ref="O119" si="1216">O116+O117+O118</f>
        <v>28822.081999999999</v>
      </c>
      <c r="P119" s="20">
        <f t="shared" ref="P119" si="1217">IF(M119&gt;0,Q119/M119,0)</f>
        <v>0.32507309870101037</v>
      </c>
      <c r="Q119" s="52">
        <f t="shared" ref="Q119" si="1218">Q116+Q117+Q118</f>
        <v>14639.667000000001</v>
      </c>
      <c r="R119" s="20">
        <f t="shared" ref="R119" si="1219">IF(M119&gt;0,T119/M119,0)</f>
        <v>3.4933962473631619E-2</v>
      </c>
      <c r="S119" s="107"/>
      <c r="T119" s="52">
        <f t="shared" ref="T119" si="1220">T116+T117+T118</f>
        <v>1573.251</v>
      </c>
      <c r="U119" s="20">
        <f t="shared" ref="U119" si="1221">IF(M119&gt;0,V119/M119,0)</f>
        <v>0.13718485622293775</v>
      </c>
      <c r="V119" s="52">
        <f t="shared" ref="V119" si="1222">V116+V117+V118</f>
        <v>6178.1200000000008</v>
      </c>
      <c r="W119" s="20">
        <f t="shared" ref="W119" si="1223">IF(M119&gt;0,X119/M119,0)</f>
        <v>0.3372273120905962</v>
      </c>
      <c r="X119" s="52">
        <f t="shared" ref="X119" si="1224">X116+X117+X118</f>
        <v>15187.031999999999</v>
      </c>
      <c r="Y119" s="20">
        <f t="shared" ref="Y119" si="1225">IF(M119&gt;0,Z119/M119,0)</f>
        <v>0.38998245808815368</v>
      </c>
      <c r="Z119" s="52">
        <f t="shared" ref="Z119" si="1226">Z116+Z117+Z118</f>
        <v>17562.86</v>
      </c>
      <c r="AA119" s="119">
        <f t="shared" ref="AA119" si="1227">IF(M119&gt;0,AB119/M119,0)</f>
        <v>9.513858110358611E-4</v>
      </c>
      <c r="AB119" s="54">
        <f t="shared" ref="AB119" si="1228">SUM(AB116:AB118)</f>
        <v>42.845660000000002</v>
      </c>
      <c r="AC119" s="53">
        <f t="shared" ref="AC119" si="1229">IF(M119&gt;0,AD119/M119,0)</f>
        <v>2.7900117686244031E-3</v>
      </c>
      <c r="AD119" s="54">
        <f t="shared" ref="AD119" si="1230">SUM(AD116:AD118)</f>
        <v>125.64818</v>
      </c>
      <c r="AE119" s="53">
        <f t="shared" ref="AE119" si="1231">IF(M119&gt;0,(AE116*M116+AE117*M117+AE118*M118)/M119,0)</f>
        <v>2.0656544110136559E-3</v>
      </c>
      <c r="AF119" s="53">
        <f t="shared" ref="AF119" si="1232">IF(K119&gt;0,(K116*AF116+K117*AF117+K118*AF118)/K119,0)</f>
        <v>2.5664961583863152E-4</v>
      </c>
      <c r="AG119" s="50">
        <f t="shared" ref="AG119" si="1233">SUM(AG116:AG118)</f>
        <v>11.559289999999999</v>
      </c>
      <c r="AH119" s="51">
        <f t="shared" ref="AH119" si="1234">IF(K119&gt;0,(K116*AH116+K117*AH117+K118*AH118)/K119,0)</f>
        <v>0.20871766313914719</v>
      </c>
      <c r="AI119" s="56">
        <f t="shared" ref="AI119" si="1235">SUM(AI116:AI118)</f>
        <v>111.60509800000001</v>
      </c>
      <c r="AJ119" s="51">
        <f t="shared" ref="AJ119" si="1236">IF(AND(AD119&gt;0),((AD116*AJ116+AD117*AJ117+AD118*AJ118)/AD119),0)</f>
        <v>0.90912047549145181</v>
      </c>
      <c r="AK119" s="55">
        <f t="shared" si="681"/>
        <v>0.8772419965567072</v>
      </c>
      <c r="AL119" s="49">
        <f t="shared" ref="AL119" si="1237">SUM(AL116:AL118)</f>
        <v>589</v>
      </c>
      <c r="AM119" s="20">
        <f t="shared" ref="AM119" si="1238">IF(AL119&gt;0,(AM116*AL116+AM117*AL117+AM118*AL118)/AL119,0)</f>
        <v>9.2285229202037355E-2</v>
      </c>
      <c r="AN119" s="51">
        <f>IF(K119&gt;0,(AN116*K116+AN117*K117+AN118*K118)/K119,0)</f>
        <v>0.1512910348541015</v>
      </c>
      <c r="AO119" s="107">
        <f>IF(L119&gt;0,(AO116*K116+AO117*K117+AO118*K118)/K119,0)</f>
        <v>7.3004870876219277E-2</v>
      </c>
      <c r="AP119" s="56">
        <f t="shared" ref="AP119" si="1239">SUM(AP116:AP118)</f>
        <v>81.467456400000003</v>
      </c>
      <c r="AQ119" s="108">
        <f t="shared" si="1108"/>
        <v>39.347510399999997</v>
      </c>
      <c r="AR119" s="54"/>
      <c r="AS119" s="54">
        <f t="shared" ref="AS119" si="1240">SUM(AS116:AS118)</f>
        <v>0</v>
      </c>
      <c r="AT119" s="83"/>
      <c r="AU119" s="84">
        <f>AT118</f>
        <v>2010.8399999999988</v>
      </c>
      <c r="AV119" s="49">
        <f t="shared" ref="AV119" si="1241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53</v>
      </c>
      <c r="D120" s="11">
        <v>5000</v>
      </c>
      <c r="E120" s="11">
        <v>0</v>
      </c>
      <c r="F120" s="11">
        <v>9770</v>
      </c>
      <c r="G120" s="12">
        <v>0.6</v>
      </c>
      <c r="H120" s="12">
        <v>4.2</v>
      </c>
      <c r="I120" s="11">
        <v>9658</v>
      </c>
      <c r="J120" s="12">
        <v>3</v>
      </c>
      <c r="K120" s="11">
        <v>14329</v>
      </c>
      <c r="L120" s="13">
        <v>7.4999999999999997E-2</v>
      </c>
      <c r="M120" s="36">
        <f>ROUND(K120*(1-L120),0)</f>
        <v>13254</v>
      </c>
      <c r="N120" s="14">
        <v>0.64800000000000002</v>
      </c>
      <c r="O120" s="24">
        <f t="shared" ref="O120:O122" si="1242">M120*N120</f>
        <v>8588.5920000000006</v>
      </c>
      <c r="P120" s="13">
        <v>0.31</v>
      </c>
      <c r="Q120" s="24">
        <f t="shared" ref="Q120:Q122" si="1243">M120*P120</f>
        <v>4108.74</v>
      </c>
      <c r="R120" s="15">
        <v>4.2000000000000003E-2</v>
      </c>
      <c r="S120" s="112">
        <v>0.2069</v>
      </c>
      <c r="T120" s="24">
        <f t="shared" ref="T120:T122" si="1244">M120*R120</f>
        <v>556.66800000000001</v>
      </c>
      <c r="U120" s="25">
        <v>0.20399999999999999</v>
      </c>
      <c r="V120" s="24">
        <f t="shared" ref="V120:V122" si="1245">M120*U120</f>
        <v>2703.8159999999998</v>
      </c>
      <c r="W120" s="15">
        <v>0.51100000000000001</v>
      </c>
      <c r="X120" s="24">
        <f t="shared" ref="X120:X122" si="1246">M120*W120</f>
        <v>6772.7939999999999</v>
      </c>
      <c r="Y120" s="15">
        <v>0.39</v>
      </c>
      <c r="Z120" s="24">
        <f t="shared" ref="Z120:Z122" si="1247">Y120*M120</f>
        <v>5169.0600000000004</v>
      </c>
      <c r="AA120" s="116">
        <v>2.64E-3</v>
      </c>
      <c r="AB120" s="18">
        <f t="shared" ref="AB120:AB126" si="1248">M120*AA120</f>
        <v>34.990560000000002</v>
      </c>
      <c r="AC120" s="16">
        <v>2.5799999999999998E-3</v>
      </c>
      <c r="AD120" s="17">
        <f t="shared" ref="AD120:AD122" si="1249">M120*AC120</f>
        <v>34.195319999999995</v>
      </c>
      <c r="AE120" s="26">
        <f>IF(M120&gt;0,(AG120+AP120)/M120,0)</f>
        <v>2.5942669986419196E-3</v>
      </c>
      <c r="AF120" s="16">
        <v>2.5999999999999998E-4</v>
      </c>
      <c r="AG120" s="23">
        <f t="shared" ref="AG120:AG122" si="1250">AF120*M120</f>
        <v>3.4460399999999995</v>
      </c>
      <c r="AH120" s="92">
        <v>0.2094</v>
      </c>
      <c r="AI120" s="29">
        <f t="shared" ref="AI120:AI122" si="1251">AL120*(1-AM120)*AH120</f>
        <v>29.0906856</v>
      </c>
      <c r="AJ120" s="27">
        <f t="shared" ref="AJ120:AJ122" si="1252">IF(AND(AH120&gt;0,AF120&gt;0,AC120&gt;0),((AC120-AF120)*AH120)/((AH120-AF120)*AC120),0)</f>
        <v>0.90034271023527135</v>
      </c>
      <c r="AK120" s="58">
        <f t="shared" si="681"/>
        <v>0.90083072343886106</v>
      </c>
      <c r="AL120" s="11">
        <v>153</v>
      </c>
      <c r="AM120" s="13">
        <v>9.1999999999999998E-2</v>
      </c>
      <c r="AN120" s="14">
        <v>0.22270000000000001</v>
      </c>
      <c r="AO120" s="101">
        <v>0.216</v>
      </c>
      <c r="AP120" s="29">
        <f>AL120*(1-AM120)*AN120</f>
        <v>30.938374800000002</v>
      </c>
      <c r="AQ120" s="102">
        <f t="shared" ref="AQ120:AQ126" si="1253">AL120*(1-AM120)*AO120</f>
        <v>30.007584000000001</v>
      </c>
      <c r="AR120" s="18">
        <v>1.58</v>
      </c>
      <c r="AS120" s="18">
        <v>1009.38</v>
      </c>
      <c r="AT120" s="79">
        <f>AT118+AL120-AS120</f>
        <v>1154.4599999999987</v>
      </c>
      <c r="AU120" s="80"/>
      <c r="AV120" s="11"/>
      <c r="AW120" s="30"/>
      <c r="AX120" s="19"/>
      <c r="AY120" s="19"/>
      <c r="AZ120" s="19"/>
      <c r="BA120" s="19"/>
      <c r="BB120" s="31"/>
    </row>
    <row r="121" spans="1:54">
      <c r="A121" s="147"/>
      <c r="B121" s="32">
        <v>2</v>
      </c>
      <c r="C121" s="143" t="s">
        <v>57</v>
      </c>
      <c r="D121" s="33">
        <v>19069</v>
      </c>
      <c r="E121" s="33">
        <v>3</v>
      </c>
      <c r="F121" s="33">
        <v>17148</v>
      </c>
      <c r="G121" s="34">
        <v>0.4</v>
      </c>
      <c r="H121" s="34">
        <v>4.5</v>
      </c>
      <c r="I121" s="33">
        <v>16276</v>
      </c>
      <c r="J121" s="34">
        <v>1.5</v>
      </c>
      <c r="K121" s="33">
        <v>14303</v>
      </c>
      <c r="L121" s="35">
        <v>7.1999999999999995E-2</v>
      </c>
      <c r="M121" s="36">
        <f>ROUND(K121*(1-L121),0)</f>
        <v>13273</v>
      </c>
      <c r="N121" s="37">
        <v>0.60099999999999998</v>
      </c>
      <c r="O121" s="24">
        <f t="shared" si="1242"/>
        <v>7977.0729999999994</v>
      </c>
      <c r="P121" s="35">
        <v>0.312</v>
      </c>
      <c r="Q121" s="24">
        <f t="shared" si="1243"/>
        <v>4141.1760000000004</v>
      </c>
      <c r="R121" s="38">
        <v>8.6999999999999994E-2</v>
      </c>
      <c r="S121" s="105">
        <v>0.2127</v>
      </c>
      <c r="T121" s="24">
        <f t="shared" si="1244"/>
        <v>1154.751</v>
      </c>
      <c r="U121" s="27">
        <v>0.20799999999999999</v>
      </c>
      <c r="V121" s="24">
        <f t="shared" si="1245"/>
        <v>2760.7839999999997</v>
      </c>
      <c r="W121" s="38">
        <v>0.501</v>
      </c>
      <c r="X121" s="24">
        <f t="shared" si="1246"/>
        <v>6649.7730000000001</v>
      </c>
      <c r="Y121" s="38">
        <v>0.39</v>
      </c>
      <c r="Z121" s="24">
        <f t="shared" si="1247"/>
        <v>5176.47</v>
      </c>
      <c r="AA121" s="117">
        <v>2.5600000000000002E-3</v>
      </c>
      <c r="AB121" s="18">
        <f t="shared" si="1248"/>
        <v>33.978880000000004</v>
      </c>
      <c r="AC121" s="39">
        <v>2.5000000000000001E-3</v>
      </c>
      <c r="AD121" s="17">
        <f t="shared" si="1249"/>
        <v>33.182499999999997</v>
      </c>
      <c r="AE121" s="26">
        <f>IF(M121&gt;0,(AG121+AP121)/M121,0)</f>
        <v>2.6868390115271606E-3</v>
      </c>
      <c r="AF121" s="39">
        <v>2.5000000000000001E-4</v>
      </c>
      <c r="AG121" s="36">
        <f t="shared" si="1250"/>
        <v>3.3182499999999999</v>
      </c>
      <c r="AH121" s="27">
        <v>0.21190000000000001</v>
      </c>
      <c r="AI121" s="40">
        <f t="shared" si="1251"/>
        <v>30.366541400000003</v>
      </c>
      <c r="AJ121" s="27">
        <f t="shared" si="1252"/>
        <v>0.90106307583274292</v>
      </c>
      <c r="AK121" s="28">
        <f t="shared" si="681"/>
        <v>0.90795957464278165</v>
      </c>
      <c r="AL121" s="33">
        <v>158</v>
      </c>
      <c r="AM121" s="35">
        <v>9.2999999999999999E-2</v>
      </c>
      <c r="AN121" s="37">
        <v>0.22570000000000001</v>
      </c>
      <c r="AO121" s="103">
        <v>0.21629999999999999</v>
      </c>
      <c r="AP121" s="40">
        <f>AL121*(1-AM121)*AN121</f>
        <v>32.344164200000002</v>
      </c>
      <c r="AQ121" s="104">
        <f t="shared" si="1253"/>
        <v>30.997087800000003</v>
      </c>
      <c r="AR121" s="41">
        <v>1.58</v>
      </c>
      <c r="AS121" s="41"/>
      <c r="AT121" s="129">
        <f>AT120+AL121-AS121</f>
        <v>1312.4599999999987</v>
      </c>
      <c r="AU121" s="82"/>
      <c r="AV121" s="42"/>
      <c r="AW121" s="43"/>
      <c r="AX121" s="44"/>
      <c r="AY121" s="44"/>
      <c r="AZ121" s="44"/>
      <c r="BA121" s="44"/>
      <c r="BB121" s="31"/>
    </row>
    <row r="122" spans="1:54">
      <c r="A122" s="147"/>
      <c r="B122" s="32">
        <v>3</v>
      </c>
      <c r="C122" s="143" t="s">
        <v>58</v>
      </c>
      <c r="D122" s="42">
        <v>19851</v>
      </c>
      <c r="E122" s="42">
        <v>0</v>
      </c>
      <c r="F122" s="42">
        <v>17480</v>
      </c>
      <c r="G122" s="36">
        <v>0.3</v>
      </c>
      <c r="H122" s="36">
        <v>4.4000000000000004</v>
      </c>
      <c r="I122" s="42">
        <v>16452</v>
      </c>
      <c r="J122" s="36">
        <v>0.5</v>
      </c>
      <c r="K122" s="42">
        <v>14349</v>
      </c>
      <c r="L122" s="38">
        <v>7.4999999999999997E-2</v>
      </c>
      <c r="M122" s="36">
        <f>ROUND(K122*(1-L122),0)</f>
        <v>13273</v>
      </c>
      <c r="N122" s="27">
        <v>0.69399999999999995</v>
      </c>
      <c r="O122" s="24">
        <f t="shared" si="1242"/>
        <v>9211.4619999999995</v>
      </c>
      <c r="P122" s="38">
        <v>0.27900000000000003</v>
      </c>
      <c r="Q122" s="24">
        <f t="shared" si="1243"/>
        <v>3703.1670000000004</v>
      </c>
      <c r="R122" s="38">
        <v>2.7E-2</v>
      </c>
      <c r="S122" s="105">
        <v>0.20830000000000001</v>
      </c>
      <c r="T122" s="24">
        <f t="shared" si="1244"/>
        <v>358.37099999999998</v>
      </c>
      <c r="U122" s="27">
        <v>0.21099999999999999</v>
      </c>
      <c r="V122" s="24">
        <f t="shared" si="1245"/>
        <v>2800.6030000000001</v>
      </c>
      <c r="W122" s="38">
        <v>0.503</v>
      </c>
      <c r="X122" s="24">
        <f t="shared" si="1246"/>
        <v>6676.3190000000004</v>
      </c>
      <c r="Y122" s="38">
        <v>0.39</v>
      </c>
      <c r="Z122" s="24">
        <f t="shared" si="1247"/>
        <v>5176.47</v>
      </c>
      <c r="AA122" s="118">
        <v>2.5100000000000001E-3</v>
      </c>
      <c r="AB122" s="121">
        <f t="shared" si="1248"/>
        <v>33.31523</v>
      </c>
      <c r="AC122" s="45">
        <v>2.5000000000000001E-3</v>
      </c>
      <c r="AD122" s="17">
        <f t="shared" si="1249"/>
        <v>33.182499999999997</v>
      </c>
      <c r="AE122" s="26">
        <f>IF(M122&gt;0,(AG122+AP122)/M122,0)</f>
        <v>2.7600711218262637E-3</v>
      </c>
      <c r="AF122" s="45">
        <v>2.4000000000000001E-4</v>
      </c>
      <c r="AG122" s="36">
        <f t="shared" si="1250"/>
        <v>3.1855199999999999</v>
      </c>
      <c r="AH122" s="27">
        <v>0.20710000000000001</v>
      </c>
      <c r="AI122" s="40">
        <f t="shared" si="1251"/>
        <v>30.6516284</v>
      </c>
      <c r="AJ122" s="27">
        <f t="shared" si="1252"/>
        <v>0.90504882529246822</v>
      </c>
      <c r="AK122" s="28">
        <f t="shared" si="681"/>
        <v>0.91401635580442397</v>
      </c>
      <c r="AL122" s="42">
        <v>163</v>
      </c>
      <c r="AM122" s="38">
        <v>9.1999999999999998E-2</v>
      </c>
      <c r="AN122" s="27">
        <v>0.22600000000000001</v>
      </c>
      <c r="AO122" s="105">
        <v>0.22320000000000001</v>
      </c>
      <c r="AP122" s="40">
        <f>AL122*(1-AM122)*AN122</f>
        <v>33.448903999999999</v>
      </c>
      <c r="AQ122" s="106">
        <f t="shared" si="1253"/>
        <v>33.034492800000002</v>
      </c>
      <c r="AR122" s="17">
        <v>1.55</v>
      </c>
      <c r="AS122" s="17"/>
      <c r="AT122" s="129">
        <f>AT121+AL122-AS122</f>
        <v>1475.4599999999987</v>
      </c>
      <c r="AU122" s="82"/>
      <c r="AV122" s="42"/>
      <c r="AW122" s="46"/>
      <c r="AX122" s="40"/>
      <c r="AY122" s="40"/>
      <c r="AZ122" s="40"/>
      <c r="BA122" s="40"/>
      <c r="BB122" s="31"/>
    </row>
    <row r="123" spans="1:54">
      <c r="A123" s="148"/>
      <c r="B123" s="47" t="s">
        <v>56</v>
      </c>
      <c r="C123" s="48"/>
      <c r="D123" s="49">
        <f t="shared" ref="D123" si="1254">SUM(D120:D122)</f>
        <v>43920</v>
      </c>
      <c r="E123" s="49"/>
      <c r="F123" s="49">
        <f t="shared" ref="F123" si="1255">SUM(F120:F122)</f>
        <v>44398</v>
      </c>
      <c r="G123" s="50"/>
      <c r="H123" s="50"/>
      <c r="I123" s="49">
        <f t="shared" ref="I123:K123" si="1256">SUM(I120:I122)</f>
        <v>42386</v>
      </c>
      <c r="J123" s="50"/>
      <c r="K123" s="49">
        <f t="shared" si="1256"/>
        <v>42981</v>
      </c>
      <c r="L123" s="20">
        <f t="shared" ref="L123" si="1257">IF(K123&gt;0,(K120*L120+K121*L121+K122*L122)/K123,0)</f>
        <v>7.4001675158791094E-2</v>
      </c>
      <c r="M123" s="50">
        <f t="shared" ref="M123" si="1258">M120+M121+M122</f>
        <v>39800</v>
      </c>
      <c r="N123" s="51">
        <f t="shared" ref="N123" si="1259">IF(M123&gt;0,O123/M123,0)</f>
        <v>0.64766650753768851</v>
      </c>
      <c r="O123" s="52">
        <f t="shared" ref="O123" si="1260">O120+O121+O122</f>
        <v>25777.127</v>
      </c>
      <c r="P123" s="20">
        <f t="shared" ref="P123" si="1261">IF(M123&gt;0,Q123/M123,0)</f>
        <v>0.30032871859296489</v>
      </c>
      <c r="Q123" s="52">
        <f t="shared" ref="Q123" si="1262">Q120+Q121+Q122</f>
        <v>11953.083000000002</v>
      </c>
      <c r="R123" s="20">
        <f t="shared" ref="R123" si="1263">IF(M123&gt;0,T123/M123,0)</f>
        <v>5.2004773869346731E-2</v>
      </c>
      <c r="S123" s="107"/>
      <c r="T123" s="52">
        <f t="shared" ref="T123" si="1264">T120+T121+T122</f>
        <v>2069.79</v>
      </c>
      <c r="U123" s="20">
        <f t="shared" ref="U123" si="1265">IF(M123&gt;0,V123/M123,0)</f>
        <v>0.20766841708542713</v>
      </c>
      <c r="V123" s="52">
        <f t="shared" ref="V123" si="1266">V120+V121+V122</f>
        <v>8265.2029999999995</v>
      </c>
      <c r="W123" s="20">
        <f t="shared" ref="W123" si="1267">IF(M123&gt;0,X123/M123,0)</f>
        <v>0.50499713567839188</v>
      </c>
      <c r="X123" s="52">
        <f t="shared" ref="X123" si="1268">X120+X121+X122</f>
        <v>20098.885999999999</v>
      </c>
      <c r="Y123" s="20">
        <f t="shared" ref="Y123" si="1269">IF(M123&gt;0,Z123/M123,0)</f>
        <v>0.39</v>
      </c>
      <c r="Z123" s="52">
        <f t="shared" ref="Z123" si="1270">Z120+Z121+Z122</f>
        <v>15522</v>
      </c>
      <c r="AA123" s="119">
        <f t="shared" ref="AA123" si="1271">IF(M123&gt;0,AB123/M123,0)</f>
        <v>2.5699665829145729E-3</v>
      </c>
      <c r="AB123" s="54">
        <f t="shared" ref="AB123" si="1272">SUM(AB120:AB122)</f>
        <v>102.28467000000001</v>
      </c>
      <c r="AC123" s="53">
        <f t="shared" ref="AC123" si="1273">IF(M123&gt;0,AD123/M123,0)</f>
        <v>2.5266412060301504E-3</v>
      </c>
      <c r="AD123" s="54">
        <f t="shared" ref="AD123" si="1274">SUM(AD120:AD122)</f>
        <v>100.56031999999999</v>
      </c>
      <c r="AE123" s="53">
        <f t="shared" ref="AE123" si="1275">IF(M123&gt;0,(AE120*M120+AE121*M121+AE122*M122)/M123,0)</f>
        <v>2.6804334924623117E-3</v>
      </c>
      <c r="AF123" s="53">
        <f t="shared" ref="AF123" si="1276">IF(K123&gt;0,(K120*AF120+K121*AF121+K122*AF122)/K123,0)</f>
        <v>2.4999534678113585E-4</v>
      </c>
      <c r="AG123" s="50">
        <f t="shared" ref="AG123" si="1277">SUM(AG120:AG122)</f>
        <v>9.9498099999999994</v>
      </c>
      <c r="AH123" s="51">
        <f t="shared" ref="AH123" si="1278">IF(K123&gt;0,(K120*AH120+K121*AH121+K122*AH122)/K123,0)</f>
        <v>0.2094640934366348</v>
      </c>
      <c r="AI123" s="56">
        <f t="shared" ref="AI123" si="1279">SUM(AI120:AI122)</f>
        <v>90.10885540000001</v>
      </c>
      <c r="AJ123" s="51">
        <f t="shared" ref="AJ123" si="1280">IF(AND(AD123&gt;0),((AD120*AJ120+AD121*AJ121+AD122*AJ122)/AD123),0)</f>
        <v>0.9021333190392562</v>
      </c>
      <c r="AK123" s="55">
        <f t="shared" si="681"/>
        <v>0.90774272167558068</v>
      </c>
      <c r="AL123" s="49">
        <f t="shared" ref="AL123" si="1281">SUM(AL120:AL122)</f>
        <v>474</v>
      </c>
      <c r="AM123" s="20">
        <f t="shared" ref="AM123" si="1282">IF(AL123&gt;0,(AM120*AL120+AM121*AL121+AM122*AL122)/AL123,0)</f>
        <v>9.2333333333333323E-2</v>
      </c>
      <c r="AN123" s="51">
        <f>IF(K123&gt;0,(AN120*K120+AN121*K121+AN122*K122)/K123,0)</f>
        <v>0.2248000139596566</v>
      </c>
      <c r="AO123" s="107">
        <f>IF(L123&gt;0,(AO120*K120+AO121*K121+AO122*K122)/K123,0)</f>
        <v>0.21850351783346131</v>
      </c>
      <c r="AP123" s="56">
        <f t="shared" ref="AP123:AQ123" si="1283">SUM(AP120:AP122)</f>
        <v>96.731442999999999</v>
      </c>
      <c r="AQ123" s="108">
        <f t="shared" si="1283"/>
        <v>94.039164600000007</v>
      </c>
      <c r="AR123" s="54"/>
      <c r="AS123" s="54">
        <f t="shared" ref="AS123" si="1284">SUM(AS120:AS122)</f>
        <v>1009.38</v>
      </c>
      <c r="AT123" s="83"/>
      <c r="AU123" s="84">
        <f>AT122</f>
        <v>1475.4599999999987</v>
      </c>
      <c r="AV123" s="49">
        <f t="shared" ref="AV123" si="1285">SUM(AV120:AV122)</f>
        <v>0</v>
      </c>
      <c r="AW123" s="57"/>
      <c r="AX123" s="56"/>
      <c r="AY123" s="56"/>
      <c r="AZ123" s="56"/>
      <c r="BA123" s="56"/>
      <c r="BB123" s="21"/>
    </row>
    <row r="124" spans="1:54">
      <c r="A124" s="146">
        <v>31</v>
      </c>
      <c r="B124" s="22">
        <v>1</v>
      </c>
      <c r="C124" s="10" t="s">
        <v>53</v>
      </c>
      <c r="D124" s="11">
        <v>4800</v>
      </c>
      <c r="E124" s="11">
        <v>0</v>
      </c>
      <c r="F124" s="11">
        <v>5790</v>
      </c>
      <c r="G124" s="12">
        <v>0.5</v>
      </c>
      <c r="H124" s="12">
        <v>3.7</v>
      </c>
      <c r="I124" s="11">
        <v>6017</v>
      </c>
      <c r="J124" s="12">
        <v>3.8</v>
      </c>
      <c r="K124" s="11">
        <v>14178</v>
      </c>
      <c r="L124" s="13">
        <v>6.4000000000000001E-2</v>
      </c>
      <c r="M124" s="23">
        <f>ROUND(K124*(1-L124),0)</f>
        <v>13271</v>
      </c>
      <c r="N124" s="14">
        <v>0.623</v>
      </c>
      <c r="O124" s="24">
        <f t="shared" ref="O124:O126" si="1286">M124*N124</f>
        <v>8267.8330000000005</v>
      </c>
      <c r="P124" s="13">
        <v>0.32700000000000001</v>
      </c>
      <c r="Q124" s="24">
        <f t="shared" ref="Q124:Q126" si="1287">M124*P124</f>
        <v>4339.6170000000002</v>
      </c>
      <c r="R124" s="15">
        <v>0.05</v>
      </c>
      <c r="S124" s="112">
        <v>0.19070000000000001</v>
      </c>
      <c r="T124" s="24">
        <f t="shared" ref="T124:T126" si="1288">M124*R124</f>
        <v>663.55000000000007</v>
      </c>
      <c r="U124" s="25">
        <v>0.20499999999999999</v>
      </c>
      <c r="V124" s="24">
        <f t="shared" ref="V124:V126" si="1289">M124*U124</f>
        <v>2720.5549999999998</v>
      </c>
      <c r="W124" s="15">
        <v>0.503</v>
      </c>
      <c r="X124" s="24">
        <f t="shared" ref="X124:X126" si="1290">M124*W124</f>
        <v>6675.3130000000001</v>
      </c>
      <c r="Y124" s="15">
        <v>0.38</v>
      </c>
      <c r="Z124" s="24">
        <f t="shared" ref="Z124:Z126" si="1291">Y124*M124</f>
        <v>5042.9800000000005</v>
      </c>
      <c r="AA124" s="116">
        <v>2.5500000000000002E-3</v>
      </c>
      <c r="AB124" s="18">
        <f t="shared" ref="AB124" si="1292">M124*AA124</f>
        <v>33.841050000000003</v>
      </c>
      <c r="AC124" s="16">
        <v>2.5000000000000001E-3</v>
      </c>
      <c r="AD124" s="17">
        <f t="shared" ref="AD124:AD126" si="1293">M124*AC124</f>
        <v>33.177500000000002</v>
      </c>
      <c r="AE124" s="26">
        <f>IF(M124&gt;0,(AG124+AP124)/M124,0)</f>
        <v>2.6472588727300132E-3</v>
      </c>
      <c r="AF124" s="16">
        <v>2.3000000000000001E-4</v>
      </c>
      <c r="AG124" s="23">
        <f t="shared" ref="AG124:AG126" si="1294">AF124*M124</f>
        <v>3.05233</v>
      </c>
      <c r="AH124" s="92">
        <v>0.20830000000000001</v>
      </c>
      <c r="AI124" s="29">
        <f t="shared" ref="AI124:AI126" si="1295">AL124*(1-AM124)*AH124</f>
        <v>30.304525500000004</v>
      </c>
      <c r="AJ124" s="27">
        <f t="shared" ref="AJ124:AJ126" si="1296">IF(AND(AH124&gt;0,AF124&gt;0,AC124&gt;0),((AC124-AF124)*AH124)/((AH124-AF124)*AC124),0)</f>
        <v>0.90900370067765657</v>
      </c>
      <c r="AK124" s="58">
        <f t="shared" si="681"/>
        <v>0.9140711300475679</v>
      </c>
      <c r="AL124" s="11">
        <v>159</v>
      </c>
      <c r="AM124" s="13">
        <v>8.5000000000000006E-2</v>
      </c>
      <c r="AN124" s="14">
        <v>0.2205</v>
      </c>
      <c r="AO124" s="101">
        <v>0.20860000000000001</v>
      </c>
      <c r="AP124" s="29">
        <f>AL124*(1-AM124)*AN124</f>
        <v>32.079442500000006</v>
      </c>
      <c r="AQ124" s="102">
        <f t="shared" ref="AQ124" si="1297">AL124*(1-AM124)*AO124</f>
        <v>30.348171000000004</v>
      </c>
      <c r="AR124" s="18">
        <v>1.55</v>
      </c>
      <c r="AS124" s="18">
        <v>498.8</v>
      </c>
      <c r="AT124" s="79">
        <f>AT122+AL124-AS124+AU124</f>
        <v>1135.3199999999988</v>
      </c>
      <c r="AU124" s="80">
        <v>-0.34</v>
      </c>
      <c r="AV124" s="11"/>
      <c r="AW124" s="30"/>
      <c r="AX124" s="19"/>
      <c r="AY124" s="19"/>
      <c r="AZ124" s="19"/>
      <c r="BA124" s="19"/>
      <c r="BB124" s="31"/>
    </row>
    <row r="125" spans="1:54">
      <c r="A125" s="147"/>
      <c r="B125" s="32">
        <v>2</v>
      </c>
      <c r="C125" s="10" t="s">
        <v>54</v>
      </c>
      <c r="D125" s="33">
        <v>20000</v>
      </c>
      <c r="E125" s="33">
        <v>2</v>
      </c>
      <c r="F125" s="33">
        <v>18807</v>
      </c>
      <c r="G125" s="34">
        <v>0.3</v>
      </c>
      <c r="H125" s="34">
        <v>4.2</v>
      </c>
      <c r="I125" s="33">
        <v>17318</v>
      </c>
      <c r="J125" s="34">
        <v>1.2</v>
      </c>
      <c r="K125" s="33">
        <v>14128</v>
      </c>
      <c r="L125" s="35">
        <v>6.3E-2</v>
      </c>
      <c r="M125" s="36">
        <f>ROUND(K125*(1-L125),0)</f>
        <v>13238</v>
      </c>
      <c r="N125" s="37">
        <v>0.59199999999999997</v>
      </c>
      <c r="O125" s="24">
        <f t="shared" si="1286"/>
        <v>7836.8959999999997</v>
      </c>
      <c r="P125" s="35">
        <v>0.35399999999999998</v>
      </c>
      <c r="Q125" s="24">
        <f t="shared" si="1287"/>
        <v>4686.2519999999995</v>
      </c>
      <c r="R125" s="38">
        <v>5.3999999999999999E-2</v>
      </c>
      <c r="S125" s="105">
        <v>0.1981</v>
      </c>
      <c r="T125" s="24">
        <f t="shared" si="1288"/>
        <v>714.85199999999998</v>
      </c>
      <c r="U125" s="27">
        <v>0.19</v>
      </c>
      <c r="V125" s="24">
        <f t="shared" si="1289"/>
        <v>2515.2200000000003</v>
      </c>
      <c r="W125" s="38">
        <v>0.51600000000000001</v>
      </c>
      <c r="X125" s="24">
        <f t="shared" si="1290"/>
        <v>6830.808</v>
      </c>
      <c r="Y125" s="38">
        <v>0.38</v>
      </c>
      <c r="Z125" s="24">
        <f t="shared" si="1291"/>
        <v>5030.4400000000005</v>
      </c>
      <c r="AA125" s="117">
        <v>2.6099999999999999E-3</v>
      </c>
      <c r="AB125" s="18">
        <f t="shared" si="1248"/>
        <v>34.551180000000002</v>
      </c>
      <c r="AC125" s="39">
        <v>2.5000000000000001E-3</v>
      </c>
      <c r="AD125" s="17">
        <f t="shared" si="1293"/>
        <v>33.094999999999999</v>
      </c>
      <c r="AE125" s="26">
        <f>IF(M125&gt;0,(AG125+AP125)/M125,0)</f>
        <v>2.6791551593896359E-3</v>
      </c>
      <c r="AF125" s="39">
        <v>2.2000000000000001E-4</v>
      </c>
      <c r="AG125" s="36">
        <f t="shared" si="1294"/>
        <v>2.9123600000000001</v>
      </c>
      <c r="AH125" s="27">
        <v>0.2089</v>
      </c>
      <c r="AI125" s="40">
        <f t="shared" si="1295"/>
        <v>30.292171200000002</v>
      </c>
      <c r="AJ125" s="27">
        <f t="shared" si="1296"/>
        <v>0.91296147211040823</v>
      </c>
      <c r="AK125" s="28">
        <f t="shared" si="681"/>
        <v>0.91878493007543471</v>
      </c>
      <c r="AL125" s="33">
        <v>159</v>
      </c>
      <c r="AM125" s="35">
        <v>8.7999999999999995E-2</v>
      </c>
      <c r="AN125" s="37">
        <v>0.22450000000000001</v>
      </c>
      <c r="AO125" s="103">
        <v>0.2218</v>
      </c>
      <c r="AP125" s="40">
        <f>AL125*(1-AM125)*AN125</f>
        <v>32.554296000000001</v>
      </c>
      <c r="AQ125" s="104">
        <f t="shared" si="1253"/>
        <v>32.162774400000004</v>
      </c>
      <c r="AR125" s="41">
        <v>1.55</v>
      </c>
      <c r="AS125" s="41"/>
      <c r="AT125" s="129">
        <f>AT124+AL125-AS125</f>
        <v>1294.3199999999988</v>
      </c>
      <c r="AU125" s="82"/>
      <c r="AV125" s="42"/>
      <c r="AW125" s="43"/>
      <c r="AX125" s="44"/>
      <c r="AY125" s="44"/>
      <c r="AZ125" s="44"/>
      <c r="BA125" s="44"/>
      <c r="BB125" s="31"/>
    </row>
    <row r="126" spans="1:54">
      <c r="A126" s="147"/>
      <c r="B126" s="32">
        <v>3</v>
      </c>
      <c r="C126" s="143" t="s">
        <v>58</v>
      </c>
      <c r="D126" s="42">
        <v>17900</v>
      </c>
      <c r="E126" s="42">
        <v>1</v>
      </c>
      <c r="F126" s="42">
        <v>14566</v>
      </c>
      <c r="G126" s="36">
        <v>0.4</v>
      </c>
      <c r="H126" s="36">
        <v>4.3</v>
      </c>
      <c r="I126" s="42">
        <v>17397</v>
      </c>
      <c r="J126" s="36">
        <v>0.5</v>
      </c>
      <c r="K126" s="42">
        <v>14893</v>
      </c>
      <c r="L126" s="38">
        <v>6.3E-2</v>
      </c>
      <c r="M126" s="36">
        <f>ROUND(K126*(1-L126),0)</f>
        <v>13955</v>
      </c>
      <c r="N126" s="27">
        <v>0.69</v>
      </c>
      <c r="O126" s="24">
        <f t="shared" si="1286"/>
        <v>9628.9499999999989</v>
      </c>
      <c r="P126" s="38">
        <v>0.224</v>
      </c>
      <c r="Q126" s="24">
        <f t="shared" si="1287"/>
        <v>3125.92</v>
      </c>
      <c r="R126" s="38">
        <v>8.5999999999999993E-2</v>
      </c>
      <c r="S126" s="105">
        <v>0.19539999999999999</v>
      </c>
      <c r="T126" s="24">
        <f t="shared" si="1288"/>
        <v>1200.1299999999999</v>
      </c>
      <c r="U126" s="27">
        <v>0.19500000000000001</v>
      </c>
      <c r="V126" s="24">
        <f t="shared" si="1289"/>
        <v>2721.2249999999999</v>
      </c>
      <c r="W126" s="38">
        <v>0.51100000000000001</v>
      </c>
      <c r="X126" s="24">
        <f t="shared" si="1290"/>
        <v>7131.0050000000001</v>
      </c>
      <c r="Y126" s="38">
        <v>0.39</v>
      </c>
      <c r="Z126" s="24">
        <f t="shared" si="1291"/>
        <v>5442.45</v>
      </c>
      <c r="AA126" s="118">
        <v>2.5500000000000002E-3</v>
      </c>
      <c r="AB126" s="121">
        <f t="shared" si="1248"/>
        <v>35.585250000000002</v>
      </c>
      <c r="AC126" s="45">
        <v>2.5899999999999999E-3</v>
      </c>
      <c r="AD126" s="17">
        <f t="shared" si="1293"/>
        <v>36.143450000000001</v>
      </c>
      <c r="AE126" s="26">
        <f>IF(M126&gt;0,(AG126+AP126)/M126,0)</f>
        <v>2.80056990326048E-3</v>
      </c>
      <c r="AF126" s="45">
        <v>2.2000000000000001E-4</v>
      </c>
      <c r="AG126" s="36">
        <f t="shared" si="1294"/>
        <v>3.0701000000000001</v>
      </c>
      <c r="AH126" s="27">
        <v>0.2054</v>
      </c>
      <c r="AI126" s="40">
        <f t="shared" si="1295"/>
        <v>32.300587800000002</v>
      </c>
      <c r="AJ126" s="27">
        <f t="shared" si="1296"/>
        <v>0.91603906693096659</v>
      </c>
      <c r="AK126" s="28">
        <f t="shared" si="681"/>
        <v>0.92233064219722993</v>
      </c>
      <c r="AL126" s="42">
        <v>173</v>
      </c>
      <c r="AM126" s="38">
        <v>9.0999999999999998E-2</v>
      </c>
      <c r="AN126" s="27">
        <v>0.22900000000000001</v>
      </c>
      <c r="AO126" s="105">
        <v>0.22500000000000001</v>
      </c>
      <c r="AP126" s="40">
        <f>AL126*(1-AM126)*AN126</f>
        <v>36.011853000000002</v>
      </c>
      <c r="AQ126" s="106">
        <f t="shared" si="1253"/>
        <v>35.382825000000004</v>
      </c>
      <c r="AR126" s="17">
        <v>1.55</v>
      </c>
      <c r="AS126" s="17"/>
      <c r="AT126" s="129">
        <f>AT125+AL126-AS126</f>
        <v>1467.3199999999988</v>
      </c>
      <c r="AU126" s="82"/>
      <c r="AV126" s="42"/>
      <c r="AW126" s="46"/>
      <c r="AX126" s="40"/>
      <c r="AY126" s="40"/>
      <c r="AZ126" s="40"/>
      <c r="BA126" s="40"/>
      <c r="BB126" s="31"/>
    </row>
    <row r="127" spans="1:54">
      <c r="A127" s="148"/>
      <c r="B127" s="47" t="s">
        <v>56</v>
      </c>
      <c r="C127" s="48"/>
      <c r="D127" s="49">
        <f>SUM(D124:D126)</f>
        <v>42700</v>
      </c>
      <c r="E127" s="137"/>
      <c r="F127" s="49">
        <f>SUM(F124:F126)</f>
        <v>39163</v>
      </c>
      <c r="G127" s="138"/>
      <c r="H127" s="138"/>
      <c r="I127" s="49">
        <f>SUM(I124:I126)</f>
        <v>40732</v>
      </c>
      <c r="J127" s="50"/>
      <c r="K127" s="49">
        <f>SUM(K124:K126)</f>
        <v>43199</v>
      </c>
      <c r="L127" s="20">
        <f>IF(K127&gt;0,(K124*L124+K125*L125+K126*L126)/K127,0)</f>
        <v>6.3328202041713938E-2</v>
      </c>
      <c r="M127" s="50">
        <f>M124+M125+M126</f>
        <v>40464</v>
      </c>
      <c r="N127" s="51">
        <f>IF(M127&gt;0,O127/M127,0)</f>
        <v>0.63596478351126917</v>
      </c>
      <c r="O127" s="52">
        <f>O124+O125+O126</f>
        <v>25733.678999999996</v>
      </c>
      <c r="P127" s="20">
        <f>IF(M127&gt;0,Q127/M127,0)</f>
        <v>0.30031111605377619</v>
      </c>
      <c r="Q127" s="52">
        <f>Q124+Q125+Q126</f>
        <v>12151.788999999999</v>
      </c>
      <c r="R127" s="20">
        <f>IF(M127&gt;0,T127/M127,0)</f>
        <v>6.3724100434954536E-2</v>
      </c>
      <c r="S127" s="107"/>
      <c r="T127" s="52">
        <f>T124+T125+T126</f>
        <v>2578.5320000000002</v>
      </c>
      <c r="U127" s="20">
        <f>IF(M127&gt;0,V127/M127,0)</f>
        <v>0.1966439304072756</v>
      </c>
      <c r="V127" s="52">
        <f>V124+V125+V126</f>
        <v>7957</v>
      </c>
      <c r="W127" s="20">
        <f>IF(M127&gt;0,X127/M127,0)</f>
        <v>0.51001201067615654</v>
      </c>
      <c r="X127" s="52">
        <f>X124+X125+X126</f>
        <v>20637.126</v>
      </c>
      <c r="Y127" s="20">
        <f>IF(M127&gt;0,Z127/M127,0)</f>
        <v>0.38344874456306849</v>
      </c>
      <c r="Z127" s="52">
        <f>Z124+Z125+Z126</f>
        <v>15515.870000000003</v>
      </c>
      <c r="AA127" s="119">
        <f t="shared" ref="AA127" si="1298">IF(M127&gt;0,AB127/M127,0)</f>
        <v>2.5696293001186243E-3</v>
      </c>
      <c r="AB127" s="54">
        <f t="shared" ref="AB127" si="1299">SUM(AB124:AB126)</f>
        <v>103.97748000000001</v>
      </c>
      <c r="AC127" s="53">
        <f>IF(M127&gt;0,AD127/M127,0)</f>
        <v>2.5310387010676161E-3</v>
      </c>
      <c r="AD127" s="54">
        <f t="shared" ref="AD127" si="1300">SUM(AD124:AD126)</f>
        <v>102.41595000000001</v>
      </c>
      <c r="AE127" s="53">
        <f>IF(M127&gt;0,(AE124*M124+AE125*M125+AE126*M126)/M127,0)</f>
        <v>2.7105669607552394E-3</v>
      </c>
      <c r="AF127" s="53">
        <f>IF(K127&gt;0,(K124*AF124+K125*AF125+K126*AF126)/K127,0)</f>
        <v>2.2328202041713927E-4</v>
      </c>
      <c r="AG127" s="50">
        <f t="shared" ref="AG127" si="1301">SUM(AG124:AG126)</f>
        <v>9.034790000000001</v>
      </c>
      <c r="AH127" s="51">
        <f>IF(K127&gt;0,(K124*AH124+K125*AH125+K126*AH126)/K127,0)</f>
        <v>0.20749644204726964</v>
      </c>
      <c r="AI127" s="56">
        <f>SUM(AI124:AI126)</f>
        <v>92.897284500000012</v>
      </c>
      <c r="AJ127" s="51">
        <f>IF(AND(AD127&gt;0),((AD124*AJ124+AD125*AJ125+AD126*AJ126)/AD127),0)</f>
        <v>0.91276546682809601</v>
      </c>
      <c r="AK127" s="55">
        <f t="shared" si="681"/>
        <v>0.91853792895821573</v>
      </c>
      <c r="AL127" s="49">
        <f>SUM(AL124:AL126)</f>
        <v>491</v>
      </c>
      <c r="AM127" s="20">
        <f>IF(AL127&gt;0,(AM124*AL124+AM125*AL125+AM126*AL126)/AL127,0)</f>
        <v>8.8085539714867614E-2</v>
      </c>
      <c r="AN127" s="51">
        <f>IF(K127&gt;0,(AN124*K124+AN125*K125+AN126*K126)/K127,0)</f>
        <v>0.22473858191161833</v>
      </c>
      <c r="AO127" s="107">
        <f>IF(L127&gt;0,(AO124*K124+AO125*K125+AO126*K126)/K127,0)</f>
        <v>0.21857094377184658</v>
      </c>
      <c r="AP127" s="56">
        <f>SUM(AP124:AP126)</f>
        <v>100.64559150000001</v>
      </c>
      <c r="AQ127" s="108">
        <f t="shared" ref="AQ127" si="1302">SUM(AQ124:AQ126)</f>
        <v>97.893770400000022</v>
      </c>
      <c r="AR127" s="139"/>
      <c r="AS127" s="54">
        <f>SUM(AS124:AS126)</f>
        <v>498.8</v>
      </c>
      <c r="AT127" s="83"/>
      <c r="AU127" s="84">
        <f>AT126</f>
        <v>1467.3199999999988</v>
      </c>
      <c r="AV127" s="49">
        <f>SUM(AV124:AV126)</f>
        <v>0</v>
      </c>
      <c r="AW127" s="140"/>
      <c r="AX127" s="141"/>
      <c r="AY127" s="141"/>
      <c r="AZ127" s="141"/>
      <c r="BA127" s="141"/>
      <c r="BB127" s="21"/>
    </row>
  </sheetData>
  <protectedRanges>
    <protectedRange sqref="Q1 V1 X1 Z1 O1 T1 AG1 AD1:AE1 AP1:AQ1 M1 AK1" name="Range1_1_1_1_1_1_1_1_1"/>
    <protectedRange sqref="AI1:AJ1" name="Range1_1_1_1_1_1_1"/>
    <protectedRange sqref="AB1" name="Range1_1_1_1_1_1_1_1_1_1_1_1_1"/>
    <protectedRange sqref="Q2:Q3 V2:V3 X2:X3 Z2:Z3 AP2:AQ3 O2:O3 T2:T3 AG2:AG3 AK2:AK3 AD2:AE3 M2:M3" name="Range1_1_1_1_1_1_1_1_1_1"/>
    <protectedRange sqref="AH3:AJ3 AI2:AJ2" name="Range1_1_1_1_1_1_1_1"/>
    <protectedRange sqref="AA3" name="Range1_1_1_1_1_1_1_1_1_1_1"/>
    <protectedRange sqref="AB3" name="Range1_1_1_1_1_1_1_1_1_1_1_1"/>
    <protectedRange sqref="AP4:AQ119 AK4:AK119 M4:M119" name="Range1_1_1_1_1_1_1_1_1_2"/>
    <protectedRange sqref="AH7:AJ7 AH4:AI6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" name="Range1_1_1_1_1_1_1_2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" name="Range1_1_1_1_1_2_2_1"/>
    <protectedRange sqref="O4:O119" name="Range1_1_1_1_1_5_1_1"/>
    <protectedRange sqref="Q4:Q119" name="Range1_1_1_1_1_7_1_1"/>
    <protectedRange sqref="T4:T119" name="Range1_1_1_1_1_8_1_1"/>
    <protectedRange sqref="V4:V119" name="Range1_1_1_1_1_10_1_1"/>
    <protectedRange sqref="X4:X119" name="Range1_1_1_1_1_12_1_1"/>
    <protectedRange sqref="Z4:Z119" name="Range1_1_1_1_1_16_1_1"/>
    <protectedRange sqref="AG4:AG119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B4:AB119" name="Range1_1_1_1_1_2_2_1_1_1"/>
    <protectedRange sqref="AP120:AQ127 AK120:AK127 M120:M127" name="Range1_1_1_1_1_1_1_1_1_3"/>
    <protectedRange sqref="AJ127 AH123:AJ123 AH120:AI122 AH124:AI127" name="Range1_1_1_1_1_1_1_3"/>
    <protectedRange sqref="AJ120:AJ122 AJ124:AJ126" name="Range1_1_1_1_1"/>
    <protectedRange sqref="AD123:AE123 AD120:AD122 AD127:AE127 AD124:AD126" name="Range1_1_1_1_1_2_2_1_1"/>
    <protectedRange sqref="O120:O127" name="Range1_1_1_1_1_5_1_1_1"/>
    <protectedRange sqref="Q120:Q127" name="Range1_1_1_1_1_7_1_1_1"/>
    <protectedRange sqref="T120:T127" name="Range1_1_1_1_1_8_1_1_1"/>
    <protectedRange sqref="V120:V127" name="Range1_1_1_1_1_10_1_1_1"/>
    <protectedRange sqref="X120:X127" name="Range1_1_1_1_1_12_1_1_1"/>
    <protectedRange sqref="Z120:Z127" name="Range1_1_1_1_1_16_1_1_1"/>
    <protectedRange sqref="AG120:AG127" name="Range1_1_1_1_1_18_1_1_1"/>
    <protectedRange sqref="AE120:AE122" name="Range1_1_1_1_1_2_1_29_1_1_1"/>
    <protectedRange sqref="AE124:AE126" name="Range1_1_1_1_1_2_1_30_1_1_1"/>
    <protectedRange sqref="AB120:AB127" name="Range1_1_1_1_1_2_2_1_1_1_1"/>
  </protectedRanges>
  <mergeCells count="33">
    <mergeCell ref="A120:A123"/>
    <mergeCell ref="A124:A127"/>
    <mergeCell ref="A40:A43"/>
    <mergeCell ref="AX1:AY1"/>
    <mergeCell ref="AZ1:BA1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88:A91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116:A119"/>
    <mergeCell ref="A92:A95"/>
    <mergeCell ref="A96:A99"/>
    <mergeCell ref="A100:A103"/>
    <mergeCell ref="A104:A107"/>
    <mergeCell ref="A108:A111"/>
    <mergeCell ref="A112:A1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EB2B-148C-4EC7-BF59-7F00672ACE36}">
  <dimension ref="A1:BB123"/>
  <sheetViews>
    <sheetView workbookViewId="0">
      <selection sqref="A1:XFD3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53</v>
      </c>
      <c r="D4" s="11">
        <v>2668</v>
      </c>
      <c r="E4" s="11">
        <v>0</v>
      </c>
      <c r="F4" s="11">
        <v>9851</v>
      </c>
      <c r="G4" s="12">
        <v>0.4</v>
      </c>
      <c r="H4" s="12">
        <v>3.7</v>
      </c>
      <c r="I4" s="11">
        <v>9210</v>
      </c>
      <c r="J4" s="12">
        <v>2.9</v>
      </c>
      <c r="K4" s="11">
        <v>16073</v>
      </c>
      <c r="L4" s="13">
        <v>6.6000000000000003E-2</v>
      </c>
      <c r="M4" s="23">
        <f>ROUND(K4*(1-L4),0)</f>
        <v>15012</v>
      </c>
      <c r="N4" s="14">
        <v>0.72199999999999998</v>
      </c>
      <c r="O4" s="24">
        <f t="shared" ref="O4:O6" si="0">M4*N4</f>
        <v>10838.663999999999</v>
      </c>
      <c r="P4" s="13">
        <v>0.216</v>
      </c>
      <c r="Q4" s="24">
        <f t="shared" ref="Q4:Q6" si="1">M4*P4</f>
        <v>3242.5920000000001</v>
      </c>
      <c r="R4" s="15">
        <v>6.2E-2</v>
      </c>
      <c r="S4" s="111">
        <v>0.22059999999999999</v>
      </c>
      <c r="T4" s="24">
        <f t="shared" ref="T4:T6" si="2">M4*R4</f>
        <v>930.74400000000003</v>
      </c>
      <c r="U4" s="25">
        <v>0.217</v>
      </c>
      <c r="V4" s="24">
        <f t="shared" ref="V4:V6" si="3">M4*U4</f>
        <v>3257.6039999999998</v>
      </c>
      <c r="W4" s="15">
        <v>0.495</v>
      </c>
      <c r="X4" s="24">
        <f>M4*W4</f>
        <v>7430.94</v>
      </c>
      <c r="Y4" s="15">
        <v>0.4</v>
      </c>
      <c r="Z4" s="96">
        <f t="shared" ref="Z4:Z6" si="4">Y4*M4</f>
        <v>6004.8</v>
      </c>
      <c r="AA4" s="116">
        <v>2.5699999999999998E-3</v>
      </c>
      <c r="AB4" s="18">
        <f>M4*AA4</f>
        <v>38.580839999999995</v>
      </c>
      <c r="AC4" s="16">
        <v>2.63E-3</v>
      </c>
      <c r="AD4" s="18">
        <f>M4*AC4</f>
        <v>39.481560000000002</v>
      </c>
      <c r="AE4" s="26">
        <f>IF(M4&gt;0,(AG4+AP4)/M4,0)</f>
        <v>2.5807261857180926E-3</v>
      </c>
      <c r="AF4" s="16">
        <v>2.4000000000000001E-4</v>
      </c>
      <c r="AG4" s="23">
        <f t="shared" ref="AG4:AG6" si="5">AF4*M4</f>
        <v>3.6028800000000003</v>
      </c>
      <c r="AH4" s="92">
        <v>0.21190000000000001</v>
      </c>
      <c r="AI4" s="29">
        <f>AL4*(1-AM4)*AH4</f>
        <v>33.616027900000006</v>
      </c>
      <c r="AJ4" s="27">
        <f>IF(AND(AH4&gt;0,AF4&gt;0,AC4&gt;0),((AC4-AF4)*AH4)/((AH4-AF4)*AC4),0)</f>
        <v>0.90977566791421327</v>
      </c>
      <c r="AK4" s="58">
        <f t="shared" ref="AK4:AK67" si="6">IF(AND(AE4&gt;0,AN4&gt;0,AF4&gt;0),((AN4*(AE4-AF4))/(AE4*(AN4-AF4))),0)</f>
        <v>0.90798674293360948</v>
      </c>
      <c r="AL4" s="11">
        <v>173</v>
      </c>
      <c r="AM4" s="13">
        <v>8.3000000000000004E-2</v>
      </c>
      <c r="AN4" s="14">
        <v>0.2215</v>
      </c>
      <c r="AO4" s="101">
        <v>0.21590000000000001</v>
      </c>
      <c r="AP4" s="29">
        <f>AL4*(1-AM4)*AN4</f>
        <v>35.138981500000007</v>
      </c>
      <c r="AQ4" s="102">
        <f>AL4*(1-AM4)*AO4</f>
        <v>34.250591900000003</v>
      </c>
      <c r="AR4" s="18">
        <v>1.6</v>
      </c>
      <c r="AS4" s="18">
        <v>1122.22</v>
      </c>
      <c r="AT4" s="88">
        <f>AT3+AL4-AS4</f>
        <v>497.23999999999933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54</v>
      </c>
      <c r="D5" s="33">
        <v>19382</v>
      </c>
      <c r="E5" s="33">
        <v>2</v>
      </c>
      <c r="F5" s="33">
        <v>18147</v>
      </c>
      <c r="G5" s="34">
        <v>0.3</v>
      </c>
      <c r="H5" s="34">
        <v>3.9</v>
      </c>
      <c r="I5" s="33">
        <v>17457</v>
      </c>
      <c r="J5" s="34">
        <v>1.7</v>
      </c>
      <c r="K5" s="33">
        <v>16053</v>
      </c>
      <c r="L5" s="35">
        <v>6.2E-2</v>
      </c>
      <c r="M5" s="36">
        <f>ROUND(K5*(1-L5),0)</f>
        <v>15058</v>
      </c>
      <c r="N5" s="37">
        <v>0.74099999999999999</v>
      </c>
      <c r="O5" s="24">
        <f t="shared" si="0"/>
        <v>11157.977999999999</v>
      </c>
      <c r="P5" s="35">
        <v>0.23599999999999999</v>
      </c>
      <c r="Q5" s="24">
        <f t="shared" si="1"/>
        <v>3553.6879999999996</v>
      </c>
      <c r="R5" s="38">
        <v>2.3E-2</v>
      </c>
      <c r="S5" s="105">
        <v>0.215</v>
      </c>
      <c r="T5" s="24">
        <f t="shared" si="2"/>
        <v>346.334</v>
      </c>
      <c r="U5" s="27">
        <v>0.19900000000000001</v>
      </c>
      <c r="V5" s="24">
        <f t="shared" si="3"/>
        <v>2996.5420000000004</v>
      </c>
      <c r="W5" s="38">
        <v>0.52200000000000002</v>
      </c>
      <c r="X5" s="24">
        <f>M5*W5</f>
        <v>7860.2759999999998</v>
      </c>
      <c r="Y5" s="38">
        <v>0.4</v>
      </c>
      <c r="Z5" s="24">
        <f t="shared" si="4"/>
        <v>6023.2000000000007</v>
      </c>
      <c r="AA5" s="117">
        <v>2.7399999999999998E-3</v>
      </c>
      <c r="AB5" s="18">
        <f t="shared" ref="AB5:AB6" si="7">M5*AA5</f>
        <v>41.258919999999996</v>
      </c>
      <c r="AC5" s="39">
        <v>2.7399999999999998E-3</v>
      </c>
      <c r="AD5" s="17">
        <f>M5*AC5</f>
        <v>41.258919999999996</v>
      </c>
      <c r="AE5" s="26">
        <f>IF(M5&gt;0,(AG5+AP5)/M5,0)</f>
        <v>2.8778200026563956E-3</v>
      </c>
      <c r="AF5" s="39">
        <v>2.3000000000000001E-4</v>
      </c>
      <c r="AG5" s="36">
        <f t="shared" si="5"/>
        <v>3.4633400000000001</v>
      </c>
      <c r="AH5" s="27">
        <v>0.21</v>
      </c>
      <c r="AI5" s="40">
        <f>AL5*(1-AM5)*AH5</f>
        <v>36.85248</v>
      </c>
      <c r="AJ5" s="27">
        <f>IF(AND(AH5&gt;0,AF5&gt;0,AC5&gt;0),((AC5-AF5)*AH5)/((AH5-AF5)*AC5),0)</f>
        <v>0.91706279627078524</v>
      </c>
      <c r="AK5" s="28">
        <f t="shared" si="6"/>
        <v>0.92101075398463228</v>
      </c>
      <c r="AL5" s="33">
        <v>192</v>
      </c>
      <c r="AM5" s="35">
        <v>8.5999999999999993E-2</v>
      </c>
      <c r="AN5" s="37">
        <v>0.22720000000000001</v>
      </c>
      <c r="AO5" s="103">
        <v>0.21360000000000001</v>
      </c>
      <c r="AP5" s="40">
        <f>AL5*(1-AM5)*AN5</f>
        <v>39.870873600000003</v>
      </c>
      <c r="AQ5" s="104">
        <f t="shared" ref="AQ5:AQ6" si="8">AL5*(1-AM5)*AO5</f>
        <v>37.484236800000005</v>
      </c>
      <c r="AR5" s="41">
        <v>1.56</v>
      </c>
      <c r="AS5" s="41"/>
      <c r="AT5" s="88">
        <f>AT4+AL5-AS5</f>
        <v>689.23999999999933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55</v>
      </c>
      <c r="D6" s="42">
        <v>19080</v>
      </c>
      <c r="E6" s="42">
        <v>2</v>
      </c>
      <c r="F6" s="42">
        <v>17431</v>
      </c>
      <c r="G6" s="36">
        <v>0.3</v>
      </c>
      <c r="H6" s="36">
        <v>3.4</v>
      </c>
      <c r="I6" s="42">
        <v>17102</v>
      </c>
      <c r="J6" s="36">
        <v>1</v>
      </c>
      <c r="K6" s="42">
        <v>16153</v>
      </c>
      <c r="L6" s="38">
        <v>7.0000000000000007E-2</v>
      </c>
      <c r="M6" s="36">
        <f>ROUND(K6*(1-L6),0)</f>
        <v>15022</v>
      </c>
      <c r="N6" s="27">
        <v>0.76</v>
      </c>
      <c r="O6" s="24">
        <f t="shared" si="0"/>
        <v>11416.72</v>
      </c>
      <c r="P6" s="38">
        <v>0.191</v>
      </c>
      <c r="Q6" s="24">
        <f t="shared" si="1"/>
        <v>2869.2020000000002</v>
      </c>
      <c r="R6" s="38">
        <v>4.9000000000000002E-2</v>
      </c>
      <c r="S6" s="105">
        <v>0.19939999999999999</v>
      </c>
      <c r="T6" s="24">
        <f t="shared" si="2"/>
        <v>736.07799999999997</v>
      </c>
      <c r="U6" s="27">
        <v>0.20300000000000001</v>
      </c>
      <c r="V6" s="24">
        <f t="shared" si="3"/>
        <v>3049.4660000000003</v>
      </c>
      <c r="W6" s="38">
        <v>0.51700000000000002</v>
      </c>
      <c r="X6" s="24">
        <f>M6*W6</f>
        <v>7766.3739999999998</v>
      </c>
      <c r="Y6" s="38">
        <v>0.39</v>
      </c>
      <c r="Z6" s="24">
        <f t="shared" si="4"/>
        <v>5858.58</v>
      </c>
      <c r="AA6" s="118">
        <v>2.5699999999999998E-3</v>
      </c>
      <c r="AB6" s="121">
        <f t="shared" si="7"/>
        <v>38.606539999999995</v>
      </c>
      <c r="AC6" s="45">
        <v>2.64E-3</v>
      </c>
      <c r="AD6" s="17">
        <f>M6*AC6</f>
        <v>39.658079999999998</v>
      </c>
      <c r="AE6" s="26">
        <f>IF(M6&gt;0,(AG6+AP6)/M6,0)</f>
        <v>2.7835394754360276E-3</v>
      </c>
      <c r="AF6" s="45">
        <v>2.4000000000000001E-4</v>
      </c>
      <c r="AG6" s="36">
        <f t="shared" si="5"/>
        <v>3.60528</v>
      </c>
      <c r="AH6" s="27">
        <v>0.2099</v>
      </c>
      <c r="AI6" s="40">
        <f>AL6*(1-AM6)*AH6</f>
        <v>34.494965999999998</v>
      </c>
      <c r="AJ6" s="27">
        <f>IF(AND(AH6&gt;0,AF6&gt;0,AC6&gt;0),((AC6-AF6)*AH6)/((AH6-AF6)*AC6),0)</f>
        <v>0.91013155498512743</v>
      </c>
      <c r="AK6" s="28">
        <f t="shared" si="6"/>
        <v>0.91472307115719331</v>
      </c>
      <c r="AL6" s="42">
        <v>180</v>
      </c>
      <c r="AM6" s="38">
        <v>8.6999999999999994E-2</v>
      </c>
      <c r="AN6" s="27">
        <v>0.23250000000000001</v>
      </c>
      <c r="AO6" s="105">
        <v>0.21590000000000001</v>
      </c>
      <c r="AP6" s="40">
        <f>AL6*(1-AM6)*AN6</f>
        <v>38.209050000000005</v>
      </c>
      <c r="AQ6" s="106">
        <f t="shared" si="8"/>
        <v>35.481006000000001</v>
      </c>
      <c r="AR6" s="17">
        <v>1.59</v>
      </c>
      <c r="AS6" s="17"/>
      <c r="AT6" s="88">
        <f>AT5+AL6-AS6</f>
        <v>869.23999999999933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41130</v>
      </c>
      <c r="E7" s="49"/>
      <c r="F7" s="49">
        <f>SUM(F4:F6)</f>
        <v>45429</v>
      </c>
      <c r="G7" s="50"/>
      <c r="H7" s="50"/>
      <c r="I7" s="49">
        <f>SUM(I4:I6)</f>
        <v>43769</v>
      </c>
      <c r="J7" s="50"/>
      <c r="K7" s="49">
        <f>SUM(K4:K6)</f>
        <v>48279</v>
      </c>
      <c r="L7" s="20">
        <f>IF(K7&gt;0,(K4*L4+K5*L5+K6*L6)/K7,0)</f>
        <v>6.600828517574929E-2</v>
      </c>
      <c r="M7" s="50">
        <f>M4+M5+M6</f>
        <v>45092</v>
      </c>
      <c r="N7" s="51">
        <f>IF(M7&gt;0,O7/M7,0)</f>
        <v>0.74100421360773527</v>
      </c>
      <c r="O7" s="52">
        <f>O4+O5+O6</f>
        <v>33413.362000000001</v>
      </c>
      <c r="P7" s="20">
        <f>IF(M7&gt;0,Q7/M7,0)</f>
        <v>0.21435026168721724</v>
      </c>
      <c r="Q7" s="52">
        <f>Q4+Q5+Q6</f>
        <v>9665.482</v>
      </c>
      <c r="R7" s="20">
        <f>IF(M7&gt;0,T7/M7,0)</f>
        <v>4.4645524705047457E-2</v>
      </c>
      <c r="S7" s="107"/>
      <c r="T7" s="52">
        <f>T4+T5+T6</f>
        <v>2013.1559999999999</v>
      </c>
      <c r="U7" s="20">
        <f>IF(M7&gt;0,V7/M7,0)</f>
        <v>0.20632511310210239</v>
      </c>
      <c r="V7" s="52">
        <f>V4+V5+V6</f>
        <v>9303.612000000001</v>
      </c>
      <c r="W7" s="20">
        <f>IF(M7&gt;0,X7/M7,0)</f>
        <v>0.51134547148052867</v>
      </c>
      <c r="X7" s="52">
        <f>X4+X5+X6</f>
        <v>23057.59</v>
      </c>
      <c r="Y7" s="20">
        <f>IF(M7&gt;0,Z7/M7,0)</f>
        <v>0.39666858866317756</v>
      </c>
      <c r="Z7" s="52">
        <f>Z4+Z5+Z6</f>
        <v>17886.580000000002</v>
      </c>
      <c r="AA7" s="119">
        <f>IF(M7&gt;0,AB7/M7,0)</f>
        <v>2.6267697152488243E-3</v>
      </c>
      <c r="AB7" s="54">
        <f t="shared" ref="AB7" si="9">SUM(AB4:AB6)</f>
        <v>118.44629999999998</v>
      </c>
      <c r="AC7" s="53">
        <f>IF(M7&gt;0,AD7/M7,0)</f>
        <v>2.6700647564978264E-3</v>
      </c>
      <c r="AD7" s="54">
        <f>SUM(AD4:AD6)</f>
        <v>120.39855999999999</v>
      </c>
      <c r="AE7" s="53">
        <f>IF(M7&gt;0,(AE4*M4+AE5*M5+AE6*M6)/M7,0)</f>
        <v>2.7475029960968688E-3</v>
      </c>
      <c r="AF7" s="53">
        <f>IF(K7&gt;0,(K4*AF4+K5*AF5+K6*AF6)/K7,0)</f>
        <v>2.3667495184241595E-4</v>
      </c>
      <c r="AG7" s="50">
        <f>SUM(AG4:AG6)</f>
        <v>10.6715</v>
      </c>
      <c r="AH7" s="51">
        <f>IF(K7&gt;0,(K4*AH4+K5*AH5+K6*AH6)/K7,0)</f>
        <v>0.21059908863066756</v>
      </c>
      <c r="AI7" s="56">
        <f>SUM(AI4:AI6)</f>
        <v>104.9634739</v>
      </c>
      <c r="AJ7" s="51">
        <f>IF(AND(AD7&gt;0),((AD4*AJ4+AD5*AJ5+AD6*AJ6)/AD7),0)</f>
        <v>0.91239009157362261</v>
      </c>
      <c r="AK7" s="55">
        <f t="shared" si="6"/>
        <v>0.91481164840407114</v>
      </c>
      <c r="AL7" s="49">
        <f>SUM(AL4:AL6)</f>
        <v>545</v>
      </c>
      <c r="AM7" s="20">
        <f>IF(AL7&gt;0,(AM4*AL4+AM5*AL5+AM6*AL6)/AL7,0)</f>
        <v>8.5377981651376139E-2</v>
      </c>
      <c r="AN7" s="51">
        <f>IF(K7&gt;0,(AN4*K4+AN5*K5+AN6*K6)/K7,0)</f>
        <v>0.22707561465647588</v>
      </c>
      <c r="AO7" s="107">
        <f>IF(K7&gt;0,(AO4*K4+AO5*K5+AO6*K6)/K7,0)</f>
        <v>0.21513523892375569</v>
      </c>
      <c r="AP7" s="56">
        <f>SUM(AP4:AP6)</f>
        <v>113.21890510000001</v>
      </c>
      <c r="AQ7" s="108">
        <f t="shared" ref="AQ7" si="10">SUM(AQ4:AQ6)</f>
        <v>107.21583470000002</v>
      </c>
      <c r="AR7" s="54"/>
      <c r="AS7" s="54">
        <f>SUM(AS4:AS6)</f>
        <v>1122.22</v>
      </c>
      <c r="AT7" s="83"/>
      <c r="AU7" s="84">
        <f>AT6</f>
        <v>869.23999999999933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43" t="s">
        <v>57</v>
      </c>
      <c r="D8" s="11">
        <v>5200</v>
      </c>
      <c r="E8" s="11">
        <v>0</v>
      </c>
      <c r="F8" s="11">
        <v>7956</v>
      </c>
      <c r="G8" s="12">
        <v>0.8</v>
      </c>
      <c r="H8" s="12">
        <v>4.9000000000000004</v>
      </c>
      <c r="I8" s="11">
        <v>7687</v>
      </c>
      <c r="J8" s="12">
        <v>3.6</v>
      </c>
      <c r="K8" s="11">
        <v>15336</v>
      </c>
      <c r="L8" s="13">
        <v>6.0999999999999999E-2</v>
      </c>
      <c r="M8" s="23">
        <f>ROUND(K8*(1-L8),0)</f>
        <v>14401</v>
      </c>
      <c r="N8" s="14">
        <v>0.65300000000000002</v>
      </c>
      <c r="O8" s="24">
        <f t="shared" ref="O8:O10" si="11">M8*N8</f>
        <v>9403.853000000001</v>
      </c>
      <c r="P8" s="13">
        <v>0.30199999999999999</v>
      </c>
      <c r="Q8" s="24">
        <f t="shared" ref="Q8:Q10" si="12">M8*P8</f>
        <v>4349.1019999999999</v>
      </c>
      <c r="R8" s="15">
        <v>4.4999999999999998E-2</v>
      </c>
      <c r="S8" s="112">
        <v>0.1822</v>
      </c>
      <c r="T8" s="24">
        <f t="shared" ref="T8:T10" si="13">M8*R8</f>
        <v>648.04499999999996</v>
      </c>
      <c r="U8" s="25">
        <v>0.20499999999999999</v>
      </c>
      <c r="V8" s="24">
        <f t="shared" ref="V8:V10" si="14">M8*U8</f>
        <v>2952.2049999999999</v>
      </c>
      <c r="W8" s="15">
        <v>0.502</v>
      </c>
      <c r="X8" s="24">
        <f t="shared" ref="X8:X10" si="15">M8*W8</f>
        <v>7229.3019999999997</v>
      </c>
      <c r="Y8" s="15">
        <v>0.4</v>
      </c>
      <c r="Z8" s="24">
        <f t="shared" ref="Z8:Z10" si="16">Y8*M8</f>
        <v>5760.4000000000005</v>
      </c>
      <c r="AA8" s="116">
        <v>2.7000000000000001E-3</v>
      </c>
      <c r="AB8" s="18">
        <f>M8*AA8</f>
        <v>38.8827</v>
      </c>
      <c r="AC8" s="16">
        <v>2.6700000000000001E-3</v>
      </c>
      <c r="AD8" s="17">
        <f t="shared" ref="AD8:AD10" si="17">M8*AC8</f>
        <v>38.450670000000002</v>
      </c>
      <c r="AE8" s="26">
        <f>IF(M8&gt;0,(AG8+AP8)/M8,0)</f>
        <v>2.6713741406846746E-3</v>
      </c>
      <c r="AF8" s="16">
        <v>2.5000000000000001E-4</v>
      </c>
      <c r="AG8" s="23">
        <f t="shared" ref="AG8:AG10" si="18">AF8*M8</f>
        <v>3.60025</v>
      </c>
      <c r="AH8" s="92">
        <v>0.2084</v>
      </c>
      <c r="AI8" s="29">
        <f t="shared" ref="AI8:AI10" si="19">AL8*(1-AM8)*AH8</f>
        <v>33.106840800000001</v>
      </c>
      <c r="AJ8" s="27">
        <f t="shared" ref="AJ8:AJ10" si="20">IF(AND(AH8&gt;0,AF8&gt;0,AC8&gt;0),((AC8-AF8)*AH8)/((AH8-AF8)*AC8),0)</f>
        <v>0.90745563961454623</v>
      </c>
      <c r="AK8" s="58">
        <f t="shared" si="6"/>
        <v>0.90744874620895033</v>
      </c>
      <c r="AL8" s="11">
        <v>174</v>
      </c>
      <c r="AM8" s="13">
        <v>8.6999999999999994E-2</v>
      </c>
      <c r="AN8" s="14">
        <v>0.2195</v>
      </c>
      <c r="AO8" s="101">
        <v>0.21659999999999999</v>
      </c>
      <c r="AP8" s="29">
        <f>AL8*(1-AM8)*AN8</f>
        <v>34.870208999999996</v>
      </c>
      <c r="AQ8" s="102">
        <f t="shared" ref="AQ8:AQ70" si="21">AL8*(1-AM8)*AO8</f>
        <v>34.409509199999995</v>
      </c>
      <c r="AR8" s="18">
        <v>1.55</v>
      </c>
      <c r="AS8" s="18">
        <v>505.96</v>
      </c>
      <c r="AT8" s="79">
        <f>AT6+AL8-AS8</f>
        <v>537.27999999999929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0" t="s">
        <v>54</v>
      </c>
      <c r="D9" s="33">
        <v>18720</v>
      </c>
      <c r="E9" s="33">
        <v>2</v>
      </c>
      <c r="F9" s="33">
        <v>19346</v>
      </c>
      <c r="G9" s="34">
        <v>0.3</v>
      </c>
      <c r="H9" s="34">
        <v>2.8</v>
      </c>
      <c r="I9" s="33">
        <v>18068</v>
      </c>
      <c r="J9" s="34">
        <v>2.1</v>
      </c>
      <c r="K9" s="33">
        <v>16098</v>
      </c>
      <c r="L9" s="35">
        <v>7.4999999999999997E-2</v>
      </c>
      <c r="M9" s="36">
        <f>ROUND(K9*(1-L9),0)</f>
        <v>14891</v>
      </c>
      <c r="N9" s="37">
        <v>0.77600000000000002</v>
      </c>
      <c r="O9" s="24">
        <f t="shared" si="11"/>
        <v>11555.416000000001</v>
      </c>
      <c r="P9" s="35">
        <v>0.15</v>
      </c>
      <c r="Q9" s="24">
        <f t="shared" si="12"/>
        <v>2233.65</v>
      </c>
      <c r="R9" s="38">
        <v>7.3999999999999996E-2</v>
      </c>
      <c r="S9" s="105">
        <v>0.20230000000000001</v>
      </c>
      <c r="T9" s="24">
        <f t="shared" si="13"/>
        <v>1101.934</v>
      </c>
      <c r="U9" s="27">
        <v>0.20699999999999999</v>
      </c>
      <c r="V9" s="24">
        <f t="shared" si="14"/>
        <v>3082.4369999999999</v>
      </c>
      <c r="W9" s="38">
        <v>0.504</v>
      </c>
      <c r="X9" s="24">
        <f t="shared" si="15"/>
        <v>7505.0640000000003</v>
      </c>
      <c r="Y9" s="38">
        <v>0.4</v>
      </c>
      <c r="Z9" s="24">
        <f t="shared" si="16"/>
        <v>5956.4000000000005</v>
      </c>
      <c r="AA9" s="117">
        <v>2.7699999999999999E-3</v>
      </c>
      <c r="AB9" s="18">
        <f t="shared" ref="AB9:AB10" si="22">M9*AA9</f>
        <v>41.248069999999998</v>
      </c>
      <c r="AC9" s="39">
        <v>2.7499999999999998E-3</v>
      </c>
      <c r="AD9" s="17">
        <f t="shared" si="17"/>
        <v>40.950249999999997</v>
      </c>
      <c r="AE9" s="26">
        <f>IF(M9&gt;0,(AG9+AP9)/M9,0)</f>
        <v>2.7501386877979987E-3</v>
      </c>
      <c r="AF9" s="39">
        <v>2.5999999999999998E-4</v>
      </c>
      <c r="AG9" s="36">
        <f t="shared" si="18"/>
        <v>3.8716599999999999</v>
      </c>
      <c r="AH9" s="27">
        <v>0.2069</v>
      </c>
      <c r="AI9" s="40">
        <f t="shared" si="19"/>
        <v>34.605266399999998</v>
      </c>
      <c r="AJ9" s="27">
        <f t="shared" si="20"/>
        <v>0.90659381269137373</v>
      </c>
      <c r="AK9" s="28">
        <f t="shared" si="6"/>
        <v>0.90652244293633721</v>
      </c>
      <c r="AL9" s="33">
        <v>184</v>
      </c>
      <c r="AM9" s="35">
        <v>9.0999999999999998E-2</v>
      </c>
      <c r="AN9" s="37">
        <v>0.22170000000000001</v>
      </c>
      <c r="AO9" s="103">
        <v>0.21659999999999999</v>
      </c>
      <c r="AP9" s="40">
        <f>AL9*(1-AM9)*AN9</f>
        <v>37.080655200000002</v>
      </c>
      <c r="AQ9" s="104">
        <f t="shared" si="21"/>
        <v>36.227649599999999</v>
      </c>
      <c r="AR9" s="41">
        <v>1.6</v>
      </c>
      <c r="AS9" s="41"/>
      <c r="AT9" s="88">
        <f>AT8+AL9-AS9</f>
        <v>721.27999999999929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55</v>
      </c>
      <c r="D10" s="42">
        <v>18500</v>
      </c>
      <c r="E10" s="42">
        <v>1</v>
      </c>
      <c r="F10" s="42">
        <v>18078</v>
      </c>
      <c r="G10" s="36">
        <v>0.3</v>
      </c>
      <c r="H10" s="36">
        <v>4</v>
      </c>
      <c r="I10" s="42">
        <v>17269</v>
      </c>
      <c r="J10" s="36">
        <v>1</v>
      </c>
      <c r="K10" s="42">
        <v>16227</v>
      </c>
      <c r="L10" s="38">
        <v>6.4000000000000001E-2</v>
      </c>
      <c r="M10" s="36">
        <f>ROUND(K10*(1-L10),0)</f>
        <v>15188</v>
      </c>
      <c r="N10" s="27">
        <v>0.68400000000000005</v>
      </c>
      <c r="O10" s="24">
        <f t="shared" si="11"/>
        <v>10388.592000000001</v>
      </c>
      <c r="P10" s="38">
        <v>0.27900000000000003</v>
      </c>
      <c r="Q10" s="24">
        <f t="shared" si="12"/>
        <v>4237.4520000000002</v>
      </c>
      <c r="R10" s="38">
        <v>3.6999999999999998E-2</v>
      </c>
      <c r="S10" s="105">
        <v>0.20349999999999999</v>
      </c>
      <c r="T10" s="24">
        <f t="shared" si="13"/>
        <v>561.95600000000002</v>
      </c>
      <c r="U10" s="27">
        <v>0.21099999999999999</v>
      </c>
      <c r="V10" s="24">
        <f t="shared" si="14"/>
        <v>3204.6680000000001</v>
      </c>
      <c r="W10" s="38">
        <v>0.52200000000000002</v>
      </c>
      <c r="X10" s="24">
        <f t="shared" si="15"/>
        <v>7928.1360000000004</v>
      </c>
      <c r="Y10" s="38">
        <v>0.4</v>
      </c>
      <c r="Z10" s="24">
        <f t="shared" si="16"/>
        <v>6075.2000000000007</v>
      </c>
      <c r="AA10" s="118">
        <v>2.8300000000000001E-3</v>
      </c>
      <c r="AB10" s="121">
        <f t="shared" si="22"/>
        <v>42.982039999999998</v>
      </c>
      <c r="AC10" s="45">
        <v>2.8600000000000001E-3</v>
      </c>
      <c r="AD10" s="17">
        <f t="shared" si="17"/>
        <v>43.43768</v>
      </c>
      <c r="AE10" s="26">
        <f>IF(M10&gt;0,(AG10+AP10)/M10,0)</f>
        <v>2.9802860547800893E-3</v>
      </c>
      <c r="AF10" s="45">
        <v>2.7999999999999998E-4</v>
      </c>
      <c r="AG10" s="36">
        <f t="shared" si="18"/>
        <v>4.2526399999999995</v>
      </c>
      <c r="AH10" s="27">
        <v>0.20619999999999999</v>
      </c>
      <c r="AI10" s="40">
        <f t="shared" si="19"/>
        <v>39.2602738</v>
      </c>
      <c r="AJ10" s="27">
        <f t="shared" si="20"/>
        <v>0.90332453094690879</v>
      </c>
      <c r="AK10" s="28">
        <f t="shared" si="6"/>
        <v>0.90722859987291626</v>
      </c>
      <c r="AL10" s="42">
        <v>209</v>
      </c>
      <c r="AM10" s="38">
        <v>8.8999999999999996E-2</v>
      </c>
      <c r="AN10" s="27">
        <v>0.21540000000000001</v>
      </c>
      <c r="AO10" s="105">
        <v>0.20899999999999999</v>
      </c>
      <c r="AP10" s="40">
        <f>AL10*(1-AM10)*AN10</f>
        <v>41.0119446</v>
      </c>
      <c r="AQ10" s="106">
        <f t="shared" si="21"/>
        <v>39.793391</v>
      </c>
      <c r="AR10" s="17">
        <v>1.59</v>
      </c>
      <c r="AS10" s="17"/>
      <c r="AT10" s="88">
        <f>AT9+AL10-AS10</f>
        <v>930.27999999999929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42420</v>
      </c>
      <c r="E11" s="49"/>
      <c r="F11" s="49">
        <f t="shared" ref="F11" si="24">SUM(F8:F10)</f>
        <v>45380</v>
      </c>
      <c r="G11" s="50"/>
      <c r="H11" s="50"/>
      <c r="I11" s="49">
        <f t="shared" ref="I11:K11" si="25">SUM(I8:I10)</f>
        <v>43024</v>
      </c>
      <c r="J11" s="50"/>
      <c r="K11" s="49">
        <f t="shared" si="25"/>
        <v>47661</v>
      </c>
      <c r="L11" s="20">
        <f t="shared" ref="L11" si="26">IF(K11&gt;0,(K8*L8+K9*L9+K10*L10)/K11,0)</f>
        <v>6.6750047208409394E-2</v>
      </c>
      <c r="M11" s="50">
        <f t="shared" ref="M11" si="27">M8+M9+M10</f>
        <v>44480</v>
      </c>
      <c r="N11" s="51">
        <f t="shared" ref="N11" si="28">IF(M11&gt;0,O11/M11,0)</f>
        <v>0.70476306205035977</v>
      </c>
      <c r="O11" s="52">
        <f t="shared" ref="O11" si="29">O8+O9+O10</f>
        <v>31347.861000000001</v>
      </c>
      <c r="P11" s="20">
        <f t="shared" ref="P11" si="30">IF(M11&gt;0,Q11/M11,0)</f>
        <v>0.24325998201438853</v>
      </c>
      <c r="Q11" s="52">
        <f t="shared" ref="Q11" si="31">Q8+Q9+Q10</f>
        <v>10820.204000000002</v>
      </c>
      <c r="R11" s="20">
        <f t="shared" ref="R11" si="32">IF(M11&gt;0,T11/M11,0)</f>
        <v>5.1976955935251798E-2</v>
      </c>
      <c r="S11" s="107"/>
      <c r="T11" s="52">
        <f t="shared" ref="T11" si="33">T8+T9+T10</f>
        <v>2311.9349999999999</v>
      </c>
      <c r="U11" s="20">
        <f t="shared" ref="U11" si="34">IF(M11&gt;0,V11/M11,0)</f>
        <v>0.20771830035971223</v>
      </c>
      <c r="V11" s="52">
        <f t="shared" ref="V11" si="35">V8+V9+V10</f>
        <v>9239.31</v>
      </c>
      <c r="W11" s="20">
        <f t="shared" ref="W11" si="36">IF(M11&gt;0,X11/M11,0)</f>
        <v>0.50949869604316544</v>
      </c>
      <c r="X11" s="52">
        <f t="shared" ref="X11" si="37">X8+X9+X10</f>
        <v>22662.502</v>
      </c>
      <c r="Y11" s="20">
        <f t="shared" ref="Y11" si="38">IF(M11&gt;0,Z11/M11,0)</f>
        <v>0.4</v>
      </c>
      <c r="Z11" s="52">
        <f t="shared" ref="Z11" si="39">Z8+Z9+Z10</f>
        <v>17792</v>
      </c>
      <c r="AA11" s="119">
        <f t="shared" ref="AA11" si="40">IF(M11&gt;0,AB11/M11,0)</f>
        <v>2.7678239658273382E-3</v>
      </c>
      <c r="AB11" s="54">
        <f t="shared" ref="AB11" si="41">SUM(AB8:AB10)</f>
        <v>123.11281</v>
      </c>
      <c r="AC11" s="53">
        <f t="shared" ref="AC11" si="42">IF(M11&gt;0,AD11/M11,0)</f>
        <v>2.7616591726618706E-3</v>
      </c>
      <c r="AD11" s="54">
        <f t="shared" ref="AD11" si="43">SUM(AD8:AD10)</f>
        <v>122.8386</v>
      </c>
      <c r="AE11" s="53">
        <f t="shared" ref="AE11" si="44">IF(M11&gt;0,(AE8*M8+AE9*M9+AE10*M10)/M11,0)</f>
        <v>2.8032229946043166E-3</v>
      </c>
      <c r="AF11" s="53">
        <f t="shared" ref="AF11" si="45">IF(K11&gt;0,(K8*AF8+K9*AF9+K10*AF10)/K11,0)</f>
        <v>2.6359161578649209E-4</v>
      </c>
      <c r="AG11" s="50">
        <f t="shared" ref="AG11" si="46">SUM(AG8:AG10)</f>
        <v>11.724549999999999</v>
      </c>
      <c r="AH11" s="51">
        <f t="shared" ref="AH11" si="47">IF(K11&gt;0,(K8*AH8+K9*AH9+K10*AH10)/K11,0)</f>
        <v>0.20714433184364575</v>
      </c>
      <c r="AI11" s="56">
        <f t="shared" ref="AI11" si="48">SUM(AI8:AI10)</f>
        <v>106.97238099999998</v>
      </c>
      <c r="AJ11" s="51">
        <f t="shared" ref="AJ11" si="49">IF(AND(AD11&gt;0),((AD8*AJ8+AD9*AJ9+AD10*AJ10)/AD11),0)</f>
        <v>0.90570750991988414</v>
      </c>
      <c r="AK11" s="55">
        <f t="shared" si="6"/>
        <v>0.90706088843528898</v>
      </c>
      <c r="AL11" s="49">
        <f t="shared" ref="AL11" si="50">SUM(AL8:AL10)</f>
        <v>567</v>
      </c>
      <c r="AM11" s="20">
        <f t="shared" ref="AM11" si="51">IF(AL11&gt;0,(AM8*AL8+AM9*AL9+AM10*AL10)/AL11,0)</f>
        <v>8.9035273368606699E-2</v>
      </c>
      <c r="AN11" s="51">
        <f>IF(K11&gt;0,(AN8*K8+AN9*K9+AN10*K10)/K11,0)</f>
        <v>0.21884715805375465</v>
      </c>
      <c r="AO11" s="107">
        <f>IF(K11&gt;0,(AO8*K8+AO9*K9+AO10*K10)/K11,0)</f>
        <v>0.21401245043117012</v>
      </c>
      <c r="AP11" s="56">
        <f t="shared" ref="AP11:AQ23" si="52">SUM(AP8:AP10)</f>
        <v>112.9628088</v>
      </c>
      <c r="AQ11" s="108">
        <f t="shared" si="52"/>
        <v>110.43054979999999</v>
      </c>
      <c r="AR11" s="54"/>
      <c r="AS11" s="54">
        <f t="shared" ref="AS11" si="53">SUM(AS8:AS10)</f>
        <v>505.96</v>
      </c>
      <c r="AT11" s="83"/>
      <c r="AU11" s="84">
        <f>AT10</f>
        <v>930.27999999999929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43" t="s">
        <v>57</v>
      </c>
      <c r="D12" s="11">
        <v>4900</v>
      </c>
      <c r="E12" s="11">
        <v>0</v>
      </c>
      <c r="F12" s="11">
        <v>5892</v>
      </c>
      <c r="G12" s="12">
        <v>0.3</v>
      </c>
      <c r="H12" s="12">
        <v>3.7</v>
      </c>
      <c r="I12" s="11">
        <v>5974</v>
      </c>
      <c r="J12" s="12">
        <v>5.7</v>
      </c>
      <c r="K12" s="11">
        <v>16193</v>
      </c>
      <c r="L12" s="13">
        <v>7.3999999999999996E-2</v>
      </c>
      <c r="M12" s="23">
        <f>ROUND(K12*(1-L12),0)</f>
        <v>14995</v>
      </c>
      <c r="N12" s="14">
        <v>0.73399999999999999</v>
      </c>
      <c r="O12" s="24">
        <f t="shared" ref="O12:O14" si="55">M12*N12</f>
        <v>11006.33</v>
      </c>
      <c r="P12" s="13">
        <v>0.23</v>
      </c>
      <c r="Q12" s="24">
        <f t="shared" ref="Q12:Q14" si="56">M12*P12</f>
        <v>3448.8500000000004</v>
      </c>
      <c r="R12" s="15">
        <v>3.5999999999999997E-2</v>
      </c>
      <c r="S12" s="112">
        <v>0.2051</v>
      </c>
      <c r="T12" s="24">
        <f t="shared" ref="T12:T14" si="57">M12*R12</f>
        <v>539.81999999999994</v>
      </c>
      <c r="U12" s="25">
        <v>0.20300000000000001</v>
      </c>
      <c r="V12" s="24">
        <f t="shared" ref="V12:V14" si="58">M12*U12</f>
        <v>3043.9850000000001</v>
      </c>
      <c r="W12" s="15">
        <v>0.51300000000000001</v>
      </c>
      <c r="X12" s="24">
        <f t="shared" ref="X12:X14" si="59">M12*W12</f>
        <v>7692.4350000000004</v>
      </c>
      <c r="Y12" s="15">
        <v>0.4</v>
      </c>
      <c r="Z12" s="24">
        <f t="shared" ref="Z12:Z14" si="60">Y12*M12</f>
        <v>5998</v>
      </c>
      <c r="AA12" s="116">
        <v>2.99E-3</v>
      </c>
      <c r="AB12" s="18">
        <f t="shared" ref="AB12:AB74" si="61">M12*AA12</f>
        <v>44.835050000000003</v>
      </c>
      <c r="AC12" s="16">
        <v>2.8999999999999998E-3</v>
      </c>
      <c r="AD12" s="17">
        <f t="shared" ref="AD12:AD14" si="62">M12*AC12</f>
        <v>43.485499999999995</v>
      </c>
      <c r="AE12" s="26">
        <f>IF(M12&gt;0,(AG12+AP12)/M12,0)</f>
        <v>2.8355175591863952E-3</v>
      </c>
      <c r="AF12" s="16">
        <v>2.7999999999999998E-4</v>
      </c>
      <c r="AG12" s="23">
        <f t="shared" ref="AG12:AG14" si="63">AF12*M12</f>
        <v>4.1985999999999999</v>
      </c>
      <c r="AH12" s="92">
        <v>0.20960000000000001</v>
      </c>
      <c r="AI12" s="29">
        <f t="shared" ref="AI12:AI14" si="64">AL12*(1-AM12)*AH12</f>
        <v>36.962121600000003</v>
      </c>
      <c r="AJ12" s="27">
        <f t="shared" ref="AJ12:AJ14" si="65">IF(AND(AH12&gt;0,AF12&gt;0,AC12&gt;0),((AC12-AF12)*AH12)/((AH12-AF12)*AC12),0)</f>
        <v>0.90465678683685102</v>
      </c>
      <c r="AK12" s="58">
        <f t="shared" si="6"/>
        <v>0.90241539468680287</v>
      </c>
      <c r="AL12" s="11">
        <v>194</v>
      </c>
      <c r="AM12" s="13">
        <v>9.0999999999999998E-2</v>
      </c>
      <c r="AN12" s="14">
        <v>0.21729999999999999</v>
      </c>
      <c r="AO12" s="101">
        <v>0.20860000000000001</v>
      </c>
      <c r="AP12" s="29">
        <f>AL12*(1-AM12)*AN12</f>
        <v>38.319985799999998</v>
      </c>
      <c r="AQ12" s="102">
        <f t="shared" ref="AQ12" si="66">AL12*(1-AM12)*AO12</f>
        <v>36.785775600000001</v>
      </c>
      <c r="AR12" s="18">
        <v>1.58</v>
      </c>
      <c r="AS12" s="18">
        <v>507.12</v>
      </c>
      <c r="AT12" s="79">
        <f>AT10+AL12-AS12+AU12</f>
        <v>601.61999999999932</v>
      </c>
      <c r="AU12" s="130">
        <v>-15.54</v>
      </c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0" t="s">
        <v>58</v>
      </c>
      <c r="D13" s="33">
        <v>16932</v>
      </c>
      <c r="E13" s="33">
        <v>1</v>
      </c>
      <c r="F13" s="33">
        <v>14815</v>
      </c>
      <c r="G13" s="34">
        <v>0.3</v>
      </c>
      <c r="H13" s="34">
        <v>3</v>
      </c>
      <c r="I13" s="33">
        <v>14027</v>
      </c>
      <c r="J13" s="34">
        <v>4.8</v>
      </c>
      <c r="K13" s="33">
        <v>16051</v>
      </c>
      <c r="L13" s="35">
        <v>7.8E-2</v>
      </c>
      <c r="M13" s="36">
        <f>ROUND(K13*(1-L13),0)</f>
        <v>14799</v>
      </c>
      <c r="N13" s="37">
        <v>0.63500000000000001</v>
      </c>
      <c r="O13" s="24">
        <f t="shared" si="55"/>
        <v>9397.3649999999998</v>
      </c>
      <c r="P13" s="35">
        <v>0.33300000000000002</v>
      </c>
      <c r="Q13" s="24">
        <f t="shared" si="56"/>
        <v>4928.067</v>
      </c>
      <c r="R13" s="38">
        <v>3.2000000000000001E-2</v>
      </c>
      <c r="S13" s="105">
        <v>0.18140000000000001</v>
      </c>
      <c r="T13" s="24">
        <f t="shared" si="57"/>
        <v>473.56799999999998</v>
      </c>
      <c r="U13" s="27">
        <v>0.2</v>
      </c>
      <c r="V13" s="24">
        <f t="shared" si="58"/>
        <v>2959.8</v>
      </c>
      <c r="W13" s="38">
        <v>0.51800000000000002</v>
      </c>
      <c r="X13" s="24">
        <f t="shared" si="59"/>
        <v>7665.8820000000005</v>
      </c>
      <c r="Y13" s="38">
        <v>0.41</v>
      </c>
      <c r="Z13" s="24">
        <f t="shared" si="60"/>
        <v>6067.5899999999992</v>
      </c>
      <c r="AA13" s="117">
        <v>2.8500000000000001E-3</v>
      </c>
      <c r="AB13" s="18">
        <f t="shared" si="61"/>
        <v>42.177150000000005</v>
      </c>
      <c r="AC13" s="39">
        <v>2.81E-3</v>
      </c>
      <c r="AD13" s="17">
        <f t="shared" si="62"/>
        <v>41.585189999999997</v>
      </c>
      <c r="AE13" s="26">
        <f>IF(M13&gt;0,(AG13+AP13)/M13,0)</f>
        <v>2.8058094465842291E-3</v>
      </c>
      <c r="AF13" s="39">
        <v>2.7E-4</v>
      </c>
      <c r="AG13" s="36">
        <f t="shared" si="63"/>
        <v>3.99573</v>
      </c>
      <c r="AH13" s="27">
        <v>0.20780000000000001</v>
      </c>
      <c r="AI13" s="40">
        <f t="shared" si="64"/>
        <v>34.985208000000007</v>
      </c>
      <c r="AJ13" s="27">
        <f t="shared" si="65"/>
        <v>0.90509059874377384</v>
      </c>
      <c r="AK13" s="28">
        <f t="shared" si="6"/>
        <v>0.90486715512970362</v>
      </c>
      <c r="AL13" s="33">
        <v>184</v>
      </c>
      <c r="AM13" s="35">
        <v>8.5000000000000006E-2</v>
      </c>
      <c r="AN13" s="37">
        <v>0.22289999999999999</v>
      </c>
      <c r="AO13" s="103">
        <v>0.2122</v>
      </c>
      <c r="AP13" s="40">
        <f>AL13*(1-AM13)*AN13</f>
        <v>37.527444000000003</v>
      </c>
      <c r="AQ13" s="104">
        <f t="shared" si="21"/>
        <v>35.725992000000005</v>
      </c>
      <c r="AR13" s="41">
        <v>1.55</v>
      </c>
      <c r="AS13" s="41"/>
      <c r="AT13" s="88">
        <f>AT12+AL13-AS13</f>
        <v>785.61999999999932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55</v>
      </c>
      <c r="D14" s="42">
        <v>13300</v>
      </c>
      <c r="E14" s="42">
        <v>0</v>
      </c>
      <c r="F14" s="42">
        <v>15885</v>
      </c>
      <c r="G14" s="36">
        <v>0.3</v>
      </c>
      <c r="H14" s="36">
        <v>3.1</v>
      </c>
      <c r="I14" s="42">
        <v>14647</v>
      </c>
      <c r="J14" s="36">
        <v>4.5</v>
      </c>
      <c r="K14" s="42">
        <v>16216</v>
      </c>
      <c r="L14" s="38">
        <v>7.4999999999999997E-2</v>
      </c>
      <c r="M14" s="36">
        <f>ROUND(K14*(1-L14),0)</f>
        <v>15000</v>
      </c>
      <c r="N14" s="27">
        <v>0.54200000000000004</v>
      </c>
      <c r="O14" s="24">
        <f t="shared" si="55"/>
        <v>8130.0000000000009</v>
      </c>
      <c r="P14" s="38">
        <v>0.42599999999999999</v>
      </c>
      <c r="Q14" s="24">
        <f t="shared" si="56"/>
        <v>6390</v>
      </c>
      <c r="R14" s="38">
        <v>3.2000000000000001E-2</v>
      </c>
      <c r="S14" s="105">
        <v>0.19850000000000001</v>
      </c>
      <c r="T14" s="24">
        <f t="shared" si="57"/>
        <v>480</v>
      </c>
      <c r="U14" s="27">
        <v>0.214</v>
      </c>
      <c r="V14" s="24">
        <f t="shared" si="58"/>
        <v>3210</v>
      </c>
      <c r="W14" s="38">
        <v>0.50800000000000001</v>
      </c>
      <c r="X14" s="24">
        <f t="shared" si="59"/>
        <v>7620</v>
      </c>
      <c r="Y14" s="38">
        <v>0.4</v>
      </c>
      <c r="Z14" s="24">
        <f t="shared" si="60"/>
        <v>6000</v>
      </c>
      <c r="AA14" s="118">
        <v>2.7799999999999999E-3</v>
      </c>
      <c r="AB14" s="121">
        <f t="shared" si="61"/>
        <v>41.699999999999996</v>
      </c>
      <c r="AC14" s="45">
        <v>2.8500000000000001E-3</v>
      </c>
      <c r="AD14" s="17">
        <f t="shared" si="62"/>
        <v>42.75</v>
      </c>
      <c r="AE14" s="26">
        <f>IF(M14&gt;0,(AG14+AP14)/M14,0)</f>
        <v>2.3634785666666667E-3</v>
      </c>
      <c r="AF14" s="45">
        <v>2.7E-4</v>
      </c>
      <c r="AG14" s="36">
        <f t="shared" si="63"/>
        <v>4.05</v>
      </c>
      <c r="AH14" s="27">
        <v>0.21490000000000001</v>
      </c>
      <c r="AI14" s="40">
        <f t="shared" si="64"/>
        <v>30.411573500000003</v>
      </c>
      <c r="AJ14" s="27">
        <f t="shared" si="65"/>
        <v>0.90640195979862526</v>
      </c>
      <c r="AK14" s="28">
        <f t="shared" si="6"/>
        <v>0.88684068027148999</v>
      </c>
      <c r="AL14" s="42">
        <v>155</v>
      </c>
      <c r="AM14" s="38">
        <v>8.6999999999999994E-2</v>
      </c>
      <c r="AN14" s="27">
        <v>0.22189999999999999</v>
      </c>
      <c r="AO14" s="105">
        <v>0.21790000000000001</v>
      </c>
      <c r="AP14" s="40">
        <f>AL14*(1-AM14)*AN14</f>
        <v>31.402178500000002</v>
      </c>
      <c r="AQ14" s="106">
        <f t="shared" si="21"/>
        <v>30.836118500000005</v>
      </c>
      <c r="AR14" s="17">
        <v>1.6</v>
      </c>
      <c r="AS14" s="17"/>
      <c r="AT14" s="88">
        <f>AT13+AL14-AS14</f>
        <v>940.61999999999932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35132</v>
      </c>
      <c r="E15" s="49"/>
      <c r="F15" s="49">
        <f t="shared" ref="F15" si="68">SUM(F12:F14)</f>
        <v>36592</v>
      </c>
      <c r="G15" s="50"/>
      <c r="H15" s="50"/>
      <c r="I15" s="49">
        <f t="shared" ref="I15:K15" si="69">SUM(I12:I14)</f>
        <v>34648</v>
      </c>
      <c r="J15" s="50"/>
      <c r="K15" s="49">
        <f t="shared" si="69"/>
        <v>48460</v>
      </c>
      <c r="L15" s="20">
        <f t="shared" ref="L15" si="70">IF(K15&gt;0,(K12*L12+K13*L13+K14*L14)/K15,0)</f>
        <v>7.5659513000412709E-2</v>
      </c>
      <c r="M15" s="50">
        <f t="shared" ref="M15" si="71">M12+M13+M14</f>
        <v>44794</v>
      </c>
      <c r="N15" s="51">
        <f t="shared" ref="N15" si="72">IF(M15&gt;0,O15/M15,0)</f>
        <v>0.63699814707326874</v>
      </c>
      <c r="O15" s="52">
        <f t="shared" ref="O15" si="73">O12+O13+O14</f>
        <v>28533.695</v>
      </c>
      <c r="P15" s="20">
        <f t="shared" ref="P15" si="74">IF(M15&gt;0,Q15/M15,0)</f>
        <v>0.32966283430816629</v>
      </c>
      <c r="Q15" s="52">
        <f t="shared" ref="Q15" si="75">Q12+Q13+Q14</f>
        <v>14766.917000000001</v>
      </c>
      <c r="R15" s="20">
        <f t="shared" ref="R15" si="76">IF(M15&gt;0,T15/M15,0)</f>
        <v>3.3339018618564982E-2</v>
      </c>
      <c r="S15" s="107"/>
      <c r="T15" s="52">
        <f t="shared" ref="T15" si="77">T12+T13+T14</f>
        <v>1493.3879999999999</v>
      </c>
      <c r="U15" s="20">
        <f t="shared" ref="U15" si="78">IF(M15&gt;0,V15/M15,0)</f>
        <v>0.2056923918381926</v>
      </c>
      <c r="V15" s="52">
        <f t="shared" ref="V15" si="79">V12+V13+V14</f>
        <v>9213.7849999999999</v>
      </c>
      <c r="W15" s="20">
        <f t="shared" ref="W15" si="80">IF(M15&gt;0,X15/M15,0)</f>
        <v>0.51297756395945893</v>
      </c>
      <c r="X15" s="52">
        <f t="shared" ref="X15" si="81">X12+X13+X14</f>
        <v>22978.317000000003</v>
      </c>
      <c r="Y15" s="20">
        <f t="shared" ref="Y15" si="82">IF(M15&gt;0,Z15/M15,0)</f>
        <v>0.40330379068625261</v>
      </c>
      <c r="Z15" s="52">
        <f t="shared" ref="Z15" si="83">Z12+Z13+Z14</f>
        <v>18065.59</v>
      </c>
      <c r="AA15" s="119">
        <f t="shared" ref="AA15" si="84">IF(M15&gt;0,AB15/M15,0)</f>
        <v>2.8734250122784302E-3</v>
      </c>
      <c r="AB15" s="54">
        <f t="shared" ref="AB15" si="85">SUM(AB12:AB14)</f>
        <v>128.7122</v>
      </c>
      <c r="AC15" s="53">
        <f t="shared" ref="AC15" si="86">IF(M15&gt;0,AD15/M15,0)</f>
        <v>2.8535225699870513E-3</v>
      </c>
      <c r="AD15" s="54">
        <f t="shared" ref="AD15" si="87">SUM(AD12:AD14)</f>
        <v>127.82068999999998</v>
      </c>
      <c r="AE15" s="53">
        <f t="shared" ref="AE15" si="88">IF(M15&gt;0,(AE12*M12+AE13*M13+AE14*M14)/M15,0)</f>
        <v>2.6676326807161671E-3</v>
      </c>
      <c r="AF15" s="53">
        <f t="shared" ref="AF15" si="89">IF(K15&gt;0,(K12*AF12+K13*AF13+K14*AF14)/K15,0)</f>
        <v>2.7334151877837391E-4</v>
      </c>
      <c r="AG15" s="50">
        <f t="shared" ref="AG15" si="90">SUM(AG12:AG14)</f>
        <v>12.244330000000001</v>
      </c>
      <c r="AH15" s="51">
        <f t="shared" ref="AH15" si="91">IF(K15&gt;0,(K12*AH12+K13*AH13+K14*AH14)/K15,0)</f>
        <v>0.21077732150226991</v>
      </c>
      <c r="AI15" s="56">
        <f t="shared" ref="AI15" si="92">SUM(AI12:AI14)</f>
        <v>102.35890310000002</v>
      </c>
      <c r="AJ15" s="51">
        <f t="shared" ref="AJ15" si="93">IF(AND(AD15&gt;0),((AD12*AJ12+AD13*AJ13+AD14*AJ14)/AD15),0)</f>
        <v>0.90538160137735701</v>
      </c>
      <c r="AK15" s="55">
        <f t="shared" si="6"/>
        <v>0.89864707192899385</v>
      </c>
      <c r="AL15" s="49">
        <f t="shared" ref="AL15" si="94">SUM(AL12:AL14)</f>
        <v>533</v>
      </c>
      <c r="AM15" s="20">
        <f t="shared" ref="AM15" si="95">IF(AL15&gt;0,(AM12*AL12+AM13*AL13+AM14*AL14)/AL15,0)</f>
        <v>8.7765478424014998E-2</v>
      </c>
      <c r="AN15" s="51">
        <f>IF(K15&gt;0,(AN12*K12+AN13*K13+AN14*K14)/K15,0)</f>
        <v>0.22069412298803132</v>
      </c>
      <c r="AO15" s="107">
        <f>IF(K15&gt;0,(AO12*K12+AO13*K13+AO14*K14)/K15,0)</f>
        <v>0.21290442426743705</v>
      </c>
      <c r="AP15" s="56">
        <f t="shared" ref="AP15" si="96">SUM(AP12:AP14)</f>
        <v>107.24960830000001</v>
      </c>
      <c r="AQ15" s="108">
        <f t="shared" si="52"/>
        <v>103.34788610000001</v>
      </c>
      <c r="AR15" s="54"/>
      <c r="AS15" s="54">
        <f t="shared" ref="AS15" si="97">SUM(AS12:AS14)</f>
        <v>507.12</v>
      </c>
      <c r="AT15" s="83"/>
      <c r="AU15" s="84">
        <f>AT14</f>
        <v>940.61999999999932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43" t="s">
        <v>57</v>
      </c>
      <c r="D16" s="11">
        <v>10000</v>
      </c>
      <c r="E16" s="11">
        <v>0</v>
      </c>
      <c r="F16" s="11">
        <v>13371</v>
      </c>
      <c r="G16" s="12">
        <v>0.4</v>
      </c>
      <c r="H16" s="12">
        <v>4</v>
      </c>
      <c r="I16" s="11">
        <v>13224</v>
      </c>
      <c r="J16" s="12">
        <v>5.2</v>
      </c>
      <c r="K16" s="11">
        <v>16180</v>
      </c>
      <c r="L16" s="13">
        <v>7.0000000000000007E-2</v>
      </c>
      <c r="M16" s="23">
        <f>ROUND(K16*(1-L16),0)</f>
        <v>15047</v>
      </c>
      <c r="N16" s="14">
        <v>0.58699999999999997</v>
      </c>
      <c r="O16" s="24">
        <f t="shared" ref="O16:O18" si="99">M16*N16</f>
        <v>8832.5889999999999</v>
      </c>
      <c r="P16" s="13">
        <v>0.35499999999999998</v>
      </c>
      <c r="Q16" s="24">
        <f t="shared" ref="Q16:Q18" si="100">M16*P16</f>
        <v>5341.6849999999995</v>
      </c>
      <c r="R16" s="15">
        <v>5.8000000000000003E-2</v>
      </c>
      <c r="S16" s="112">
        <v>0.2094</v>
      </c>
      <c r="T16" s="24">
        <f t="shared" ref="T16:T18" si="101">M16*R16</f>
        <v>872.726</v>
      </c>
      <c r="U16" s="25">
        <v>0.217</v>
      </c>
      <c r="V16" s="24">
        <f t="shared" ref="V16:V18" si="102">M16*U16</f>
        <v>3265.1990000000001</v>
      </c>
      <c r="W16" s="15">
        <v>0.504</v>
      </c>
      <c r="X16" s="24">
        <f t="shared" ref="X16:X18" si="103">M16*W16</f>
        <v>7583.6880000000001</v>
      </c>
      <c r="Y16" s="15">
        <v>0.41</v>
      </c>
      <c r="Z16" s="24">
        <f t="shared" ref="Z16:Z18" si="104">Y16*M16</f>
        <v>6169.2699999999995</v>
      </c>
      <c r="AA16" s="116">
        <v>2.8400000000000001E-3</v>
      </c>
      <c r="AB16" s="18">
        <f t="shared" ref="AB16" si="105">M16*AA16</f>
        <v>42.73348</v>
      </c>
      <c r="AC16" s="16">
        <v>2.9099999999999998E-3</v>
      </c>
      <c r="AD16" s="17">
        <f t="shared" ref="AD16:AD18" si="106">M16*AC16</f>
        <v>43.786769999999997</v>
      </c>
      <c r="AE16" s="26">
        <f>IF(M16&gt;0,(AG16+AP16)/M16,0)</f>
        <v>3.4892359938858242E-3</v>
      </c>
      <c r="AF16" s="16">
        <v>2.9E-4</v>
      </c>
      <c r="AG16" s="23">
        <f t="shared" ref="AG16:AG18" si="107">AF16*M16</f>
        <v>4.3636299999999997</v>
      </c>
      <c r="AH16" s="92">
        <v>0.20860000000000001</v>
      </c>
      <c r="AI16" s="29">
        <f t="shared" ref="AI16:AI18" si="108">AL16*(1-AM16)*AH16</f>
        <v>44.314984000000003</v>
      </c>
      <c r="AJ16" s="27">
        <f t="shared" ref="AJ16:AJ18" si="109">IF(AND(AH16&gt;0,AF16&gt;0,AC16&gt;0),((AC16-AF16)*AH16)/((AH16-AF16)*AC16),0)</f>
        <v>0.90159706134509743</v>
      </c>
      <c r="AK16" s="58">
        <f t="shared" si="6"/>
        <v>0.91806217478401397</v>
      </c>
      <c r="AL16" s="11">
        <v>235</v>
      </c>
      <c r="AM16" s="13">
        <v>9.6000000000000002E-2</v>
      </c>
      <c r="AN16" s="14">
        <v>0.2266</v>
      </c>
      <c r="AO16" s="101">
        <v>0.21909999999999999</v>
      </c>
      <c r="AP16" s="29">
        <f>AL16*(1-AM16)*AN16</f>
        <v>48.138903999999997</v>
      </c>
      <c r="AQ16" s="102">
        <f t="shared" ref="AQ16" si="110">AL16*(1-AM16)*AO16</f>
        <v>46.545603999999997</v>
      </c>
      <c r="AR16" s="18">
        <v>1.58</v>
      </c>
      <c r="AS16" s="18"/>
      <c r="AT16" s="79">
        <f>AT14+AL16-AS16</f>
        <v>1175.6199999999994</v>
      </c>
      <c r="AU16" s="80"/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0" t="s">
        <v>58</v>
      </c>
      <c r="D17" s="33">
        <v>19218</v>
      </c>
      <c r="E17" s="33">
        <v>1</v>
      </c>
      <c r="F17" s="33">
        <v>14250</v>
      </c>
      <c r="G17" s="34">
        <v>0.3</v>
      </c>
      <c r="H17" s="34">
        <v>3.9</v>
      </c>
      <c r="I17" s="33">
        <v>13608</v>
      </c>
      <c r="J17" s="34">
        <v>5.4</v>
      </c>
      <c r="K17" s="33">
        <v>16222</v>
      </c>
      <c r="L17" s="35">
        <v>7.0999999999999994E-2</v>
      </c>
      <c r="M17" s="36">
        <f>ROUND(K17*(1-L17),0)</f>
        <v>15070</v>
      </c>
      <c r="N17" s="37">
        <v>0.58599999999999997</v>
      </c>
      <c r="O17" s="24">
        <f t="shared" si="99"/>
        <v>8831.0199999999986</v>
      </c>
      <c r="P17" s="35">
        <v>0.34100000000000003</v>
      </c>
      <c r="Q17" s="24">
        <f t="shared" si="100"/>
        <v>5138.8700000000008</v>
      </c>
      <c r="R17" s="38">
        <v>7.2999999999999995E-2</v>
      </c>
      <c r="S17" s="105">
        <v>0.23089999999999999</v>
      </c>
      <c r="T17" s="24">
        <f t="shared" si="101"/>
        <v>1100.1099999999999</v>
      </c>
      <c r="U17" s="27">
        <v>0.22500000000000001</v>
      </c>
      <c r="V17" s="24">
        <f t="shared" si="102"/>
        <v>3390.75</v>
      </c>
      <c r="W17" s="38">
        <v>0.49199999999999999</v>
      </c>
      <c r="X17" s="24">
        <f t="shared" si="103"/>
        <v>7414.44</v>
      </c>
      <c r="Y17" s="38">
        <v>0.42</v>
      </c>
      <c r="Z17" s="24">
        <f t="shared" si="104"/>
        <v>6329.4</v>
      </c>
      <c r="AA17" s="117">
        <v>2.7699999999999999E-3</v>
      </c>
      <c r="AB17" s="18">
        <f t="shared" si="61"/>
        <v>41.743899999999996</v>
      </c>
      <c r="AC17" s="39">
        <v>2.7399999999999998E-3</v>
      </c>
      <c r="AD17" s="17">
        <f t="shared" si="106"/>
        <v>41.291799999999995</v>
      </c>
      <c r="AE17" s="26">
        <f>IF(M17&gt;0,(AG17+AP17)/M17,0)</f>
        <v>2.6018248175182484E-3</v>
      </c>
      <c r="AF17" s="39">
        <v>2.9999999999999997E-4</v>
      </c>
      <c r="AG17" s="36">
        <f t="shared" si="107"/>
        <v>4.5209999999999999</v>
      </c>
      <c r="AH17" s="27">
        <v>0.2092</v>
      </c>
      <c r="AI17" s="40">
        <f t="shared" si="108"/>
        <v>32.985610000000001</v>
      </c>
      <c r="AJ17" s="27">
        <f t="shared" si="109"/>
        <v>0.89178980617974579</v>
      </c>
      <c r="AK17" s="28">
        <f t="shared" si="6"/>
        <v>0.88590436224609825</v>
      </c>
      <c r="AL17" s="33">
        <v>175</v>
      </c>
      <c r="AM17" s="35">
        <v>9.9000000000000005E-2</v>
      </c>
      <c r="AN17" s="37">
        <v>0.22</v>
      </c>
      <c r="AO17" s="103">
        <v>0.21360000000000001</v>
      </c>
      <c r="AP17" s="40">
        <f>AL17*(1-AM17)*AN17</f>
        <v>34.688500000000005</v>
      </c>
      <c r="AQ17" s="104">
        <f t="shared" si="21"/>
        <v>33.679380000000002</v>
      </c>
      <c r="AR17" s="41">
        <v>1.55</v>
      </c>
      <c r="AS17" s="41"/>
      <c r="AT17" s="88">
        <f>AT16+AL17-AS17</f>
        <v>1350.6199999999994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53</v>
      </c>
      <c r="D18" s="42">
        <v>11800</v>
      </c>
      <c r="E18" s="42">
        <v>1</v>
      </c>
      <c r="F18" s="42">
        <v>14479</v>
      </c>
      <c r="G18" s="36">
        <v>0.4</v>
      </c>
      <c r="H18" s="36">
        <v>3.5</v>
      </c>
      <c r="I18" s="42">
        <v>13782</v>
      </c>
      <c r="J18" s="36">
        <v>5.7</v>
      </c>
      <c r="K18" s="42">
        <v>15968</v>
      </c>
      <c r="L18" s="38">
        <v>6.9000000000000006E-2</v>
      </c>
      <c r="M18" s="36">
        <f>ROUND(K18*(1-L18),0)</f>
        <v>14866</v>
      </c>
      <c r="N18" s="27">
        <v>0.73</v>
      </c>
      <c r="O18" s="24">
        <f t="shared" si="99"/>
        <v>10852.18</v>
      </c>
      <c r="P18" s="38">
        <v>0.19800000000000001</v>
      </c>
      <c r="Q18" s="24">
        <f t="shared" si="100"/>
        <v>2943.4680000000003</v>
      </c>
      <c r="R18" s="38">
        <v>7.1999999999999995E-2</v>
      </c>
      <c r="S18" s="105">
        <v>0.19309999999999999</v>
      </c>
      <c r="T18" s="24">
        <f t="shared" si="101"/>
        <v>1070.3519999999999</v>
      </c>
      <c r="U18" s="27">
        <v>0.22900000000000001</v>
      </c>
      <c r="V18" s="24">
        <f t="shared" si="102"/>
        <v>3404.3140000000003</v>
      </c>
      <c r="W18" s="38">
        <v>0.48699999999999999</v>
      </c>
      <c r="X18" s="24">
        <f t="shared" si="103"/>
        <v>7239.7420000000002</v>
      </c>
      <c r="Y18" s="38">
        <v>0.42</v>
      </c>
      <c r="Z18" s="24">
        <f t="shared" si="104"/>
        <v>6243.7199999999993</v>
      </c>
      <c r="AA18" s="118">
        <v>2.7399999999999998E-3</v>
      </c>
      <c r="AB18" s="121">
        <f t="shared" si="61"/>
        <v>40.732839999999996</v>
      </c>
      <c r="AC18" s="45">
        <v>2.7499999999999998E-3</v>
      </c>
      <c r="AD18" s="17">
        <f t="shared" si="106"/>
        <v>40.881499999999996</v>
      </c>
      <c r="AE18" s="26">
        <f>IF(M18&gt;0,(AG18+AP18)/M18,0)</f>
        <v>2.9170434884972425E-3</v>
      </c>
      <c r="AF18" s="45">
        <v>3.1E-4</v>
      </c>
      <c r="AG18" s="36">
        <f t="shared" si="107"/>
        <v>4.60846</v>
      </c>
      <c r="AH18" s="27">
        <v>0.21759999999999999</v>
      </c>
      <c r="AI18" s="40">
        <f t="shared" si="108"/>
        <v>38.316096000000002</v>
      </c>
      <c r="AJ18" s="27">
        <f t="shared" si="109"/>
        <v>0.88853856806362697</v>
      </c>
      <c r="AK18" s="28">
        <f t="shared" si="6"/>
        <v>0.89498856290725015</v>
      </c>
      <c r="AL18" s="42">
        <v>195</v>
      </c>
      <c r="AM18" s="38">
        <v>9.7000000000000003E-2</v>
      </c>
      <c r="AN18" s="27">
        <v>0.22009999999999999</v>
      </c>
      <c r="AO18" s="105">
        <v>0.20849999999999999</v>
      </c>
      <c r="AP18" s="40">
        <f>AL18*(1-AM18)*AN18</f>
        <v>38.756308500000003</v>
      </c>
      <c r="AQ18" s="106">
        <f t="shared" si="21"/>
        <v>36.713722500000003</v>
      </c>
      <c r="AR18" s="17">
        <v>1.62</v>
      </c>
      <c r="AS18" s="17"/>
      <c r="AT18" s="88">
        <f>AT17+AL18-AS18</f>
        <v>1545.6199999999994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41018</v>
      </c>
      <c r="E19" s="49"/>
      <c r="F19" s="49">
        <f t="shared" ref="F19" si="112">SUM(F16:F18)</f>
        <v>42100</v>
      </c>
      <c r="G19" s="50"/>
      <c r="H19" s="50"/>
      <c r="I19" s="49">
        <f t="shared" ref="I19:K19" si="113">SUM(I16:I18)</f>
        <v>40614</v>
      </c>
      <c r="J19" s="50"/>
      <c r="K19" s="49">
        <f t="shared" si="113"/>
        <v>48370</v>
      </c>
      <c r="L19" s="20">
        <f t="shared" ref="L19" si="114">IF(K19&gt;0,(K16*L16+K17*L17+K18*L18)/K19,0)</f>
        <v>7.0005251188753365E-2</v>
      </c>
      <c r="M19" s="50">
        <f t="shared" ref="M19" si="115">M16+M17+M18</f>
        <v>44983</v>
      </c>
      <c r="N19" s="51">
        <f t="shared" ref="N19" si="116">IF(M19&gt;0,O19/M19,0)</f>
        <v>0.63392368227997242</v>
      </c>
      <c r="O19" s="52">
        <f t="shared" ref="O19" si="117">O16+O17+O18</f>
        <v>28515.788999999997</v>
      </c>
      <c r="P19" s="20">
        <f t="shared" ref="P19" si="118">IF(M19&gt;0,Q19/M19,0)</f>
        <v>0.29842436031389641</v>
      </c>
      <c r="Q19" s="52">
        <f t="shared" ref="Q19" si="119">Q16+Q17+Q18</f>
        <v>13424.023000000001</v>
      </c>
      <c r="R19" s="20">
        <f t="shared" ref="R19" si="120">IF(M19&gt;0,T19/M19,0)</f>
        <v>6.7651957406131197E-2</v>
      </c>
      <c r="S19" s="107"/>
      <c r="T19" s="52">
        <f t="shared" ref="T19" si="121">T16+T17+T18</f>
        <v>3043.1879999999996</v>
      </c>
      <c r="U19" s="20">
        <f t="shared" ref="U19" si="122">IF(M19&gt;0,V19/M19,0)</f>
        <v>0.22364588844674657</v>
      </c>
      <c r="V19" s="52">
        <f t="shared" ref="V19" si="123">V16+V17+V18</f>
        <v>10060.263000000001</v>
      </c>
      <c r="W19" s="20">
        <f t="shared" ref="W19" si="124">IF(M19&gt;0,X19/M19,0)</f>
        <v>0.49436164773358832</v>
      </c>
      <c r="X19" s="52">
        <f t="shared" ref="X19" si="125">X16+X17+X18</f>
        <v>22237.870000000003</v>
      </c>
      <c r="Y19" s="20">
        <f t="shared" ref="Y19" si="126">IF(M19&gt;0,Z19/M19,0)</f>
        <v>0.41665495853989282</v>
      </c>
      <c r="Z19" s="52">
        <f t="shared" ref="Z19" si="127">Z16+Z17+Z18</f>
        <v>18742.39</v>
      </c>
      <c r="AA19" s="119">
        <f t="shared" ref="AA19" si="128">IF(M19&gt;0,AB19/M19,0)</f>
        <v>2.7835008781095078E-3</v>
      </c>
      <c r="AB19" s="54">
        <f t="shared" ref="AB19" si="129">SUM(AB16:AB18)</f>
        <v>125.21021999999999</v>
      </c>
      <c r="AC19" s="53">
        <f t="shared" ref="AC19" si="130">IF(M19&gt;0,AD19/M19,0)</f>
        <v>2.8001705088589015E-3</v>
      </c>
      <c r="AD19" s="54">
        <f t="shared" ref="AD19" si="131">SUM(AD16:AD18)</f>
        <v>125.96006999999997</v>
      </c>
      <c r="AE19" s="53">
        <f t="shared" ref="AE19" si="132">IF(M19&gt;0,(AE16*M16+AE17*M17+AE18*M18)/M19,0)</f>
        <v>3.002841128870907E-3</v>
      </c>
      <c r="AF19" s="53">
        <f t="shared" ref="AF19" si="133">IF(K19&gt;0,(K16*AF16+K17*AF17+K18*AF18)/K19,0)</f>
        <v>2.9995617118048373E-4</v>
      </c>
      <c r="AG19" s="50">
        <f t="shared" ref="AG19" si="134">SUM(AG16:AG18)</f>
        <v>13.493089999999999</v>
      </c>
      <c r="AH19" s="51">
        <f t="shared" ref="AH19" si="135">IF(K19&gt;0,(K16*AH16+K17*AH17+K18*AH18)/K19,0)</f>
        <v>0.21177232168699608</v>
      </c>
      <c r="AI19" s="56">
        <f t="shared" ref="AI19" si="136">SUM(AI16:AI18)</f>
        <v>115.61669000000001</v>
      </c>
      <c r="AJ19" s="51">
        <f t="shared" ref="AJ19" si="137">IF(AND(AD19&gt;0),((AD16*AJ16+AD17*AJ17+AD18*AJ18)/AD19),0)</f>
        <v>0.89414382626890954</v>
      </c>
      <c r="AK19" s="55">
        <f t="shared" si="6"/>
        <v>0.90132572103523612</v>
      </c>
      <c r="AL19" s="49">
        <f t="shared" ref="AL19" si="138">SUM(AL16:AL18)</f>
        <v>605</v>
      </c>
      <c r="AM19" s="20">
        <f t="shared" ref="AM19" si="139">IF(AL19&gt;0,(AM16*AL16+AM17*AL17+AM18*AL18)/AL19,0)</f>
        <v>9.7190082644628098E-2</v>
      </c>
      <c r="AN19" s="51">
        <f>IF(K19&gt;0,(AN16*K16+AN17*K17+AN18*K18)/K19,0)</f>
        <v>0.22224074426297291</v>
      </c>
      <c r="AO19" s="107">
        <f>IF(K19&gt;0,(AO16*K16+AO17*K17+AO18*K18)/K19,0)</f>
        <v>0.21375615464130659</v>
      </c>
      <c r="AP19" s="56">
        <f t="shared" ref="AP19" si="140">SUM(AP16:AP18)</f>
        <v>121.5837125</v>
      </c>
      <c r="AQ19" s="108">
        <f t="shared" si="52"/>
        <v>116.93870650000001</v>
      </c>
      <c r="AR19" s="54"/>
      <c r="AS19" s="54">
        <f t="shared" ref="AS19" si="141">SUM(AS16:AS18)</f>
        <v>0</v>
      </c>
      <c r="AT19" s="83"/>
      <c r="AU19" s="84">
        <f>AT18</f>
        <v>1545.6199999999994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54</v>
      </c>
      <c r="D20" s="11">
        <v>11302</v>
      </c>
      <c r="E20" s="11">
        <v>0</v>
      </c>
      <c r="F20" s="11">
        <v>15015</v>
      </c>
      <c r="G20" s="12">
        <v>0.5</v>
      </c>
      <c r="H20" s="12">
        <v>3.9</v>
      </c>
      <c r="I20" s="11">
        <v>14318</v>
      </c>
      <c r="J20" s="12">
        <v>5.7</v>
      </c>
      <c r="K20" s="11">
        <v>15893</v>
      </c>
      <c r="L20" s="13">
        <v>5.5E-2</v>
      </c>
      <c r="M20" s="23">
        <f>ROUND(K20*(1-L20),0)</f>
        <v>15019</v>
      </c>
      <c r="N20" s="14">
        <v>0.60199999999999998</v>
      </c>
      <c r="O20" s="24">
        <f t="shared" ref="O20:O22" si="143">M20*N20</f>
        <v>9041.4380000000001</v>
      </c>
      <c r="P20" s="13">
        <v>0.32500000000000001</v>
      </c>
      <c r="Q20" s="24">
        <f t="shared" ref="Q20:Q22" si="144">M20*P20</f>
        <v>4881.1750000000002</v>
      </c>
      <c r="R20" s="15">
        <v>7.2999999999999995E-2</v>
      </c>
      <c r="S20" s="112">
        <v>0.2162</v>
      </c>
      <c r="T20" s="24">
        <f t="shared" ref="T20:T22" si="145">M20*R20</f>
        <v>1096.3869999999999</v>
      </c>
      <c r="U20" s="25">
        <v>0.22600000000000001</v>
      </c>
      <c r="V20" s="24">
        <f t="shared" ref="V20:V22" si="146">M20*U20</f>
        <v>3394.2940000000003</v>
      </c>
      <c r="W20" s="15">
        <v>0.49</v>
      </c>
      <c r="X20" s="24">
        <f t="shared" ref="X20:X22" si="147">M20*W20</f>
        <v>7359.3099999999995</v>
      </c>
      <c r="Y20" s="15">
        <v>0.42</v>
      </c>
      <c r="Z20" s="24">
        <f t="shared" ref="Z20:Z22" si="148">Y20*M20</f>
        <v>6307.98</v>
      </c>
      <c r="AA20" s="116">
        <v>2.7499999999999998E-3</v>
      </c>
      <c r="AB20" s="18">
        <f t="shared" ref="AB20" si="149">M20*AA20</f>
        <v>41.302250000000001</v>
      </c>
      <c r="AC20" s="16">
        <v>2.7100000000000002E-3</v>
      </c>
      <c r="AD20" s="17">
        <f t="shared" ref="AD20:AD22" si="150">M20*AC20</f>
        <v>40.70149</v>
      </c>
      <c r="AE20" s="26">
        <f>IF(M20&gt;0,(AG20+AP20)/M20,0)</f>
        <v>2.8150336240761707E-3</v>
      </c>
      <c r="AF20" s="16">
        <v>2.9E-4</v>
      </c>
      <c r="AG20" s="23">
        <f t="shared" ref="AG20:AG22" si="151">AF20*M20</f>
        <v>4.3555099999999998</v>
      </c>
      <c r="AH20" s="92">
        <v>0.20319999999999999</v>
      </c>
      <c r="AI20" s="29">
        <f t="shared" ref="AI20:AI22" si="152">AL20*(1-AM20)*AH20</f>
        <v>36.941760000000002</v>
      </c>
      <c r="AJ20" s="27">
        <f t="shared" ref="AJ20:AJ22" si="153">IF(AND(AH20&gt;0,AF20&gt;0,AC20&gt;0),((AC20-AF20)*AH20)/((AH20-AF20)*AC20),0)</f>
        <v>0.89426519419203365</v>
      </c>
      <c r="AK20" s="58">
        <f t="shared" si="6"/>
        <v>0.89823043069960984</v>
      </c>
      <c r="AL20" s="11">
        <v>200</v>
      </c>
      <c r="AM20" s="13">
        <v>9.0999999999999998E-2</v>
      </c>
      <c r="AN20" s="14">
        <v>0.20860000000000001</v>
      </c>
      <c r="AO20" s="101">
        <v>0.19750000000000001</v>
      </c>
      <c r="AP20" s="29">
        <f>AL20*(1-AM20)*AN20</f>
        <v>37.923480000000005</v>
      </c>
      <c r="AQ20" s="102">
        <f t="shared" ref="AQ20" si="154">AL20*(1-AM20)*AO20</f>
        <v>35.905500000000004</v>
      </c>
      <c r="AR20" s="18">
        <v>1.55</v>
      </c>
      <c r="AS20" s="18"/>
      <c r="AT20" s="79">
        <f>AT18+AL20-AS20</f>
        <v>1745.6199999999994</v>
      </c>
      <c r="AU20" s="80"/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58</v>
      </c>
      <c r="D21" s="33">
        <v>19198</v>
      </c>
      <c r="E21" s="33">
        <v>1</v>
      </c>
      <c r="F21" s="33">
        <v>15256</v>
      </c>
      <c r="G21" s="34">
        <v>0.2</v>
      </c>
      <c r="H21" s="34">
        <v>4.3</v>
      </c>
      <c r="I21" s="33">
        <v>14744</v>
      </c>
      <c r="J21" s="34">
        <v>5.5</v>
      </c>
      <c r="K21" s="33">
        <v>15235</v>
      </c>
      <c r="L21" s="35">
        <v>7.0999999999999994E-2</v>
      </c>
      <c r="M21" s="36">
        <f>ROUND(K21*(1-L21),0)</f>
        <v>14153</v>
      </c>
      <c r="N21" s="37">
        <v>0.58699999999999997</v>
      </c>
      <c r="O21" s="24">
        <f t="shared" si="143"/>
        <v>8307.8109999999997</v>
      </c>
      <c r="P21" s="35">
        <v>0.36</v>
      </c>
      <c r="Q21" s="24">
        <f t="shared" si="144"/>
        <v>5095.08</v>
      </c>
      <c r="R21" s="38">
        <v>5.2999999999999999E-2</v>
      </c>
      <c r="S21" s="105">
        <v>0.19239999999999999</v>
      </c>
      <c r="T21" s="24">
        <f t="shared" si="145"/>
        <v>750.10899999999992</v>
      </c>
      <c r="U21" s="27">
        <v>0.22700000000000001</v>
      </c>
      <c r="V21" s="24">
        <f t="shared" si="146"/>
        <v>3212.7310000000002</v>
      </c>
      <c r="W21" s="38">
        <v>0.48899999999999999</v>
      </c>
      <c r="X21" s="24">
        <f t="shared" si="147"/>
        <v>6920.817</v>
      </c>
      <c r="Y21" s="38">
        <v>0.43</v>
      </c>
      <c r="Z21" s="24">
        <f t="shared" si="148"/>
        <v>6085.79</v>
      </c>
      <c r="AA21" s="117">
        <v>2.7000000000000001E-3</v>
      </c>
      <c r="AB21" s="18">
        <f t="shared" si="61"/>
        <v>38.213100000000004</v>
      </c>
      <c r="AC21" s="39">
        <v>2.7299999999999998E-3</v>
      </c>
      <c r="AD21" s="17">
        <f t="shared" si="150"/>
        <v>38.637689999999999</v>
      </c>
      <c r="AE21" s="26">
        <f>IF(M21&gt;0,(AG21+AP21)/M21,0)</f>
        <v>2.9618726913021973E-3</v>
      </c>
      <c r="AF21" s="39">
        <v>2.9999999999999997E-4</v>
      </c>
      <c r="AG21" s="36">
        <f t="shared" si="151"/>
        <v>4.2458999999999998</v>
      </c>
      <c r="AH21" s="27">
        <v>0.2082</v>
      </c>
      <c r="AI21" s="40">
        <f t="shared" si="152"/>
        <v>36.6867138</v>
      </c>
      <c r="AJ21" s="27">
        <f t="shared" si="153"/>
        <v>0.89139431996574858</v>
      </c>
      <c r="AK21" s="28">
        <f t="shared" si="6"/>
        <v>0.8999755578504065</v>
      </c>
      <c r="AL21" s="33">
        <v>193</v>
      </c>
      <c r="AM21" s="35">
        <v>8.6999999999999994E-2</v>
      </c>
      <c r="AN21" s="37">
        <v>0.21379999999999999</v>
      </c>
      <c r="AO21" s="103">
        <v>0.2026</v>
      </c>
      <c r="AP21" s="40">
        <f>AL21*(1-AM21)*AN21</f>
        <v>37.673484199999997</v>
      </c>
      <c r="AQ21" s="104">
        <f t="shared" si="21"/>
        <v>35.699943400000002</v>
      </c>
      <c r="AR21" s="41">
        <v>1.55</v>
      </c>
      <c r="AS21" s="41"/>
      <c r="AT21" s="129">
        <f>AT20+AL21-AS21</f>
        <v>1938.6199999999994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53</v>
      </c>
      <c r="D22" s="42">
        <v>12300</v>
      </c>
      <c r="E22" s="42">
        <v>0</v>
      </c>
      <c r="F22" s="42">
        <v>16620</v>
      </c>
      <c r="G22" s="36">
        <v>0.3</v>
      </c>
      <c r="H22" s="36">
        <v>3</v>
      </c>
      <c r="I22" s="42">
        <v>15953</v>
      </c>
      <c r="J22" s="36">
        <v>4.7</v>
      </c>
      <c r="K22" s="42">
        <v>14426</v>
      </c>
      <c r="L22" s="38">
        <v>7.0999999999999994E-2</v>
      </c>
      <c r="M22" s="36">
        <f>ROUND(K22*(1-L22),0)</f>
        <v>13402</v>
      </c>
      <c r="N22" s="27">
        <v>0.72499999999999998</v>
      </c>
      <c r="O22" s="24">
        <f t="shared" si="143"/>
        <v>9716.4499999999989</v>
      </c>
      <c r="P22" s="38">
        <v>0.16900000000000001</v>
      </c>
      <c r="Q22" s="24">
        <f t="shared" si="144"/>
        <v>2264.9380000000001</v>
      </c>
      <c r="R22" s="38">
        <v>0.106</v>
      </c>
      <c r="S22" s="105">
        <v>0.218</v>
      </c>
      <c r="T22" s="24">
        <f t="shared" si="145"/>
        <v>1420.6119999999999</v>
      </c>
      <c r="U22" s="27">
        <v>0.22900000000000001</v>
      </c>
      <c r="V22" s="24">
        <f t="shared" si="146"/>
        <v>3069.058</v>
      </c>
      <c r="W22" s="38">
        <v>0.49199999999999999</v>
      </c>
      <c r="X22" s="24">
        <f t="shared" si="147"/>
        <v>6593.7839999999997</v>
      </c>
      <c r="Y22" s="38">
        <v>0.42</v>
      </c>
      <c r="Z22" s="24">
        <f t="shared" si="148"/>
        <v>5628.84</v>
      </c>
      <c r="AA22" s="118">
        <v>2.7200000000000002E-3</v>
      </c>
      <c r="AB22" s="121">
        <f t="shared" si="61"/>
        <v>36.453440000000001</v>
      </c>
      <c r="AC22" s="45">
        <v>2.6800000000000001E-3</v>
      </c>
      <c r="AD22" s="17">
        <f t="shared" si="150"/>
        <v>35.917360000000002</v>
      </c>
      <c r="AE22" s="26">
        <f>IF(M22&gt;0,(AG22+AP22)/M22,0)</f>
        <v>2.8826713027906288E-3</v>
      </c>
      <c r="AF22" s="45">
        <v>2.9E-4</v>
      </c>
      <c r="AG22" s="36">
        <f t="shared" si="151"/>
        <v>3.8865799999999999</v>
      </c>
      <c r="AH22" s="27">
        <v>0.20810000000000001</v>
      </c>
      <c r="AI22" s="40">
        <f t="shared" si="152"/>
        <v>32.689180400000005</v>
      </c>
      <c r="AJ22" s="27">
        <f t="shared" si="153"/>
        <v>0.89303554409273112</v>
      </c>
      <c r="AK22" s="28">
        <f t="shared" si="6"/>
        <v>0.90057955417788105</v>
      </c>
      <c r="AL22" s="42">
        <v>173</v>
      </c>
      <c r="AM22" s="38">
        <v>9.1999999999999998E-2</v>
      </c>
      <c r="AN22" s="27">
        <v>0.22120000000000001</v>
      </c>
      <c r="AO22" s="105">
        <v>0.20330000000000001</v>
      </c>
      <c r="AP22" s="40">
        <f>AL22*(1-AM22)*AN22</f>
        <v>34.746980800000003</v>
      </c>
      <c r="AQ22" s="106">
        <f t="shared" si="21"/>
        <v>31.935177200000002</v>
      </c>
      <c r="AR22" s="17">
        <v>1.5</v>
      </c>
      <c r="AS22" s="17"/>
      <c r="AT22" s="129">
        <f>AT21+AL22-AS22</f>
        <v>2111.6199999999994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42800</v>
      </c>
      <c r="E23" s="49"/>
      <c r="F23" s="49">
        <f t="shared" ref="F23" si="156">SUM(F20:F22)</f>
        <v>46891</v>
      </c>
      <c r="G23" s="50"/>
      <c r="H23" s="50"/>
      <c r="I23" s="49">
        <f t="shared" ref="I23:K23" si="157">SUM(I20:I22)</f>
        <v>45015</v>
      </c>
      <c r="J23" s="50"/>
      <c r="K23" s="49">
        <f t="shared" si="157"/>
        <v>45554</v>
      </c>
      <c r="L23" s="20">
        <f t="shared" ref="L23" si="158">IF(K23&gt;0,(K20*L20+K21*L21+K22*L22)/K23,0)</f>
        <v>6.5417877683628223E-2</v>
      </c>
      <c r="M23" s="50">
        <f t="shared" ref="M23" si="159">M20+M21+M22</f>
        <v>42574</v>
      </c>
      <c r="N23" s="51">
        <f t="shared" ref="N23" si="160">IF(M23&gt;0,O23/M23,0)</f>
        <v>0.63573305303706484</v>
      </c>
      <c r="O23" s="52">
        <f t="shared" ref="O23" si="161">O20+O21+O22</f>
        <v>27065.699000000001</v>
      </c>
      <c r="P23" s="20">
        <f t="shared" ref="P23" si="162">IF(M23&gt;0,Q23/M23,0)</f>
        <v>0.28752743458448821</v>
      </c>
      <c r="Q23" s="52">
        <f t="shared" ref="Q23" si="163">Q20+Q21+Q22</f>
        <v>12241.193000000001</v>
      </c>
      <c r="R23" s="20">
        <f t="shared" ref="R23" si="164">IF(M23&gt;0,T23/M23,0)</f>
        <v>7.6739512378446936E-2</v>
      </c>
      <c r="S23" s="107"/>
      <c r="T23" s="52">
        <f t="shared" ref="T23" si="165">T20+T21+T22</f>
        <v>3267.1079999999997</v>
      </c>
      <c r="U23" s="20">
        <f t="shared" ref="U23" si="166">IF(M23&gt;0,V23/M23,0)</f>
        <v>0.22727681213886411</v>
      </c>
      <c r="V23" s="52">
        <f t="shared" ref="V23" si="167">V20+V21+V22</f>
        <v>9676.0830000000005</v>
      </c>
      <c r="W23" s="20">
        <f t="shared" ref="W23" si="168">IF(M23&gt;0,X23/M23,0)</f>
        <v>0.49029715319208905</v>
      </c>
      <c r="X23" s="52">
        <f t="shared" ref="X23" si="169">X20+X21+X22</f>
        <v>20873.911</v>
      </c>
      <c r="Y23" s="20">
        <f t="shared" ref="Y23" si="170">IF(M23&gt;0,Z23/M23,0)</f>
        <v>0.42332432940292197</v>
      </c>
      <c r="Z23" s="52">
        <f t="shared" ref="Z23" si="171">Z20+Z21+Z22</f>
        <v>18022.61</v>
      </c>
      <c r="AA23" s="119">
        <f t="shared" ref="AA23" si="172">IF(M23&gt;0,AB23/M23,0)</f>
        <v>2.7239345609996715E-3</v>
      </c>
      <c r="AB23" s="54">
        <f t="shared" ref="AB23" si="173">SUM(AB20:AB22)</f>
        <v>115.96879000000001</v>
      </c>
      <c r="AC23" s="53">
        <f t="shared" ref="AC23" si="174">IF(M23&gt;0,AD23/M23,0)</f>
        <v>2.7072048668201252E-3</v>
      </c>
      <c r="AD23" s="54">
        <f t="shared" ref="AD23" si="175">SUM(AD20:AD22)</f>
        <v>115.25654</v>
      </c>
      <c r="AE23" s="53">
        <f t="shared" ref="AE23" si="176">IF(M23&gt;0,(AE20*M20+AE21*M21+AE22*M22)/M23,0)</f>
        <v>2.8851396392164234E-3</v>
      </c>
      <c r="AF23" s="53">
        <f t="shared" ref="AF23" si="177">IF(K23&gt;0,(K20*AF20+K21*AF21+K22*AF22)/K23,0)</f>
        <v>2.9334438249110944E-4</v>
      </c>
      <c r="AG23" s="50">
        <f t="shared" ref="AG23" si="178">SUM(AG20:AG22)</f>
        <v>12.48799</v>
      </c>
      <c r="AH23" s="51">
        <f t="shared" ref="AH23" si="179">IF(K23&gt;0,(K20*AH20+K21*AH21+K22*AH22)/K23,0)</f>
        <v>0.20642391886552222</v>
      </c>
      <c r="AI23" s="56">
        <f t="shared" ref="AI23" si="180">SUM(AI20:AI22)</f>
        <v>106.31765419999999</v>
      </c>
      <c r="AJ23" s="51">
        <f t="shared" ref="AJ23" si="181">IF(AND(AD23&gt;0),((AD20*AJ20+AD21*AJ21+AD22*AJ22)/AD23),0)</f>
        <v>0.89291958956365536</v>
      </c>
      <c r="AK23" s="55">
        <f t="shared" si="6"/>
        <v>0.89955694901697936</v>
      </c>
      <c r="AL23" s="49">
        <f t="shared" ref="AL23" si="182">SUM(AL20:AL22)</f>
        <v>566</v>
      </c>
      <c r="AM23" s="20">
        <f t="shared" ref="AM23" si="183">IF(AL23&gt;0,(AM20*AL20+AM21*AL21+AM22*AL22)/AL23,0)</f>
        <v>8.9941696113074204E-2</v>
      </c>
      <c r="AN23" s="51">
        <f>IF(K23&gt;0,(AN20*K20+AN21*K21+AN22*K22)/K23,0)</f>
        <v>0.21432923563243622</v>
      </c>
      <c r="AO23" s="107">
        <f>IF(K23&gt;0,(AO20*K20+AO21*K21+AO22*K22)/K23,0)</f>
        <v>0.20104237388593754</v>
      </c>
      <c r="AP23" s="56">
        <f t="shared" ref="AP23" si="184">SUM(AP20:AP22)</f>
        <v>110.34394500000001</v>
      </c>
      <c r="AQ23" s="108">
        <f t="shared" si="52"/>
        <v>103.54062060000001</v>
      </c>
      <c r="AR23" s="54"/>
      <c r="AS23" s="54">
        <f t="shared" ref="AS23" si="185">SUM(AS20:AS22)</f>
        <v>0</v>
      </c>
      <c r="AT23" s="83"/>
      <c r="AU23" s="84">
        <f>AT22</f>
        <v>2111.6199999999994</v>
      </c>
      <c r="AV23" s="49">
        <f t="shared" ref="AV23" si="186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54</v>
      </c>
      <c r="D24" s="11">
        <v>4689</v>
      </c>
      <c r="E24" s="11">
        <v>0</v>
      </c>
      <c r="F24" s="11">
        <v>16544</v>
      </c>
      <c r="G24" s="12">
        <v>0.6</v>
      </c>
      <c r="H24" s="12">
        <v>4</v>
      </c>
      <c r="I24" s="11">
        <v>16443</v>
      </c>
      <c r="J24" s="12">
        <v>3.4</v>
      </c>
      <c r="K24" s="11">
        <v>14637</v>
      </c>
      <c r="L24" s="13">
        <v>7.5999999999999998E-2</v>
      </c>
      <c r="M24" s="23">
        <f>ROUND(K24*(1-L24),0)</f>
        <v>13525</v>
      </c>
      <c r="N24" s="14">
        <v>0.69799999999999995</v>
      </c>
      <c r="O24" s="24">
        <f t="shared" ref="O24:O26" si="187">M24*N24</f>
        <v>9440.4499999999989</v>
      </c>
      <c r="P24" s="13">
        <v>0.26100000000000001</v>
      </c>
      <c r="Q24" s="24">
        <f t="shared" ref="Q24:Q26" si="188">M24*P24</f>
        <v>3530.0250000000001</v>
      </c>
      <c r="R24" s="15">
        <v>4.1000000000000002E-2</v>
      </c>
      <c r="S24" s="112">
        <v>0.21179999999999999</v>
      </c>
      <c r="T24" s="24">
        <f t="shared" ref="T24:T26" si="189">M24*R24</f>
        <v>554.52499999999998</v>
      </c>
      <c r="U24" s="25">
        <v>0.23300000000000001</v>
      </c>
      <c r="V24" s="24">
        <f t="shared" ref="V24:V26" si="190">M24*U24</f>
        <v>3151.3250000000003</v>
      </c>
      <c r="W24" s="15">
        <v>0.495</v>
      </c>
      <c r="X24" s="24">
        <f t="shared" ref="X24:X26" si="191">M24*W24</f>
        <v>6694.875</v>
      </c>
      <c r="Y24" s="15">
        <v>0.42</v>
      </c>
      <c r="Z24" s="24">
        <f t="shared" ref="Z24:Z26" si="192">Y24*M24</f>
        <v>5680.5</v>
      </c>
      <c r="AA24" s="116">
        <v>2.7100000000000002E-3</v>
      </c>
      <c r="AB24" s="18">
        <f t="shared" ref="AB24" si="193">M24*AA24</f>
        <v>36.652750000000005</v>
      </c>
      <c r="AC24" s="16">
        <v>2.7100000000000002E-3</v>
      </c>
      <c r="AD24" s="17">
        <f t="shared" ref="AD24:AD26" si="194">M24*AC24</f>
        <v>36.652750000000005</v>
      </c>
      <c r="AE24" s="26">
        <f>IF(M24&gt;0,(AG24+AP24)/M24,0)</f>
        <v>2.7541125619223662E-3</v>
      </c>
      <c r="AF24" s="16">
        <v>2.5999999999999998E-4</v>
      </c>
      <c r="AG24" s="23">
        <f t="shared" ref="AG24:AG26" si="195">AF24*M24</f>
        <v>3.5164999999999997</v>
      </c>
      <c r="AH24" s="92">
        <v>0.20930000000000001</v>
      </c>
      <c r="AI24" s="29">
        <f t="shared" ref="AI24:AI26" si="196">AL24*(1-AM24)*AH24</f>
        <v>33.748997100000004</v>
      </c>
      <c r="AJ24" s="27">
        <f t="shared" ref="AJ24:AJ26" si="197">IF(AND(AH24&gt;0,AF24&gt;0,AC24&gt;0),((AC24-AF24)*AH24)/((AH24-AF24)*AC24),0)</f>
        <v>0.90518349213342886</v>
      </c>
      <c r="AK24" s="58">
        <f t="shared" si="6"/>
        <v>0.90672262680884652</v>
      </c>
      <c r="AL24" s="11">
        <v>177</v>
      </c>
      <c r="AM24" s="13">
        <v>8.8999999999999996E-2</v>
      </c>
      <c r="AN24" s="14">
        <v>0.2092</v>
      </c>
      <c r="AO24" s="101">
        <v>0.19620000000000001</v>
      </c>
      <c r="AP24" s="29">
        <f>AL24*(1-AM24)*AN24</f>
        <v>33.732872400000005</v>
      </c>
      <c r="AQ24" s="102">
        <f t="shared" ref="AQ24" si="198">AL24*(1-AM24)*AO24</f>
        <v>31.636661400000005</v>
      </c>
      <c r="AR24" s="18">
        <v>1.55</v>
      </c>
      <c r="AS24" s="18">
        <v>1008.82</v>
      </c>
      <c r="AT24" s="79">
        <f>AT22+AL24-AS24</f>
        <v>1279.7999999999993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55</v>
      </c>
      <c r="D25" s="33">
        <v>19911</v>
      </c>
      <c r="E25" s="33">
        <v>5</v>
      </c>
      <c r="F25" s="33">
        <v>15801</v>
      </c>
      <c r="G25" s="34">
        <v>1.4</v>
      </c>
      <c r="H25" s="34">
        <v>5.5</v>
      </c>
      <c r="I25" s="33">
        <v>15290</v>
      </c>
      <c r="J25" s="34">
        <v>3</v>
      </c>
      <c r="K25" s="33">
        <v>14626</v>
      </c>
      <c r="L25" s="35">
        <v>6.9000000000000006E-2</v>
      </c>
      <c r="M25" s="36">
        <f>ROUND(K25*(1-L25),0)</f>
        <v>13617</v>
      </c>
      <c r="N25" s="37">
        <v>0.65100000000000002</v>
      </c>
      <c r="O25" s="24">
        <f t="shared" si="187"/>
        <v>8864.6669999999995</v>
      </c>
      <c r="P25" s="35">
        <v>0.28799999999999998</v>
      </c>
      <c r="Q25" s="24">
        <f t="shared" si="188"/>
        <v>3921.6959999999999</v>
      </c>
      <c r="R25" s="38">
        <v>6.0999999999999999E-2</v>
      </c>
      <c r="S25" s="105">
        <v>0.2311</v>
      </c>
      <c r="T25" s="24">
        <f t="shared" si="189"/>
        <v>830.63699999999994</v>
      </c>
      <c r="U25" s="27">
        <v>0.23799999999999999</v>
      </c>
      <c r="V25" s="24">
        <f t="shared" si="190"/>
        <v>3240.846</v>
      </c>
      <c r="W25" s="38">
        <v>0.48199999999999998</v>
      </c>
      <c r="X25" s="24">
        <f t="shared" si="191"/>
        <v>6563.3940000000002</v>
      </c>
      <c r="Y25" s="38">
        <v>0.43</v>
      </c>
      <c r="Z25" s="24">
        <f t="shared" si="192"/>
        <v>5855.3099999999995</v>
      </c>
      <c r="AA25" s="117">
        <v>2.7499999999999998E-3</v>
      </c>
      <c r="AB25" s="18">
        <f t="shared" si="61"/>
        <v>37.446749999999994</v>
      </c>
      <c r="AC25" s="39">
        <v>2.7100000000000002E-3</v>
      </c>
      <c r="AD25" s="17">
        <f t="shared" si="194"/>
        <v>36.902070000000002</v>
      </c>
      <c r="AE25" s="26">
        <f>IF(M25&gt;0,(AG25+AP25)/M25,0)</f>
        <v>2.8508227215980025E-3</v>
      </c>
      <c r="AF25" s="39">
        <v>2.5999999999999998E-4</v>
      </c>
      <c r="AG25" s="36">
        <f t="shared" si="195"/>
        <v>3.5404199999999997</v>
      </c>
      <c r="AH25" s="27">
        <v>0.21529999999999999</v>
      </c>
      <c r="AI25" s="40">
        <f t="shared" si="196"/>
        <v>33.416713000000001</v>
      </c>
      <c r="AJ25" s="27">
        <f t="shared" si="197"/>
        <v>0.90515211792742944</v>
      </c>
      <c r="AK25" s="28">
        <f t="shared" si="6"/>
        <v>0.90983898833367971</v>
      </c>
      <c r="AL25" s="33">
        <v>170</v>
      </c>
      <c r="AM25" s="35">
        <v>8.6999999999999994E-2</v>
      </c>
      <c r="AN25" s="37">
        <v>0.2273</v>
      </c>
      <c r="AO25" s="103">
        <v>0.21629999999999999</v>
      </c>
      <c r="AP25" s="40">
        <f>AL25*(1-AM25)*AN25</f>
        <v>35.279233000000005</v>
      </c>
      <c r="AQ25" s="104">
        <f t="shared" si="21"/>
        <v>33.571922999999998</v>
      </c>
      <c r="AR25" s="41">
        <v>1.55</v>
      </c>
      <c r="AS25" s="41"/>
      <c r="AT25" s="129">
        <f>AT24+AL25-AS25</f>
        <v>1449.7999999999993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53</v>
      </c>
      <c r="D26" s="42">
        <v>22500</v>
      </c>
      <c r="E26" s="42">
        <v>1</v>
      </c>
      <c r="F26" s="42">
        <v>18591</v>
      </c>
      <c r="G26" s="36">
        <v>2</v>
      </c>
      <c r="H26" s="36">
        <v>4.9000000000000004</v>
      </c>
      <c r="I26" s="42">
        <v>18447</v>
      </c>
      <c r="J26" s="36">
        <v>1.4</v>
      </c>
      <c r="K26" s="42">
        <v>14595</v>
      </c>
      <c r="L26" s="38">
        <v>6.7000000000000004E-2</v>
      </c>
      <c r="M26" s="36">
        <f>ROUND(K26*(1-L26),0)</f>
        <v>13617</v>
      </c>
      <c r="N26" s="27">
        <v>0.67400000000000004</v>
      </c>
      <c r="O26" s="24">
        <f t="shared" si="187"/>
        <v>9177.8580000000002</v>
      </c>
      <c r="P26" s="38">
        <v>0.223</v>
      </c>
      <c r="Q26" s="24">
        <f t="shared" si="188"/>
        <v>3036.5909999999999</v>
      </c>
      <c r="R26" s="38">
        <v>0.10299999999999999</v>
      </c>
      <c r="S26" s="105">
        <v>0.2016</v>
      </c>
      <c r="T26" s="24">
        <f t="shared" si="189"/>
        <v>1402.5509999999999</v>
      </c>
      <c r="U26" s="27">
        <v>0.22700000000000001</v>
      </c>
      <c r="V26" s="24">
        <f t="shared" si="190"/>
        <v>3091.0590000000002</v>
      </c>
      <c r="W26" s="38">
        <v>0.48799999999999999</v>
      </c>
      <c r="X26" s="24">
        <f t="shared" si="191"/>
        <v>6645.0959999999995</v>
      </c>
      <c r="Y26" s="38">
        <v>0.42</v>
      </c>
      <c r="Z26" s="24">
        <f t="shared" si="192"/>
        <v>5719.1399999999994</v>
      </c>
      <c r="AA26" s="118">
        <v>2.7699999999999999E-3</v>
      </c>
      <c r="AB26" s="121">
        <f t="shared" si="61"/>
        <v>37.719090000000001</v>
      </c>
      <c r="AC26" s="45">
        <v>2.8400000000000001E-3</v>
      </c>
      <c r="AD26" s="17">
        <f t="shared" si="194"/>
        <v>38.672280000000001</v>
      </c>
      <c r="AE26" s="26">
        <f>IF(M26&gt;0,(AG26+AP26)/M26,0)</f>
        <v>2.961674289491077E-3</v>
      </c>
      <c r="AF26" s="45">
        <v>2.5000000000000001E-4</v>
      </c>
      <c r="AG26" s="36">
        <f t="shared" si="195"/>
        <v>3.4042500000000002</v>
      </c>
      <c r="AH26" s="27">
        <v>0.2165</v>
      </c>
      <c r="AI26" s="40">
        <f t="shared" si="196"/>
        <v>35.816460999999997</v>
      </c>
      <c r="AJ26" s="27">
        <f t="shared" si="197"/>
        <v>0.91302613368069685</v>
      </c>
      <c r="AK26" s="28">
        <f t="shared" si="6"/>
        <v>0.91661496150592037</v>
      </c>
      <c r="AL26" s="42">
        <v>181</v>
      </c>
      <c r="AM26" s="38">
        <v>8.5999999999999993E-2</v>
      </c>
      <c r="AN26" s="27">
        <v>0.22320000000000001</v>
      </c>
      <c r="AO26" s="105">
        <v>0.20530000000000001</v>
      </c>
      <c r="AP26" s="40">
        <f>AL26*(1-AM26)*AN26</f>
        <v>36.924868799999999</v>
      </c>
      <c r="AQ26" s="106">
        <f t="shared" si="21"/>
        <v>33.963600200000002</v>
      </c>
      <c r="AR26" s="17">
        <v>1.55</v>
      </c>
      <c r="AS26" s="17"/>
      <c r="AT26" s="129">
        <f>AT25+AL26-AS26</f>
        <v>1630.7999999999993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9">SUM(D24:D26)</f>
        <v>47100</v>
      </c>
      <c r="E27" s="49"/>
      <c r="F27" s="49">
        <f t="shared" ref="F27" si="200">SUM(F24:F26)</f>
        <v>50936</v>
      </c>
      <c r="G27" s="50"/>
      <c r="H27" s="50"/>
      <c r="I27" s="49">
        <f t="shared" ref="I27:K27" si="201">SUM(I24:I26)</f>
        <v>50180</v>
      </c>
      <c r="J27" s="50"/>
      <c r="K27" s="49">
        <f t="shared" si="201"/>
        <v>43858</v>
      </c>
      <c r="L27" s="20">
        <f t="shared" ref="L27" si="202">IF(K27&gt;0,(K24*L24+K25*L25+K26*L26)/K27,0)</f>
        <v>7.0670596014410156E-2</v>
      </c>
      <c r="M27" s="50">
        <f t="shared" ref="M27" si="203">M24+M25+M26</f>
        <v>40759</v>
      </c>
      <c r="N27" s="51">
        <f t="shared" ref="N27" si="204">IF(M27&gt;0,O27/M27,0)</f>
        <v>0.67427991363870554</v>
      </c>
      <c r="O27" s="52">
        <f t="shared" ref="O27" si="205">O24+O25+O26</f>
        <v>27482.974999999999</v>
      </c>
      <c r="P27" s="20">
        <f t="shared" ref="P27" si="206">IF(M27&gt;0,Q27/M27,0)</f>
        <v>0.25732505704261638</v>
      </c>
      <c r="Q27" s="52">
        <f t="shared" ref="Q27" si="207">Q24+Q25+Q26</f>
        <v>10488.312</v>
      </c>
      <c r="R27" s="20">
        <f t="shared" ref="R27" si="208">IF(M27&gt;0,T27/M27,0)</f>
        <v>6.839502931867808E-2</v>
      </c>
      <c r="S27" s="107"/>
      <c r="T27" s="52">
        <f t="shared" ref="T27" si="209">T24+T25+T26</f>
        <v>2787.7129999999997</v>
      </c>
      <c r="U27" s="20">
        <f t="shared" ref="U27" si="210">IF(M27&gt;0,V27/M27,0)</f>
        <v>0.23266591427660147</v>
      </c>
      <c r="V27" s="52">
        <f t="shared" ref="V27" si="211">V24+V25+V26</f>
        <v>9483.23</v>
      </c>
      <c r="W27" s="20">
        <f t="shared" ref="W27" si="212">IF(M27&gt;0,X27/M27,0)</f>
        <v>0.48831828553202966</v>
      </c>
      <c r="X27" s="52">
        <f t="shared" ref="X27" si="213">X24+X25+X26</f>
        <v>19903.364999999998</v>
      </c>
      <c r="Y27" s="20">
        <f t="shared" ref="Y27" si="214">IF(M27&gt;0,Z27/M27,0)</f>
        <v>0.42334085723398507</v>
      </c>
      <c r="Z27" s="52">
        <f t="shared" ref="Z27" si="215">Z24+Z25+Z26</f>
        <v>17254.949999999997</v>
      </c>
      <c r="AA27" s="119">
        <f t="shared" ref="AA27" si="216">IF(M27&gt;0,AB27/M27,0)</f>
        <v>2.7434085723398514E-3</v>
      </c>
      <c r="AB27" s="54">
        <f t="shared" ref="AB27" si="217">SUM(AB24:AB26)</f>
        <v>111.81859</v>
      </c>
      <c r="AC27" s="53">
        <f t="shared" ref="AC27" si="218">IF(M27&gt;0,AD27/M27,0)</f>
        <v>2.7534311440418069E-3</v>
      </c>
      <c r="AD27" s="54">
        <f t="shared" ref="AD27" si="219">SUM(AD24:AD26)</f>
        <v>112.22710000000001</v>
      </c>
      <c r="AE27" s="53">
        <f t="shared" ref="AE27" si="220">IF(M27&gt;0,(AE24*M24+AE25*M25+AE26*M26)/M27,0)</f>
        <v>2.8557654554822254E-3</v>
      </c>
      <c r="AF27" s="53">
        <f t="shared" ref="AF27" si="221">IF(K27&gt;0,(K24*AF24+K25*AF25+K26*AF26)/K27,0)</f>
        <v>2.566722148752793E-4</v>
      </c>
      <c r="AG27" s="50">
        <f t="shared" ref="AG27" si="222">SUM(AG24:AG26)</f>
        <v>10.461169999999999</v>
      </c>
      <c r="AH27" s="51">
        <f t="shared" ref="AH27" si="223">IF(K27&gt;0,(K24*AH24+K25*AH25+K26*AH26)/K27,0)</f>
        <v>0.21369691732409141</v>
      </c>
      <c r="AI27" s="56">
        <f t="shared" ref="AI27" si="224">SUM(AI24:AI26)</f>
        <v>102.98217110000002</v>
      </c>
      <c r="AJ27" s="51">
        <f t="shared" ref="AJ27" si="225">IF(AND(AD27&gt;0),((AD24*AJ24+AD25*AJ25+AD26*AJ26)/AD27),0)</f>
        <v>0.90787566770162575</v>
      </c>
      <c r="AK27" s="55">
        <f t="shared" si="6"/>
        <v>0.91118497497747497</v>
      </c>
      <c r="AL27" s="49">
        <f t="shared" ref="AL27" si="226">SUM(AL24:AL26)</f>
        <v>528</v>
      </c>
      <c r="AM27" s="20">
        <f t="shared" ref="AM27" si="227">IF(AL27&gt;0,(AM24*AL24+AM25*AL25+AM26*AL26)/AL27,0)</f>
        <v>8.7327651515151511E-2</v>
      </c>
      <c r="AN27" s="51">
        <f>IF(K27&gt;0,(AN24*K24+AN25*K25+AN26*K26)/K27,0)</f>
        <v>0.21989498381139133</v>
      </c>
      <c r="AO27" s="107">
        <f>IF(K27&gt;0,(AO24*K24+AO25*K25+AO26*K26)/K27,0)</f>
        <v>0.20593133977837569</v>
      </c>
      <c r="AP27" s="56">
        <f t="shared" ref="AP27:AQ39" si="228">SUM(AP24:AP26)</f>
        <v>105.93697420000001</v>
      </c>
      <c r="AQ27" s="108">
        <f t="shared" si="228"/>
        <v>99.172184600000008</v>
      </c>
      <c r="AR27" s="54"/>
      <c r="AS27" s="54">
        <f t="shared" ref="AS27" si="229">SUM(AS24:AS26)</f>
        <v>1008.82</v>
      </c>
      <c r="AT27" s="83"/>
      <c r="AU27" s="84">
        <f>AT26</f>
        <v>1630.7999999999993</v>
      </c>
      <c r="AV27" s="49">
        <f t="shared" ref="AV27" si="230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54</v>
      </c>
      <c r="D28" s="11">
        <v>6049</v>
      </c>
      <c r="E28" s="11">
        <v>0</v>
      </c>
      <c r="F28" s="11">
        <v>14409</v>
      </c>
      <c r="G28" s="12">
        <v>2.4</v>
      </c>
      <c r="H28" s="12">
        <v>6.3</v>
      </c>
      <c r="I28" s="11">
        <v>13799</v>
      </c>
      <c r="J28" s="12">
        <v>1.4</v>
      </c>
      <c r="K28" s="11">
        <v>14572</v>
      </c>
      <c r="L28" s="13">
        <v>0.06</v>
      </c>
      <c r="M28" s="23">
        <f>ROUND(K28*(1-L28),0)</f>
        <v>13698</v>
      </c>
      <c r="N28" s="14">
        <v>0.71499999999999997</v>
      </c>
      <c r="O28" s="24">
        <f t="shared" ref="O28:O30" si="231">M28*N28</f>
        <v>9794.07</v>
      </c>
      <c r="P28" s="13">
        <v>0.22600000000000001</v>
      </c>
      <c r="Q28" s="24">
        <f t="shared" ref="Q28:Q30" si="232">M28*P28</f>
        <v>3095.748</v>
      </c>
      <c r="R28" s="15">
        <v>5.8999999999999997E-2</v>
      </c>
      <c r="S28" s="112">
        <v>0.22639999999999999</v>
      </c>
      <c r="T28" s="24">
        <f t="shared" ref="T28:T30" si="233">M28*R28</f>
        <v>808.1819999999999</v>
      </c>
      <c r="U28" s="25">
        <v>0.214</v>
      </c>
      <c r="V28" s="24">
        <f t="shared" ref="V28:V30" si="234">M28*U28</f>
        <v>2931.3719999999998</v>
      </c>
      <c r="W28" s="15">
        <v>0.498</v>
      </c>
      <c r="X28" s="24">
        <f t="shared" ref="X28:X30" si="235">M28*W28</f>
        <v>6821.6040000000003</v>
      </c>
      <c r="Y28" s="15">
        <v>0.42</v>
      </c>
      <c r="Z28" s="24">
        <f t="shared" ref="Z28:Z30" si="236">Y28*M28</f>
        <v>5753.16</v>
      </c>
      <c r="AA28" s="116">
        <v>2.7000000000000001E-3</v>
      </c>
      <c r="AB28" s="18">
        <f t="shared" ref="AB28" si="237">M28*AA28</f>
        <v>36.9846</v>
      </c>
      <c r="AC28" s="16">
        <v>2.7699999999999999E-3</v>
      </c>
      <c r="AD28" s="17">
        <f t="shared" ref="AD28:AD30" si="238">M28*AC28</f>
        <v>37.943460000000002</v>
      </c>
      <c r="AE28" s="26">
        <f>IF(M28&gt;0,(AG28+AP28)/M28,0)</f>
        <v>2.8645050810337273E-3</v>
      </c>
      <c r="AF28" s="16">
        <v>2.4000000000000001E-4</v>
      </c>
      <c r="AG28" s="23">
        <f t="shared" ref="AG28:AG30" si="239">AF28*M28</f>
        <v>3.2875200000000002</v>
      </c>
      <c r="AH28" s="92">
        <v>0.2135</v>
      </c>
      <c r="AI28" s="29">
        <f t="shared" ref="AI28:AI30" si="240">AL28*(1-AM28)*AH28</f>
        <v>33.917037000000001</v>
      </c>
      <c r="AJ28" s="27">
        <f t="shared" ref="AJ28:AJ30" si="241">IF(AND(AH28&gt;0,AF28&gt;0,AC28&gt;0),((AC28-AF28)*AH28)/((AH28-AF28)*AC28),0)</f>
        <v>0.91438528113172468</v>
      </c>
      <c r="AK28" s="58">
        <f t="shared" si="6"/>
        <v>0.91718860746084574</v>
      </c>
      <c r="AL28" s="11">
        <v>174</v>
      </c>
      <c r="AM28" s="13">
        <v>8.6999999999999994E-2</v>
      </c>
      <c r="AN28" s="14">
        <v>0.2263</v>
      </c>
      <c r="AO28" s="101">
        <v>0.21229999999999999</v>
      </c>
      <c r="AP28" s="29">
        <f>AL28*(1-AM28)*AN28</f>
        <v>35.950470599999996</v>
      </c>
      <c r="AQ28" s="102">
        <f t="shared" ref="AQ28" si="242">AL28*(1-AM28)*AO28</f>
        <v>33.7264026</v>
      </c>
      <c r="AR28" s="18">
        <v>1.55</v>
      </c>
      <c r="AS28" s="18">
        <v>1002.76</v>
      </c>
      <c r="AT28" s="79">
        <f>AT26+AL28-AS28+AU28</f>
        <v>813.57999999999925</v>
      </c>
      <c r="AU28" s="80">
        <v>11.54</v>
      </c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55</v>
      </c>
      <c r="D29" s="33">
        <v>19151</v>
      </c>
      <c r="E29" s="33">
        <v>5</v>
      </c>
      <c r="F29" s="33">
        <v>16412</v>
      </c>
      <c r="G29" s="34">
        <v>1.7</v>
      </c>
      <c r="H29" s="34">
        <v>5.7</v>
      </c>
      <c r="I29" s="33">
        <v>16152</v>
      </c>
      <c r="J29" s="34">
        <v>1.3</v>
      </c>
      <c r="K29" s="33">
        <v>14585</v>
      </c>
      <c r="L29" s="35">
        <v>6.9000000000000006E-2</v>
      </c>
      <c r="M29" s="36">
        <f>ROUND(K29*(1-L29),0)</f>
        <v>13579</v>
      </c>
      <c r="N29" s="37">
        <v>0.69199999999999995</v>
      </c>
      <c r="O29" s="24">
        <f t="shared" si="231"/>
        <v>9396.6679999999997</v>
      </c>
      <c r="P29" s="35">
        <v>0.251</v>
      </c>
      <c r="Q29" s="24">
        <f t="shared" si="232"/>
        <v>3408.3290000000002</v>
      </c>
      <c r="R29" s="38">
        <v>5.7000000000000002E-2</v>
      </c>
      <c r="S29" s="105">
        <v>0.23799999999999999</v>
      </c>
      <c r="T29" s="24">
        <f t="shared" si="233"/>
        <v>774.00300000000004</v>
      </c>
      <c r="U29" s="27">
        <v>0.214</v>
      </c>
      <c r="V29" s="24">
        <f t="shared" si="234"/>
        <v>2905.9059999999999</v>
      </c>
      <c r="W29" s="38">
        <v>0.51</v>
      </c>
      <c r="X29" s="24">
        <f t="shared" si="235"/>
        <v>6925.29</v>
      </c>
      <c r="Y29" s="38">
        <v>0.42</v>
      </c>
      <c r="Z29" s="24">
        <f t="shared" si="236"/>
        <v>5703.1799999999994</v>
      </c>
      <c r="AA29" s="117">
        <v>2.6099999999999999E-3</v>
      </c>
      <c r="AB29" s="18">
        <f t="shared" si="61"/>
        <v>35.441189999999999</v>
      </c>
      <c r="AC29" s="39">
        <v>2.5999999999999999E-3</v>
      </c>
      <c r="AD29" s="17">
        <f t="shared" si="238"/>
        <v>35.305399999999999</v>
      </c>
      <c r="AE29" s="26">
        <f>IF(M29&gt;0,(AG29+AP29)/M29,0)</f>
        <v>2.7883075926062304E-3</v>
      </c>
      <c r="AF29" s="39">
        <v>2.4000000000000001E-4</v>
      </c>
      <c r="AG29" s="36">
        <f t="shared" si="239"/>
        <v>3.2589600000000001</v>
      </c>
      <c r="AH29" s="27">
        <v>0.21479999999999999</v>
      </c>
      <c r="AI29" s="40">
        <f t="shared" si="240"/>
        <v>32.714899199999998</v>
      </c>
      <c r="AJ29" s="27">
        <f t="shared" si="241"/>
        <v>0.90870762347272394</v>
      </c>
      <c r="AK29" s="28">
        <f t="shared" si="6"/>
        <v>0.91489271848066023</v>
      </c>
      <c r="AL29" s="33">
        <v>167</v>
      </c>
      <c r="AM29" s="35">
        <v>8.7999999999999995E-2</v>
      </c>
      <c r="AN29" s="37">
        <v>0.22720000000000001</v>
      </c>
      <c r="AO29" s="103">
        <v>0.21590000000000001</v>
      </c>
      <c r="AP29" s="40">
        <f>AL29*(1-AM29)*AN29</f>
        <v>34.603468800000002</v>
      </c>
      <c r="AQ29" s="104">
        <f t="shared" si="21"/>
        <v>32.882433599999999</v>
      </c>
      <c r="AR29" s="41">
        <v>1.55</v>
      </c>
      <c r="AS29" s="41"/>
      <c r="AT29" s="129">
        <f>AT28+AL29-AS29</f>
        <v>980.57999999999925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43" t="s">
        <v>57</v>
      </c>
      <c r="D30" s="42">
        <v>20000</v>
      </c>
      <c r="E30" s="42">
        <v>0</v>
      </c>
      <c r="F30" s="42">
        <v>14904</v>
      </c>
      <c r="G30" s="36">
        <v>1.1000000000000001</v>
      </c>
      <c r="H30" s="36">
        <v>6.1</v>
      </c>
      <c r="I30" s="42">
        <v>14815</v>
      </c>
      <c r="J30" s="36">
        <v>0.8</v>
      </c>
      <c r="K30" s="42">
        <v>14584</v>
      </c>
      <c r="L30" s="38">
        <v>6.0999999999999999E-2</v>
      </c>
      <c r="M30" s="36">
        <f>ROUND(K30*(1-L30),0)</f>
        <v>13694</v>
      </c>
      <c r="N30" s="27">
        <v>0.66500000000000004</v>
      </c>
      <c r="O30" s="24">
        <f t="shared" si="231"/>
        <v>9106.51</v>
      </c>
      <c r="P30" s="38">
        <v>0.27400000000000002</v>
      </c>
      <c r="Q30" s="24">
        <f t="shared" si="232"/>
        <v>3752.1560000000004</v>
      </c>
      <c r="R30" s="38">
        <v>6.0999999999999999E-2</v>
      </c>
      <c r="S30" s="105">
        <v>0.219</v>
      </c>
      <c r="T30" s="24">
        <f t="shared" si="233"/>
        <v>835.33399999999995</v>
      </c>
      <c r="U30" s="27">
        <v>0.221</v>
      </c>
      <c r="V30" s="24">
        <f t="shared" si="234"/>
        <v>3026.3740000000003</v>
      </c>
      <c r="W30" s="38">
        <v>0.49299999999999999</v>
      </c>
      <c r="X30" s="24">
        <f t="shared" si="235"/>
        <v>6751.1419999999998</v>
      </c>
      <c r="Y30" s="38">
        <v>0.43</v>
      </c>
      <c r="Z30" s="24">
        <f t="shared" si="236"/>
        <v>5888.42</v>
      </c>
      <c r="AA30" s="118">
        <v>2.5100000000000001E-3</v>
      </c>
      <c r="AB30" s="121">
        <f t="shared" si="61"/>
        <v>34.371940000000002</v>
      </c>
      <c r="AC30" s="45">
        <v>2.6199999999999999E-3</v>
      </c>
      <c r="AD30" s="17">
        <f t="shared" si="238"/>
        <v>35.878279999999997</v>
      </c>
      <c r="AE30" s="26">
        <f>IF(M30&gt;0,(AG30+AP30)/M30,0)</f>
        <v>2.7204051409376365E-3</v>
      </c>
      <c r="AF30" s="45">
        <v>2.5000000000000001E-4</v>
      </c>
      <c r="AG30" s="36">
        <f t="shared" si="239"/>
        <v>3.4235000000000002</v>
      </c>
      <c r="AH30" s="27">
        <v>0.20849999999999999</v>
      </c>
      <c r="AI30" s="40">
        <f t="shared" si="240"/>
        <v>32.325839999999999</v>
      </c>
      <c r="AJ30" s="27">
        <f t="shared" si="241"/>
        <v>0.90566608322718389</v>
      </c>
      <c r="AK30" s="28">
        <f t="shared" si="6"/>
        <v>0.90914356360577586</v>
      </c>
      <c r="AL30" s="42">
        <v>170</v>
      </c>
      <c r="AM30" s="38">
        <v>8.7999999999999995E-2</v>
      </c>
      <c r="AN30" s="27">
        <v>0.21820000000000001</v>
      </c>
      <c r="AO30" s="105">
        <v>0.2079</v>
      </c>
      <c r="AP30" s="40">
        <f>AL30*(1-AM30)*AN30</f>
        <v>33.829727999999996</v>
      </c>
      <c r="AQ30" s="106">
        <f t="shared" si="21"/>
        <v>32.232816</v>
      </c>
      <c r="AR30" s="17">
        <v>1.55</v>
      </c>
      <c r="AS30" s="17"/>
      <c r="AT30" s="129">
        <f>AT29+AL30-AS30</f>
        <v>1150.5799999999992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3">SUM(D28:D30)</f>
        <v>45200</v>
      </c>
      <c r="E31" s="49"/>
      <c r="F31" s="49">
        <f t="shared" ref="F31" si="244">SUM(F28:F30)</f>
        <v>45725</v>
      </c>
      <c r="G31" s="50"/>
      <c r="H31" s="50"/>
      <c r="I31" s="49">
        <f t="shared" ref="I31:K31" si="245">SUM(I28:I30)</f>
        <v>44766</v>
      </c>
      <c r="J31" s="50"/>
      <c r="K31" s="49">
        <f t="shared" si="245"/>
        <v>43741</v>
      </c>
      <c r="L31" s="20">
        <f t="shared" ref="L31" si="246">IF(K31&gt;0,(K28*L28+K29*L29+K30*L30)/K31,0)</f>
        <v>6.3334377357627855E-2</v>
      </c>
      <c r="M31" s="50">
        <f t="shared" ref="M31" si="247">M28+M29+M30</f>
        <v>40971</v>
      </c>
      <c r="N31" s="51">
        <f t="shared" ref="N31" si="248">IF(M31&gt;0,O31/M31,0)</f>
        <v>0.69066529984623271</v>
      </c>
      <c r="O31" s="52">
        <f t="shared" ref="O31" si="249">O28+O29+O30</f>
        <v>28297.248</v>
      </c>
      <c r="P31" s="20">
        <f t="shared" ref="P31" si="250">IF(M31&gt;0,Q31/M31,0)</f>
        <v>0.25032908642698493</v>
      </c>
      <c r="Q31" s="52">
        <f t="shared" ref="Q31" si="251">Q28+Q29+Q30</f>
        <v>10256.233</v>
      </c>
      <c r="R31" s="20">
        <f t="shared" ref="R31" si="252">IF(M31&gt;0,T31/M31,0)</f>
        <v>5.9005613726782355E-2</v>
      </c>
      <c r="S31" s="107"/>
      <c r="T31" s="52">
        <f t="shared" ref="T31" si="253">T28+T29+T30</f>
        <v>2417.5189999999998</v>
      </c>
      <c r="U31" s="20">
        <f t="shared" ref="U31" si="254">IF(M31&gt;0,V31/M31,0)</f>
        <v>0.21633965487784043</v>
      </c>
      <c r="V31" s="52">
        <f t="shared" ref="V31" si="255">V28+V29+V30</f>
        <v>8863.652</v>
      </c>
      <c r="W31" s="20">
        <f t="shared" ref="W31" si="256">IF(M31&gt;0,X31/M31,0)</f>
        <v>0.50030597251714626</v>
      </c>
      <c r="X31" s="52">
        <f t="shared" ref="X31" si="257">X28+X29+X30</f>
        <v>20498.036</v>
      </c>
      <c r="Y31" s="20">
        <f t="shared" ref="Y31" si="258">IF(M31&gt;0,Z31/M31,0)</f>
        <v>0.42334236411120063</v>
      </c>
      <c r="Z31" s="52">
        <f t="shared" ref="Z31" si="259">Z28+Z29+Z30</f>
        <v>17344.760000000002</v>
      </c>
      <c r="AA31" s="119">
        <f t="shared" ref="AA31" si="260">IF(M31&gt;0,AB31/M31,0)</f>
        <v>2.606666422591589E-3</v>
      </c>
      <c r="AB31" s="54">
        <f t="shared" ref="AB31" si="261">SUM(AB28:AB30)</f>
        <v>106.79773</v>
      </c>
      <c r="AC31" s="53">
        <f t="shared" ref="AC31" si="262">IF(M31&gt;0,AD31/M31,0)</f>
        <v>2.6635215152180812E-3</v>
      </c>
      <c r="AD31" s="54">
        <f t="shared" ref="AD31" si="263">SUM(AD28:AD30)</f>
        <v>109.12714</v>
      </c>
      <c r="AE31" s="53">
        <f t="shared" ref="AE31" si="264">IF(M31&gt;0,(AE28*M28+AE29*M29+AE30*M30)/M31,0)</f>
        <v>2.7910875350857919E-3</v>
      </c>
      <c r="AF31" s="53">
        <f t="shared" ref="AF31" si="265">IF(K31&gt;0,(K28*AF28+K29*AF29+K30*AF30)/K31,0)</f>
        <v>2.4333417160101505E-4</v>
      </c>
      <c r="AG31" s="50">
        <f t="shared" ref="AG31" si="266">SUM(AG28:AG30)</f>
        <v>9.9699800000000014</v>
      </c>
      <c r="AH31" s="51">
        <f t="shared" ref="AH31" si="267">IF(K31&gt;0,(K28*AH28+K29*AH29+K30*AH30)/K31,0)</f>
        <v>0.21226638622802402</v>
      </c>
      <c r="AI31" s="56">
        <f t="shared" ref="AI31" si="268">SUM(AI28:AI30)</f>
        <v>98.957776199999998</v>
      </c>
      <c r="AJ31" s="51">
        <f t="shared" ref="AJ31" si="269">IF(AND(AD31&gt;0),((AD28*AJ28+AD29*AJ29+AD30*AJ30)/AD31),0)</f>
        <v>0.90968176009645685</v>
      </c>
      <c r="AK31" s="55">
        <f t="shared" si="6"/>
        <v>0.91381056507304514</v>
      </c>
      <c r="AL31" s="49">
        <f t="shared" ref="AL31" si="270">SUM(AL28:AL30)</f>
        <v>511</v>
      </c>
      <c r="AM31" s="20">
        <f t="shared" ref="AM31" si="271">IF(AL31&gt;0,(AM28*AL28+AM29*AL29+AM30*AL30)/AL31,0)</f>
        <v>8.7659491193737768E-2</v>
      </c>
      <c r="AN31" s="51">
        <f>IF(K31&gt;0,(AN28*K28+AN29*K29+AN30*K30)/K31,0)</f>
        <v>0.22389941702293042</v>
      </c>
      <c r="AO31" s="107">
        <f>IF(L31&gt;0,(AO28*K28+AO29*K29+AO30*K30)/K31,0)</f>
        <v>0.21203334857456391</v>
      </c>
      <c r="AP31" s="56">
        <f t="shared" ref="AP31" si="272">SUM(AP28:AP30)</f>
        <v>104.38366739999998</v>
      </c>
      <c r="AQ31" s="108">
        <f t="shared" si="228"/>
        <v>98.841652199999999</v>
      </c>
      <c r="AR31" s="54"/>
      <c r="AS31" s="54">
        <f t="shared" ref="AS31" si="273">SUM(AS28:AS30)</f>
        <v>1002.76</v>
      </c>
      <c r="AT31" s="83"/>
      <c r="AU31" s="84">
        <f>AT30</f>
        <v>1150.5799999999992</v>
      </c>
      <c r="AV31" s="49">
        <f t="shared" ref="AV31" si="274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58</v>
      </c>
      <c r="D32" s="11">
        <v>3915</v>
      </c>
      <c r="E32" s="11">
        <v>1</v>
      </c>
      <c r="F32" s="11">
        <v>4354</v>
      </c>
      <c r="G32" s="12">
        <v>1.2</v>
      </c>
      <c r="H32" s="12">
        <v>4.7</v>
      </c>
      <c r="I32" s="11">
        <v>4488</v>
      </c>
      <c r="J32" s="12">
        <v>5</v>
      </c>
      <c r="K32" s="11">
        <v>14227</v>
      </c>
      <c r="L32" s="13">
        <v>6.7000000000000004E-2</v>
      </c>
      <c r="M32" s="23">
        <f>ROUND(K32*(1-L32),0)</f>
        <v>13274</v>
      </c>
      <c r="N32" s="14">
        <v>0.68899999999999995</v>
      </c>
      <c r="O32" s="24">
        <f t="shared" ref="O32:O34" si="275">M32*N32</f>
        <v>9145.7860000000001</v>
      </c>
      <c r="P32" s="13">
        <v>0.26200000000000001</v>
      </c>
      <c r="Q32" s="24">
        <f t="shared" ref="Q32:Q34" si="276">M32*P32</f>
        <v>3477.788</v>
      </c>
      <c r="R32" s="15">
        <v>4.9000000000000002E-2</v>
      </c>
      <c r="S32" s="112">
        <v>0.2198</v>
      </c>
      <c r="T32" s="24">
        <f t="shared" ref="T32:T34" si="277">M32*R32</f>
        <v>650.42600000000004</v>
      </c>
      <c r="U32" s="25">
        <v>0.215</v>
      </c>
      <c r="V32" s="24">
        <f t="shared" ref="V32:V34" si="278">M32*U32</f>
        <v>2853.91</v>
      </c>
      <c r="W32" s="15">
        <v>0.503</v>
      </c>
      <c r="X32" s="24">
        <f t="shared" ref="X32:X34" si="279">M32*W32</f>
        <v>6676.8220000000001</v>
      </c>
      <c r="Y32" s="15">
        <v>0.43</v>
      </c>
      <c r="Z32" s="24">
        <f t="shared" ref="Z32:Z34" si="280">Y32*M32</f>
        <v>5707.82</v>
      </c>
      <c r="AA32" s="116">
        <v>2.6199999999999999E-3</v>
      </c>
      <c r="AB32" s="18">
        <f t="shared" ref="AB32" si="281">M32*AA32</f>
        <v>34.777879999999996</v>
      </c>
      <c r="AC32" s="16">
        <v>2.6900000000000001E-3</v>
      </c>
      <c r="AD32" s="17">
        <f t="shared" ref="AD32:AD34" si="282">M32*AC32</f>
        <v>35.707059999999998</v>
      </c>
      <c r="AE32" s="26">
        <f>IF(M32&gt;0,(AG32+AP32)/M32,0)</f>
        <v>2.9064982371553414E-3</v>
      </c>
      <c r="AF32" s="16">
        <v>2.5999999999999998E-4</v>
      </c>
      <c r="AG32" s="23">
        <f t="shared" ref="AG32:AG34" si="283">AF32*M32</f>
        <v>3.4512399999999999</v>
      </c>
      <c r="AH32" s="92">
        <v>0.2109</v>
      </c>
      <c r="AI32" s="29">
        <f t="shared" ref="AI32:AI34" si="284">AL32*(1-AM32)*AH32</f>
        <v>33.814862400000003</v>
      </c>
      <c r="AJ32" s="27">
        <f t="shared" ref="AJ32:AJ34" si="285">IF(AND(AH32&gt;0,AF32&gt;0,AC32&gt;0),((AC32-AF32)*AH32)/((AH32-AF32)*AC32),0)</f>
        <v>0.90446075476120225</v>
      </c>
      <c r="AK32" s="58">
        <f t="shared" si="6"/>
        <v>0.91162707819195266</v>
      </c>
      <c r="AL32" s="11">
        <v>176</v>
      </c>
      <c r="AM32" s="13">
        <v>8.8999999999999996E-2</v>
      </c>
      <c r="AN32" s="14">
        <v>0.21909999999999999</v>
      </c>
      <c r="AO32" s="101">
        <v>0.2044</v>
      </c>
      <c r="AP32" s="29">
        <f>AL32*(1-AM32)*AN32</f>
        <v>35.129617600000003</v>
      </c>
      <c r="AQ32" s="102">
        <f t="shared" ref="AQ32" si="286">AL32*(1-AM32)*AO32</f>
        <v>32.772678400000004</v>
      </c>
      <c r="AR32" s="18">
        <v>1.5</v>
      </c>
      <c r="AS32" s="18">
        <v>1001.5</v>
      </c>
      <c r="AT32" s="79">
        <f>AT30+AL32-AS32-AU32</f>
        <v>320.65999999999923</v>
      </c>
      <c r="AU32" s="80">
        <v>4.42</v>
      </c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55</v>
      </c>
      <c r="D33" s="33">
        <v>2200</v>
      </c>
      <c r="E33" s="33">
        <v>0</v>
      </c>
      <c r="F33" s="33">
        <v>329</v>
      </c>
      <c r="G33" s="34">
        <v>2.2000000000000002</v>
      </c>
      <c r="H33" s="34">
        <v>5.5</v>
      </c>
      <c r="I33" s="33">
        <v>1576</v>
      </c>
      <c r="J33" s="34">
        <v>7.5</v>
      </c>
      <c r="K33" s="33">
        <v>13665</v>
      </c>
      <c r="L33" s="35">
        <v>6.9000000000000006E-2</v>
      </c>
      <c r="M33" s="36">
        <f>ROUND(K33*(1-L33),0)</f>
        <v>12722</v>
      </c>
      <c r="N33" s="37">
        <v>0.59499999999999997</v>
      </c>
      <c r="O33" s="24">
        <f t="shared" si="275"/>
        <v>7569.5899999999992</v>
      </c>
      <c r="P33" s="35">
        <v>0.38800000000000001</v>
      </c>
      <c r="Q33" s="24">
        <f t="shared" si="276"/>
        <v>4936.1360000000004</v>
      </c>
      <c r="R33" s="38">
        <v>1.7000000000000001E-2</v>
      </c>
      <c r="S33" s="105">
        <v>0.2056</v>
      </c>
      <c r="T33" s="24">
        <f t="shared" si="277"/>
        <v>216.27400000000003</v>
      </c>
      <c r="U33" s="27">
        <v>0.19</v>
      </c>
      <c r="V33" s="24">
        <f t="shared" si="278"/>
        <v>2417.1799999999998</v>
      </c>
      <c r="W33" s="38">
        <v>0.51400000000000001</v>
      </c>
      <c r="X33" s="24">
        <f t="shared" si="279"/>
        <v>6539.1080000000002</v>
      </c>
      <c r="Y33" s="38">
        <v>0.39</v>
      </c>
      <c r="Z33" s="24">
        <f t="shared" si="280"/>
        <v>4961.58</v>
      </c>
      <c r="AA33" s="117">
        <v>2.6099999999999999E-3</v>
      </c>
      <c r="AB33" s="18">
        <f t="shared" si="61"/>
        <v>33.204419999999999</v>
      </c>
      <c r="AC33" s="39">
        <v>2.5799999999999998E-3</v>
      </c>
      <c r="AD33" s="17">
        <f t="shared" si="282"/>
        <v>32.822759999999995</v>
      </c>
      <c r="AE33" s="26">
        <f>IF(M33&gt;0,(AG33+AP33)/M33,0)</f>
        <v>2.4585355132840749E-3</v>
      </c>
      <c r="AF33" s="39">
        <v>2.7E-4</v>
      </c>
      <c r="AG33" s="36">
        <f t="shared" si="283"/>
        <v>3.4349400000000001</v>
      </c>
      <c r="AH33" s="27">
        <v>0.1996</v>
      </c>
      <c r="AI33" s="40">
        <f t="shared" si="284"/>
        <v>25.0106784</v>
      </c>
      <c r="AJ33" s="27">
        <f t="shared" si="285"/>
        <v>0.89656162096511682</v>
      </c>
      <c r="AK33" s="28">
        <f t="shared" si="6"/>
        <v>0.89126151457858516</v>
      </c>
      <c r="AL33" s="33">
        <v>138</v>
      </c>
      <c r="AM33" s="35">
        <v>9.1999999999999998E-2</v>
      </c>
      <c r="AN33" s="37">
        <v>0.22220000000000001</v>
      </c>
      <c r="AO33" s="103">
        <v>0.21429999999999999</v>
      </c>
      <c r="AP33" s="40">
        <f>AL33*(1-AM33)*AN33</f>
        <v>27.842548800000003</v>
      </c>
      <c r="AQ33" s="104">
        <f t="shared" si="21"/>
        <v>26.8526472</v>
      </c>
      <c r="AR33" s="41">
        <v>1.5</v>
      </c>
      <c r="AS33" s="41"/>
      <c r="AT33" s="129">
        <f>AT32+AL33-AS33</f>
        <v>458.65999999999923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43" t="s">
        <v>57</v>
      </c>
      <c r="D34" s="42">
        <v>16900</v>
      </c>
      <c r="E34" s="42">
        <v>1</v>
      </c>
      <c r="F34" s="42">
        <v>18620</v>
      </c>
      <c r="G34" s="36">
        <v>1.9</v>
      </c>
      <c r="H34" s="36">
        <v>6</v>
      </c>
      <c r="I34" s="42">
        <v>17836</v>
      </c>
      <c r="J34" s="36">
        <v>5.3</v>
      </c>
      <c r="K34" s="42">
        <v>15959</v>
      </c>
      <c r="L34" s="38">
        <v>6.4000000000000001E-2</v>
      </c>
      <c r="M34" s="36">
        <f>ROUND(K34*(1-L34),0)</f>
        <v>14938</v>
      </c>
      <c r="N34" s="27">
        <v>0.61699999999999999</v>
      </c>
      <c r="O34" s="24">
        <f t="shared" si="275"/>
        <v>9216.7459999999992</v>
      </c>
      <c r="P34" s="38">
        <v>0.33200000000000002</v>
      </c>
      <c r="Q34" s="24">
        <f t="shared" si="276"/>
        <v>4959.4160000000002</v>
      </c>
      <c r="R34" s="38">
        <v>5.0999999999999997E-2</v>
      </c>
      <c r="S34" s="105">
        <v>0.22450000000000001</v>
      </c>
      <c r="T34" s="24">
        <f t="shared" si="277"/>
        <v>761.83799999999997</v>
      </c>
      <c r="U34" s="27">
        <v>0.224</v>
      </c>
      <c r="V34" s="24">
        <f t="shared" si="278"/>
        <v>3346.1120000000001</v>
      </c>
      <c r="W34" s="38">
        <v>0.48699999999999999</v>
      </c>
      <c r="X34" s="24">
        <f t="shared" si="279"/>
        <v>7274.8059999999996</v>
      </c>
      <c r="Y34" s="38">
        <v>0.43</v>
      </c>
      <c r="Z34" s="24">
        <f t="shared" si="280"/>
        <v>6423.34</v>
      </c>
      <c r="AA34" s="118">
        <v>2.5699999999999998E-3</v>
      </c>
      <c r="AB34" s="121">
        <f t="shared" si="61"/>
        <v>38.390659999999997</v>
      </c>
      <c r="AC34" s="45">
        <v>2.6099999999999999E-3</v>
      </c>
      <c r="AD34" s="17">
        <f t="shared" si="282"/>
        <v>38.98818</v>
      </c>
      <c r="AE34" s="26">
        <f>IF(M34&gt;0,(AG34+AP34)/M34,0)</f>
        <v>2.7615546391752573E-3</v>
      </c>
      <c r="AF34" s="45">
        <v>2.9E-4</v>
      </c>
      <c r="AG34" s="36">
        <f t="shared" si="283"/>
        <v>4.33202</v>
      </c>
      <c r="AH34" s="27">
        <v>0.21260000000000001</v>
      </c>
      <c r="AI34" s="40">
        <f t="shared" si="284"/>
        <v>34.978652799999999</v>
      </c>
      <c r="AJ34" s="27">
        <f t="shared" si="285"/>
        <v>0.89010304638395632</v>
      </c>
      <c r="AK34" s="28">
        <f t="shared" si="6"/>
        <v>0.89614480701509303</v>
      </c>
      <c r="AL34" s="42">
        <v>182</v>
      </c>
      <c r="AM34" s="38">
        <v>9.6000000000000002E-2</v>
      </c>
      <c r="AN34" s="27">
        <v>0.22439999999999999</v>
      </c>
      <c r="AO34" s="105">
        <v>0.21310000000000001</v>
      </c>
      <c r="AP34" s="40">
        <f>AL34*(1-AM34)*AN34</f>
        <v>36.920083199999993</v>
      </c>
      <c r="AQ34" s="106">
        <f t="shared" si="21"/>
        <v>35.060916800000001</v>
      </c>
      <c r="AR34" s="17">
        <v>1.5</v>
      </c>
      <c r="AS34" s="17"/>
      <c r="AT34" s="129">
        <f>AT33+AL34-AS34</f>
        <v>640.65999999999917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7">SUM(D32:D34)</f>
        <v>23015</v>
      </c>
      <c r="E35" s="49"/>
      <c r="F35" s="49">
        <f t="shared" ref="F35" si="288">SUM(F32:F34)</f>
        <v>23303</v>
      </c>
      <c r="G35" s="50"/>
      <c r="H35" s="50"/>
      <c r="I35" s="49">
        <f t="shared" ref="I35:K35" si="289">SUM(I32:I34)</f>
        <v>23900</v>
      </c>
      <c r="J35" s="50"/>
      <c r="K35" s="49">
        <f t="shared" si="289"/>
        <v>43851</v>
      </c>
      <c r="L35" s="20">
        <f t="shared" ref="L35" si="290">IF(K35&gt;0,(K32*L32+K33*L33+K34*L34)/K35,0)</f>
        <v>6.6531435999179045E-2</v>
      </c>
      <c r="M35" s="50">
        <f t="shared" ref="M35" si="291">M32+M33+M34</f>
        <v>40934</v>
      </c>
      <c r="N35" s="51">
        <f t="shared" ref="N35" si="292">IF(M35&gt;0,O35/M35,0)</f>
        <v>0.63351057800361554</v>
      </c>
      <c r="O35" s="52">
        <f t="shared" ref="O35" si="293">O32+O33+O34</f>
        <v>25932.121999999999</v>
      </c>
      <c r="P35" s="20">
        <f t="shared" ref="P35" si="294">IF(M35&gt;0,Q35/M35,0)</f>
        <v>0.32670493965896319</v>
      </c>
      <c r="Q35" s="52">
        <f t="shared" ref="Q35" si="295">Q32+Q33+Q34</f>
        <v>13373.34</v>
      </c>
      <c r="R35" s="20">
        <f t="shared" ref="R35" si="296">IF(M35&gt;0,T35/M35,0)</f>
        <v>3.9784482337421212E-2</v>
      </c>
      <c r="S35" s="107"/>
      <c r="T35" s="52">
        <f t="shared" ref="T35" si="297">T32+T33+T34</f>
        <v>1628.538</v>
      </c>
      <c r="U35" s="20">
        <f t="shared" ref="U35" si="298">IF(M35&gt;0,V35/M35,0)</f>
        <v>0.21051453559388286</v>
      </c>
      <c r="V35" s="52">
        <f t="shared" ref="V35" si="299">V32+V33+V34</f>
        <v>8617.2020000000011</v>
      </c>
      <c r="W35" s="20">
        <f t="shared" ref="W35" si="300">IF(M35&gt;0,X35/M35,0)</f>
        <v>0.50057986026286216</v>
      </c>
      <c r="X35" s="52">
        <f t="shared" ref="X35" si="301">X32+X33+X34</f>
        <v>20490.736000000001</v>
      </c>
      <c r="Y35" s="20">
        <f t="shared" ref="Y35" si="302">IF(M35&gt;0,Z35/M35,0)</f>
        <v>0.41756828064689494</v>
      </c>
      <c r="Z35" s="52">
        <f t="shared" ref="Z35" si="303">Z32+Z33+Z34</f>
        <v>17092.739999999998</v>
      </c>
      <c r="AA35" s="119">
        <f t="shared" ref="AA35" si="304">IF(M35&gt;0,AB35/M35,0)</f>
        <v>2.5986456246640931E-3</v>
      </c>
      <c r="AB35" s="54">
        <f t="shared" ref="AB35" si="305">SUM(AB32:AB34)</f>
        <v>106.37295999999999</v>
      </c>
      <c r="AC35" s="53">
        <f t="shared" ref="AC35" si="306">IF(M35&gt;0,AD35/M35,0)</f>
        <v>2.6266184589827527E-3</v>
      </c>
      <c r="AD35" s="54">
        <f t="shared" ref="AD35" si="307">SUM(AD32:AD34)</f>
        <v>107.518</v>
      </c>
      <c r="AE35" s="53">
        <f t="shared" ref="AE35" si="308">IF(M35&gt;0,(AE32*M32+AE33*M33+AE34*M34)/M35,0)</f>
        <v>2.7143804563443592E-3</v>
      </c>
      <c r="AF35" s="53">
        <f t="shared" ref="AF35" si="309">IF(K35&gt;0,(K32*AF32+K33*AF33+K34*AF34)/K35,0)</f>
        <v>2.7403434357255255E-4</v>
      </c>
      <c r="AG35" s="50">
        <f t="shared" ref="AG35" si="310">SUM(AG32:AG34)</f>
        <v>11.2182</v>
      </c>
      <c r="AH35" s="51">
        <f t="shared" ref="AH35" si="311">IF(K35&gt;0,(K32*AH32+K33*AH33+K34*AH34)/K35,0)</f>
        <v>0.20799734783699345</v>
      </c>
      <c r="AI35" s="56">
        <f t="shared" ref="AI35" si="312">SUM(AI32:AI34)</f>
        <v>93.804193599999991</v>
      </c>
      <c r="AJ35" s="51">
        <f t="shared" ref="AJ35" si="313">IF(AND(AD35&gt;0),((AD32*AJ32+AD33*AJ33+AD34*AJ34)/AD35),0)</f>
        <v>0.8968429392196523</v>
      </c>
      <c r="AK35" s="55">
        <f t="shared" si="6"/>
        <v>0.90015466906413377</v>
      </c>
      <c r="AL35" s="49">
        <f t="shared" ref="AL35" si="314">SUM(AL32:AL34)</f>
        <v>496</v>
      </c>
      <c r="AM35" s="20">
        <f t="shared" ref="AM35" si="315">IF(AL35&gt;0,(AM32*AL32+AM33*AL33+AM34*AL34)/AL35,0)</f>
        <v>9.2403225806451619E-2</v>
      </c>
      <c r="AN35" s="51">
        <f>IF(K35&gt;0,(AN32*K32+AN33*K33+AN34*K34)/K35,0)</f>
        <v>0.22199489863401062</v>
      </c>
      <c r="AO35" s="107">
        <f>IF(L35&gt;0,(AO32*K32+AO33*K33+AO34*K34)/K35,0)</f>
        <v>0.21065132380105356</v>
      </c>
      <c r="AP35" s="56">
        <f t="shared" ref="AP35" si="316">SUM(AP32:AP34)</f>
        <v>99.8922496</v>
      </c>
      <c r="AQ35" s="108">
        <f t="shared" si="228"/>
        <v>94.686242399999998</v>
      </c>
      <c r="AR35" s="54"/>
      <c r="AS35" s="54">
        <f t="shared" ref="AS35" si="317">SUM(AS32:AS34)</f>
        <v>1001.5</v>
      </c>
      <c r="AT35" s="83"/>
      <c r="AU35" s="84">
        <f>AT34</f>
        <v>640.65999999999917</v>
      </c>
      <c r="AV35" s="49">
        <f t="shared" ref="AV35" si="318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58</v>
      </c>
      <c r="D36" s="11">
        <v>2668</v>
      </c>
      <c r="E36" s="11">
        <v>0</v>
      </c>
      <c r="F36" s="11">
        <v>17307</v>
      </c>
      <c r="G36" s="12">
        <v>1.2</v>
      </c>
      <c r="H36" s="12">
        <v>4.7</v>
      </c>
      <c r="I36" s="11">
        <v>16683</v>
      </c>
      <c r="J36" s="12">
        <v>5</v>
      </c>
      <c r="K36" s="11">
        <v>16036</v>
      </c>
      <c r="L36" s="13">
        <v>7.0000000000000007E-2</v>
      </c>
      <c r="M36" s="23">
        <f>ROUND(K36*(1-L36),0)</f>
        <v>14913</v>
      </c>
      <c r="N36" s="14">
        <v>0.68400000000000005</v>
      </c>
      <c r="O36" s="24">
        <f t="shared" ref="O36:O38" si="319">M36*N36</f>
        <v>10200.492</v>
      </c>
      <c r="P36" s="13">
        <v>0.28699999999999998</v>
      </c>
      <c r="Q36" s="24">
        <f t="shared" ref="Q36:Q38" si="320">M36*P36</f>
        <v>4280.0309999999999</v>
      </c>
      <c r="R36" s="15">
        <v>2.9000000000000001E-2</v>
      </c>
      <c r="S36" s="112">
        <v>0.2298</v>
      </c>
      <c r="T36" s="24">
        <f t="shared" ref="T36:T38" si="321">M36*R36</f>
        <v>432.47700000000003</v>
      </c>
      <c r="U36" s="25">
        <v>0.23499999999999999</v>
      </c>
      <c r="V36" s="24">
        <f t="shared" ref="V36:V38" si="322">M36*U36</f>
        <v>3504.5549999999998</v>
      </c>
      <c r="W36" s="15">
        <v>0.48299999999999998</v>
      </c>
      <c r="X36" s="24">
        <f t="shared" ref="X36:X38" si="323">M36*W36</f>
        <v>7202.9789999999994</v>
      </c>
      <c r="Y36" s="15">
        <v>0.43</v>
      </c>
      <c r="Z36" s="24">
        <f t="shared" ref="Z36:Z38" si="324">Y36*M36</f>
        <v>6412.59</v>
      </c>
      <c r="AA36" s="116">
        <v>2.5100000000000001E-3</v>
      </c>
      <c r="AB36" s="18">
        <f t="shared" ref="AB36" si="325">M36*AA36</f>
        <v>37.431629999999998</v>
      </c>
      <c r="AC36" s="16">
        <v>2.5200000000000001E-3</v>
      </c>
      <c r="AD36" s="17">
        <f t="shared" ref="AD36:AD38" si="326">M36*AC36</f>
        <v>37.580760000000005</v>
      </c>
      <c r="AE36" s="26">
        <f>IF(M36&gt;0,(AG36+AP36)/M36,0)</f>
        <v>2.7841270368135188E-3</v>
      </c>
      <c r="AF36" s="16">
        <v>2.9E-4</v>
      </c>
      <c r="AG36" s="23">
        <f t="shared" ref="AG36:AG38" si="327">AF36*M36</f>
        <v>4.32477</v>
      </c>
      <c r="AH36" s="92">
        <v>0.20899999999999999</v>
      </c>
      <c r="AI36" s="29">
        <f t="shared" ref="AI36:AI38" si="328">AL36*(1-AM36)*AH36</f>
        <v>35.906409000000004</v>
      </c>
      <c r="AJ36" s="27">
        <f t="shared" ref="AJ36:AJ38" si="329">IF(AND(AH36&gt;0,AF36&gt;0,AC36&gt;0),((AC36-AF36)*AH36)/((AH36-AF36)*AC36),0)</f>
        <v>0.88615022135217625</v>
      </c>
      <c r="AK36" s="58">
        <f t="shared" si="6"/>
        <v>0.89703966372837884</v>
      </c>
      <c r="AL36" s="11">
        <v>189</v>
      </c>
      <c r="AM36" s="13">
        <v>9.0999999999999998E-2</v>
      </c>
      <c r="AN36" s="14">
        <v>0.2165</v>
      </c>
      <c r="AO36" s="101">
        <v>0.20760000000000001</v>
      </c>
      <c r="AP36" s="29">
        <f>AL36*(1-AM36)*AN36</f>
        <v>37.194916500000005</v>
      </c>
      <c r="AQ36" s="102">
        <f t="shared" ref="AQ36" si="330">AL36*(1-AM36)*AO36</f>
        <v>35.665887600000005</v>
      </c>
      <c r="AR36" s="18">
        <v>1.55</v>
      </c>
      <c r="AS36" s="18">
        <v>501.74</v>
      </c>
      <c r="AT36" s="79">
        <f>AT34+AL36-AS36</f>
        <v>327.91999999999916</v>
      </c>
      <c r="AU36" s="80"/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53</v>
      </c>
      <c r="D37" s="33">
        <v>26300</v>
      </c>
      <c r="E37" s="33">
        <v>5</v>
      </c>
      <c r="F37" s="33">
        <v>17059</v>
      </c>
      <c r="G37" s="34">
        <v>3.5</v>
      </c>
      <c r="H37" s="34">
        <v>5.5</v>
      </c>
      <c r="I37" s="33">
        <v>16064</v>
      </c>
      <c r="J37" s="34">
        <v>4.5</v>
      </c>
      <c r="K37" s="33">
        <v>16233</v>
      </c>
      <c r="L37" s="35">
        <v>6.8000000000000005E-2</v>
      </c>
      <c r="M37" s="36">
        <f>ROUND(K37*(1-L37),0)</f>
        <v>15129</v>
      </c>
      <c r="N37" s="37">
        <v>0.71599999999999997</v>
      </c>
      <c r="O37" s="24">
        <f t="shared" si="319"/>
        <v>10832.364</v>
      </c>
      <c r="P37" s="35">
        <v>0.21299999999999999</v>
      </c>
      <c r="Q37" s="24">
        <f t="shared" si="320"/>
        <v>3222.4769999999999</v>
      </c>
      <c r="R37" s="38">
        <v>7.0999999999999994E-2</v>
      </c>
      <c r="S37" s="105">
        <v>0.224</v>
      </c>
      <c r="T37" s="24">
        <f t="shared" si="321"/>
        <v>1074.1589999999999</v>
      </c>
      <c r="U37" s="27">
        <v>0.23400000000000001</v>
      </c>
      <c r="V37" s="24">
        <f t="shared" si="322"/>
        <v>3540.1860000000001</v>
      </c>
      <c r="W37" s="38">
        <v>0.48699999999999999</v>
      </c>
      <c r="X37" s="24">
        <f t="shared" si="323"/>
        <v>7367.8229999999994</v>
      </c>
      <c r="Y37" s="38">
        <v>0.44</v>
      </c>
      <c r="Z37" s="24">
        <f t="shared" si="324"/>
        <v>6656.76</v>
      </c>
      <c r="AA37" s="117">
        <v>2.4199999999999998E-3</v>
      </c>
      <c r="AB37" s="18">
        <f t="shared" si="61"/>
        <v>36.612179999999995</v>
      </c>
      <c r="AC37" s="39">
        <v>2.48E-3</v>
      </c>
      <c r="AD37" s="17">
        <f t="shared" si="326"/>
        <v>37.519919999999999</v>
      </c>
      <c r="AE37" s="26">
        <f>IF(M37&gt;0,(AG37+AP37)/M37,0)</f>
        <v>2.5619877057307164E-3</v>
      </c>
      <c r="AF37" s="39">
        <v>2.9999999999999997E-4</v>
      </c>
      <c r="AG37" s="36">
        <f t="shared" si="327"/>
        <v>4.5386999999999995</v>
      </c>
      <c r="AH37" s="27">
        <v>0.21379999999999999</v>
      </c>
      <c r="AI37" s="40">
        <f t="shared" si="328"/>
        <v>33.002168000000005</v>
      </c>
      <c r="AJ37" s="27">
        <f t="shared" si="329"/>
        <v>0.88026743219762782</v>
      </c>
      <c r="AK37" s="28">
        <f t="shared" si="6"/>
        <v>0.88409976544996549</v>
      </c>
      <c r="AL37" s="33">
        <v>170</v>
      </c>
      <c r="AM37" s="35">
        <v>9.1999999999999998E-2</v>
      </c>
      <c r="AN37" s="37">
        <v>0.22170000000000001</v>
      </c>
      <c r="AO37" s="103">
        <v>0.2104</v>
      </c>
      <c r="AP37" s="40">
        <f>AL37*(1-AM37)*AN37</f>
        <v>34.221612000000007</v>
      </c>
      <c r="AQ37" s="104">
        <f t="shared" si="21"/>
        <v>32.477344000000002</v>
      </c>
      <c r="AR37" s="41">
        <v>1.55</v>
      </c>
      <c r="AS37" s="41"/>
      <c r="AT37" s="129">
        <f>AT36+AL37-AS37</f>
        <v>497.91999999999916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43" t="s">
        <v>57</v>
      </c>
      <c r="D38" s="42">
        <v>22000</v>
      </c>
      <c r="E38" s="42">
        <v>1</v>
      </c>
      <c r="F38" s="42">
        <v>18269</v>
      </c>
      <c r="G38" s="36">
        <v>1.5</v>
      </c>
      <c r="H38" s="36">
        <v>4.7</v>
      </c>
      <c r="I38" s="42">
        <v>17926</v>
      </c>
      <c r="J38" s="36">
        <v>3.7</v>
      </c>
      <c r="K38" s="42">
        <v>16342</v>
      </c>
      <c r="L38" s="38">
        <v>7.1999999999999995E-2</v>
      </c>
      <c r="M38" s="36">
        <f>ROUND(K38*(1-L38),0)</f>
        <v>15165</v>
      </c>
      <c r="N38" s="27">
        <v>0.72499999999999998</v>
      </c>
      <c r="O38" s="24">
        <f t="shared" si="319"/>
        <v>10994.625</v>
      </c>
      <c r="P38" s="38">
        <v>0.23400000000000001</v>
      </c>
      <c r="Q38" s="24">
        <f t="shared" si="320"/>
        <v>3548.61</v>
      </c>
      <c r="R38" s="38">
        <v>4.1000000000000002E-2</v>
      </c>
      <c r="S38" s="105">
        <v>0.2235</v>
      </c>
      <c r="T38" s="24">
        <f t="shared" si="321"/>
        <v>621.76499999999999</v>
      </c>
      <c r="U38" s="27">
        <v>0.246</v>
      </c>
      <c r="V38" s="24">
        <f t="shared" si="322"/>
        <v>3730.59</v>
      </c>
      <c r="W38" s="38">
        <v>0.47299999999999998</v>
      </c>
      <c r="X38" s="24">
        <f t="shared" si="323"/>
        <v>7173.0450000000001</v>
      </c>
      <c r="Y38" s="38">
        <v>0.44</v>
      </c>
      <c r="Z38" s="24">
        <f t="shared" si="324"/>
        <v>6672.6</v>
      </c>
      <c r="AA38" s="118">
        <v>2.3900000000000002E-3</v>
      </c>
      <c r="AB38" s="121">
        <f t="shared" si="61"/>
        <v>36.244350000000004</v>
      </c>
      <c r="AC38" s="45">
        <v>2.4399999999999999E-3</v>
      </c>
      <c r="AD38" s="17">
        <f t="shared" si="326"/>
        <v>37.002600000000001</v>
      </c>
      <c r="AE38" s="26">
        <f>IF(M38&gt;0,(AG38+AP38)/M38,0)</f>
        <v>2.6162242004615891E-3</v>
      </c>
      <c r="AF38" s="45">
        <v>3.1E-4</v>
      </c>
      <c r="AG38" s="36">
        <f t="shared" si="327"/>
        <v>4.7011500000000002</v>
      </c>
      <c r="AH38" s="27">
        <v>0.21049999999999999</v>
      </c>
      <c r="AI38" s="40">
        <f t="shared" si="328"/>
        <v>33.448450000000001</v>
      </c>
      <c r="AJ38" s="27">
        <f t="shared" si="329"/>
        <v>0.87423829649832818</v>
      </c>
      <c r="AK38" s="28">
        <f t="shared" si="6"/>
        <v>0.882751938667933</v>
      </c>
      <c r="AL38" s="42">
        <v>175</v>
      </c>
      <c r="AM38" s="38">
        <v>9.1999999999999998E-2</v>
      </c>
      <c r="AN38" s="27">
        <v>0.22009999999999999</v>
      </c>
      <c r="AO38" s="105">
        <v>0.20680000000000001</v>
      </c>
      <c r="AP38" s="40">
        <f>AL38*(1-AM38)*AN38</f>
        <v>34.973889999999997</v>
      </c>
      <c r="AQ38" s="106">
        <f t="shared" si="21"/>
        <v>32.860520000000001</v>
      </c>
      <c r="AR38" s="17">
        <v>1.55</v>
      </c>
      <c r="AS38" s="17"/>
      <c r="AT38" s="129">
        <f>AT37+AL38-AS38</f>
        <v>672.91999999999916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1">SUM(D36:D38)</f>
        <v>50968</v>
      </c>
      <c r="E39" s="49"/>
      <c r="F39" s="49">
        <f t="shared" ref="F39" si="332">SUM(F36:F38)</f>
        <v>52635</v>
      </c>
      <c r="G39" s="50"/>
      <c r="H39" s="50"/>
      <c r="I39" s="49">
        <f t="shared" ref="I39:K39" si="333">SUM(I36:I38)</f>
        <v>50673</v>
      </c>
      <c r="J39" s="50"/>
      <c r="K39" s="49">
        <f t="shared" si="333"/>
        <v>48611</v>
      </c>
      <c r="L39" s="20">
        <f t="shared" ref="L39" si="334">IF(K39&gt;0,(K36*L36+K37*L37+K38*L38)/K39,0)</f>
        <v>7.0004484581679044E-2</v>
      </c>
      <c r="M39" s="50">
        <f t="shared" ref="M39" si="335">M36+M37+M38</f>
        <v>45207</v>
      </c>
      <c r="N39" s="51">
        <f t="shared" ref="N39" si="336">IF(M39&gt;0,O39/M39,0)</f>
        <v>0.708462870794346</v>
      </c>
      <c r="O39" s="52">
        <f t="shared" ref="O39" si="337">O36+O37+O38</f>
        <v>32027.481</v>
      </c>
      <c r="P39" s="20">
        <f t="shared" ref="P39" si="338">IF(M39&gt;0,Q39/M39,0)</f>
        <v>0.24445590284690424</v>
      </c>
      <c r="Q39" s="52">
        <f t="shared" ref="Q39" si="339">Q36+Q37+Q38</f>
        <v>11051.118</v>
      </c>
      <c r="R39" s="20">
        <f t="shared" ref="R39" si="340">IF(M39&gt;0,T39/M39,0)</f>
        <v>4.7081226358749749E-2</v>
      </c>
      <c r="S39" s="107"/>
      <c r="T39" s="52">
        <f t="shared" ref="T39" si="341">T36+T37+T38</f>
        <v>2128.4009999999998</v>
      </c>
      <c r="U39" s="20">
        <f t="shared" ref="U39" si="342">IF(M39&gt;0,V39/M39,0)</f>
        <v>0.23835536531953017</v>
      </c>
      <c r="V39" s="52">
        <f t="shared" ref="V39" si="343">V36+V37+V38</f>
        <v>10775.331</v>
      </c>
      <c r="W39" s="20">
        <f t="shared" ref="W39" si="344">IF(M39&gt;0,X39/M39,0)</f>
        <v>0.48098407326299025</v>
      </c>
      <c r="X39" s="52">
        <f t="shared" ref="X39" si="345">X36+X37+X38</f>
        <v>21743.847000000002</v>
      </c>
      <c r="Y39" s="20">
        <f t="shared" ref="Y39" si="346">IF(M39&gt;0,Z39/M39,0)</f>
        <v>0.43670117459685448</v>
      </c>
      <c r="Z39" s="52">
        <f t="shared" ref="Z39" si="347">Z36+Z37+Z38</f>
        <v>19741.95</v>
      </c>
      <c r="AA39" s="119">
        <f t="shared" ref="AA39" si="348">IF(M39&gt;0,AB39/M39,0)</f>
        <v>2.4396257216802711E-3</v>
      </c>
      <c r="AB39" s="54">
        <f t="shared" ref="AB39" si="349">SUM(AB36:AB38)</f>
        <v>110.28816</v>
      </c>
      <c r="AC39" s="53">
        <f t="shared" ref="AC39" si="350">IF(M39&gt;0,AD39/M39,0)</f>
        <v>2.4797770256818636E-3</v>
      </c>
      <c r="AD39" s="54">
        <f t="shared" ref="AD39" si="351">SUM(AD36:AD38)</f>
        <v>112.10328000000001</v>
      </c>
      <c r="AE39" s="53">
        <f t="shared" ref="AE39" si="352">IF(M39&gt;0,(AE36*M36+AE37*M37+AE38*M38)/M39,0)</f>
        <v>2.653461598867432E-3</v>
      </c>
      <c r="AF39" s="53">
        <f t="shared" ref="AF39" si="353">IF(K39&gt;0,(K36*AF36+K37*AF37+K38*AF38)/K39,0)</f>
        <v>3.0006294871531131E-4</v>
      </c>
      <c r="AG39" s="50">
        <f t="shared" ref="AG39" si="354">SUM(AG36:AG38)</f>
        <v>13.56462</v>
      </c>
      <c r="AH39" s="51">
        <f t="shared" ref="AH39" si="355">IF(K39&gt;0,(K36*AH36+K37*AH37+K38*AH38)/K39,0)</f>
        <v>0.21110716504494867</v>
      </c>
      <c r="AI39" s="56">
        <f t="shared" ref="AI39" si="356">SUM(AI36:AI38)</f>
        <v>102.35702700000002</v>
      </c>
      <c r="AJ39" s="51">
        <f t="shared" ref="AJ39" si="357">IF(AND(AD39&gt;0),((AD36*AJ36+AD37*AJ37+AD38*AJ38)/AD39),0)</f>
        <v>0.88024946653882441</v>
      </c>
      <c r="AK39" s="55">
        <f t="shared" si="6"/>
        <v>0.88813081129152116</v>
      </c>
      <c r="AL39" s="49">
        <f t="shared" ref="AL39" si="358">SUM(AL36:AL38)</f>
        <v>534</v>
      </c>
      <c r="AM39" s="20">
        <f t="shared" ref="AM39" si="359">IF(AL39&gt;0,(AM36*AL36+AM37*AL37+AM38*AL38)/AL39,0)</f>
        <v>9.1646067415730337E-2</v>
      </c>
      <c r="AN39" s="51">
        <f>IF(K39&gt;0,(AN36*K36+AN37*K37+AN38*K38)/K39,0)</f>
        <v>0.21944671576392172</v>
      </c>
      <c r="AO39" s="107">
        <f>IF(L39&gt;0,(AO36*K36+AO37*K37+AO38*K38)/K39,0)</f>
        <v>0.20826607969389649</v>
      </c>
      <c r="AP39" s="56">
        <f t="shared" ref="AP39" si="360">SUM(AP36:AP38)</f>
        <v>106.39041850000001</v>
      </c>
      <c r="AQ39" s="108">
        <f t="shared" si="228"/>
        <v>101.00375160000002</v>
      </c>
      <c r="AR39" s="54"/>
      <c r="AS39" s="54">
        <f t="shared" ref="AS39" si="361">SUM(AS36:AS38)</f>
        <v>501.74</v>
      </c>
      <c r="AT39" s="83"/>
      <c r="AU39" s="84">
        <f>AT38</f>
        <v>672.91999999999916</v>
      </c>
      <c r="AV39" s="49">
        <f t="shared" ref="AV39" si="362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58</v>
      </c>
      <c r="D40" s="11">
        <v>13050</v>
      </c>
      <c r="E40" s="11">
        <v>1</v>
      </c>
      <c r="F40" s="11">
        <v>18400</v>
      </c>
      <c r="G40" s="12">
        <v>0.4</v>
      </c>
      <c r="H40" s="12">
        <v>3.1</v>
      </c>
      <c r="I40" s="11">
        <v>17617</v>
      </c>
      <c r="J40" s="12">
        <v>3.1</v>
      </c>
      <c r="K40" s="11">
        <v>16372</v>
      </c>
      <c r="L40" s="13">
        <v>7.0999999999999994E-2</v>
      </c>
      <c r="M40" s="23">
        <f>ROUND(K40*(1-L40),0)</f>
        <v>15210</v>
      </c>
      <c r="N40" s="14">
        <v>0.64900000000000002</v>
      </c>
      <c r="O40" s="24">
        <f t="shared" ref="O40:O42" si="363">M40*N40</f>
        <v>9871.2900000000009</v>
      </c>
      <c r="P40" s="13">
        <v>0.309</v>
      </c>
      <c r="Q40" s="24">
        <f t="shared" ref="Q40:Q42" si="364">M40*P40</f>
        <v>4699.8900000000003</v>
      </c>
      <c r="R40" s="15">
        <v>4.2000000000000003E-2</v>
      </c>
      <c r="S40" s="112">
        <v>0.21759999999999999</v>
      </c>
      <c r="T40" s="24">
        <f t="shared" ref="T40:T42" si="365">M40*R40</f>
        <v>638.82000000000005</v>
      </c>
      <c r="U40" s="25">
        <v>0.24199999999999999</v>
      </c>
      <c r="V40" s="24">
        <f t="shared" ref="V40:V42" si="366">M40*U40</f>
        <v>3680.8199999999997</v>
      </c>
      <c r="W40" s="15">
        <v>0.47199999999999998</v>
      </c>
      <c r="X40" s="24">
        <f t="shared" ref="X40:X42" si="367">M40*W40</f>
        <v>7179.12</v>
      </c>
      <c r="Y40" s="15">
        <v>0.43</v>
      </c>
      <c r="Z40" s="24">
        <f t="shared" ref="Z40:Z42" si="368">Y40*M40</f>
        <v>6540.3</v>
      </c>
      <c r="AA40" s="116">
        <v>2.4599999999999999E-3</v>
      </c>
      <c r="AB40" s="18">
        <f t="shared" ref="AB40" si="369">M40*AA40</f>
        <v>37.416600000000003</v>
      </c>
      <c r="AC40" s="16">
        <v>2.4199999999999998E-3</v>
      </c>
      <c r="AD40" s="17">
        <f t="shared" ref="AD40:AD42" si="370">M40*AC40</f>
        <v>36.808199999999999</v>
      </c>
      <c r="AE40" s="26">
        <f>IF(M40&gt;0,(AG40+AP40)/M40,0)</f>
        <v>2.6366900197238659E-3</v>
      </c>
      <c r="AF40" s="16">
        <v>3.1E-4</v>
      </c>
      <c r="AG40" s="23">
        <f t="shared" ref="AG40:AG42" si="371">AF40*M40</f>
        <v>4.7150999999999996</v>
      </c>
      <c r="AH40" s="92">
        <v>0.20749999999999999</v>
      </c>
      <c r="AI40" s="29">
        <f t="shared" ref="AI40:AI42" si="372">AL40*(1-AM40)*AH40</f>
        <v>33.018022499999994</v>
      </c>
      <c r="AJ40" s="27">
        <f t="shared" ref="AJ40:AJ42" si="373">IF(AND(AH40&gt;0,AF40&gt;0,AC40&gt;0),((AC40-AF40)*AH40)/((AH40-AF40)*AC40),0)</f>
        <v>0.87320537423429367</v>
      </c>
      <c r="AK40" s="58">
        <f t="shared" si="6"/>
        <v>0.88366006896253479</v>
      </c>
      <c r="AL40" s="11">
        <v>177</v>
      </c>
      <c r="AM40" s="13">
        <v>0.10100000000000001</v>
      </c>
      <c r="AN40" s="14">
        <v>0.22239999999999999</v>
      </c>
      <c r="AO40" s="101">
        <v>0.215</v>
      </c>
      <c r="AP40" s="29">
        <f>AL40*(1-AM40)*AN40</f>
        <v>35.388955199999998</v>
      </c>
      <c r="AQ40" s="102">
        <f t="shared" ref="AQ40" si="374">AL40*(1-AM40)*AO40</f>
        <v>34.211444999999998</v>
      </c>
      <c r="AR40" s="18">
        <v>1.55</v>
      </c>
      <c r="AS40" s="18"/>
      <c r="AT40" s="79">
        <f>AT38+AL40-AS40</f>
        <v>849.91999999999916</v>
      </c>
      <c r="AU40" s="80"/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0" t="s">
        <v>53</v>
      </c>
      <c r="D41" s="33">
        <v>21600</v>
      </c>
      <c r="E41" s="33">
        <v>3</v>
      </c>
      <c r="F41" s="33">
        <v>19163</v>
      </c>
      <c r="G41" s="34">
        <v>0.4</v>
      </c>
      <c r="H41" s="34">
        <v>3.6</v>
      </c>
      <c r="I41" s="33">
        <v>18030</v>
      </c>
      <c r="J41" s="34">
        <v>1.8</v>
      </c>
      <c r="K41" s="33">
        <v>16095</v>
      </c>
      <c r="L41" s="35">
        <v>7.9000000000000001E-2</v>
      </c>
      <c r="M41" s="36">
        <f>ROUND(K41*(1-L41),0)</f>
        <v>14823</v>
      </c>
      <c r="N41" s="37">
        <v>0.72</v>
      </c>
      <c r="O41" s="24">
        <f t="shared" si="363"/>
        <v>10672.56</v>
      </c>
      <c r="P41" s="35">
        <v>0.23100000000000001</v>
      </c>
      <c r="Q41" s="24">
        <f t="shared" si="364"/>
        <v>3424.1130000000003</v>
      </c>
      <c r="R41" s="38">
        <v>4.9000000000000002E-2</v>
      </c>
      <c r="S41" s="105">
        <v>0.26490000000000002</v>
      </c>
      <c r="T41" s="24">
        <f t="shared" si="365"/>
        <v>726.327</v>
      </c>
      <c r="U41" s="27">
        <v>0.22500000000000001</v>
      </c>
      <c r="V41" s="24">
        <f t="shared" si="366"/>
        <v>3335.1750000000002</v>
      </c>
      <c r="W41" s="38">
        <v>0.49</v>
      </c>
      <c r="X41" s="24">
        <f t="shared" si="367"/>
        <v>7263.2699999999995</v>
      </c>
      <c r="Y41" s="38">
        <v>0.42</v>
      </c>
      <c r="Z41" s="24">
        <f t="shared" si="368"/>
        <v>6225.66</v>
      </c>
      <c r="AA41" s="117">
        <v>2.5500000000000002E-3</v>
      </c>
      <c r="AB41" s="18">
        <f t="shared" si="61"/>
        <v>37.798650000000002</v>
      </c>
      <c r="AC41" s="39">
        <v>2.5100000000000001E-3</v>
      </c>
      <c r="AD41" s="17">
        <f t="shared" si="370"/>
        <v>37.205730000000003</v>
      </c>
      <c r="AE41" s="26">
        <f>IF(M41&gt;0,(AG41+AP41)/M41,0)</f>
        <v>2.4944063145112328E-3</v>
      </c>
      <c r="AF41" s="39">
        <v>3.1E-4</v>
      </c>
      <c r="AG41" s="36">
        <f t="shared" si="371"/>
        <v>4.5951300000000002</v>
      </c>
      <c r="AH41" s="27">
        <v>0.20979999999999999</v>
      </c>
      <c r="AI41" s="40">
        <f t="shared" si="372"/>
        <v>29.1428984</v>
      </c>
      <c r="AJ41" s="27">
        <f t="shared" si="373"/>
        <v>0.87779104594557955</v>
      </c>
      <c r="AK41" s="28">
        <f t="shared" si="6"/>
        <v>0.87688810568553277</v>
      </c>
      <c r="AL41" s="33">
        <v>154</v>
      </c>
      <c r="AM41" s="35">
        <v>9.8000000000000004E-2</v>
      </c>
      <c r="AN41" s="37">
        <v>0.2331</v>
      </c>
      <c r="AO41" s="103">
        <v>0.2288</v>
      </c>
      <c r="AP41" s="40">
        <f>AL41*(1-AM41)*AN41</f>
        <v>32.379454800000005</v>
      </c>
      <c r="AQ41" s="104">
        <f t="shared" si="21"/>
        <v>31.782150400000003</v>
      </c>
      <c r="AR41" s="41">
        <v>1.55</v>
      </c>
      <c r="AS41" s="41"/>
      <c r="AT41" s="129">
        <f>AT40+AL41-AS41</f>
        <v>1003.9199999999992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54</v>
      </c>
      <c r="D42" s="42">
        <v>18200</v>
      </c>
      <c r="E42" s="42">
        <v>1</v>
      </c>
      <c r="F42" s="42">
        <v>17010</v>
      </c>
      <c r="G42" s="36">
        <v>0.3</v>
      </c>
      <c r="H42" s="36">
        <v>3.6</v>
      </c>
      <c r="I42" s="42">
        <v>16698</v>
      </c>
      <c r="J42" s="36">
        <v>1.8</v>
      </c>
      <c r="K42" s="42">
        <v>15904</v>
      </c>
      <c r="L42" s="38">
        <v>6.0999999999999999E-2</v>
      </c>
      <c r="M42" s="36">
        <f>ROUND(K42*(1-L42),0)</f>
        <v>14934</v>
      </c>
      <c r="N42" s="27">
        <v>0.70199999999999996</v>
      </c>
      <c r="O42" s="24">
        <f t="shared" si="363"/>
        <v>10483.668</v>
      </c>
      <c r="P42" s="38">
        <v>0.26600000000000001</v>
      </c>
      <c r="Q42" s="24">
        <f t="shared" si="364"/>
        <v>3972.4440000000004</v>
      </c>
      <c r="R42" s="38">
        <v>3.2000000000000001E-2</v>
      </c>
      <c r="S42" s="105">
        <v>0.21379999999999999</v>
      </c>
      <c r="T42" s="24">
        <f t="shared" si="365"/>
        <v>477.88800000000003</v>
      </c>
      <c r="U42" s="27">
        <v>0.20899999999999999</v>
      </c>
      <c r="V42" s="24">
        <f t="shared" si="366"/>
        <v>3121.2059999999997</v>
      </c>
      <c r="W42" s="38">
        <v>0.503</v>
      </c>
      <c r="X42" s="24">
        <f t="shared" si="367"/>
        <v>7511.8019999999997</v>
      </c>
      <c r="Y42" s="38">
        <v>0.42</v>
      </c>
      <c r="Z42" s="24">
        <f t="shared" si="368"/>
        <v>6272.28</v>
      </c>
      <c r="AA42" s="118">
        <v>2.5000000000000001E-3</v>
      </c>
      <c r="AB42" s="121">
        <f t="shared" si="61"/>
        <v>37.335000000000001</v>
      </c>
      <c r="AC42" s="45">
        <v>2.47E-3</v>
      </c>
      <c r="AD42" s="17">
        <f t="shared" si="370"/>
        <v>36.886980000000001</v>
      </c>
      <c r="AE42" s="26">
        <f>IF(M42&gt;0,(AG42+AP42)/M42,0)</f>
        <v>2.5927591000401767E-3</v>
      </c>
      <c r="AF42" s="45">
        <v>2.9E-4</v>
      </c>
      <c r="AG42" s="36">
        <f t="shared" si="371"/>
        <v>4.3308600000000004</v>
      </c>
      <c r="AH42" s="27">
        <v>0.21279999999999999</v>
      </c>
      <c r="AI42" s="40">
        <f t="shared" si="372"/>
        <v>32.582659200000002</v>
      </c>
      <c r="AJ42" s="27">
        <f t="shared" si="373"/>
        <v>0.88379551369528331</v>
      </c>
      <c r="AK42" s="28">
        <f t="shared" si="6"/>
        <v>0.8892982886412768</v>
      </c>
      <c r="AL42" s="42">
        <v>169</v>
      </c>
      <c r="AM42" s="38">
        <v>9.4E-2</v>
      </c>
      <c r="AN42" s="27">
        <v>0.22459999999999999</v>
      </c>
      <c r="AO42" s="105">
        <v>0.21590000000000001</v>
      </c>
      <c r="AP42" s="40">
        <f>AL42*(1-AM42)*AN42</f>
        <v>34.389404399999997</v>
      </c>
      <c r="AQ42" s="106">
        <f t="shared" si="21"/>
        <v>33.057312600000003</v>
      </c>
      <c r="AR42" s="17">
        <v>1.55</v>
      </c>
      <c r="AS42" s="17"/>
      <c r="AT42" s="129">
        <f>AT41+AL42-AS42</f>
        <v>1172.9199999999992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5">SUM(D40:D42)</f>
        <v>52850</v>
      </c>
      <c r="E43" s="49"/>
      <c r="F43" s="49">
        <f t="shared" ref="F43" si="376">SUM(F40:F42)</f>
        <v>54573</v>
      </c>
      <c r="G43" s="50"/>
      <c r="H43" s="50"/>
      <c r="I43" s="49">
        <f t="shared" ref="I43:K43" si="377">SUM(I40:I42)</f>
        <v>52345</v>
      </c>
      <c r="J43" s="50"/>
      <c r="K43" s="49">
        <f t="shared" si="377"/>
        <v>48371</v>
      </c>
      <c r="L43" s="20">
        <f t="shared" ref="L43" si="378">IF(K43&gt;0,(K40*L40+K41*L41+K42*L42)/K43,0)</f>
        <v>7.0374005085691832E-2</v>
      </c>
      <c r="M43" s="50">
        <f t="shared" ref="M43" si="379">M40+M41+M42</f>
        <v>44967</v>
      </c>
      <c r="N43" s="51">
        <f t="shared" ref="N43" si="380">IF(M43&gt;0,O43/M43,0)</f>
        <v>0.69000640469677754</v>
      </c>
      <c r="O43" s="52">
        <f t="shared" ref="O43" si="381">O40+O41+O42</f>
        <v>31027.517999999996</v>
      </c>
      <c r="P43" s="20">
        <f t="shared" ref="P43" si="382">IF(M43&gt;0,Q43/M43,0)</f>
        <v>0.26900720528387484</v>
      </c>
      <c r="Q43" s="52">
        <f t="shared" ref="Q43" si="383">Q40+Q41+Q42</f>
        <v>12096.447</v>
      </c>
      <c r="R43" s="20">
        <f t="shared" ref="R43" si="384">IF(M43&gt;0,T43/M43,0)</f>
        <v>4.0986390019347521E-2</v>
      </c>
      <c r="S43" s="107"/>
      <c r="T43" s="52">
        <f t="shared" ref="T43" si="385">T40+T41+T42</f>
        <v>1843.0349999999999</v>
      </c>
      <c r="U43" s="20">
        <f t="shared" ref="U43" si="386">IF(M43&gt;0,V43/M43,0)</f>
        <v>0.22543645339915935</v>
      </c>
      <c r="V43" s="52">
        <f t="shared" ref="V43" si="387">V40+V41+V42</f>
        <v>10137.200999999999</v>
      </c>
      <c r="W43" s="20">
        <f t="shared" ref="W43" si="388">IF(M43&gt;0,X43/M43,0)</f>
        <v>0.48822896790980053</v>
      </c>
      <c r="X43" s="52">
        <f t="shared" ref="X43" si="389">X40+X41+X42</f>
        <v>21954.191999999999</v>
      </c>
      <c r="Y43" s="20">
        <f t="shared" ref="Y43" si="390">IF(M43&gt;0,Z43/M43,0)</f>
        <v>0.42338248048568944</v>
      </c>
      <c r="Z43" s="52">
        <f t="shared" ref="Z43" si="391">Z40+Z41+Z42</f>
        <v>19038.239999999998</v>
      </c>
      <c r="AA43" s="119">
        <f t="shared" ref="AA43" si="392">IF(M43&gt;0,AB43/M43,0)</f>
        <v>2.502952164920942E-3</v>
      </c>
      <c r="AB43" s="54">
        <f t="shared" ref="AB43" si="393">SUM(AB40:AB42)</f>
        <v>112.55025000000001</v>
      </c>
      <c r="AC43" s="53">
        <f t="shared" ref="AC43" si="394">IF(M43&gt;0,AD43/M43,0)</f>
        <v>2.4662732670625129E-3</v>
      </c>
      <c r="AD43" s="54">
        <f t="shared" ref="AD43" si="395">SUM(AD40:AD42)</f>
        <v>110.90091000000001</v>
      </c>
      <c r="AE43" s="53">
        <f t="shared" ref="AE43" si="396">IF(M43&gt;0,(AE40*M40+AE41*M41+AE42*M42)/M43,0)</f>
        <v>2.5751974648075254E-3</v>
      </c>
      <c r="AF43" s="53">
        <f t="shared" ref="AF43" si="397">IF(K43&gt;0,(K40*AF40+K41*AF41+K42*AF42)/K43,0)</f>
        <v>3.034241591035951E-4</v>
      </c>
      <c r="AG43" s="50">
        <f t="shared" ref="AG43" si="398">SUM(AG40:AG42)</f>
        <v>13.641090000000002</v>
      </c>
      <c r="AH43" s="51">
        <f t="shared" ref="AH43" si="399">IF(K43&gt;0,(K40*AH40+K41*AH41+K42*AH42)/K43,0)</f>
        <v>0.21000790142854189</v>
      </c>
      <c r="AI43" s="56">
        <f t="shared" ref="AI43" si="400">SUM(AI40:AI42)</f>
        <v>94.743580100000003</v>
      </c>
      <c r="AJ43" s="51">
        <f t="shared" ref="AJ43" si="401">IF(AND(AD43&gt;0),((AD40*AJ40+AD41*AJ41+AD42*AJ42)/AD43),0)</f>
        <v>0.87826621211248124</v>
      </c>
      <c r="AK43" s="55">
        <f t="shared" si="6"/>
        <v>0.88335681514672482</v>
      </c>
      <c r="AL43" s="49">
        <f t="shared" ref="AL43" si="402">SUM(AL40:AL42)</f>
        <v>500</v>
      </c>
      <c r="AM43" s="20">
        <f t="shared" ref="AM43" si="403">IF(AL43&gt;0,(AM40*AL40+AM41*AL41+AM42*AL42)/AL43,0)</f>
        <v>9.7710000000000005E-2</v>
      </c>
      <c r="AN43" s="51">
        <f>IF(K43&gt;0,(AN40*K40+AN41*K41+AN42*K42)/K43,0)</f>
        <v>0.22668366790018812</v>
      </c>
      <c r="AO43" s="107">
        <f>IF(L43&gt;0,(AO40*K40+AO41*K41+AO42*K42)/K43,0)</f>
        <v>0.21988773438630585</v>
      </c>
      <c r="AP43" s="56">
        <f t="shared" ref="AP43:AQ55" si="404">SUM(AP40:AP42)</f>
        <v>102.15781440000001</v>
      </c>
      <c r="AQ43" s="108">
        <f t="shared" si="404"/>
        <v>99.050908000000007</v>
      </c>
      <c r="AR43" s="54"/>
      <c r="AS43" s="54">
        <f t="shared" ref="AS43" si="405">SUM(AS40:AS42)</f>
        <v>0</v>
      </c>
      <c r="AT43" s="83"/>
      <c r="AU43" s="84">
        <f>AT42</f>
        <v>1172.9199999999992</v>
      </c>
      <c r="AV43" s="49">
        <f t="shared" ref="AV43" si="406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6451</v>
      </c>
      <c r="E44" s="11">
        <v>0</v>
      </c>
      <c r="F44" s="11">
        <v>11098</v>
      </c>
      <c r="G44" s="12">
        <v>0.1</v>
      </c>
      <c r="H44" s="12">
        <v>3.6</v>
      </c>
      <c r="I44" s="11">
        <v>10550</v>
      </c>
      <c r="J44" s="12">
        <v>3.6</v>
      </c>
      <c r="K44" s="11">
        <v>15904</v>
      </c>
      <c r="L44" s="13">
        <v>7.5999999999999998E-2</v>
      </c>
      <c r="M44" s="23">
        <f>ROUND(K44*(1-L44),0)</f>
        <v>14695</v>
      </c>
      <c r="N44" s="14">
        <v>0.754</v>
      </c>
      <c r="O44" s="24">
        <f t="shared" ref="O44:O46" si="407">M44*N44</f>
        <v>11080.03</v>
      </c>
      <c r="P44" s="13">
        <v>0.20300000000000001</v>
      </c>
      <c r="Q44" s="24">
        <f t="shared" ref="Q44:Q46" si="408">M44*P44</f>
        <v>2983.085</v>
      </c>
      <c r="R44" s="15">
        <v>4.2999999999999997E-2</v>
      </c>
      <c r="S44" s="112">
        <v>0.22589999999999999</v>
      </c>
      <c r="T44" s="24">
        <f t="shared" ref="T44:T46" si="409">M44*R44</f>
        <v>631.88499999999999</v>
      </c>
      <c r="U44" s="25">
        <v>0.21</v>
      </c>
      <c r="V44" s="24">
        <f t="shared" ref="V44:V46" si="410">M44*U44</f>
        <v>3085.95</v>
      </c>
      <c r="W44" s="15">
        <v>0.5</v>
      </c>
      <c r="X44" s="24">
        <f t="shared" ref="X44:X46" si="411">M44*W44</f>
        <v>7347.5</v>
      </c>
      <c r="Y44" s="15">
        <v>0.39</v>
      </c>
      <c r="Z44" s="24">
        <f t="shared" ref="Z44:Z46" si="412">Y44*M44</f>
        <v>5731.05</v>
      </c>
      <c r="AA44" s="116">
        <v>2.6199999999999999E-3</v>
      </c>
      <c r="AB44" s="18">
        <f t="shared" ref="AB44" si="413">M44*AA44</f>
        <v>38.500900000000001</v>
      </c>
      <c r="AC44" s="16">
        <v>2.5699999999999998E-3</v>
      </c>
      <c r="AD44" s="17">
        <f t="shared" ref="AD44:AD46" si="414">M44*AC44</f>
        <v>37.766149999999996</v>
      </c>
      <c r="AE44" s="26">
        <f>IF(M44&gt;0,(AG44+AP44)/M44,0)</f>
        <v>2.5250113099693776E-3</v>
      </c>
      <c r="AF44" s="16">
        <v>2.9E-4</v>
      </c>
      <c r="AG44" s="23">
        <f t="shared" ref="AG44:AG46" si="415">AF44*M44</f>
        <v>4.2615499999999997</v>
      </c>
      <c r="AH44" s="92">
        <v>0.20949999999999999</v>
      </c>
      <c r="AI44" s="29">
        <f t="shared" ref="AI44:AI46" si="416">AL44*(1-AM44)*AH44</f>
        <v>30.952368</v>
      </c>
      <c r="AJ44" s="27">
        <f t="shared" ref="AJ44:AJ46" si="417">IF(AND(AH44&gt;0,AF44&gt;0,AC44&gt;0),((AC44-AF44)*AH44)/((AH44-AF44)*AC44),0)</f>
        <v>0.88838928435059683</v>
      </c>
      <c r="AK44" s="58">
        <f t="shared" si="6"/>
        <v>0.88630525296830687</v>
      </c>
      <c r="AL44" s="11">
        <v>162</v>
      </c>
      <c r="AM44" s="13">
        <v>8.7999999999999995E-2</v>
      </c>
      <c r="AN44" s="14">
        <v>0.2223</v>
      </c>
      <c r="AO44" s="101">
        <v>0.2145</v>
      </c>
      <c r="AP44" s="29">
        <f>AL44*(1-AM44)*AN44</f>
        <v>32.843491200000003</v>
      </c>
      <c r="AQ44" s="102">
        <f t="shared" ref="AQ44" si="418">AL44*(1-AM44)*AO44</f>
        <v>31.691088000000001</v>
      </c>
      <c r="AR44" s="18">
        <v>1.55</v>
      </c>
      <c r="AS44" s="18"/>
      <c r="AT44" s="79">
        <f>AT42+AL44-AS44</f>
        <v>1334.9199999999992</v>
      </c>
      <c r="AU44" s="80"/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53</v>
      </c>
      <c r="D45" s="33">
        <v>19600</v>
      </c>
      <c r="E45" s="33">
        <v>1</v>
      </c>
      <c r="F45" s="33">
        <v>17424</v>
      </c>
      <c r="G45" s="34">
        <v>0.7</v>
      </c>
      <c r="H45" s="34">
        <v>4.9000000000000004</v>
      </c>
      <c r="I45" s="33">
        <v>17021</v>
      </c>
      <c r="J45" s="34">
        <v>2.7</v>
      </c>
      <c r="K45" s="33">
        <v>15937</v>
      </c>
      <c r="L45" s="35">
        <v>7.6999999999999999E-2</v>
      </c>
      <c r="M45" s="36">
        <f>ROUND(K45*(1-L45),0)</f>
        <v>14710</v>
      </c>
      <c r="N45" s="37">
        <v>0.77800000000000002</v>
      </c>
      <c r="O45" s="24">
        <f t="shared" si="407"/>
        <v>11444.380000000001</v>
      </c>
      <c r="P45" s="35">
        <v>0.191</v>
      </c>
      <c r="Q45" s="24">
        <f t="shared" si="408"/>
        <v>2809.61</v>
      </c>
      <c r="R45" s="38">
        <v>3.1E-2</v>
      </c>
      <c r="S45" s="105">
        <v>0.23050000000000001</v>
      </c>
      <c r="T45" s="24">
        <f t="shared" si="409"/>
        <v>456.01</v>
      </c>
      <c r="U45" s="27">
        <v>0.215</v>
      </c>
      <c r="V45" s="24">
        <f t="shared" si="410"/>
        <v>3162.65</v>
      </c>
      <c r="W45" s="38">
        <v>0.49099999999999999</v>
      </c>
      <c r="X45" s="24">
        <f t="shared" si="411"/>
        <v>7222.61</v>
      </c>
      <c r="Y45" s="38">
        <v>0.4</v>
      </c>
      <c r="Z45" s="24">
        <f t="shared" si="412"/>
        <v>5884</v>
      </c>
      <c r="AA45" s="117">
        <v>2.5699999999999998E-3</v>
      </c>
      <c r="AB45" s="18">
        <f t="shared" si="61"/>
        <v>37.804699999999997</v>
      </c>
      <c r="AC45" s="39">
        <v>2.5699999999999998E-3</v>
      </c>
      <c r="AD45" s="17">
        <f t="shared" si="414"/>
        <v>37.804699999999997</v>
      </c>
      <c r="AE45" s="26">
        <f>IF(M45&gt;0,(AG45+AP45)/M45,0)</f>
        <v>2.7496770292318152E-3</v>
      </c>
      <c r="AF45" s="39">
        <v>2.7999999999999998E-4</v>
      </c>
      <c r="AG45" s="36">
        <f t="shared" si="415"/>
        <v>4.1187999999999994</v>
      </c>
      <c r="AH45" s="27">
        <v>0.20760000000000001</v>
      </c>
      <c r="AI45" s="40">
        <f t="shared" si="416"/>
        <v>33.474877200000002</v>
      </c>
      <c r="AJ45" s="27">
        <f t="shared" si="417"/>
        <v>0.89225400910339192</v>
      </c>
      <c r="AK45" s="28">
        <f t="shared" si="6"/>
        <v>0.89928748199804032</v>
      </c>
      <c r="AL45" s="33">
        <v>177</v>
      </c>
      <c r="AM45" s="35">
        <v>8.8999999999999996E-2</v>
      </c>
      <c r="AN45" s="37">
        <v>0.2253</v>
      </c>
      <c r="AO45" s="103">
        <v>0.21820000000000001</v>
      </c>
      <c r="AP45" s="40">
        <f>AL45*(1-AM45)*AN45</f>
        <v>36.328949100000003</v>
      </c>
      <c r="AQ45" s="104">
        <f t="shared" si="21"/>
        <v>35.184095400000004</v>
      </c>
      <c r="AR45" s="41">
        <v>1.6</v>
      </c>
      <c r="AS45" s="41"/>
      <c r="AT45" s="129">
        <f>AT44+AL45-AS45</f>
        <v>1511.9199999999992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54</v>
      </c>
      <c r="D46" s="42">
        <v>13400</v>
      </c>
      <c r="E46" s="42">
        <v>3</v>
      </c>
      <c r="F46" s="42">
        <v>16500</v>
      </c>
      <c r="G46" s="36">
        <v>0.4</v>
      </c>
      <c r="H46" s="36">
        <v>3.7</v>
      </c>
      <c r="I46" s="42">
        <v>15708</v>
      </c>
      <c r="J46" s="36">
        <v>2</v>
      </c>
      <c r="K46" s="42">
        <v>15922</v>
      </c>
      <c r="L46" s="38">
        <v>7.3999999999999996E-2</v>
      </c>
      <c r="M46" s="36">
        <f>ROUND(K46*(1-L46),0)</f>
        <v>14744</v>
      </c>
      <c r="N46" s="27">
        <v>0.69399999999999995</v>
      </c>
      <c r="O46" s="24">
        <f t="shared" si="407"/>
        <v>10232.335999999999</v>
      </c>
      <c r="P46" s="38">
        <v>0.26400000000000001</v>
      </c>
      <c r="Q46" s="24">
        <f t="shared" si="408"/>
        <v>3892.4160000000002</v>
      </c>
      <c r="R46" s="38">
        <v>4.2000000000000003E-2</v>
      </c>
      <c r="S46" s="105">
        <v>0.22559999999999999</v>
      </c>
      <c r="T46" s="24">
        <f t="shared" si="409"/>
        <v>619.24800000000005</v>
      </c>
      <c r="U46" s="27">
        <v>0.223</v>
      </c>
      <c r="V46" s="24">
        <f t="shared" si="410"/>
        <v>3287.9120000000003</v>
      </c>
      <c r="W46" s="38">
        <v>0.48799999999999999</v>
      </c>
      <c r="X46" s="24">
        <f t="shared" si="411"/>
        <v>7195.0720000000001</v>
      </c>
      <c r="Y46" s="38">
        <v>0.4</v>
      </c>
      <c r="Z46" s="24">
        <f t="shared" si="412"/>
        <v>5897.6</v>
      </c>
      <c r="AA46" s="118">
        <v>2.5600000000000002E-3</v>
      </c>
      <c r="AB46" s="121">
        <f t="shared" si="61"/>
        <v>37.744640000000004</v>
      </c>
      <c r="AC46" s="45">
        <v>2.5500000000000002E-3</v>
      </c>
      <c r="AD46" s="17">
        <f t="shared" si="414"/>
        <v>37.597200000000001</v>
      </c>
      <c r="AE46" s="26">
        <f>IF(M46&gt;0,(AG46+AP46)/M46,0)</f>
        <v>2.7323788659793821E-3</v>
      </c>
      <c r="AF46" s="45">
        <v>2.5999999999999998E-4</v>
      </c>
      <c r="AG46" s="36">
        <f t="shared" si="415"/>
        <v>3.8334399999999995</v>
      </c>
      <c r="AH46" s="27">
        <v>0.2069</v>
      </c>
      <c r="AI46" s="40">
        <f t="shared" si="416"/>
        <v>33.927462000000006</v>
      </c>
      <c r="AJ46" s="27">
        <f t="shared" si="417"/>
        <v>0.89916915275595344</v>
      </c>
      <c r="AK46" s="28">
        <f t="shared" si="6"/>
        <v>0.90590435829339955</v>
      </c>
      <c r="AL46" s="42">
        <v>180</v>
      </c>
      <c r="AM46" s="38">
        <v>8.8999999999999996E-2</v>
      </c>
      <c r="AN46" s="27">
        <v>0.2223</v>
      </c>
      <c r="AO46" s="105">
        <v>0.215</v>
      </c>
      <c r="AP46" s="40">
        <f>AL46*(1-AM46)*AN46</f>
        <v>36.452754000000006</v>
      </c>
      <c r="AQ46" s="106">
        <f t="shared" si="21"/>
        <v>35.255700000000004</v>
      </c>
      <c r="AR46" s="17">
        <v>1.58</v>
      </c>
      <c r="AS46" s="17"/>
      <c r="AT46" s="129">
        <f>AT45+AL46-AS46</f>
        <v>1691.9199999999992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9">SUM(D44:D46)</f>
        <v>39451</v>
      </c>
      <c r="E47" s="49"/>
      <c r="F47" s="49">
        <f t="shared" ref="F47" si="420">SUM(F44:F46)</f>
        <v>45022</v>
      </c>
      <c r="G47" s="50"/>
      <c r="H47" s="50"/>
      <c r="I47" s="49">
        <f t="shared" ref="I47:K47" si="421">SUM(I44:I46)</f>
        <v>43279</v>
      </c>
      <c r="J47" s="50"/>
      <c r="K47" s="49">
        <f t="shared" si="421"/>
        <v>47763</v>
      </c>
      <c r="L47" s="20">
        <f t="shared" ref="L47" si="422">IF(K47&gt;0,(K44*L44+K45*L45+K46*L46)/K47,0)</f>
        <v>7.5666959780583298E-2</v>
      </c>
      <c r="M47" s="50">
        <f t="shared" ref="M47" si="423">M44+M45+M46</f>
        <v>44149</v>
      </c>
      <c r="N47" s="51">
        <f t="shared" ref="N47" si="424">IF(M47&gt;0,O47/M47,0)</f>
        <v>0.74195895716777283</v>
      </c>
      <c r="O47" s="52">
        <f t="shared" ref="O47" si="425">O44+O45+O46</f>
        <v>32756.746000000003</v>
      </c>
      <c r="P47" s="20">
        <f t="shared" ref="P47" si="426">IF(M47&gt;0,Q47/M47,0)</f>
        <v>0.21937328138802692</v>
      </c>
      <c r="Q47" s="52">
        <f t="shared" ref="Q47" si="427">Q44+Q45+Q46</f>
        <v>9685.1110000000008</v>
      </c>
      <c r="R47" s="20">
        <f t="shared" ref="R47" si="428">IF(M47&gt;0,T47/M47,0)</f>
        <v>3.8667761444200324E-2</v>
      </c>
      <c r="S47" s="107"/>
      <c r="T47" s="52">
        <f t="shared" ref="T47" si="429">T44+T45+T46</f>
        <v>1707.143</v>
      </c>
      <c r="U47" s="20">
        <f t="shared" ref="U47" si="430">IF(M47&gt;0,V47/M47,0)</f>
        <v>0.21600742938684908</v>
      </c>
      <c r="V47" s="52">
        <f t="shared" ref="V47" si="431">V44+V45+V46</f>
        <v>9536.5120000000006</v>
      </c>
      <c r="W47" s="20">
        <f t="shared" ref="W47" si="432">IF(M47&gt;0,X47/M47,0)</f>
        <v>0.49299377109334303</v>
      </c>
      <c r="X47" s="52">
        <f t="shared" ref="X47" si="433">X44+X45+X46</f>
        <v>21765.182000000001</v>
      </c>
      <c r="Y47" s="20">
        <f t="shared" ref="Y47" si="434">IF(M47&gt;0,Z47/M47,0)</f>
        <v>0.39667149878819458</v>
      </c>
      <c r="Z47" s="52">
        <f t="shared" ref="Z47" si="435">Z44+Z45+Z46</f>
        <v>17512.650000000001</v>
      </c>
      <c r="AA47" s="119">
        <f t="shared" ref="AA47" si="436">IF(M47&gt;0,AB47/M47,0)</f>
        <v>2.5833029060680877E-3</v>
      </c>
      <c r="AB47" s="54">
        <f t="shared" ref="AB47" si="437">SUM(AB44:AB46)</f>
        <v>114.05024</v>
      </c>
      <c r="AC47" s="53">
        <f t="shared" ref="AC47" si="438">IF(M47&gt;0,AD47/M47,0)</f>
        <v>2.5633208000181203E-3</v>
      </c>
      <c r="AD47" s="54">
        <f t="shared" ref="AD47" si="439">SUM(AD44:AD46)</f>
        <v>113.16804999999999</v>
      </c>
      <c r="AE47" s="53">
        <f t="shared" ref="AE47" si="440">IF(M47&gt;0,(AE44*M44+AE45*M45+AE46*M46)/M47,0)</f>
        <v>2.6691201227660877E-3</v>
      </c>
      <c r="AF47" s="53">
        <f t="shared" ref="AF47" si="441">IF(K47&gt;0,(K44*AF44+K45*AF45+K46*AF46)/K47,0)</f>
        <v>2.7666268869208383E-4</v>
      </c>
      <c r="AG47" s="50">
        <f t="shared" ref="AG47" si="442">SUM(AG44:AG46)</f>
        <v>12.213789999999999</v>
      </c>
      <c r="AH47" s="51">
        <f t="shared" ref="AH47" si="443">IF(K47&gt;0,(K44*AH44+K45*AH45+K46*AH46)/K47,0)</f>
        <v>0.2079993090886251</v>
      </c>
      <c r="AI47" s="56">
        <f t="shared" ref="AI47" si="444">SUM(AI44:AI46)</f>
        <v>98.354707200000007</v>
      </c>
      <c r="AJ47" s="51">
        <f t="shared" ref="AJ47" si="445">IF(AND(AD47&gt;0),((AD44*AJ44+AD45*AJ45+AD46*AJ46)/AD47),0)</f>
        <v>0.89326166333275547</v>
      </c>
      <c r="AK47" s="55">
        <f t="shared" si="6"/>
        <v>0.89745877966748699</v>
      </c>
      <c r="AL47" s="49">
        <f t="shared" ref="AL47" si="446">SUM(AL44:AL46)</f>
        <v>519</v>
      </c>
      <c r="AM47" s="20">
        <f t="shared" ref="AM47" si="447">IF(AL47&gt;0,(AM44*AL44+AM45*AL45+AM46*AL46)/AL47,0)</f>
        <v>8.8687861271676299E-2</v>
      </c>
      <c r="AN47" s="51">
        <f>IF(K47&gt;0,(AN44*K44+AN45*K45+AN46*K46)/K47,0)</f>
        <v>0.22330100496199989</v>
      </c>
      <c r="AO47" s="107">
        <f>IF(L47&gt;0,(AO44*K44+AO45*K45+AO46*K46)/K47,0)</f>
        <v>0.21590124992148732</v>
      </c>
      <c r="AP47" s="56">
        <f t="shared" ref="AP47" si="448">SUM(AP44:AP46)</f>
        <v>105.6251943</v>
      </c>
      <c r="AQ47" s="108">
        <f t="shared" si="404"/>
        <v>102.1308834</v>
      </c>
      <c r="AR47" s="54"/>
      <c r="AS47" s="54">
        <f t="shared" ref="AS47" si="449">SUM(AS44:AS46)</f>
        <v>0</v>
      </c>
      <c r="AT47" s="83"/>
      <c r="AU47" s="84">
        <f>AT46</f>
        <v>1691.9199999999992</v>
      </c>
      <c r="AV47" s="49">
        <f t="shared" ref="AV47" si="450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12966</v>
      </c>
      <c r="E48" s="11">
        <v>0</v>
      </c>
      <c r="F48" s="11">
        <v>16797</v>
      </c>
      <c r="G48" s="12">
        <v>0.1</v>
      </c>
      <c r="H48" s="12">
        <v>4.2</v>
      </c>
      <c r="I48" s="11">
        <v>15848</v>
      </c>
      <c r="J48" s="12">
        <v>1.6</v>
      </c>
      <c r="K48" s="11">
        <v>15942</v>
      </c>
      <c r="L48" s="13">
        <v>6.7000000000000004E-2</v>
      </c>
      <c r="M48" s="23">
        <f>ROUND(K48*(1-L48),0)</f>
        <v>14874</v>
      </c>
      <c r="N48" s="14">
        <v>0.70399999999999996</v>
      </c>
      <c r="O48" s="24">
        <f t="shared" ref="O48:O50" si="451">M48*N48</f>
        <v>10471.296</v>
      </c>
      <c r="P48" s="13">
        <v>0.25700000000000001</v>
      </c>
      <c r="Q48" s="24">
        <f t="shared" ref="Q48:Q50" si="452">M48*P48</f>
        <v>3822.6179999999999</v>
      </c>
      <c r="R48" s="15">
        <v>3.9E-2</v>
      </c>
      <c r="S48" s="112">
        <v>0.23139999999999999</v>
      </c>
      <c r="T48" s="24">
        <f t="shared" ref="T48:T50" si="453">M48*R48</f>
        <v>580.08600000000001</v>
      </c>
      <c r="U48" s="25">
        <v>0.224</v>
      </c>
      <c r="V48" s="24">
        <f t="shared" ref="V48:V50" si="454">M48*U48</f>
        <v>3331.7760000000003</v>
      </c>
      <c r="W48" s="15">
        <v>0.48799999999999999</v>
      </c>
      <c r="X48" s="24">
        <f t="shared" ref="X48:X50" si="455">M48*W48</f>
        <v>7258.5119999999997</v>
      </c>
      <c r="Y48" s="15">
        <v>0.41</v>
      </c>
      <c r="Z48" s="24">
        <f t="shared" ref="Z48:Z50" si="456">Y48*M48</f>
        <v>6098.3399999999992</v>
      </c>
      <c r="AA48" s="116">
        <v>2.49E-3</v>
      </c>
      <c r="AB48" s="18">
        <f t="shared" ref="AB48" si="457">M48*AA48</f>
        <v>37.036259999999999</v>
      </c>
      <c r="AC48" s="16">
        <v>2.5100000000000001E-3</v>
      </c>
      <c r="AD48" s="17">
        <f t="shared" ref="AD48:AD50" si="458">M48*AC48</f>
        <v>37.333739999999999</v>
      </c>
      <c r="AE48" s="26">
        <f>IF(M48&gt;0,(AG48+AP48)/M48,0)</f>
        <v>2.6117690735511633E-3</v>
      </c>
      <c r="AF48" s="16">
        <v>2.5000000000000001E-4</v>
      </c>
      <c r="AG48" s="23">
        <f t="shared" ref="AG48:AG50" si="459">AF48*M48</f>
        <v>3.7185000000000001</v>
      </c>
      <c r="AH48" s="92">
        <v>0.2094</v>
      </c>
      <c r="AI48" s="29">
        <f t="shared" ref="AI48:AI50" si="460">AL48*(1-AM48)*AH48</f>
        <v>32.8833384</v>
      </c>
      <c r="AJ48" s="27">
        <f t="shared" ref="AJ48:AJ50" si="461">IF(AND(AH48&gt;0,AF48&gt;0,AC48&gt;0),((AC48-AF48)*AH48)/((AH48-AF48)*AC48),0)</f>
        <v>0.90147466552627642</v>
      </c>
      <c r="AK48" s="58">
        <f t="shared" si="6"/>
        <v>0.90529116394421905</v>
      </c>
      <c r="AL48" s="11">
        <v>172</v>
      </c>
      <c r="AM48" s="13">
        <v>8.6999999999999994E-2</v>
      </c>
      <c r="AN48" s="14">
        <v>0.22370000000000001</v>
      </c>
      <c r="AO48" s="101">
        <v>0.2122</v>
      </c>
      <c r="AP48" s="29">
        <f>AL48*(1-AM48)*AN48</f>
        <v>35.128953200000005</v>
      </c>
      <c r="AQ48" s="102">
        <f t="shared" ref="AQ48" si="462">AL48*(1-AM48)*AO48</f>
        <v>33.323039200000004</v>
      </c>
      <c r="AR48" s="18">
        <v>1.58</v>
      </c>
      <c r="AS48" s="18"/>
      <c r="AT48" s="79">
        <f>AT46+AL48-AS48</f>
        <v>1863.9199999999992</v>
      </c>
      <c r="AU48" s="80"/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43" t="s">
        <v>57</v>
      </c>
      <c r="D49" s="33">
        <v>13100</v>
      </c>
      <c r="E49" s="33">
        <v>0</v>
      </c>
      <c r="F49" s="33">
        <v>10141</v>
      </c>
      <c r="G49" s="34">
        <v>0.5</v>
      </c>
      <c r="H49" s="34">
        <v>3.3</v>
      </c>
      <c r="I49" s="33">
        <v>10307</v>
      </c>
      <c r="J49" s="34">
        <v>3.4</v>
      </c>
      <c r="K49" s="33">
        <v>15699</v>
      </c>
      <c r="L49" s="35">
        <v>7.5999999999999998E-2</v>
      </c>
      <c r="M49" s="36">
        <f>ROUND(K49*(1-L49),0)</f>
        <v>14506</v>
      </c>
      <c r="N49" s="37">
        <v>0.63600000000000001</v>
      </c>
      <c r="O49" s="24">
        <f t="shared" si="451"/>
        <v>9225.8160000000007</v>
      </c>
      <c r="P49" s="35">
        <v>0.32</v>
      </c>
      <c r="Q49" s="24">
        <f t="shared" si="452"/>
        <v>4641.92</v>
      </c>
      <c r="R49" s="38">
        <v>4.3999999999999997E-2</v>
      </c>
      <c r="S49" s="105">
        <v>0.23200000000000001</v>
      </c>
      <c r="T49" s="24">
        <f t="shared" si="453"/>
        <v>638.26400000000001</v>
      </c>
      <c r="U49" s="27">
        <v>0.215</v>
      </c>
      <c r="V49" s="24">
        <f t="shared" si="454"/>
        <v>3118.79</v>
      </c>
      <c r="W49" s="38">
        <v>0.49399999999999999</v>
      </c>
      <c r="X49" s="24">
        <f t="shared" si="455"/>
        <v>7165.9639999999999</v>
      </c>
      <c r="Y49" s="38">
        <v>0.4</v>
      </c>
      <c r="Z49" s="24">
        <f t="shared" si="456"/>
        <v>5802.4000000000005</v>
      </c>
      <c r="AA49" s="117">
        <v>2.2399999999999998E-3</v>
      </c>
      <c r="AB49" s="18">
        <f t="shared" si="61"/>
        <v>32.49344</v>
      </c>
      <c r="AC49" s="39">
        <v>2.2399999999999998E-3</v>
      </c>
      <c r="AD49" s="17">
        <f t="shared" si="458"/>
        <v>32.49344</v>
      </c>
      <c r="AE49" s="26">
        <f>IF(M49&gt;0,(AG49+AP49)/M49,0)</f>
        <v>2.5174591203639871E-3</v>
      </c>
      <c r="AF49" s="39">
        <v>2.4000000000000001E-4</v>
      </c>
      <c r="AG49" s="36">
        <f t="shared" si="459"/>
        <v>3.4814400000000001</v>
      </c>
      <c r="AH49" s="27">
        <v>0.21010000000000001</v>
      </c>
      <c r="AI49" s="40">
        <f t="shared" si="460"/>
        <v>30.972942000000003</v>
      </c>
      <c r="AJ49" s="27">
        <f t="shared" si="461"/>
        <v>0.89387823174633407</v>
      </c>
      <c r="AK49" s="28">
        <f t="shared" si="6"/>
        <v>0.90563567159103342</v>
      </c>
      <c r="AL49" s="33">
        <v>162</v>
      </c>
      <c r="AM49" s="35">
        <v>0.09</v>
      </c>
      <c r="AN49" s="37">
        <v>0.22409999999999999</v>
      </c>
      <c r="AO49" s="103">
        <v>0.214</v>
      </c>
      <c r="AP49" s="40">
        <f>AL49*(1-AM49)*AN49</f>
        <v>33.036822000000001</v>
      </c>
      <c r="AQ49" s="104">
        <f t="shared" si="21"/>
        <v>31.547880000000003</v>
      </c>
      <c r="AR49" s="41">
        <v>1.5</v>
      </c>
      <c r="AS49" s="41"/>
      <c r="AT49" s="129">
        <f>AT48+AL49-AS49</f>
        <v>2025.9199999999992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0" t="s">
        <v>54</v>
      </c>
      <c r="D50" s="42">
        <v>14700</v>
      </c>
      <c r="E50" s="42">
        <v>1</v>
      </c>
      <c r="F50" s="42">
        <v>15999</v>
      </c>
      <c r="G50" s="36">
        <v>0.3</v>
      </c>
      <c r="H50" s="36">
        <v>3.7</v>
      </c>
      <c r="I50" s="42">
        <v>14673</v>
      </c>
      <c r="J50" s="36">
        <v>3.5</v>
      </c>
      <c r="K50" s="42">
        <v>15827</v>
      </c>
      <c r="L50" s="38">
        <v>6.9000000000000006E-2</v>
      </c>
      <c r="M50" s="36">
        <f>ROUND(K50*(1-L50),0)</f>
        <v>14735</v>
      </c>
      <c r="N50" s="27">
        <v>0.69699999999999995</v>
      </c>
      <c r="O50" s="24">
        <f t="shared" si="451"/>
        <v>10270.295</v>
      </c>
      <c r="P50" s="38">
        <v>0.22500000000000001</v>
      </c>
      <c r="Q50" s="24">
        <f t="shared" si="452"/>
        <v>3315.375</v>
      </c>
      <c r="R50" s="38">
        <v>7.8E-2</v>
      </c>
      <c r="S50" s="105">
        <v>0.22570000000000001</v>
      </c>
      <c r="T50" s="24">
        <f t="shared" si="453"/>
        <v>1149.33</v>
      </c>
      <c r="U50" s="27">
        <v>0.20399999999999999</v>
      </c>
      <c r="V50" s="24">
        <f t="shared" si="454"/>
        <v>3005.9399999999996</v>
      </c>
      <c r="W50" s="38">
        <v>0.505</v>
      </c>
      <c r="X50" s="24">
        <f t="shared" si="455"/>
        <v>7441.1750000000002</v>
      </c>
      <c r="Y50" s="38">
        <v>0.4</v>
      </c>
      <c r="Z50" s="24">
        <f t="shared" si="456"/>
        <v>5894</v>
      </c>
      <c r="AA50" s="118">
        <v>2.2000000000000001E-3</v>
      </c>
      <c r="AB50" s="121">
        <f t="shared" si="61"/>
        <v>32.417000000000002</v>
      </c>
      <c r="AC50" s="45">
        <v>2.2599999999999999E-3</v>
      </c>
      <c r="AD50" s="17">
        <f t="shared" si="458"/>
        <v>33.301099999999998</v>
      </c>
      <c r="AE50" s="26">
        <f>IF(M50&gt;0,(AG50+AP50)/M50,0)</f>
        <v>2.441309263657957E-3</v>
      </c>
      <c r="AF50" s="45">
        <v>2.3000000000000001E-4</v>
      </c>
      <c r="AG50" s="36">
        <f t="shared" si="459"/>
        <v>3.3890500000000001</v>
      </c>
      <c r="AH50" s="27">
        <v>0.2079</v>
      </c>
      <c r="AI50" s="40">
        <f t="shared" si="460"/>
        <v>31.405374000000002</v>
      </c>
      <c r="AJ50" s="27">
        <f t="shared" si="461"/>
        <v>0.89922490199947069</v>
      </c>
      <c r="AK50" s="28">
        <f t="shared" si="6"/>
        <v>0.90675512654745893</v>
      </c>
      <c r="AL50" s="42">
        <v>166</v>
      </c>
      <c r="AM50" s="38">
        <v>0.09</v>
      </c>
      <c r="AN50" s="27">
        <v>0.2157</v>
      </c>
      <c r="AO50" s="105">
        <v>0.20300000000000001</v>
      </c>
      <c r="AP50" s="40">
        <f>AL50*(1-AM50)*AN50</f>
        <v>32.583641999999998</v>
      </c>
      <c r="AQ50" s="106">
        <f t="shared" si="21"/>
        <v>30.665180000000003</v>
      </c>
      <c r="AR50" s="17">
        <v>1.55</v>
      </c>
      <c r="AS50" s="17"/>
      <c r="AT50" s="129">
        <f>AT49+AL50-AS50</f>
        <v>2191.9199999999992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3">SUM(D48:D50)</f>
        <v>40766</v>
      </c>
      <c r="E51" s="49"/>
      <c r="F51" s="49">
        <f t="shared" ref="F51" si="464">SUM(F48:F50)</f>
        <v>42937</v>
      </c>
      <c r="G51" s="50"/>
      <c r="H51" s="50"/>
      <c r="I51" s="49">
        <f t="shared" ref="I51:K51" si="465">SUM(I48:I50)</f>
        <v>40828</v>
      </c>
      <c r="J51" s="50"/>
      <c r="K51" s="49">
        <f t="shared" si="465"/>
        <v>47468</v>
      </c>
      <c r="L51" s="20">
        <f t="shared" ref="L51" si="466">IF(K51&gt;0,(K48*L48+K49*L49+K50*L50)/K51,0)</f>
        <v>7.0643401870733979E-2</v>
      </c>
      <c r="M51" s="50">
        <f t="shared" ref="M51" si="467">M48+M49+M50</f>
        <v>44115</v>
      </c>
      <c r="N51" s="51">
        <f t="shared" ref="N51" si="468">IF(M51&gt;0,O51/M51,0)</f>
        <v>0.6793019834523405</v>
      </c>
      <c r="O51" s="52">
        <f t="shared" ref="O51" si="469">O48+O49+O50</f>
        <v>29967.406999999999</v>
      </c>
      <c r="P51" s="20">
        <f t="shared" ref="P51" si="470">IF(M51&gt;0,Q51/M51,0)</f>
        <v>0.2670273829763119</v>
      </c>
      <c r="Q51" s="52">
        <f t="shared" ref="Q51" si="471">Q48+Q49+Q50</f>
        <v>11779.913</v>
      </c>
      <c r="R51" s="20">
        <f t="shared" ref="R51" si="472">IF(M51&gt;0,T51/M51,0)</f>
        <v>5.367063357134761E-2</v>
      </c>
      <c r="S51" s="107"/>
      <c r="T51" s="52">
        <f t="shared" ref="T51" si="473">T48+T49+T50</f>
        <v>2367.6799999999998</v>
      </c>
      <c r="U51" s="20">
        <f t="shared" ref="U51" si="474">IF(M51&gt;0,V51/M51,0)</f>
        <v>0.21436033095319054</v>
      </c>
      <c r="V51" s="52">
        <f t="shared" ref="V51" si="475">V48+V49+V50</f>
        <v>9456.5060000000012</v>
      </c>
      <c r="W51" s="20">
        <f t="shared" ref="W51" si="476">IF(M51&gt;0,X51/M51,0)</f>
        <v>0.4956511617363708</v>
      </c>
      <c r="X51" s="52">
        <f t="shared" ref="X51" si="477">X48+X49+X50</f>
        <v>21865.650999999998</v>
      </c>
      <c r="Y51" s="20">
        <f t="shared" ref="Y51" si="478">IF(M51&gt;0,Z51/M51,0)</f>
        <v>0.40337164229853789</v>
      </c>
      <c r="Z51" s="52">
        <f t="shared" ref="Z51" si="479">Z48+Z49+Z50</f>
        <v>17794.739999999998</v>
      </c>
      <c r="AA51" s="119">
        <f t="shared" ref="AA51" si="480">IF(M51&gt;0,AB51/M51,0)</f>
        <v>2.3109305224980163E-3</v>
      </c>
      <c r="AB51" s="54">
        <f t="shared" ref="AB51" si="481">SUM(AB48:AB50)</f>
        <v>101.94669999999999</v>
      </c>
      <c r="AC51" s="53">
        <f t="shared" ref="AC51" si="482">IF(M51&gt;0,AD51/M51,0)</f>
        <v>2.3377146095432391E-3</v>
      </c>
      <c r="AD51" s="54">
        <f t="shared" ref="AD51" si="483">SUM(AD48:AD50)</f>
        <v>103.12827999999999</v>
      </c>
      <c r="AE51" s="53">
        <f t="shared" ref="AE51" si="484">IF(M51&gt;0,(AE48*M48+AE49*M49+AE50*M50)/M51,0)</f>
        <v>2.5238219925195512E-3</v>
      </c>
      <c r="AF51" s="53">
        <f t="shared" ref="AF51" si="485">IF(K51&gt;0,(K48*AF48+K49*AF49+K50*AF50)/K51,0)</f>
        <v>2.4002422684756049E-4</v>
      </c>
      <c r="AG51" s="50">
        <f t="shared" ref="AG51" si="486">SUM(AG48:AG50)</f>
        <v>10.588989999999999</v>
      </c>
      <c r="AH51" s="51">
        <f t="shared" ref="AH51" si="487">IF(K51&gt;0,(K48*AH48+K49*AH49+K50*AH50)/K51,0)</f>
        <v>0.20913137271424961</v>
      </c>
      <c r="AI51" s="56">
        <f t="shared" ref="AI51" si="488">SUM(AI48:AI50)</f>
        <v>95.261654399999998</v>
      </c>
      <c r="AJ51" s="51">
        <f t="shared" ref="AJ51" si="489">IF(AND(AD51&gt;0),((AD48*AJ48+AD49*AJ49+AD50*AJ50)/AD51),0)</f>
        <v>0.89835472727631205</v>
      </c>
      <c r="AK51" s="55">
        <f t="shared" si="6"/>
        <v>0.90587965739447929</v>
      </c>
      <c r="AL51" s="49">
        <f t="shared" ref="AL51" si="490">SUM(AL48:AL50)</f>
        <v>500</v>
      </c>
      <c r="AM51" s="20">
        <f t="shared" ref="AM51" si="491">IF(AL51&gt;0,(AM48*AL48+AM49*AL49+AM50*AL50)/AL51,0)</f>
        <v>8.8967999999999992E-2</v>
      </c>
      <c r="AN51" s="51">
        <f>IF(K51&gt;0,(AN48*K48+AN49*K49+AN50*K50)/K51,0)</f>
        <v>0.22116489424454372</v>
      </c>
      <c r="AO51" s="107">
        <f>IF(L51&gt;0,(AO48*K48+AO49*K49+AO50*K50)/K51,0)</f>
        <v>0.20972780399426985</v>
      </c>
      <c r="AP51" s="56">
        <f t="shared" ref="AP51" si="492">SUM(AP48:AP50)</f>
        <v>100.74941720000001</v>
      </c>
      <c r="AQ51" s="108">
        <f t="shared" si="404"/>
        <v>95.53609920000001</v>
      </c>
      <c r="AR51" s="54"/>
      <c r="AS51" s="54">
        <f t="shared" ref="AS51" si="493">SUM(AS48:AS50)</f>
        <v>0</v>
      </c>
      <c r="AT51" s="83"/>
      <c r="AU51" s="84">
        <f>AT50</f>
        <v>2191.9199999999992</v>
      </c>
      <c r="AV51" s="49">
        <f t="shared" ref="AV51" si="49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55</v>
      </c>
      <c r="D52" s="11">
        <v>13000</v>
      </c>
      <c r="E52" s="11">
        <v>0</v>
      </c>
      <c r="F52" s="11">
        <v>15736</v>
      </c>
      <c r="G52" s="12">
        <v>0.6</v>
      </c>
      <c r="H52" s="12">
        <v>3.7</v>
      </c>
      <c r="I52" s="11">
        <v>15215</v>
      </c>
      <c r="J52" s="12">
        <v>3.2</v>
      </c>
      <c r="K52" s="11">
        <v>16089</v>
      </c>
      <c r="L52" s="13">
        <v>7.3999999999999996E-2</v>
      </c>
      <c r="M52" s="23">
        <f>ROUND(K52*(1-L52),0)</f>
        <v>14898</v>
      </c>
      <c r="N52" s="14">
        <v>0.51700000000000002</v>
      </c>
      <c r="O52" s="24">
        <f t="shared" ref="O52:O54" si="495">M52*N52</f>
        <v>7702.2660000000005</v>
      </c>
      <c r="P52" s="13">
        <v>0.44900000000000001</v>
      </c>
      <c r="Q52" s="24">
        <f t="shared" ref="Q52:Q54" si="496">M52*P52</f>
        <v>6689.2020000000002</v>
      </c>
      <c r="R52" s="15">
        <v>3.4000000000000002E-2</v>
      </c>
      <c r="S52" s="112">
        <v>0.2167</v>
      </c>
      <c r="T52" s="24">
        <f t="shared" ref="T52:T54" si="497">M52*R52</f>
        <v>506.53200000000004</v>
      </c>
      <c r="U52" s="25">
        <v>0.22</v>
      </c>
      <c r="V52" s="24">
        <f t="shared" ref="V52:V54" si="498">M52*U52</f>
        <v>3277.56</v>
      </c>
      <c r="W52" s="15">
        <v>0.50800000000000001</v>
      </c>
      <c r="X52" s="24">
        <f t="shared" ref="X52:X54" si="499">M52*W52</f>
        <v>7568.1840000000002</v>
      </c>
      <c r="Y52" s="15">
        <v>0.39</v>
      </c>
      <c r="Z52" s="24">
        <f t="shared" ref="Z52:Z54" si="500">Y52*M52</f>
        <v>5810.22</v>
      </c>
      <c r="AA52" s="116">
        <v>2.2399999999999998E-3</v>
      </c>
      <c r="AB52" s="18">
        <f t="shared" ref="AB52" si="501">M52*AA52</f>
        <v>33.371519999999997</v>
      </c>
      <c r="AC52" s="16">
        <v>2.2100000000000002E-3</v>
      </c>
      <c r="AD52" s="17">
        <f t="shared" ref="AD52:AD54" si="502">M52*AC52</f>
        <v>32.924579999999999</v>
      </c>
      <c r="AE52" s="26">
        <f>IF(M52&gt;0,(AG52+AP52)/M52,0)</f>
        <v>2.4604307289569066E-3</v>
      </c>
      <c r="AF52" s="16">
        <v>2.5000000000000001E-4</v>
      </c>
      <c r="AG52" s="23">
        <f t="shared" ref="AG52:AG54" si="503">AF52*M52</f>
        <v>3.7244999999999999</v>
      </c>
      <c r="AH52" s="92">
        <v>0.21</v>
      </c>
      <c r="AI52" s="29">
        <f t="shared" ref="AI52:AI54" si="504">AL52*(1-AM52)*AH52</f>
        <v>31.635450000000002</v>
      </c>
      <c r="AJ52" s="27">
        <f t="shared" ref="AJ52:AJ54" si="505">IF(AND(AH52&gt;0,AF52&gt;0,AC52&gt;0),((AC52-AF52)*AH52)/((AH52-AF52)*AC52),0)</f>
        <v>0.88793489340358855</v>
      </c>
      <c r="AK52" s="58">
        <f t="shared" si="6"/>
        <v>0.89942038898768917</v>
      </c>
      <c r="AL52" s="11">
        <v>165</v>
      </c>
      <c r="AM52" s="13">
        <v>8.6999999999999994E-2</v>
      </c>
      <c r="AN52" s="14">
        <v>0.21859999999999999</v>
      </c>
      <c r="AO52" s="101">
        <v>0.20580000000000001</v>
      </c>
      <c r="AP52" s="29">
        <f>AL52*(1-AM52)*AN52</f>
        <v>32.930996999999998</v>
      </c>
      <c r="AQ52" s="102">
        <f t="shared" ref="AQ52" si="506">AL52*(1-AM52)*AO52</f>
        <v>31.002741000000004</v>
      </c>
      <c r="AR52" s="18">
        <v>1.56</v>
      </c>
      <c r="AS52" s="18"/>
      <c r="AT52" s="79">
        <f>AT50+AL52-AS52</f>
        <v>2356.9199999999992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43" t="s">
        <v>57</v>
      </c>
      <c r="D53" s="33">
        <v>19800</v>
      </c>
      <c r="E53" s="33">
        <v>1</v>
      </c>
      <c r="F53" s="33">
        <v>14907</v>
      </c>
      <c r="G53" s="34">
        <v>0.7</v>
      </c>
      <c r="H53" s="34">
        <v>4.4000000000000004</v>
      </c>
      <c r="I53" s="33">
        <v>14854</v>
      </c>
      <c r="J53" s="34">
        <v>3</v>
      </c>
      <c r="K53" s="33">
        <v>16490</v>
      </c>
      <c r="L53" s="35">
        <v>6.6000000000000003E-2</v>
      </c>
      <c r="M53" s="36">
        <f>ROUND(K53*(1-L53),0)</f>
        <v>15402</v>
      </c>
      <c r="N53" s="37">
        <v>0.59499999999999997</v>
      </c>
      <c r="O53" s="24">
        <f t="shared" si="495"/>
        <v>9164.1899999999987</v>
      </c>
      <c r="P53" s="35">
        <v>0.372</v>
      </c>
      <c r="Q53" s="24">
        <f t="shared" si="496"/>
        <v>5729.5439999999999</v>
      </c>
      <c r="R53" s="38">
        <v>3.3000000000000002E-2</v>
      </c>
      <c r="S53" s="105">
        <v>0.247</v>
      </c>
      <c r="T53" s="24">
        <f t="shared" si="497"/>
        <v>508.26600000000002</v>
      </c>
      <c r="U53" s="27">
        <v>0.23</v>
      </c>
      <c r="V53" s="24">
        <f t="shared" si="498"/>
        <v>3542.46</v>
      </c>
      <c r="W53" s="38">
        <v>0.49</v>
      </c>
      <c r="X53" s="24">
        <f t="shared" si="499"/>
        <v>7546.98</v>
      </c>
      <c r="Y53" s="38">
        <v>0.42</v>
      </c>
      <c r="Z53" s="24">
        <f t="shared" si="500"/>
        <v>6468.84</v>
      </c>
      <c r="AA53" s="117">
        <v>2.1900000000000001E-3</v>
      </c>
      <c r="AB53" s="18">
        <f t="shared" si="61"/>
        <v>33.730380000000004</v>
      </c>
      <c r="AC53" s="39">
        <v>2.1700000000000001E-3</v>
      </c>
      <c r="AD53" s="17">
        <f t="shared" si="502"/>
        <v>33.422339999999998</v>
      </c>
      <c r="AE53" s="26">
        <f>IF(M53&gt;0,(AG53+AP53)/M53,0)</f>
        <v>2.5155379820802496E-3</v>
      </c>
      <c r="AF53" s="39">
        <v>2.5999999999999998E-4</v>
      </c>
      <c r="AG53" s="36">
        <f t="shared" si="503"/>
        <v>4.0045199999999994</v>
      </c>
      <c r="AH53" s="27">
        <v>0.21210000000000001</v>
      </c>
      <c r="AI53" s="40">
        <f t="shared" si="504"/>
        <v>33.583914</v>
      </c>
      <c r="AJ53" s="27">
        <f t="shared" si="505"/>
        <v>0.88126461845824</v>
      </c>
      <c r="AK53" s="28">
        <f t="shared" si="6"/>
        <v>0.89770621436448228</v>
      </c>
      <c r="AL53" s="33">
        <v>174</v>
      </c>
      <c r="AM53" s="35">
        <v>0.09</v>
      </c>
      <c r="AN53" s="37">
        <v>0.21940000000000001</v>
      </c>
      <c r="AO53" s="103">
        <v>0.2051</v>
      </c>
      <c r="AP53" s="40">
        <f>AL53*(1-AM53)*AN53</f>
        <v>34.739796000000005</v>
      </c>
      <c r="AQ53" s="104">
        <f t="shared" si="21"/>
        <v>32.475534000000003</v>
      </c>
      <c r="AR53" s="41">
        <v>1.52</v>
      </c>
      <c r="AS53" s="41"/>
      <c r="AT53" s="129">
        <f>AT52+AL53-AS53</f>
        <v>2530.9199999999992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0" t="s">
        <v>58</v>
      </c>
      <c r="D54" s="42">
        <v>14200</v>
      </c>
      <c r="E54" s="42">
        <v>1</v>
      </c>
      <c r="F54" s="42">
        <v>16498</v>
      </c>
      <c r="G54" s="36">
        <v>0.4</v>
      </c>
      <c r="H54" s="36">
        <v>3.6</v>
      </c>
      <c r="I54" s="42">
        <v>16090</v>
      </c>
      <c r="J54" s="36">
        <v>3.2</v>
      </c>
      <c r="K54" s="42">
        <v>16702</v>
      </c>
      <c r="L54" s="38">
        <v>7.3999999999999996E-2</v>
      </c>
      <c r="M54" s="36">
        <f>ROUND(K54*(1-L54),0)</f>
        <v>15466</v>
      </c>
      <c r="N54" s="27">
        <v>0.64300000000000002</v>
      </c>
      <c r="O54" s="24">
        <f t="shared" si="495"/>
        <v>9944.6380000000008</v>
      </c>
      <c r="P54" s="38">
        <v>0.316</v>
      </c>
      <c r="Q54" s="24">
        <f t="shared" si="496"/>
        <v>4887.2560000000003</v>
      </c>
      <c r="R54" s="38">
        <v>4.1000000000000002E-2</v>
      </c>
      <c r="S54" s="105">
        <v>0.246</v>
      </c>
      <c r="T54" s="24">
        <f t="shared" si="497"/>
        <v>634.10599999999999</v>
      </c>
      <c r="U54" s="27">
        <v>0.24299999999999999</v>
      </c>
      <c r="V54" s="24">
        <f t="shared" si="498"/>
        <v>3758.2379999999998</v>
      </c>
      <c r="W54" s="38">
        <v>0.47799999999999998</v>
      </c>
      <c r="X54" s="24">
        <f t="shared" si="499"/>
        <v>7392.7479999999996</v>
      </c>
      <c r="Y54" s="38">
        <v>0.43</v>
      </c>
      <c r="Z54" s="24">
        <f t="shared" si="500"/>
        <v>6650.38</v>
      </c>
      <c r="AA54" s="118">
        <v>2.2399999999999998E-3</v>
      </c>
      <c r="AB54" s="121">
        <f t="shared" si="61"/>
        <v>34.643839999999997</v>
      </c>
      <c r="AC54" s="45">
        <v>2.1900000000000001E-3</v>
      </c>
      <c r="AD54" s="17">
        <f t="shared" si="502"/>
        <v>33.870539999999998</v>
      </c>
      <c r="AE54" s="26">
        <f>IF(M54&gt;0,(AG54+AP54)/M54,0)</f>
        <v>2.6135852191904829E-3</v>
      </c>
      <c r="AF54" s="45">
        <v>2.7E-4</v>
      </c>
      <c r="AG54" s="36">
        <f t="shared" si="503"/>
        <v>4.1758199999999999</v>
      </c>
      <c r="AH54" s="27">
        <v>0.20480000000000001</v>
      </c>
      <c r="AI54" s="40">
        <f t="shared" si="504"/>
        <v>33.2132352</v>
      </c>
      <c r="AJ54" s="27">
        <f t="shared" si="505"/>
        <v>0.87786967648514569</v>
      </c>
      <c r="AK54" s="28">
        <f t="shared" si="6"/>
        <v>0.89777819490518218</v>
      </c>
      <c r="AL54" s="42">
        <v>179</v>
      </c>
      <c r="AM54" s="38">
        <v>9.4E-2</v>
      </c>
      <c r="AN54" s="27">
        <v>0.2235</v>
      </c>
      <c r="AO54" s="105">
        <v>0.20899999999999999</v>
      </c>
      <c r="AP54" s="40">
        <f>AL54*(1-AM54)*AN54</f>
        <v>36.245889000000005</v>
      </c>
      <c r="AQ54" s="106">
        <f t="shared" si="21"/>
        <v>33.894365999999998</v>
      </c>
      <c r="AR54" s="17">
        <v>1.55</v>
      </c>
      <c r="AS54" s="17"/>
      <c r="AT54" s="129">
        <f>AT53+AL54-AS54</f>
        <v>2709.9199999999992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7">SUM(D52:D54)</f>
        <v>47000</v>
      </c>
      <c r="E55" s="49"/>
      <c r="F55" s="49">
        <f t="shared" ref="F55" si="508">SUM(F52:F54)</f>
        <v>47141</v>
      </c>
      <c r="G55" s="50"/>
      <c r="H55" s="50"/>
      <c r="I55" s="49">
        <f t="shared" ref="I55:K55" si="509">SUM(I52:I54)</f>
        <v>46159</v>
      </c>
      <c r="J55" s="50"/>
      <c r="K55" s="49">
        <f t="shared" si="509"/>
        <v>49281</v>
      </c>
      <c r="L55" s="20">
        <f t="shared" ref="L55" si="510">IF(K55&gt;0,(K52*L52+K53*L53+K54*L54)/K55,0)</f>
        <v>7.1323106268135802E-2</v>
      </c>
      <c r="M55" s="50">
        <f t="shared" ref="M55" si="511">M52+M53+M54</f>
        <v>45766</v>
      </c>
      <c r="N55" s="51">
        <f t="shared" ref="N55" si="512">IF(M55&gt;0,O55/M55,0)</f>
        <v>0.58582996110649821</v>
      </c>
      <c r="O55" s="52">
        <f t="shared" ref="O55" si="513">O52+O53+O54</f>
        <v>26811.093999999997</v>
      </c>
      <c r="P55" s="20">
        <f t="shared" ref="P55" si="514">IF(M55&gt;0,Q55/M55,0)</f>
        <v>0.37814102171918018</v>
      </c>
      <c r="Q55" s="52">
        <f t="shared" ref="Q55" si="515">Q52+Q53+Q54</f>
        <v>17306.002</v>
      </c>
      <c r="R55" s="20">
        <f t="shared" ref="R55" si="516">IF(M55&gt;0,T55/M55,0)</f>
        <v>3.6029017174321547E-2</v>
      </c>
      <c r="S55" s="107"/>
      <c r="T55" s="52">
        <f t="shared" ref="T55" si="517">T52+T53+T54</f>
        <v>1648.904</v>
      </c>
      <c r="U55" s="20">
        <f t="shared" ref="U55" si="518">IF(M55&gt;0,V55/M55,0)</f>
        <v>0.23113791897915484</v>
      </c>
      <c r="V55" s="52">
        <f t="shared" ref="V55" si="519">V52+V53+V54</f>
        <v>10578.258</v>
      </c>
      <c r="W55" s="20">
        <f t="shared" ref="W55" si="520">IF(M55&gt;0,X55/M55,0)</f>
        <v>0.49180422147445702</v>
      </c>
      <c r="X55" s="52">
        <f t="shared" ref="X55" si="521">X52+X53+X54</f>
        <v>22507.912</v>
      </c>
      <c r="Y55" s="20">
        <f t="shared" ref="Y55" si="522">IF(M55&gt;0,Z55/M55,0)</f>
        <v>0.41361359961543509</v>
      </c>
      <c r="Z55" s="52">
        <f t="shared" ref="Z55" si="523">Z52+Z53+Z54</f>
        <v>18929.440000000002</v>
      </c>
      <c r="AA55" s="119">
        <f t="shared" ref="AA55" si="524">IF(M55&gt;0,AB55/M55,0)</f>
        <v>2.2231730979329631E-3</v>
      </c>
      <c r="AB55" s="54">
        <f t="shared" ref="AB55" si="525">SUM(AB52:AB54)</f>
        <v>101.74574</v>
      </c>
      <c r="AC55" s="53">
        <f t="shared" ref="AC55" si="526">IF(M55&gt;0,AD55/M55,0)</f>
        <v>2.1897797491587639E-3</v>
      </c>
      <c r="AD55" s="54">
        <f t="shared" ref="AD55" si="527">SUM(AD52:AD54)</f>
        <v>100.21745999999999</v>
      </c>
      <c r="AE55" s="53">
        <f t="shared" ref="AE55" si="528">IF(M55&gt;0,(AE52*M52+AE53*M53+AE54*M54)/M55,0)</f>
        <v>2.5307329021544379E-3</v>
      </c>
      <c r="AF55" s="53">
        <f t="shared" ref="AF55" si="529">IF(K55&gt;0,(K52*AF52+K53*AF53+K54*AF54)/K55,0)</f>
        <v>2.6012438870964469E-4</v>
      </c>
      <c r="AG55" s="50">
        <f t="shared" ref="AG55" si="530">SUM(AG52:AG54)</f>
        <v>11.90484</v>
      </c>
      <c r="AH55" s="51">
        <f t="shared" ref="AH55" si="531">IF(K55&gt;0,(K52*AH52+K53*AH53+K54*AH54)/K55,0)</f>
        <v>0.20894033400296261</v>
      </c>
      <c r="AI55" s="56">
        <f t="shared" ref="AI55" si="532">SUM(AI52:AI54)</f>
        <v>98.432599199999999</v>
      </c>
      <c r="AJ55" s="51">
        <f t="shared" ref="AJ55" si="533">IF(AND(AD55&gt;0),((AD52*AJ52+AD53*AJ53+AD54*AJ54)/AD55),0)</f>
        <v>0.88230862299759638</v>
      </c>
      <c r="AK55" s="55">
        <f t="shared" si="6"/>
        <v>0.89827337064825497</v>
      </c>
      <c r="AL55" s="49">
        <f t="shared" ref="AL55" si="534">SUM(AL52:AL54)</f>
        <v>518</v>
      </c>
      <c r="AM55" s="20">
        <f t="shared" ref="AM55" si="535">IF(AL55&gt;0,(AM52*AL52+AM53*AL53+AM54*AL54)/AL55,0)</f>
        <v>9.0426640926640933E-2</v>
      </c>
      <c r="AN55" s="51">
        <f>IF(K55&gt;0,(AN52*K52+AN53*K53+AN54*K54)/K55,0)</f>
        <v>0.22052836590166597</v>
      </c>
      <c r="AO55" s="107">
        <f>IF(L55&gt;0,(AO52*K52+AO53*K53+AO54*K54)/K55,0)</f>
        <v>0.20665029524563219</v>
      </c>
      <c r="AP55" s="56">
        <f t="shared" ref="AP55" si="536">SUM(AP52:AP54)</f>
        <v>103.91668200000001</v>
      </c>
      <c r="AQ55" s="108">
        <f t="shared" si="404"/>
        <v>97.372641000000016</v>
      </c>
      <c r="AR55" s="54">
        <v>0.217</v>
      </c>
      <c r="AS55" s="54">
        <f t="shared" ref="AS55" si="537">SUM(AS52:AS54)</f>
        <v>0</v>
      </c>
      <c r="AT55" s="83"/>
      <c r="AU55" s="84">
        <f>AT54</f>
        <v>2709.9199999999992</v>
      </c>
      <c r="AV55" s="49">
        <f t="shared" ref="AV55" si="538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53</v>
      </c>
      <c r="D56" s="11">
        <v>2674</v>
      </c>
      <c r="E56" s="11">
        <v>0</v>
      </c>
      <c r="F56" s="11">
        <v>12705</v>
      </c>
      <c r="G56" s="12">
        <v>0.8</v>
      </c>
      <c r="H56" s="12">
        <v>3.6</v>
      </c>
      <c r="I56" s="11">
        <v>12267</v>
      </c>
      <c r="J56" s="12">
        <v>3.5</v>
      </c>
      <c r="K56" s="11">
        <v>16476</v>
      </c>
      <c r="L56" s="13">
        <v>6.7000000000000004E-2</v>
      </c>
      <c r="M56" s="23">
        <f>ROUND(K56*(1-L56),0)</f>
        <v>15372</v>
      </c>
      <c r="N56" s="14">
        <v>0.77</v>
      </c>
      <c r="O56" s="24">
        <f t="shared" ref="O56:O58" si="539">M56*N56</f>
        <v>11836.44</v>
      </c>
      <c r="P56" s="13">
        <v>0.16600000000000001</v>
      </c>
      <c r="Q56" s="24">
        <f t="shared" ref="Q56:Q58" si="540">M56*P56</f>
        <v>2551.752</v>
      </c>
      <c r="R56" s="15">
        <v>6.4000000000000001E-2</v>
      </c>
      <c r="S56" s="112">
        <v>0.2291</v>
      </c>
      <c r="T56" s="24">
        <f t="shared" ref="T56:T58" si="541">M56*R56</f>
        <v>983.80799999999999</v>
      </c>
      <c r="U56" s="25">
        <v>0.23899999999999999</v>
      </c>
      <c r="V56" s="24">
        <f t="shared" ref="V56:V58" si="542">M56*U56</f>
        <v>3673.9079999999999</v>
      </c>
      <c r="W56" s="15">
        <v>0.48399999999999999</v>
      </c>
      <c r="X56" s="24">
        <f t="shared" ref="X56:X58" si="543">M56*W56</f>
        <v>7440.0479999999998</v>
      </c>
      <c r="Y56" s="15">
        <v>0.42</v>
      </c>
      <c r="Z56" s="24">
        <f t="shared" ref="Z56:Z58" si="544">Y56*M56</f>
        <v>6456.24</v>
      </c>
      <c r="AA56" s="116">
        <v>2.2699999999999999E-3</v>
      </c>
      <c r="AB56" s="18">
        <f t="shared" ref="AB56" si="545">M56*AA56</f>
        <v>34.894439999999996</v>
      </c>
      <c r="AC56" s="16">
        <v>2.2300000000000002E-3</v>
      </c>
      <c r="AD56" s="17">
        <f t="shared" ref="AD56:AD58" si="546">M56*AC56</f>
        <v>34.279560000000004</v>
      </c>
      <c r="AE56" s="26">
        <f>IF(M56&gt;0,(AG56+AP56)/M56,0)</f>
        <v>2.4494975409836061E-3</v>
      </c>
      <c r="AF56" s="16">
        <v>2.7999999999999998E-4</v>
      </c>
      <c r="AG56" s="23">
        <f t="shared" ref="AG56:AG58" si="547">AF56*M56</f>
        <v>4.3041599999999995</v>
      </c>
      <c r="AH56" s="92">
        <v>0.20469999999999999</v>
      </c>
      <c r="AI56" s="29">
        <f t="shared" ref="AI56:AI58" si="548">AL56*(1-AM56)*AH56</f>
        <v>34.014180199999998</v>
      </c>
      <c r="AJ56" s="27">
        <f t="shared" ref="AJ56:AJ58" si="549">IF(AND(AH56&gt;0,AF56&gt;0,AC56&gt;0),((AC56-AF56)*AH56)/((AH56-AF56)*AC56),0)</f>
        <v>0.8756372069637689</v>
      </c>
      <c r="AK56" s="58">
        <f t="shared" si="6"/>
        <v>0.88692821129031763</v>
      </c>
      <c r="AL56" s="11">
        <v>182</v>
      </c>
      <c r="AM56" s="13">
        <v>8.6999999999999994E-2</v>
      </c>
      <c r="AN56" s="14">
        <v>0.20069999999999999</v>
      </c>
      <c r="AO56" s="101">
        <v>0.1905</v>
      </c>
      <c r="AP56" s="29">
        <f>AL56*(1-AM56)*AN56</f>
        <v>33.349516199999997</v>
      </c>
      <c r="AQ56" s="102">
        <f t="shared" ref="AQ56" si="550">AL56*(1-AM56)*AO56</f>
        <v>31.654623000000001</v>
      </c>
      <c r="AR56" s="18">
        <v>1.6</v>
      </c>
      <c r="AS56" s="18">
        <v>1013.36</v>
      </c>
      <c r="AT56" s="79">
        <f>AT54+AL56-AS56</f>
        <v>1878.559999999999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43" t="s">
        <v>57</v>
      </c>
      <c r="D57" s="33">
        <v>19600</v>
      </c>
      <c r="E57" s="33">
        <v>4</v>
      </c>
      <c r="F57" s="33">
        <v>14850</v>
      </c>
      <c r="G57" s="34">
        <v>1.5</v>
      </c>
      <c r="H57" s="34">
        <v>5.5</v>
      </c>
      <c r="I57" s="33">
        <v>14632</v>
      </c>
      <c r="J57" s="34">
        <v>3.9</v>
      </c>
      <c r="K57" s="33">
        <v>15964</v>
      </c>
      <c r="L57" s="35">
        <v>7.2999999999999995E-2</v>
      </c>
      <c r="M57" s="36">
        <f>ROUND(K57*(1-L57),0)</f>
        <v>14799</v>
      </c>
      <c r="N57" s="37">
        <v>0.7</v>
      </c>
      <c r="O57" s="24">
        <f t="shared" si="539"/>
        <v>10359.299999999999</v>
      </c>
      <c r="P57" s="35">
        <v>0.245</v>
      </c>
      <c r="Q57" s="24">
        <f t="shared" si="540"/>
        <v>3625.7550000000001</v>
      </c>
      <c r="R57" s="38">
        <v>5.5E-2</v>
      </c>
      <c r="S57" s="105">
        <v>0.23330000000000001</v>
      </c>
      <c r="T57" s="24">
        <f t="shared" si="541"/>
        <v>813.94500000000005</v>
      </c>
      <c r="U57" s="27">
        <v>0.246</v>
      </c>
      <c r="V57" s="24">
        <f t="shared" si="542"/>
        <v>3640.5540000000001</v>
      </c>
      <c r="W57" s="38">
        <v>0.48699999999999999</v>
      </c>
      <c r="X57" s="24">
        <f t="shared" si="543"/>
        <v>7207.1129999999994</v>
      </c>
      <c r="Y57" s="38">
        <v>0.43</v>
      </c>
      <c r="Z57" s="24">
        <f t="shared" si="544"/>
        <v>6363.57</v>
      </c>
      <c r="AA57" s="117">
        <v>2.3999999999999998E-3</v>
      </c>
      <c r="AB57" s="18">
        <f t="shared" si="61"/>
        <v>35.517599999999995</v>
      </c>
      <c r="AC57" s="39">
        <v>2.2799999999999999E-3</v>
      </c>
      <c r="AD57" s="17">
        <f t="shared" si="546"/>
        <v>33.741720000000001</v>
      </c>
      <c r="AE57" s="26">
        <f>IF(M57&gt;0,(AG57+AP57)/M57,0)</f>
        <v>2.6569253598216097E-3</v>
      </c>
      <c r="AF57" s="39">
        <v>2.7999999999999998E-4</v>
      </c>
      <c r="AG57" s="36">
        <f t="shared" si="547"/>
        <v>4.1437200000000001</v>
      </c>
      <c r="AH57" s="27">
        <v>0.2137</v>
      </c>
      <c r="AI57" s="40">
        <f t="shared" si="548"/>
        <v>33.800074199999997</v>
      </c>
      <c r="AJ57" s="27">
        <f t="shared" si="549"/>
        <v>0.87834383071350963</v>
      </c>
      <c r="AK57" s="28">
        <f t="shared" si="6"/>
        <v>0.89574276344546355</v>
      </c>
      <c r="AL57" s="33">
        <v>174</v>
      </c>
      <c r="AM57" s="35">
        <v>9.0999999999999998E-2</v>
      </c>
      <c r="AN57" s="37">
        <v>0.22239999999999999</v>
      </c>
      <c r="AO57" s="103">
        <v>0.20899999999999999</v>
      </c>
      <c r="AP57" s="40">
        <f>AL57*(1-AM57)*AN57</f>
        <v>35.1761184</v>
      </c>
      <c r="AQ57" s="104">
        <f t="shared" si="21"/>
        <v>33.056694</v>
      </c>
      <c r="AR57" s="41">
        <v>1.52</v>
      </c>
      <c r="AS57" s="41"/>
      <c r="AT57" s="129">
        <f>AT56+AL57-AS57</f>
        <v>2052.559999999999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0" t="s">
        <v>58</v>
      </c>
      <c r="D58" s="42">
        <v>17500</v>
      </c>
      <c r="E58" s="42">
        <v>0</v>
      </c>
      <c r="F58" s="42">
        <v>16406</v>
      </c>
      <c r="G58" s="36">
        <v>1.2</v>
      </c>
      <c r="H58" s="36">
        <v>5.3</v>
      </c>
      <c r="I58" s="42">
        <v>15392</v>
      </c>
      <c r="J58" s="36">
        <v>3.7</v>
      </c>
      <c r="K58" s="42">
        <v>15480</v>
      </c>
      <c r="L58" s="38">
        <v>6.5000000000000002E-2</v>
      </c>
      <c r="M58" s="36">
        <f>ROUND(K58*(1-L58),0)</f>
        <v>14474</v>
      </c>
      <c r="N58" s="27">
        <v>0.58499999999999996</v>
      </c>
      <c r="O58" s="24">
        <f t="shared" si="539"/>
        <v>8467.2899999999991</v>
      </c>
      <c r="P58" s="38">
        <v>0.29299999999999998</v>
      </c>
      <c r="Q58" s="24">
        <f t="shared" si="540"/>
        <v>4240.8819999999996</v>
      </c>
      <c r="R58" s="38">
        <v>0.122</v>
      </c>
      <c r="S58" s="105">
        <v>0.20280000000000001</v>
      </c>
      <c r="T58" s="24">
        <f t="shared" si="541"/>
        <v>1765.828</v>
      </c>
      <c r="U58" s="27">
        <v>0.21299999999999999</v>
      </c>
      <c r="V58" s="24">
        <f t="shared" si="542"/>
        <v>3082.962</v>
      </c>
      <c r="W58" s="38">
        <v>0.502</v>
      </c>
      <c r="X58" s="24">
        <f t="shared" si="543"/>
        <v>7265.9480000000003</v>
      </c>
      <c r="Y58" s="38">
        <v>0.42</v>
      </c>
      <c r="Z58" s="24">
        <f t="shared" si="544"/>
        <v>6079.08</v>
      </c>
      <c r="AA58" s="118">
        <v>2.4299999999999999E-3</v>
      </c>
      <c r="AB58" s="121">
        <f t="shared" si="61"/>
        <v>35.171819999999997</v>
      </c>
      <c r="AC58" s="45">
        <v>2.3E-3</v>
      </c>
      <c r="AD58" s="17">
        <f t="shared" si="546"/>
        <v>33.290199999999999</v>
      </c>
      <c r="AE58" s="26">
        <f>IF(M58&gt;0,(AG58+AP58)/M58,0)</f>
        <v>2.6458646814978585E-3</v>
      </c>
      <c r="AF58" s="45">
        <v>2.5999999999999998E-4</v>
      </c>
      <c r="AG58" s="36">
        <f t="shared" si="547"/>
        <v>3.7632399999999997</v>
      </c>
      <c r="AH58" s="27">
        <v>0.2114</v>
      </c>
      <c r="AI58" s="40">
        <f t="shared" si="548"/>
        <v>32.751356400000006</v>
      </c>
      <c r="AJ58" s="27">
        <f t="shared" si="549"/>
        <v>0.88804872925855927</v>
      </c>
      <c r="AK58" s="28">
        <f t="shared" si="6"/>
        <v>0.90278649614183593</v>
      </c>
      <c r="AL58" s="42">
        <v>171</v>
      </c>
      <c r="AM58" s="38">
        <v>9.4E-2</v>
      </c>
      <c r="AN58" s="27">
        <v>0.22289999999999999</v>
      </c>
      <c r="AO58" s="105">
        <v>0.2102</v>
      </c>
      <c r="AP58" s="40">
        <f>AL58*(1-AM58)*AN58</f>
        <v>34.5330054</v>
      </c>
      <c r="AQ58" s="106">
        <f t="shared" si="21"/>
        <v>32.565445200000006</v>
      </c>
      <c r="AR58" s="17">
        <v>1.55</v>
      </c>
      <c r="AS58" s="17"/>
      <c r="AT58" s="129">
        <f>AT57+AL58-AS58</f>
        <v>2223.559999999999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1">SUM(D56:D58)</f>
        <v>39774</v>
      </c>
      <c r="E59" s="49"/>
      <c r="F59" s="49">
        <f t="shared" ref="F59" si="552">SUM(F56:F58)</f>
        <v>43961</v>
      </c>
      <c r="G59" s="50"/>
      <c r="H59" s="50"/>
      <c r="I59" s="49">
        <f t="shared" ref="I59:K59" si="553">SUM(I56:I58)</f>
        <v>42291</v>
      </c>
      <c r="J59" s="50"/>
      <c r="K59" s="49">
        <f t="shared" si="553"/>
        <v>47920</v>
      </c>
      <c r="L59" s="20">
        <f t="shared" ref="L59" si="554">IF(K59&gt;0,(K56*L56+K57*L57+K58*L58)/K59,0)</f>
        <v>6.8352754590984971E-2</v>
      </c>
      <c r="M59" s="50">
        <f t="shared" ref="M59" si="555">M56+M57+M58</f>
        <v>44645</v>
      </c>
      <c r="N59" s="51">
        <f t="shared" ref="N59" si="556">IF(M59&gt;0,O59/M59,0)</f>
        <v>0.68681890469257478</v>
      </c>
      <c r="O59" s="52">
        <f t="shared" ref="O59" si="557">O56+O57+O58</f>
        <v>30663.03</v>
      </c>
      <c r="P59" s="20">
        <f t="shared" ref="P59" si="558">IF(M59&gt;0,Q59/M59,0)</f>
        <v>0.23336071228581026</v>
      </c>
      <c r="Q59" s="52">
        <f t="shared" ref="Q59" si="559">Q56+Q57+Q58</f>
        <v>10418.388999999999</v>
      </c>
      <c r="R59" s="20">
        <f t="shared" ref="R59" si="560">IF(M59&gt;0,T59/M59,0)</f>
        <v>7.9820383021614968E-2</v>
      </c>
      <c r="S59" s="107"/>
      <c r="T59" s="52">
        <f t="shared" ref="T59" si="561">T56+T57+T58</f>
        <v>3563.5810000000001</v>
      </c>
      <c r="U59" s="20">
        <f t="shared" ref="U59" si="562">IF(M59&gt;0,V59/M59,0)</f>
        <v>0.23289111882629632</v>
      </c>
      <c r="V59" s="52">
        <f t="shared" ref="V59" si="563">V56+V57+V58</f>
        <v>10397.423999999999</v>
      </c>
      <c r="W59" s="20">
        <f t="shared" ref="W59" si="564">IF(M59&gt;0,X59/M59,0)</f>
        <v>0.49083008175607573</v>
      </c>
      <c r="X59" s="52">
        <f t="shared" ref="X59" si="565">X56+X57+X58</f>
        <v>21913.109</v>
      </c>
      <c r="Y59" s="20">
        <f t="shared" ref="Y59" si="566">IF(M59&gt;0,Z59/M59,0)</f>
        <v>0.4233148168887893</v>
      </c>
      <c r="Z59" s="52">
        <f t="shared" ref="Z59" si="567">Z56+Z57+Z58</f>
        <v>18898.89</v>
      </c>
      <c r="AA59" s="119">
        <f t="shared" ref="AA59" si="568">IF(M59&gt;0,AB59/M59,0)</f>
        <v>2.3649649456826071E-3</v>
      </c>
      <c r="AB59" s="54">
        <f t="shared" ref="AB59" si="569">SUM(AB56:AB58)</f>
        <v>105.58385999999999</v>
      </c>
      <c r="AC59" s="53">
        <f t="shared" ref="AC59" si="570">IF(M59&gt;0,AD59/M59,0)</f>
        <v>2.2692682271250979E-3</v>
      </c>
      <c r="AD59" s="54">
        <f t="shared" ref="AD59" si="571">SUM(AD56:AD58)</f>
        <v>101.31148</v>
      </c>
      <c r="AE59" s="53">
        <f t="shared" ref="AE59" si="572">IF(M59&gt;0,(AE56*M56+AE57*M57+AE58*M58)/M59,0)</f>
        <v>2.5819186919027884E-3</v>
      </c>
      <c r="AF59" s="53">
        <f t="shared" ref="AF59" si="573">IF(K59&gt;0,(K56*AF56+K57*AF57+K58*AF58)/K59,0)</f>
        <v>2.7353923205342232E-4</v>
      </c>
      <c r="AG59" s="50">
        <f t="shared" ref="AG59" si="574">SUM(AG56:AG58)</f>
        <v>12.211119999999999</v>
      </c>
      <c r="AH59" s="51">
        <f t="shared" ref="AH59" si="575">IF(K59&gt;0,(K56*AH56+K57*AH57+K58*AH58)/K59,0)</f>
        <v>0.20986260434056761</v>
      </c>
      <c r="AI59" s="56">
        <f t="shared" ref="AI59" si="576">SUM(AI56:AI58)</f>
        <v>100.5656108</v>
      </c>
      <c r="AJ59" s="51">
        <f t="shared" ref="AJ59" si="577">IF(AND(AD59&gt;0),((AD56*AJ56+AD57*AJ57+AD58*AJ58)/AD59),0)</f>
        <v>0.88061698023533819</v>
      </c>
      <c r="AK59" s="55">
        <f t="shared" si="6"/>
        <v>0.89519423153380517</v>
      </c>
      <c r="AL59" s="49">
        <f t="shared" ref="AL59" si="578">SUM(AL56:AL58)</f>
        <v>527</v>
      </c>
      <c r="AM59" s="20">
        <f t="shared" ref="AM59" si="579">IF(AL59&gt;0,(AM56*AL56+AM57*AL57+AM58*AL58)/AL59,0)</f>
        <v>9.0592030360531317E-2</v>
      </c>
      <c r="AN59" s="51">
        <f>IF(K59&gt;0,(AN56*K56+AN57*K57+AN58*K58)/K59,0)</f>
        <v>0.21510055926544241</v>
      </c>
      <c r="AO59" s="107">
        <f>IF(L59&gt;0,(AO56*K56+AO57*K57+AO58*K58)/K59,0)</f>
        <v>0.20302691986644406</v>
      </c>
      <c r="AP59" s="56">
        <f t="shared" ref="AP59:AQ71" si="580">SUM(AP56:AP58)</f>
        <v>103.05864</v>
      </c>
      <c r="AQ59" s="108">
        <f t="shared" si="580"/>
        <v>97.276762200000007</v>
      </c>
      <c r="AR59" s="54"/>
      <c r="AS59" s="54">
        <f t="shared" ref="AS59" si="581">SUM(AS56:AS58)</f>
        <v>1013.36</v>
      </c>
      <c r="AT59" s="83"/>
      <c r="AU59" s="84">
        <f>AT58</f>
        <v>2223.559999999999</v>
      </c>
      <c r="AV59" s="49">
        <f t="shared" ref="AV59" si="582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53</v>
      </c>
      <c r="D60" s="11">
        <v>3352</v>
      </c>
      <c r="E60" s="11">
        <v>1</v>
      </c>
      <c r="F60" s="11">
        <v>13650</v>
      </c>
      <c r="G60" s="12">
        <v>2.9</v>
      </c>
      <c r="H60" s="12">
        <v>9.1999999999999993</v>
      </c>
      <c r="I60" s="11">
        <v>13208</v>
      </c>
      <c r="J60" s="12">
        <v>3.2</v>
      </c>
      <c r="K60" s="11">
        <v>15045</v>
      </c>
      <c r="L60" s="13">
        <v>6.2E-2</v>
      </c>
      <c r="M60" s="23">
        <f>ROUND(K60*(1-L60),0)</f>
        <v>14112</v>
      </c>
      <c r="N60" s="14">
        <v>0.75800000000000001</v>
      </c>
      <c r="O60" s="24">
        <f t="shared" ref="O60:O62" si="583">M60*N60</f>
        <v>10696.896000000001</v>
      </c>
      <c r="P60" s="13">
        <v>0.127</v>
      </c>
      <c r="Q60" s="24">
        <f t="shared" ref="Q60:Q62" si="584">M60*P60</f>
        <v>1792.2239999999999</v>
      </c>
      <c r="R60" s="15">
        <v>0.115</v>
      </c>
      <c r="S60" s="112">
        <v>0.23530000000000001</v>
      </c>
      <c r="T60" s="24">
        <f t="shared" ref="T60:T62" si="585">M60*R60</f>
        <v>1622.88</v>
      </c>
      <c r="U60" s="25">
        <v>0.20699999999999999</v>
      </c>
      <c r="V60" s="24">
        <f t="shared" ref="V60:V62" si="586">M60*U60</f>
        <v>2921.1839999999997</v>
      </c>
      <c r="W60" s="15">
        <v>0.50900000000000001</v>
      </c>
      <c r="X60" s="24">
        <f t="shared" ref="X60:X62" si="587">M60*W60</f>
        <v>7183.0079999999998</v>
      </c>
      <c r="Y60" s="15">
        <v>0.41</v>
      </c>
      <c r="Z60" s="24">
        <f t="shared" ref="Z60:Z62" si="588">Y60*M60</f>
        <v>5785.92</v>
      </c>
      <c r="AA60" s="116">
        <v>2.4299999999999999E-3</v>
      </c>
      <c r="AB60" s="18">
        <f t="shared" ref="AB60" si="589">M60*AA60</f>
        <v>34.292159999999996</v>
      </c>
      <c r="AC60" s="16">
        <v>2.3999999999999998E-3</v>
      </c>
      <c r="AD60" s="17">
        <f t="shared" ref="AD60:AD62" si="590">M60*AC60</f>
        <v>33.8688</v>
      </c>
      <c r="AE60" s="26">
        <f>IF(M60&gt;0,(AG60+AP60)/M60,0)</f>
        <v>2.5510312499999999E-3</v>
      </c>
      <c r="AF60" s="16">
        <v>2.4000000000000001E-4</v>
      </c>
      <c r="AG60" s="23">
        <f t="shared" ref="AG60:AG62" si="591">AF60*M60</f>
        <v>3.3868800000000001</v>
      </c>
      <c r="AH60" s="92">
        <v>0.21460000000000001</v>
      </c>
      <c r="AI60" s="29">
        <f t="shared" ref="AI60:AI62" si="592">AL60*(1-AM60)*AH60</f>
        <v>31.740627600000003</v>
      </c>
      <c r="AJ60" s="27">
        <f t="shared" ref="AJ60:AJ62" si="593">IF(AND(AH60&gt;0,AF60&gt;0,AC60&gt;0),((AC60-AF60)*AH60)/((AH60-AF60)*AC60),0)</f>
        <v>0.90100765068109723</v>
      </c>
      <c r="AK60" s="58">
        <f t="shared" si="6"/>
        <v>0.90690751005332459</v>
      </c>
      <c r="AL60" s="11">
        <v>162</v>
      </c>
      <c r="AM60" s="13">
        <v>8.6999999999999994E-2</v>
      </c>
      <c r="AN60" s="14">
        <v>0.2205</v>
      </c>
      <c r="AO60" s="101">
        <v>0.21149999999999999</v>
      </c>
      <c r="AP60" s="29">
        <f>AL60*(1-AM60)*AN60</f>
        <v>32.613273</v>
      </c>
      <c r="AQ60" s="102">
        <f t="shared" ref="AQ60" si="594">AL60*(1-AM60)*AO60</f>
        <v>31.282119000000002</v>
      </c>
      <c r="AR60" s="18">
        <v>1.56</v>
      </c>
      <c r="AS60" s="18">
        <v>1006.94</v>
      </c>
      <c r="AT60" s="79">
        <f>AT58+AL60-AS60</f>
        <v>1378.619999999999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54</v>
      </c>
      <c r="D61" s="33">
        <v>21700</v>
      </c>
      <c r="E61" s="33">
        <v>6</v>
      </c>
      <c r="F61" s="33">
        <v>16475</v>
      </c>
      <c r="G61" s="34">
        <v>1</v>
      </c>
      <c r="H61" s="34">
        <v>4.5</v>
      </c>
      <c r="I61" s="33">
        <v>15360</v>
      </c>
      <c r="J61" s="34">
        <v>3.2</v>
      </c>
      <c r="K61" s="33">
        <v>15473</v>
      </c>
      <c r="L61" s="35">
        <v>7.0999999999999994E-2</v>
      </c>
      <c r="M61" s="36">
        <f>ROUND(K61*(1-L61),0)</f>
        <v>14374</v>
      </c>
      <c r="N61" s="37">
        <v>0.65700000000000003</v>
      </c>
      <c r="O61" s="24">
        <f t="shared" si="583"/>
        <v>9443.7180000000008</v>
      </c>
      <c r="P61" s="35">
        <v>0.315</v>
      </c>
      <c r="Q61" s="24">
        <f t="shared" si="584"/>
        <v>4527.8100000000004</v>
      </c>
      <c r="R61" s="38">
        <v>2.8000000000000001E-2</v>
      </c>
      <c r="S61" s="105">
        <v>0.23849999999999999</v>
      </c>
      <c r="T61" s="24">
        <f t="shared" si="585"/>
        <v>402.47199999999998</v>
      </c>
      <c r="U61" s="27">
        <v>0.219</v>
      </c>
      <c r="V61" s="24">
        <f t="shared" si="586"/>
        <v>3147.9059999999999</v>
      </c>
      <c r="W61" s="38">
        <v>0.5</v>
      </c>
      <c r="X61" s="24">
        <f t="shared" si="587"/>
        <v>7187</v>
      </c>
      <c r="Y61" s="38">
        <v>0.41</v>
      </c>
      <c r="Z61" s="24">
        <f t="shared" si="588"/>
        <v>5893.3399999999992</v>
      </c>
      <c r="AA61" s="117">
        <v>2.49E-3</v>
      </c>
      <c r="AB61" s="18">
        <f t="shared" si="61"/>
        <v>35.791260000000001</v>
      </c>
      <c r="AC61" s="39">
        <v>2.4599999999999999E-3</v>
      </c>
      <c r="AD61" s="17">
        <f t="shared" si="590"/>
        <v>35.360039999999998</v>
      </c>
      <c r="AE61" s="26">
        <f>IF(M61&gt;0,(AG61+AP61)/M61,0)</f>
        <v>2.8679101711423399E-3</v>
      </c>
      <c r="AF61" s="39">
        <v>2.4000000000000001E-4</v>
      </c>
      <c r="AG61" s="36">
        <f t="shared" si="591"/>
        <v>3.4497599999999999</v>
      </c>
      <c r="AH61" s="27">
        <v>0.21099999999999999</v>
      </c>
      <c r="AI61" s="40">
        <f t="shared" si="592"/>
        <v>35.407488000000001</v>
      </c>
      <c r="AJ61" s="27">
        <f t="shared" si="593"/>
        <v>0.90346666419786215</v>
      </c>
      <c r="AK61" s="28">
        <f t="shared" si="6"/>
        <v>0.9172933821412792</v>
      </c>
      <c r="AL61" s="33">
        <v>184</v>
      </c>
      <c r="AM61" s="35">
        <v>8.7999999999999995E-2</v>
      </c>
      <c r="AN61" s="37">
        <v>0.22509999999999999</v>
      </c>
      <c r="AO61" s="103">
        <v>0.2127</v>
      </c>
      <c r="AP61" s="40">
        <f>AL61*(1-AM61)*AN61</f>
        <v>37.773580799999998</v>
      </c>
      <c r="AQ61" s="104">
        <f t="shared" si="21"/>
        <v>35.692761599999997</v>
      </c>
      <c r="AR61" s="41">
        <v>1.6</v>
      </c>
      <c r="AS61" s="41"/>
      <c r="AT61" s="129">
        <f>AT60+AL61-AS61</f>
        <v>1562.619999999999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58</v>
      </c>
      <c r="D62" s="42">
        <v>19731</v>
      </c>
      <c r="E62" s="42">
        <v>0</v>
      </c>
      <c r="F62" s="42">
        <v>16323</v>
      </c>
      <c r="G62" s="36">
        <v>0.4</v>
      </c>
      <c r="H62" s="36">
        <v>3</v>
      </c>
      <c r="I62" s="42">
        <v>15921</v>
      </c>
      <c r="J62" s="36">
        <v>2.5</v>
      </c>
      <c r="K62" s="42">
        <v>15301</v>
      </c>
      <c r="L62" s="38">
        <v>6.5000000000000002E-2</v>
      </c>
      <c r="M62" s="36">
        <f>ROUND(K62*(1-L62),0)</f>
        <v>14306</v>
      </c>
      <c r="N62" s="27">
        <v>0.81799999999999995</v>
      </c>
      <c r="O62" s="24">
        <f t="shared" si="583"/>
        <v>11702.307999999999</v>
      </c>
      <c r="P62" s="38">
        <v>0.13900000000000001</v>
      </c>
      <c r="Q62" s="24">
        <f t="shared" si="584"/>
        <v>1988.5340000000001</v>
      </c>
      <c r="R62" s="38">
        <v>4.2999999999999997E-2</v>
      </c>
      <c r="S62" s="105">
        <v>0.23219999999999999</v>
      </c>
      <c r="T62" s="24">
        <f t="shared" si="585"/>
        <v>615.1579999999999</v>
      </c>
      <c r="U62" s="27">
        <v>0.215</v>
      </c>
      <c r="V62" s="24">
        <f t="shared" si="586"/>
        <v>3075.79</v>
      </c>
      <c r="W62" s="38">
        <v>0.495</v>
      </c>
      <c r="X62" s="24">
        <f t="shared" si="587"/>
        <v>7081.47</v>
      </c>
      <c r="Y62" s="38">
        <v>0.42</v>
      </c>
      <c r="Z62" s="24">
        <f t="shared" si="588"/>
        <v>6008.5199999999995</v>
      </c>
      <c r="AA62" s="118">
        <v>2.65E-3</v>
      </c>
      <c r="AB62" s="121">
        <f t="shared" si="61"/>
        <v>37.910899999999998</v>
      </c>
      <c r="AC62" s="45">
        <v>2.64E-3</v>
      </c>
      <c r="AD62" s="17">
        <f t="shared" si="590"/>
        <v>37.76784</v>
      </c>
      <c r="AE62" s="26">
        <f>IF(M62&gt;0,(AG62+AP62)/M62,0)</f>
        <v>2.8587004753250385E-3</v>
      </c>
      <c r="AF62" s="45">
        <v>2.4000000000000001E-4</v>
      </c>
      <c r="AG62" s="36">
        <f t="shared" si="591"/>
        <v>3.43344</v>
      </c>
      <c r="AH62" s="27">
        <v>0.20799999999999999</v>
      </c>
      <c r="AI62" s="40">
        <f t="shared" si="592"/>
        <v>35.132239999999996</v>
      </c>
      <c r="AJ62" s="27">
        <f t="shared" si="593"/>
        <v>0.91014107186613913</v>
      </c>
      <c r="AK62" s="28">
        <f t="shared" si="6"/>
        <v>0.91703805546697237</v>
      </c>
      <c r="AL62" s="42">
        <v>185</v>
      </c>
      <c r="AM62" s="38">
        <v>8.6999999999999994E-2</v>
      </c>
      <c r="AN62" s="27">
        <v>0.2218</v>
      </c>
      <c r="AO62" s="105">
        <v>0.21129999999999999</v>
      </c>
      <c r="AP62" s="40">
        <f>AL62*(1-AM62)*AN62</f>
        <v>37.463129000000002</v>
      </c>
      <c r="AQ62" s="106">
        <f t="shared" si="21"/>
        <v>35.689626499999996</v>
      </c>
      <c r="AR62" s="17">
        <v>1.55</v>
      </c>
      <c r="AS62" s="17"/>
      <c r="AT62" s="129">
        <f>AT61+AL62-AS62</f>
        <v>1747.619999999999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5">SUM(D60:D62)</f>
        <v>44783</v>
      </c>
      <c r="E63" s="49"/>
      <c r="F63" s="49">
        <f t="shared" ref="F63" si="596">SUM(F60:F62)</f>
        <v>46448</v>
      </c>
      <c r="G63" s="50"/>
      <c r="H63" s="50"/>
      <c r="I63" s="49">
        <f t="shared" ref="I63:K63" si="597">SUM(I60:I62)</f>
        <v>44489</v>
      </c>
      <c r="J63" s="50"/>
      <c r="K63" s="49">
        <f t="shared" si="597"/>
        <v>45819</v>
      </c>
      <c r="L63" s="20">
        <f t="shared" ref="L63" si="598">IF(K63&gt;0,(K60*L60+K61*L61+K62*L62)/K63,0)</f>
        <v>6.6041118313363456E-2</v>
      </c>
      <c r="M63" s="50">
        <f t="shared" ref="M63" si="599">M60+M61+M62</f>
        <v>42792</v>
      </c>
      <c r="N63" s="51">
        <f t="shared" ref="N63" si="600">IF(M63&gt;0,O63/M63,0)</f>
        <v>0.74413259487754713</v>
      </c>
      <c r="O63" s="52">
        <f t="shared" ref="O63" si="601">O60+O61+O62</f>
        <v>31842.921999999999</v>
      </c>
      <c r="P63" s="20">
        <f t="shared" ref="P63" si="602">IF(M63&gt;0,Q63/M63,0)</f>
        <v>0.19416171246962052</v>
      </c>
      <c r="Q63" s="52">
        <f t="shared" ref="Q63" si="603">Q60+Q61+Q62</f>
        <v>8308.5680000000011</v>
      </c>
      <c r="R63" s="20">
        <f t="shared" ref="R63" si="604">IF(M63&gt;0,T63/M63,0)</f>
        <v>6.1705692652832309E-2</v>
      </c>
      <c r="S63" s="107"/>
      <c r="T63" s="52">
        <f t="shared" ref="T63" si="605">T60+T61+T62</f>
        <v>2640.51</v>
      </c>
      <c r="U63" s="20">
        <f t="shared" ref="U63" si="606">IF(M63&gt;0,V63/M63,0)</f>
        <v>0.21370536548887645</v>
      </c>
      <c r="V63" s="52">
        <f t="shared" ref="V63" si="607">V60+V61+V62</f>
        <v>9144.880000000001</v>
      </c>
      <c r="W63" s="20">
        <f t="shared" ref="W63" si="608">IF(M63&gt;0,X63/M63,0)</f>
        <v>0.50129645728173489</v>
      </c>
      <c r="X63" s="52">
        <f t="shared" ref="X63" si="609">X60+X61+X62</f>
        <v>21451.477999999999</v>
      </c>
      <c r="Y63" s="20">
        <f t="shared" ref="Y63" si="610">IF(M63&gt;0,Z63/M63,0)</f>
        <v>0.41334314825200968</v>
      </c>
      <c r="Z63" s="52">
        <f t="shared" ref="Z63" si="611">Z60+Z61+Z62</f>
        <v>17687.78</v>
      </c>
      <c r="AA63" s="119">
        <f t="shared" ref="AA63" si="612">IF(M63&gt;0,AB63/M63,0)</f>
        <v>2.5237034959805569E-3</v>
      </c>
      <c r="AB63" s="54">
        <f t="shared" ref="AB63" si="613">SUM(AB60:AB62)</f>
        <v>107.99431999999999</v>
      </c>
      <c r="AC63" s="53">
        <f t="shared" ref="AC63" si="614">IF(M63&gt;0,AD63/M63,0)</f>
        <v>2.5003897924845767E-3</v>
      </c>
      <c r="AD63" s="54">
        <f t="shared" ref="AD63" si="615">SUM(AD60:AD62)</f>
        <v>106.99668</v>
      </c>
      <c r="AE63" s="53">
        <f t="shared" ref="AE63" si="616">IF(M63&gt;0,(AE60*M60+AE61*M61+AE62*M62)/M63,0)</f>
        <v>2.7603305010282294E-3</v>
      </c>
      <c r="AF63" s="53">
        <f t="shared" ref="AF63" si="617">IF(K63&gt;0,(K60*AF60+K61*AF61+K62*AF62)/K63,0)</f>
        <v>2.4000000000000001E-4</v>
      </c>
      <c r="AG63" s="50">
        <f t="shared" ref="AG63" si="618">SUM(AG60:AG62)</f>
        <v>10.27008</v>
      </c>
      <c r="AH63" s="51">
        <f t="shared" ref="AH63" si="619">IF(K63&gt;0,(K60*AH60+K61*AH61+K62*AH62)/K63,0)</f>
        <v>0.21118025273358212</v>
      </c>
      <c r="AI63" s="56">
        <f t="shared" ref="AI63" si="620">SUM(AI60:AI62)</f>
        <v>102.28035560000001</v>
      </c>
      <c r="AJ63" s="51">
        <f t="shared" ref="AJ63" si="621">IF(AND(AD63&gt;0),((AD60*AJ60+AD61*AJ61+AD62*AJ62)/AD63),0)</f>
        <v>0.90504422832334386</v>
      </c>
      <c r="AK63" s="55">
        <f t="shared" si="6"/>
        <v>0.91403987564206635</v>
      </c>
      <c r="AL63" s="49">
        <f t="shared" ref="AL63" si="622">SUM(AL60:AL62)</f>
        <v>531</v>
      </c>
      <c r="AM63" s="20">
        <f t="shared" ref="AM63" si="623">IF(AL63&gt;0,(AM60*AL60+AM61*AL61+AM62*AL62)/AL63,0)</f>
        <v>8.7346516007532959E-2</v>
      </c>
      <c r="AN63" s="51">
        <f>IF(K63&gt;0,(AN60*K60+AN61*K61+AN62*K62)/K63,0)</f>
        <v>0.22248754010345054</v>
      </c>
      <c r="AO63" s="107">
        <f>IF(L63&gt;0,(AO60*K60+AO61*K61+AO62*K62)/K63,0)</f>
        <v>0.21183844911499594</v>
      </c>
      <c r="AP63" s="56">
        <f t="shared" ref="AP63" si="624">SUM(AP60:AP62)</f>
        <v>107.84998279999999</v>
      </c>
      <c r="AQ63" s="108">
        <f t="shared" si="580"/>
        <v>102.66450710000001</v>
      </c>
      <c r="AR63" s="54"/>
      <c r="AS63" s="54">
        <f t="shared" ref="AS63" si="625">SUM(AS60:AS62)</f>
        <v>1006.94</v>
      </c>
      <c r="AT63" s="83"/>
      <c r="AU63" s="84">
        <f>AT62</f>
        <v>1747.619999999999</v>
      </c>
      <c r="AV63" s="49">
        <f t="shared" ref="AV63" si="626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53</v>
      </c>
      <c r="D64" s="11">
        <v>4402</v>
      </c>
      <c r="E64" s="11">
        <v>0</v>
      </c>
      <c r="F64" s="11">
        <v>11231</v>
      </c>
      <c r="G64" s="12">
        <v>0.7</v>
      </c>
      <c r="H64" s="12">
        <v>4.5999999999999996</v>
      </c>
      <c r="I64" s="11">
        <v>10565</v>
      </c>
      <c r="J64" s="12">
        <v>4</v>
      </c>
      <c r="K64" s="11">
        <v>15461</v>
      </c>
      <c r="L64" s="13">
        <v>7.0000000000000007E-2</v>
      </c>
      <c r="M64" s="23">
        <f>ROUND(K64*(1-L64),0)</f>
        <v>14379</v>
      </c>
      <c r="N64" s="14">
        <v>0.78600000000000003</v>
      </c>
      <c r="O64" s="24">
        <f t="shared" ref="O64:O66" si="627">M64*N64</f>
        <v>11301.894</v>
      </c>
      <c r="P64" s="13">
        <v>0.16500000000000001</v>
      </c>
      <c r="Q64" s="24">
        <f t="shared" ref="Q64:Q66" si="628">M64*P64</f>
        <v>2372.5350000000003</v>
      </c>
      <c r="R64" s="15">
        <v>4.9000000000000002E-2</v>
      </c>
      <c r="S64" s="112">
        <v>0.22639999999999999</v>
      </c>
      <c r="T64" s="24">
        <f t="shared" ref="T64:T66" si="629">M64*R64</f>
        <v>704.57100000000003</v>
      </c>
      <c r="U64" s="25">
        <v>0.224</v>
      </c>
      <c r="V64" s="24">
        <f t="shared" ref="V64:V66" si="630">M64*U64</f>
        <v>3220.8960000000002</v>
      </c>
      <c r="W64" s="15">
        <v>0.49099999999999999</v>
      </c>
      <c r="X64" s="24">
        <f t="shared" ref="X64:X66" si="631">M64*W64</f>
        <v>7060.0889999999999</v>
      </c>
      <c r="Y64" s="15">
        <v>0.42</v>
      </c>
      <c r="Z64" s="24">
        <f t="shared" ref="Z64:Z66" si="632">Y64*M64</f>
        <v>6039.1799999999994</v>
      </c>
      <c r="AA64" s="116">
        <v>2.7499999999999998E-3</v>
      </c>
      <c r="AB64" s="18">
        <f t="shared" ref="AB64" si="633">M64*AA64</f>
        <v>39.542249999999996</v>
      </c>
      <c r="AC64" s="16">
        <v>2.6900000000000001E-3</v>
      </c>
      <c r="AD64" s="17">
        <f t="shared" ref="AD64:AD66" si="634">M64*AC64</f>
        <v>38.679510000000001</v>
      </c>
      <c r="AE64" s="26">
        <f>IF(M64&gt;0,(AG64+AP64)/M64,0)</f>
        <v>2.7342832255372418E-3</v>
      </c>
      <c r="AF64" s="16">
        <v>2.5000000000000001E-4</v>
      </c>
      <c r="AG64" s="23">
        <f t="shared" ref="AG64:AG66" si="635">AF64*M64</f>
        <v>3.5947499999999999</v>
      </c>
      <c r="AH64" s="92">
        <v>0.2132</v>
      </c>
      <c r="AI64" s="29">
        <f t="shared" ref="AI64:AI66" si="636">AL64*(1-AM64)*AH64</f>
        <v>34.918962000000001</v>
      </c>
      <c r="AJ64" s="27">
        <f t="shared" ref="AJ64:AJ66" si="637">IF(AND(AH64&gt;0,AF64&gt;0,AC64&gt;0),((AC64-AF64)*AH64)/((AH64-AF64)*AC64),0)</f>
        <v>0.90812807516293959</v>
      </c>
      <c r="AK64" s="58">
        <f t="shared" si="6"/>
        <v>0.90961101344474649</v>
      </c>
      <c r="AL64" s="11">
        <v>179</v>
      </c>
      <c r="AM64" s="13">
        <v>8.5000000000000006E-2</v>
      </c>
      <c r="AN64" s="14">
        <v>0.21809999999999999</v>
      </c>
      <c r="AO64" s="101">
        <v>0.2122</v>
      </c>
      <c r="AP64" s="29">
        <f>AL64*(1-AM64)*AN64</f>
        <v>35.721508499999999</v>
      </c>
      <c r="AQ64" s="102">
        <f t="shared" ref="AQ64" si="638">AL64*(1-AM64)*AO64</f>
        <v>34.755176999999996</v>
      </c>
      <c r="AR64" s="18">
        <v>1.55</v>
      </c>
      <c r="AS64" s="18">
        <v>1009.38</v>
      </c>
      <c r="AT64" s="79">
        <f>AT62+AL64-AS64+AU64</f>
        <v>854.75999999999897</v>
      </c>
      <c r="AU64" s="130">
        <v>-62.48</v>
      </c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54</v>
      </c>
      <c r="D65" s="33">
        <v>20900</v>
      </c>
      <c r="E65" s="33">
        <v>3</v>
      </c>
      <c r="F65" s="33">
        <v>16396</v>
      </c>
      <c r="G65" s="34">
        <v>0.6</v>
      </c>
      <c r="H65" s="34">
        <v>3.5</v>
      </c>
      <c r="I65" s="33">
        <v>15899</v>
      </c>
      <c r="J65" s="34">
        <v>3.8</v>
      </c>
      <c r="K65" s="33">
        <v>15634</v>
      </c>
      <c r="L65" s="35">
        <v>7.0999999999999994E-2</v>
      </c>
      <c r="M65" s="36">
        <f>ROUND(K65*(1-L65),0)</f>
        <v>14524</v>
      </c>
      <c r="N65" s="37">
        <v>0.69399999999999995</v>
      </c>
      <c r="O65" s="24">
        <f t="shared" si="627"/>
        <v>10079.655999999999</v>
      </c>
      <c r="P65" s="35">
        <v>0.252</v>
      </c>
      <c r="Q65" s="24">
        <f t="shared" si="628"/>
        <v>3660.0480000000002</v>
      </c>
      <c r="R65" s="38">
        <v>5.3999999999999999E-2</v>
      </c>
      <c r="S65" s="105">
        <v>0.26500000000000001</v>
      </c>
      <c r="T65" s="24">
        <f t="shared" si="629"/>
        <v>784.29599999999994</v>
      </c>
      <c r="U65" s="27">
        <v>0.22700000000000001</v>
      </c>
      <c r="V65" s="24">
        <f t="shared" si="630"/>
        <v>3296.9480000000003</v>
      </c>
      <c r="W65" s="38">
        <v>0.498</v>
      </c>
      <c r="X65" s="24">
        <f t="shared" si="631"/>
        <v>7232.9520000000002</v>
      </c>
      <c r="Y65" s="38">
        <v>0.42</v>
      </c>
      <c r="Z65" s="24">
        <f t="shared" si="632"/>
        <v>6100.08</v>
      </c>
      <c r="AA65" s="117">
        <v>2.6800000000000001E-3</v>
      </c>
      <c r="AB65" s="18">
        <f t="shared" si="61"/>
        <v>38.924320000000002</v>
      </c>
      <c r="AC65" s="39">
        <v>2.7399999999999998E-3</v>
      </c>
      <c r="AD65" s="17">
        <f t="shared" si="634"/>
        <v>39.795759999999994</v>
      </c>
      <c r="AE65" s="26">
        <f>IF(M65&gt;0,(AG65+AP65)/M65,0)</f>
        <v>3.145680556320573E-3</v>
      </c>
      <c r="AF65" s="39">
        <v>2.5000000000000001E-4</v>
      </c>
      <c r="AG65" s="36">
        <f t="shared" si="635"/>
        <v>3.6310000000000002</v>
      </c>
      <c r="AH65" s="27">
        <v>0.21379999999999999</v>
      </c>
      <c r="AI65" s="40">
        <f t="shared" si="636"/>
        <v>39.558986400000002</v>
      </c>
      <c r="AJ65" s="27">
        <f t="shared" si="637"/>
        <v>0.90982299569153369</v>
      </c>
      <c r="AK65" s="28">
        <f t="shared" si="6"/>
        <v>0.9215395135127824</v>
      </c>
      <c r="AL65" s="33">
        <v>204</v>
      </c>
      <c r="AM65" s="35">
        <v>9.2999999999999999E-2</v>
      </c>
      <c r="AN65" s="37">
        <v>0.2273</v>
      </c>
      <c r="AO65" s="103">
        <v>0.21679999999999999</v>
      </c>
      <c r="AP65" s="40">
        <f>AL65*(1-AM65)*AN65</f>
        <v>42.056864400000002</v>
      </c>
      <c r="AQ65" s="104">
        <f t="shared" si="21"/>
        <v>40.114070400000003</v>
      </c>
      <c r="AR65" s="41">
        <v>1.65</v>
      </c>
      <c r="AS65" s="41"/>
      <c r="AT65" s="129">
        <f>AT64+AL65-AS65</f>
        <v>1058.7599999999989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0" t="s">
        <v>55</v>
      </c>
      <c r="D66" s="42">
        <v>18891</v>
      </c>
      <c r="E66" s="42">
        <v>0</v>
      </c>
      <c r="F66" s="42">
        <v>18774</v>
      </c>
      <c r="G66" s="36">
        <v>0.5</v>
      </c>
      <c r="H66" s="36">
        <v>3.7</v>
      </c>
      <c r="I66" s="42">
        <v>17968</v>
      </c>
      <c r="J66" s="36">
        <v>2.5</v>
      </c>
      <c r="K66" s="42">
        <v>15795</v>
      </c>
      <c r="L66" s="38">
        <v>7.1999999999999995E-2</v>
      </c>
      <c r="M66" s="36">
        <f>ROUND(K66*(1-L66),0)</f>
        <v>14658</v>
      </c>
      <c r="N66" s="27">
        <v>0.60199999999999998</v>
      </c>
      <c r="O66" s="24">
        <f t="shared" si="627"/>
        <v>8824.116</v>
      </c>
      <c r="P66" s="38">
        <v>0.32300000000000001</v>
      </c>
      <c r="Q66" s="24">
        <f t="shared" si="628"/>
        <v>4734.5340000000006</v>
      </c>
      <c r="R66" s="38">
        <v>7.4999999999999997E-2</v>
      </c>
      <c r="S66" s="105">
        <v>0.23599999999999999</v>
      </c>
      <c r="T66" s="24">
        <f t="shared" si="629"/>
        <v>1099.3499999999999</v>
      </c>
      <c r="U66" s="27">
        <v>0.22900000000000001</v>
      </c>
      <c r="V66" s="24">
        <f t="shared" si="630"/>
        <v>3356.6820000000002</v>
      </c>
      <c r="W66" s="38">
        <v>0.48399999999999999</v>
      </c>
      <c r="X66" s="24">
        <f t="shared" si="631"/>
        <v>7094.4719999999998</v>
      </c>
      <c r="Y66" s="38">
        <v>0.42</v>
      </c>
      <c r="Z66" s="24">
        <f t="shared" si="632"/>
        <v>6156.36</v>
      </c>
      <c r="AA66" s="118">
        <v>2.7399999999999998E-3</v>
      </c>
      <c r="AB66" s="121">
        <f t="shared" si="61"/>
        <v>40.16292</v>
      </c>
      <c r="AC66" s="45">
        <v>2.8300000000000001E-3</v>
      </c>
      <c r="AD66" s="17">
        <f t="shared" si="634"/>
        <v>41.482140000000001</v>
      </c>
      <c r="AE66" s="26">
        <f>IF(M66&gt;0,(AG66+AP66)/M66,0)</f>
        <v>2.8193705280392962E-3</v>
      </c>
      <c r="AF66" s="45">
        <v>2.5000000000000001E-4</v>
      </c>
      <c r="AG66" s="36">
        <f t="shared" si="635"/>
        <v>3.6644999999999999</v>
      </c>
      <c r="AH66" s="27">
        <v>0.21179999999999999</v>
      </c>
      <c r="AI66" s="40">
        <f t="shared" si="636"/>
        <v>36.274562400000001</v>
      </c>
      <c r="AJ66" s="27">
        <f t="shared" si="637"/>
        <v>0.91273813590251296</v>
      </c>
      <c r="AK66" s="28">
        <f t="shared" si="6"/>
        <v>0.91236497442778031</v>
      </c>
      <c r="AL66" s="42">
        <v>188</v>
      </c>
      <c r="AM66" s="38">
        <v>8.8999999999999996E-2</v>
      </c>
      <c r="AN66" s="27">
        <v>0.21990000000000001</v>
      </c>
      <c r="AO66" s="105">
        <v>0.21729999999999999</v>
      </c>
      <c r="AP66" s="40">
        <f>AL66*(1-AM66)*AN66</f>
        <v>37.661833200000004</v>
      </c>
      <c r="AQ66" s="106">
        <f t="shared" si="21"/>
        <v>37.216536400000003</v>
      </c>
      <c r="AR66" s="17">
        <v>1.55</v>
      </c>
      <c r="AS66" s="17"/>
      <c r="AT66" s="129">
        <f>AT65+AL66-AS66</f>
        <v>1246.7599999999989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39">SUM(D64:D66)</f>
        <v>44193</v>
      </c>
      <c r="E67" s="49"/>
      <c r="F67" s="49">
        <f t="shared" ref="F67" si="640">SUM(F64:F66)</f>
        <v>46401</v>
      </c>
      <c r="G67" s="50"/>
      <c r="H67" s="50"/>
      <c r="I67" s="49">
        <f t="shared" ref="I67:K67" si="641">SUM(I64:I66)</f>
        <v>44432</v>
      </c>
      <c r="J67" s="50"/>
      <c r="K67" s="49">
        <f t="shared" si="641"/>
        <v>46890</v>
      </c>
      <c r="L67" s="20">
        <f t="shared" ref="L67" si="642">IF(K67&gt;0,(K64*L64+K65*L65+K66*L66)/K67,0)</f>
        <v>7.1007123053956081E-2</v>
      </c>
      <c r="M67" s="50">
        <f t="shared" ref="M67" si="643">M64+M65+M66</f>
        <v>43561</v>
      </c>
      <c r="N67" s="51">
        <f t="shared" ref="N67" si="644">IF(M67&gt;0,O67/M67,0)</f>
        <v>0.6934107573288032</v>
      </c>
      <c r="O67" s="52">
        <f t="shared" ref="O67" si="645">O64+O65+O66</f>
        <v>30205.665999999997</v>
      </c>
      <c r="P67" s="20">
        <f t="shared" ref="P67" si="646">IF(M67&gt;0,Q67/M67,0)</f>
        <v>0.24717332017171328</v>
      </c>
      <c r="Q67" s="52">
        <f t="shared" ref="Q67" si="647">Q64+Q65+Q66</f>
        <v>10767.117000000002</v>
      </c>
      <c r="R67" s="20">
        <f t="shared" ref="R67" si="648">IF(M67&gt;0,T67/M67,0)</f>
        <v>5.9415922499483471E-2</v>
      </c>
      <c r="S67" s="107"/>
      <c r="T67" s="52">
        <f t="shared" ref="T67" si="649">T64+T65+T66</f>
        <v>2588.2169999999996</v>
      </c>
      <c r="U67" s="20">
        <f t="shared" ref="U67" si="650">IF(M67&gt;0,V67/M67,0)</f>
        <v>0.22668272078235122</v>
      </c>
      <c r="V67" s="52">
        <f t="shared" ref="V67" si="651">V64+V65+V66</f>
        <v>9874.5260000000017</v>
      </c>
      <c r="W67" s="20">
        <f t="shared" ref="W67" si="652">IF(M67&gt;0,X67/M67,0)</f>
        <v>0.4909784669773421</v>
      </c>
      <c r="X67" s="52">
        <f t="shared" ref="X67" si="653">X64+X65+X66</f>
        <v>21387.512999999999</v>
      </c>
      <c r="Y67" s="20">
        <f t="shared" ref="Y67" si="654">IF(M67&gt;0,Z67/M67,0)</f>
        <v>0.42</v>
      </c>
      <c r="Z67" s="52">
        <f t="shared" ref="Z67" si="655">Z64+Z65+Z66</f>
        <v>18295.62</v>
      </c>
      <c r="AA67" s="119">
        <f t="shared" ref="AA67" si="656">IF(M67&gt;0,AB67/M67,0)</f>
        <v>2.7232958380202471E-3</v>
      </c>
      <c r="AB67" s="54">
        <f t="shared" ref="AB67" si="657">SUM(AB64:AB66)</f>
        <v>118.62948999999999</v>
      </c>
      <c r="AC67" s="53">
        <f t="shared" ref="AC67" si="658">IF(M67&gt;0,AD67/M67,0)</f>
        <v>2.7537799866853376E-3</v>
      </c>
      <c r="AD67" s="54">
        <f t="shared" ref="AD67" si="659">SUM(AD64:AD66)</f>
        <v>119.95741</v>
      </c>
      <c r="AE67" s="53">
        <f t="shared" ref="AE67" si="660">IF(M67&gt;0,(AE64*M64+AE65*M65+AE66*M66)/M67,0)</f>
        <v>2.9000816349486922E-3</v>
      </c>
      <c r="AF67" s="53">
        <f t="shared" ref="AF67" si="661">IF(K67&gt;0,(K64*AF64+K65*AF65+K66*AF66)/K67,0)</f>
        <v>2.5000000000000001E-4</v>
      </c>
      <c r="AG67" s="50">
        <f t="shared" ref="AG67" si="662">SUM(AG64:AG66)</f>
        <v>10.89025</v>
      </c>
      <c r="AH67" s="51">
        <f t="shared" ref="AH67" si="663">IF(K67&gt;0,(K64*AH64+K65*AH65+K66*AH66)/K67,0)</f>
        <v>0.2129284580934101</v>
      </c>
      <c r="AI67" s="56">
        <f t="shared" ref="AI67" si="664">SUM(AI64:AI66)</f>
        <v>110.75251080000001</v>
      </c>
      <c r="AJ67" s="51">
        <f t="shared" ref="AJ67" si="665">IF(AND(AD67&gt;0),((AD64*AJ64+AD65*AJ65+AD66*AJ66)/AD67),0)</f>
        <v>0.91028455583039058</v>
      </c>
      <c r="AK67" s="55">
        <f t="shared" si="6"/>
        <v>0.91482679129223377</v>
      </c>
      <c r="AL67" s="49">
        <f t="shared" ref="AL67" si="666">SUM(AL64:AL66)</f>
        <v>571</v>
      </c>
      <c r="AM67" s="20">
        <f t="shared" ref="AM67" si="667">IF(AL67&gt;0,(AM64*AL64+AM65*AL65+AM66*AL66)/AL67,0)</f>
        <v>8.9175131348511391E-2</v>
      </c>
      <c r="AN67" s="51">
        <f>IF(K67&gt;0,(AN64*K64+AN65*K65+AN66*K66)/K67,0)</f>
        <v>0.22177378545532095</v>
      </c>
      <c r="AO67" s="107">
        <f>IF(L67&gt;0,(AO64*K64+AO65*K65+AO66*K66)/K67,0)</f>
        <v>0.2154516719982939</v>
      </c>
      <c r="AP67" s="56">
        <f t="shared" ref="AP67" si="668">SUM(AP64:AP66)</f>
        <v>115.4402061</v>
      </c>
      <c r="AQ67" s="108">
        <f t="shared" si="580"/>
        <v>112.0857838</v>
      </c>
      <c r="AR67" s="54"/>
      <c r="AS67" s="54">
        <f t="shared" ref="AS67" si="669">SUM(AS64:AS66)</f>
        <v>1009.38</v>
      </c>
      <c r="AT67" s="83"/>
      <c r="AU67" s="84">
        <f>AT66</f>
        <v>1246.7599999999989</v>
      </c>
      <c r="AV67" s="49">
        <f t="shared" ref="AV67" si="670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43" t="s">
        <v>57</v>
      </c>
      <c r="D68" s="11">
        <v>4500</v>
      </c>
      <c r="E68" s="11">
        <v>1</v>
      </c>
      <c r="F68" s="11">
        <v>10960</v>
      </c>
      <c r="G68" s="12">
        <v>0.3</v>
      </c>
      <c r="H68" s="12">
        <v>3</v>
      </c>
      <c r="I68" s="11">
        <v>10736</v>
      </c>
      <c r="J68" s="12">
        <v>4</v>
      </c>
      <c r="K68" s="11">
        <v>15799</v>
      </c>
      <c r="L68" s="13">
        <v>7.0999999999999994E-2</v>
      </c>
      <c r="M68" s="23">
        <f>ROUND(K68*(1-L68),0)</f>
        <v>14677</v>
      </c>
      <c r="N68" s="14">
        <v>0.67100000000000004</v>
      </c>
      <c r="O68" s="24">
        <f t="shared" ref="O68:O70" si="671">M68*N68</f>
        <v>9848.2669999999998</v>
      </c>
      <c r="P68" s="13">
        <v>0.26400000000000001</v>
      </c>
      <c r="Q68" s="24">
        <f t="shared" ref="Q68:Q70" si="672">M68*P68</f>
        <v>3874.7280000000001</v>
      </c>
      <c r="R68" s="15">
        <v>6.5000000000000002E-2</v>
      </c>
      <c r="S68" s="112">
        <v>0.21429999999999999</v>
      </c>
      <c r="T68" s="24">
        <f t="shared" ref="T68:T70" si="673">M68*R68</f>
        <v>954.005</v>
      </c>
      <c r="U68" s="25">
        <v>0.222</v>
      </c>
      <c r="V68" s="24">
        <f t="shared" ref="V68:V70" si="674">M68*U68</f>
        <v>3258.2939999999999</v>
      </c>
      <c r="W68" s="15">
        <v>0.48699999999999999</v>
      </c>
      <c r="X68" s="24">
        <f t="shared" ref="X68:X70" si="675">M68*W68</f>
        <v>7147.6989999999996</v>
      </c>
      <c r="Y68" s="15">
        <v>0.43</v>
      </c>
      <c r="Z68" s="24">
        <f t="shared" ref="Z68:Z70" si="676">Y68*M68</f>
        <v>6311.11</v>
      </c>
      <c r="AA68" s="116">
        <v>2.7200000000000002E-3</v>
      </c>
      <c r="AB68" s="18">
        <f t="shared" ref="AB68" si="677">M68*AA68</f>
        <v>39.921440000000004</v>
      </c>
      <c r="AC68" s="16">
        <v>2.8800000000000002E-3</v>
      </c>
      <c r="AD68" s="17">
        <f t="shared" ref="AD68:AD70" si="678">M68*AC68</f>
        <v>42.269760000000005</v>
      </c>
      <c r="AE68" s="26">
        <f>IF(M68&gt;0,(AG68+AP68)/M68,0)</f>
        <v>3.3236845199972748E-3</v>
      </c>
      <c r="AF68" s="16">
        <v>2.5999999999999998E-4</v>
      </c>
      <c r="AG68" s="23">
        <f t="shared" ref="AG68:AG70" si="679">AF68*M68</f>
        <v>3.8160199999999995</v>
      </c>
      <c r="AH68" s="92">
        <v>0.215</v>
      </c>
      <c r="AI68" s="29">
        <f t="shared" ref="AI68:AI70" si="680">AL68*(1-AM68)*AH68</f>
        <v>43.294334999999997</v>
      </c>
      <c r="AJ68" s="27">
        <f t="shared" ref="AJ68:AJ70" si="681">IF(AND(AH68&gt;0,AF68&gt;0,AC68&gt;0),((AC68-AF68)*AH68)/((AH68-AF68)*AC68),0)</f>
        <v>0.9108236834207778</v>
      </c>
      <c r="AK68" s="58">
        <f t="shared" ref="AK68:AK123" si="682">IF(AND(AE68&gt;0,AN68&gt;0,AF68&gt;0),((AN68*(AE68-AF68))/(AE68*(AN68-AF68))),0)</f>
        <v>0.92284808314268496</v>
      </c>
      <c r="AL68" s="144">
        <v>223</v>
      </c>
      <c r="AM68" s="13">
        <v>9.7000000000000003E-2</v>
      </c>
      <c r="AN68" s="14">
        <v>0.2233</v>
      </c>
      <c r="AO68" s="101">
        <v>0.2177</v>
      </c>
      <c r="AP68" s="29">
        <f>AL68*(1-AM68)*AN68</f>
        <v>44.9656977</v>
      </c>
      <c r="AQ68" s="102">
        <f t="shared" ref="AQ68" si="683">AL68*(1-AM68)*AO68</f>
        <v>43.838031300000004</v>
      </c>
      <c r="AR68" s="18">
        <v>1.6</v>
      </c>
      <c r="AS68" s="18">
        <v>1006.88</v>
      </c>
      <c r="AT68" s="79">
        <f>AT66+AL68-AS68+AU68</f>
        <v>454.61999999999887</v>
      </c>
      <c r="AU68" s="130">
        <v>-8.26</v>
      </c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54</v>
      </c>
      <c r="D69" s="33">
        <v>20800</v>
      </c>
      <c r="E69" s="33">
        <v>3</v>
      </c>
      <c r="F69" s="33">
        <v>16494</v>
      </c>
      <c r="G69" s="34">
        <v>0.5</v>
      </c>
      <c r="H69" s="34">
        <v>3.4</v>
      </c>
      <c r="I69" s="33">
        <v>15452</v>
      </c>
      <c r="J69" s="34">
        <v>4</v>
      </c>
      <c r="K69" s="33">
        <v>15891</v>
      </c>
      <c r="L69" s="35">
        <v>6.3E-2</v>
      </c>
      <c r="M69" s="36">
        <f>ROUND(K69*(1-L69),0)</f>
        <v>14890</v>
      </c>
      <c r="N69" s="37">
        <v>0.66800000000000004</v>
      </c>
      <c r="O69" s="24">
        <f t="shared" si="671"/>
        <v>9946.52</v>
      </c>
      <c r="P69" s="35">
        <v>0.24299999999999999</v>
      </c>
      <c r="Q69" s="24">
        <f t="shared" si="672"/>
        <v>3618.27</v>
      </c>
      <c r="R69" s="38">
        <v>8.8999999999999996E-2</v>
      </c>
      <c r="S69" s="105">
        <v>0.21340000000000001</v>
      </c>
      <c r="T69" s="24">
        <f t="shared" si="673"/>
        <v>1325.21</v>
      </c>
      <c r="U69" s="27">
        <v>0.215</v>
      </c>
      <c r="V69" s="24">
        <f t="shared" si="674"/>
        <v>3201.35</v>
      </c>
      <c r="W69" s="38">
        <v>0.498</v>
      </c>
      <c r="X69" s="24">
        <f t="shared" si="675"/>
        <v>7415.22</v>
      </c>
      <c r="Y69" s="38">
        <v>0.42</v>
      </c>
      <c r="Z69" s="24">
        <f t="shared" si="676"/>
        <v>6253.8</v>
      </c>
      <c r="AA69" s="117">
        <v>2.82E-3</v>
      </c>
      <c r="AB69" s="18">
        <f t="shared" si="61"/>
        <v>41.989800000000002</v>
      </c>
      <c r="AC69" s="39">
        <v>2.8E-3</v>
      </c>
      <c r="AD69" s="17">
        <f t="shared" si="678"/>
        <v>41.692</v>
      </c>
      <c r="AE69" s="26">
        <f>IF(M69&gt;0,(AG69+AP69)/M69,0)</f>
        <v>2.9113035057085298E-3</v>
      </c>
      <c r="AF69" s="39">
        <v>2.5000000000000001E-4</v>
      </c>
      <c r="AG69" s="36">
        <f t="shared" si="679"/>
        <v>3.7225000000000001</v>
      </c>
      <c r="AH69" s="27">
        <v>0.20979999999999999</v>
      </c>
      <c r="AI69" s="40">
        <f t="shared" si="680"/>
        <v>37.635602399999996</v>
      </c>
      <c r="AJ69" s="27">
        <f t="shared" si="681"/>
        <v>0.91180079762756938</v>
      </c>
      <c r="AK69" s="28">
        <f t="shared" si="682"/>
        <v>0.91516353419473961</v>
      </c>
      <c r="AL69" s="33">
        <v>198</v>
      </c>
      <c r="AM69" s="35">
        <v>9.4E-2</v>
      </c>
      <c r="AN69" s="37">
        <v>0.22090000000000001</v>
      </c>
      <c r="AO69" s="103">
        <v>0.20949999999999999</v>
      </c>
      <c r="AP69" s="40">
        <f>AL69*(1-AM69)*AN69</f>
        <v>39.626809200000004</v>
      </c>
      <c r="AQ69" s="104">
        <f t="shared" si="21"/>
        <v>37.581786000000001</v>
      </c>
      <c r="AR69" s="41">
        <v>1.6</v>
      </c>
      <c r="AS69" s="41"/>
      <c r="AT69" s="129">
        <f>AT68+AL69-AS69</f>
        <v>652.61999999999887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55</v>
      </c>
      <c r="D70" s="42">
        <v>18100</v>
      </c>
      <c r="E70" s="42">
        <v>2</v>
      </c>
      <c r="F70" s="42">
        <v>19186</v>
      </c>
      <c r="G70" s="36">
        <v>0.3</v>
      </c>
      <c r="H70" s="36">
        <v>3.9</v>
      </c>
      <c r="I70" s="42">
        <v>18491</v>
      </c>
      <c r="J70" s="36">
        <v>2.5</v>
      </c>
      <c r="K70" s="42">
        <v>15947</v>
      </c>
      <c r="L70" s="38">
        <v>6.6000000000000003E-2</v>
      </c>
      <c r="M70" s="36">
        <f>ROUND(K70*(1-L70),0)</f>
        <v>14894</v>
      </c>
      <c r="N70" s="27">
        <v>0.67900000000000005</v>
      </c>
      <c r="O70" s="24">
        <f t="shared" si="671"/>
        <v>10113.026</v>
      </c>
      <c r="P70" s="38">
        <v>0.29199999999999998</v>
      </c>
      <c r="Q70" s="24">
        <f t="shared" si="672"/>
        <v>4349.0479999999998</v>
      </c>
      <c r="R70" s="38">
        <v>2.9000000000000001E-2</v>
      </c>
      <c r="S70" s="105">
        <v>0.21940000000000001</v>
      </c>
      <c r="T70" s="24">
        <f t="shared" si="673"/>
        <v>431.92600000000004</v>
      </c>
      <c r="U70" s="27">
        <v>0.21299999999999999</v>
      </c>
      <c r="V70" s="24">
        <f t="shared" si="674"/>
        <v>3172.422</v>
      </c>
      <c r="W70" s="38">
        <v>0.51</v>
      </c>
      <c r="X70" s="24">
        <f t="shared" si="675"/>
        <v>7595.9400000000005</v>
      </c>
      <c r="Y70" s="38">
        <v>0.41</v>
      </c>
      <c r="Z70" s="24">
        <f t="shared" si="676"/>
        <v>6106.54</v>
      </c>
      <c r="AA70" s="118">
        <v>2.7599999999999999E-3</v>
      </c>
      <c r="AB70" s="121">
        <f t="shared" si="61"/>
        <v>41.107439999999997</v>
      </c>
      <c r="AC70" s="45">
        <v>2.7000000000000001E-3</v>
      </c>
      <c r="AD70" s="17">
        <f t="shared" si="678"/>
        <v>40.213799999999999</v>
      </c>
      <c r="AE70" s="26">
        <f>IF(M70&gt;0,(AG70+AP70)/M70,0)</f>
        <v>2.8770670068483952E-3</v>
      </c>
      <c r="AF70" s="45">
        <v>2.5000000000000001E-4</v>
      </c>
      <c r="AG70" s="36">
        <f t="shared" si="679"/>
        <v>3.7235</v>
      </c>
      <c r="AH70" s="27">
        <v>0.2112</v>
      </c>
      <c r="AI70" s="40">
        <f t="shared" si="680"/>
        <v>36.436224000000003</v>
      </c>
      <c r="AJ70" s="27">
        <f t="shared" si="681"/>
        <v>0.90848278949724781</v>
      </c>
      <c r="AK70" s="28">
        <f t="shared" si="682"/>
        <v>0.91411357229146184</v>
      </c>
      <c r="AL70" s="42">
        <v>190</v>
      </c>
      <c r="AM70" s="38">
        <v>9.1999999999999998E-2</v>
      </c>
      <c r="AN70" s="27">
        <v>0.2268</v>
      </c>
      <c r="AO70" s="105">
        <v>0.21729999999999999</v>
      </c>
      <c r="AP70" s="40">
        <f>AL70*(1-AM70)*AN70</f>
        <v>39.127535999999999</v>
      </c>
      <c r="AQ70" s="106">
        <f t="shared" si="21"/>
        <v>37.488596000000001</v>
      </c>
      <c r="AR70" s="17">
        <v>1.6</v>
      </c>
      <c r="AS70" s="17"/>
      <c r="AT70" s="129">
        <f>AT69+AL70-AS70</f>
        <v>842.61999999999887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4">SUM(D68:D70)</f>
        <v>43400</v>
      </c>
      <c r="E71" s="49"/>
      <c r="F71" s="49">
        <f t="shared" ref="F71" si="685">SUM(F68:F70)</f>
        <v>46640</v>
      </c>
      <c r="G71" s="50"/>
      <c r="H71" s="50"/>
      <c r="I71" s="49">
        <f t="shared" ref="I71:K71" si="686">SUM(I68:I70)</f>
        <v>44679</v>
      </c>
      <c r="J71" s="50"/>
      <c r="K71" s="49">
        <f t="shared" si="686"/>
        <v>47637</v>
      </c>
      <c r="L71" s="20">
        <f t="shared" ref="L71" si="687">IF(K71&gt;0,(K68*L68+K69*L69+K70*L70)/K71,0)</f>
        <v>6.6657514117177824E-2</v>
      </c>
      <c r="M71" s="50">
        <f t="shared" ref="M71" si="688">M68+M69+M70</f>
        <v>44461</v>
      </c>
      <c r="N71" s="51">
        <f t="shared" ref="N71" si="689">IF(M71&gt;0,O71/M71,0)</f>
        <v>0.67267522098018495</v>
      </c>
      <c r="O71" s="52">
        <f t="shared" ref="O71" si="690">O68+O69+O70</f>
        <v>29907.813000000002</v>
      </c>
      <c r="P71" s="20">
        <f t="shared" ref="P71" si="691">IF(M71&gt;0,Q71/M71,0)</f>
        <v>0.26634682080924854</v>
      </c>
      <c r="Q71" s="52">
        <f t="shared" ref="Q71" si="692">Q68+Q69+Q70</f>
        <v>11842.045999999998</v>
      </c>
      <c r="R71" s="20">
        <f t="shared" ref="R71" si="693">IF(M71&gt;0,T71/M71,0)</f>
        <v>6.0977958210566563E-2</v>
      </c>
      <c r="S71" s="107"/>
      <c r="T71" s="52">
        <f t="shared" ref="T71" si="694">T68+T69+T70</f>
        <v>2711.1410000000001</v>
      </c>
      <c r="U71" s="20">
        <f t="shared" ref="U71" si="695">IF(M71&gt;0,V71/M71,0)</f>
        <v>0.21664078630710062</v>
      </c>
      <c r="V71" s="52">
        <f t="shared" ref="V71" si="696">V68+V69+V70</f>
        <v>9632.0660000000007</v>
      </c>
      <c r="W71" s="20">
        <f t="shared" ref="W71" si="697">IF(M71&gt;0,X71/M71,0)</f>
        <v>0.49838867771755024</v>
      </c>
      <c r="X71" s="52">
        <f t="shared" ref="X71" si="698">X68+X69+X70</f>
        <v>22158.859</v>
      </c>
      <c r="Y71" s="20">
        <f t="shared" ref="Y71" si="699">IF(M71&gt;0,Z71/M71,0)</f>
        <v>0.41995119318054025</v>
      </c>
      <c r="Z71" s="52">
        <f t="shared" ref="Z71" si="700">Z68+Z69+Z70</f>
        <v>18671.45</v>
      </c>
      <c r="AA71" s="119">
        <f t="shared" ref="AA71" si="701">IF(M71&gt;0,AB71/M71,0)</f>
        <v>2.7668896336114799E-3</v>
      </c>
      <c r="AB71" s="54">
        <f t="shared" ref="AB71" si="702">SUM(AB68:AB70)</f>
        <v>123.01868</v>
      </c>
      <c r="AC71" s="53">
        <f t="shared" ref="AC71" si="703">IF(M71&gt;0,AD71/M71,0)</f>
        <v>2.7929097411214321E-3</v>
      </c>
      <c r="AD71" s="54">
        <f t="shared" ref="AD71" si="704">SUM(AD68:AD70)</f>
        <v>124.17555999999999</v>
      </c>
      <c r="AE71" s="53">
        <f t="shared" ref="AE71" si="705">IF(M71&gt;0,(AE68*M68+AE69*M69+AE70*M70)/M71,0)</f>
        <v>3.0359655180945103E-3</v>
      </c>
      <c r="AF71" s="53">
        <f t="shared" ref="AF71" si="706">IF(K71&gt;0,(K68*AF68+K69*AF69+K70*AF70)/K71,0)</f>
        <v>2.5331653966454646E-4</v>
      </c>
      <c r="AG71" s="50">
        <f t="shared" ref="AG71" si="707">SUM(AG68:AG70)</f>
        <v>11.26202</v>
      </c>
      <c r="AH71" s="51">
        <f t="shared" ref="AH71" si="708">IF(K71&gt;0,(K68*AH68+K69*AH69+K70*AH70)/K71,0)</f>
        <v>0.21199326573881647</v>
      </c>
      <c r="AI71" s="56">
        <f t="shared" ref="AI71" si="709">SUM(AI68:AI70)</f>
        <v>117.36616140000001</v>
      </c>
      <c r="AJ71" s="51">
        <f t="shared" ref="AJ71" si="710">IF(AND(AD71&gt;0),((AD68*AJ68+AD69*AJ69+AD70*AJ70)/AD71),0)</f>
        <v>0.91039366003652655</v>
      </c>
      <c r="AK71" s="55">
        <f t="shared" si="682"/>
        <v>0.91760067688252267</v>
      </c>
      <c r="AL71" s="49">
        <f t="shared" ref="AL71" si="711">SUM(AL68:AL70)</f>
        <v>611</v>
      </c>
      <c r="AM71" s="20">
        <f t="shared" ref="AM71" si="712">IF(AL71&gt;0,(AM68*AL68+AM69*AL69+AM70*AL70)/AL71,0)</f>
        <v>9.447299509001636E-2</v>
      </c>
      <c r="AN71" s="51">
        <f>IF(K71&gt;0,(AN68*K68+AN69*K69+AN70*K70)/K71,0)</f>
        <v>0.22367105821105443</v>
      </c>
      <c r="AO71" s="107">
        <f>IF(L71&gt;0,(AO68*K68+AO69*K69+AO70*K70)/K71,0)</f>
        <v>0.21483069672733379</v>
      </c>
      <c r="AP71" s="56">
        <f t="shared" ref="AP71" si="713">SUM(AP68:AP70)</f>
        <v>123.72004290000001</v>
      </c>
      <c r="AQ71" s="108">
        <f t="shared" si="580"/>
        <v>118.90841330000001</v>
      </c>
      <c r="AR71" s="54"/>
      <c r="AS71" s="54">
        <f t="shared" ref="AS71" si="714">SUM(AS68:AS70)</f>
        <v>1006.88</v>
      </c>
      <c r="AT71" s="83"/>
      <c r="AU71" s="84">
        <f>AT70</f>
        <v>842.61999999999887</v>
      </c>
      <c r="AV71" s="49">
        <f t="shared" ref="AV71" si="715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43" t="s">
        <v>57</v>
      </c>
      <c r="D72" s="11">
        <v>15000</v>
      </c>
      <c r="E72" s="11">
        <v>0</v>
      </c>
      <c r="F72" s="11">
        <v>18492</v>
      </c>
      <c r="G72" s="12">
        <v>0.6</v>
      </c>
      <c r="H72" s="12">
        <v>4.0999999999999996</v>
      </c>
      <c r="I72" s="11">
        <v>17696</v>
      </c>
      <c r="J72" s="131">
        <v>2.4</v>
      </c>
      <c r="K72" s="11">
        <v>15878</v>
      </c>
      <c r="L72" s="13">
        <v>7.1999999999999995E-2</v>
      </c>
      <c r="M72" s="23">
        <f>ROUND(K72*(1-L72),0)</f>
        <v>14735</v>
      </c>
      <c r="N72" s="14">
        <v>0.69699999999999995</v>
      </c>
      <c r="O72" s="24">
        <f t="shared" ref="O72:O74" si="716">M72*N72</f>
        <v>10270.295</v>
      </c>
      <c r="P72" s="13">
        <v>0.251</v>
      </c>
      <c r="Q72" s="24">
        <f t="shared" ref="Q72:Q74" si="717">M72*P72</f>
        <v>3698.4850000000001</v>
      </c>
      <c r="R72" s="15">
        <v>5.1999999999999998E-2</v>
      </c>
      <c r="S72" s="112">
        <v>0.21809999999999999</v>
      </c>
      <c r="T72" s="24">
        <f t="shared" ref="T72:T74" si="718">M72*R72</f>
        <v>766.21999999999991</v>
      </c>
      <c r="U72" s="25">
        <v>0.214</v>
      </c>
      <c r="V72" s="24">
        <f t="shared" ref="V72:V74" si="719">M72*U72</f>
        <v>3153.29</v>
      </c>
      <c r="W72" s="15">
        <v>0.502</v>
      </c>
      <c r="X72" s="24">
        <f t="shared" ref="X72:X74" si="720">M72*W72</f>
        <v>7396.97</v>
      </c>
      <c r="Y72" s="15">
        <v>0.4</v>
      </c>
      <c r="Z72" s="24">
        <f t="shared" ref="Z72:Z74" si="721">Y72*M72</f>
        <v>5894</v>
      </c>
      <c r="AA72" s="116">
        <v>2.81E-3</v>
      </c>
      <c r="AB72" s="18">
        <f t="shared" ref="AB72" si="722">M72*AA72</f>
        <v>41.405349999999999</v>
      </c>
      <c r="AC72" s="16">
        <v>2.7200000000000002E-3</v>
      </c>
      <c r="AD72" s="17">
        <f t="shared" ref="AD72:AD74" si="723">M72*AC72</f>
        <v>40.0792</v>
      </c>
      <c r="AE72" s="26">
        <f>IF(M72&gt;0,(AG72+AP72)/M72,0)</f>
        <v>2.9638323719036312E-3</v>
      </c>
      <c r="AF72" s="16">
        <v>2.5000000000000001E-4</v>
      </c>
      <c r="AG72" s="23">
        <f t="shared" ref="AG72:AG74" si="724">AF72*M72</f>
        <v>3.6837499999999999</v>
      </c>
      <c r="AH72" s="92">
        <v>0.20760000000000001</v>
      </c>
      <c r="AI72" s="29">
        <f t="shared" ref="AI72:AI74" si="725">AL72*(1-AM72)*AH72</f>
        <v>37.700159999999997</v>
      </c>
      <c r="AJ72" s="27">
        <f t="shared" ref="AJ72:AJ74" si="726">IF(AND(AH72&gt;0,AF72&gt;0,AC72&gt;0),((AC72-AF72)*AH72)/((AH72-AF72)*AC72),0)</f>
        <v>0.90918310898026911</v>
      </c>
      <c r="AK72" s="58">
        <f t="shared" si="682"/>
        <v>0.91669049812928416</v>
      </c>
      <c r="AL72" s="11">
        <v>200</v>
      </c>
      <c r="AM72" s="13">
        <v>9.1999999999999998E-2</v>
      </c>
      <c r="AN72" s="14">
        <v>0.22020000000000001</v>
      </c>
      <c r="AO72" s="101">
        <v>0.20949999999999999</v>
      </c>
      <c r="AP72" s="29">
        <f>AL72*(1-AM72)*AN72</f>
        <v>39.988320000000002</v>
      </c>
      <c r="AQ72" s="102">
        <f t="shared" ref="AQ72:AQ123" si="727">AL72*(1-AM72)*AO72</f>
        <v>38.045199999999994</v>
      </c>
      <c r="AR72" s="18">
        <v>1.55</v>
      </c>
      <c r="AS72" s="18"/>
      <c r="AT72" s="79">
        <f>AT70+AL72-AS72</f>
        <v>1042.619999999999</v>
      </c>
      <c r="AU72" s="80"/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59</v>
      </c>
      <c r="D73" s="33">
        <v>16600</v>
      </c>
      <c r="E73" s="33">
        <v>0</v>
      </c>
      <c r="F73" s="33">
        <v>10860</v>
      </c>
      <c r="G73" s="34">
        <v>0.3</v>
      </c>
      <c r="H73" s="34">
        <v>3.4</v>
      </c>
      <c r="I73" s="33">
        <v>10716</v>
      </c>
      <c r="J73" s="132">
        <v>5</v>
      </c>
      <c r="K73" s="33">
        <v>15788</v>
      </c>
      <c r="L73" s="35">
        <v>0.08</v>
      </c>
      <c r="M73" s="36">
        <f>ROUND(K73*(1-L73),0)</f>
        <v>14525</v>
      </c>
      <c r="N73" s="37">
        <v>0.68400000000000005</v>
      </c>
      <c r="O73" s="24">
        <f t="shared" si="716"/>
        <v>9935.1</v>
      </c>
      <c r="P73" s="35">
        <v>0.251</v>
      </c>
      <c r="Q73" s="24">
        <f t="shared" si="717"/>
        <v>3645.7750000000001</v>
      </c>
      <c r="R73" s="38">
        <v>6.5000000000000002E-2</v>
      </c>
      <c r="S73" s="105">
        <v>0.22409999999999999</v>
      </c>
      <c r="T73" s="24">
        <f t="shared" si="718"/>
        <v>944.125</v>
      </c>
      <c r="U73" s="27">
        <v>0.218</v>
      </c>
      <c r="V73" s="24">
        <f t="shared" si="719"/>
        <v>3166.45</v>
      </c>
      <c r="W73" s="38">
        <v>0.498</v>
      </c>
      <c r="X73" s="24">
        <f t="shared" si="720"/>
        <v>7233.45</v>
      </c>
      <c r="Y73" s="38">
        <v>0.41</v>
      </c>
      <c r="Z73" s="24">
        <f t="shared" si="721"/>
        <v>5955.25</v>
      </c>
      <c r="AA73" s="117">
        <v>2.6199999999999999E-3</v>
      </c>
      <c r="AB73" s="18">
        <f t="shared" si="61"/>
        <v>38.055500000000002</v>
      </c>
      <c r="AC73" s="39">
        <v>2.5799999999999998E-3</v>
      </c>
      <c r="AD73" s="17">
        <f t="shared" si="723"/>
        <v>37.474499999999999</v>
      </c>
      <c r="AE73" s="26">
        <f>IF(M73&gt;0,(AG73+AP73)/M73,0)</f>
        <v>2.9374835662650603E-3</v>
      </c>
      <c r="AF73" s="39">
        <v>2.4000000000000001E-4</v>
      </c>
      <c r="AG73" s="36">
        <f t="shared" si="724"/>
        <v>3.4860000000000002</v>
      </c>
      <c r="AH73" s="27">
        <v>0.2097</v>
      </c>
      <c r="AI73" s="40">
        <f t="shared" si="725"/>
        <v>37.278788399999996</v>
      </c>
      <c r="AJ73" s="27">
        <f t="shared" si="726"/>
        <v>0.90801596130914708</v>
      </c>
      <c r="AK73" s="28">
        <f t="shared" si="682"/>
        <v>0.91929846621974243</v>
      </c>
      <c r="AL73" s="33">
        <v>196</v>
      </c>
      <c r="AM73" s="35">
        <v>9.2999999999999999E-2</v>
      </c>
      <c r="AN73" s="37">
        <v>0.22040000000000001</v>
      </c>
      <c r="AO73" s="103">
        <v>0.21129999999999999</v>
      </c>
      <c r="AP73" s="40">
        <f>AL73*(1-AM73)*AN73</f>
        <v>39.180948800000003</v>
      </c>
      <c r="AQ73" s="104">
        <f t="shared" si="727"/>
        <v>37.563223599999993</v>
      </c>
      <c r="AR73" s="41">
        <v>1.6</v>
      </c>
      <c r="AS73" s="41"/>
      <c r="AT73" s="129">
        <f>AT72+AL73-AS73</f>
        <v>1238.619999999999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55</v>
      </c>
      <c r="D74" s="42">
        <v>13770</v>
      </c>
      <c r="E74" s="42">
        <v>0</v>
      </c>
      <c r="F74" s="42">
        <v>17472</v>
      </c>
      <c r="G74" s="36">
        <v>0.5</v>
      </c>
      <c r="H74" s="36">
        <v>4.2</v>
      </c>
      <c r="I74" s="42">
        <v>16703</v>
      </c>
      <c r="J74" s="36">
        <v>2.5</v>
      </c>
      <c r="K74" s="42">
        <v>15655</v>
      </c>
      <c r="L74" s="38">
        <v>8.5999999999999993E-2</v>
      </c>
      <c r="M74" s="36">
        <f>ROUND(K74*(1-L74),0)</f>
        <v>14309</v>
      </c>
      <c r="N74" s="27">
        <v>0.432</v>
      </c>
      <c r="O74" s="24">
        <f t="shared" si="716"/>
        <v>6181.4880000000003</v>
      </c>
      <c r="P74" s="38">
        <v>0.54</v>
      </c>
      <c r="Q74" s="24">
        <f t="shared" si="717"/>
        <v>7726.8600000000006</v>
      </c>
      <c r="R74" s="38">
        <v>2.8000000000000001E-2</v>
      </c>
      <c r="S74" s="105">
        <v>0.22420000000000001</v>
      </c>
      <c r="T74" s="24">
        <f t="shared" si="718"/>
        <v>400.65199999999999</v>
      </c>
      <c r="U74" s="27">
        <v>0.216</v>
      </c>
      <c r="V74" s="24">
        <f t="shared" si="719"/>
        <v>3090.7440000000001</v>
      </c>
      <c r="W74" s="38">
        <v>0.499</v>
      </c>
      <c r="X74" s="24">
        <f t="shared" si="720"/>
        <v>7140.1909999999998</v>
      </c>
      <c r="Y74" s="38">
        <v>0.39</v>
      </c>
      <c r="Z74" s="24">
        <f t="shared" si="721"/>
        <v>5580.51</v>
      </c>
      <c r="AA74" s="118">
        <v>2.5200000000000001E-3</v>
      </c>
      <c r="AB74" s="121">
        <f t="shared" si="61"/>
        <v>36.058680000000003</v>
      </c>
      <c r="AC74" s="45">
        <v>2.5200000000000001E-3</v>
      </c>
      <c r="AD74" s="17">
        <f t="shared" si="723"/>
        <v>36.058680000000003</v>
      </c>
      <c r="AE74" s="26">
        <f>IF(M74&gt;0,(AG74+AP74)/M74,0)</f>
        <v>2.6141385701306868E-3</v>
      </c>
      <c r="AF74" s="45">
        <v>2.4000000000000001E-4</v>
      </c>
      <c r="AG74" s="36">
        <f t="shared" si="724"/>
        <v>3.4341599999999999</v>
      </c>
      <c r="AH74" s="27">
        <v>0.21510000000000001</v>
      </c>
      <c r="AI74" s="40">
        <f t="shared" si="725"/>
        <v>32.812214400000002</v>
      </c>
      <c r="AJ74" s="27">
        <f t="shared" si="726"/>
        <v>0.90577252962061661</v>
      </c>
      <c r="AK74" s="28">
        <f t="shared" si="682"/>
        <v>0.9091713523990983</v>
      </c>
      <c r="AL74" s="42">
        <v>168</v>
      </c>
      <c r="AM74" s="38">
        <v>9.1999999999999998E-2</v>
      </c>
      <c r="AN74" s="27">
        <v>0.22270000000000001</v>
      </c>
      <c r="AO74" s="105">
        <v>0.21410000000000001</v>
      </c>
      <c r="AP74" s="40">
        <f>AL74*(1-AM74)*AN74</f>
        <v>33.971548800000001</v>
      </c>
      <c r="AQ74" s="106">
        <f t="shared" si="727"/>
        <v>32.659670400000003</v>
      </c>
      <c r="AR74" s="17">
        <v>1.55</v>
      </c>
      <c r="AS74" s="17"/>
      <c r="AT74" s="129">
        <f>AT73+AL74-AS74</f>
        <v>1406.619999999999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8">SUM(D72:D74)</f>
        <v>45370</v>
      </c>
      <c r="E75" s="49"/>
      <c r="F75" s="49">
        <f t="shared" ref="F75" si="729">SUM(F72:F74)</f>
        <v>46824</v>
      </c>
      <c r="G75" s="50"/>
      <c r="H75" s="50"/>
      <c r="I75" s="49">
        <f t="shared" ref="I75:K75" si="730">SUM(I72:I74)</f>
        <v>45115</v>
      </c>
      <c r="J75" s="50"/>
      <c r="K75" s="49">
        <f t="shared" si="730"/>
        <v>47321</v>
      </c>
      <c r="L75" s="20">
        <f t="shared" ref="L75" si="731">IF(K75&gt;0,(K72*L72+K73*L73+K74*L74)/K75,0)</f>
        <v>7.9300648760592549E-2</v>
      </c>
      <c r="M75" s="50">
        <f t="shared" ref="M75" si="732">M72+M73+M74</f>
        <v>43569</v>
      </c>
      <c r="N75" s="51">
        <f t="shared" ref="N75" si="733">IF(M75&gt;0,O75/M75,0)</f>
        <v>0.60563435011131772</v>
      </c>
      <c r="O75" s="52">
        <f t="shared" ref="O75" si="734">O72+O73+O74</f>
        <v>26386.883000000002</v>
      </c>
      <c r="P75" s="20">
        <f t="shared" ref="P75" si="735">IF(M75&gt;0,Q75/M75,0)</f>
        <v>0.34591383782046869</v>
      </c>
      <c r="Q75" s="52">
        <f t="shared" ref="Q75" si="736">Q72+Q73+Q74</f>
        <v>15071.12</v>
      </c>
      <c r="R75" s="20">
        <f t="shared" ref="R75" si="737">IF(M75&gt;0,T75/M75,0)</f>
        <v>4.8451812068213633E-2</v>
      </c>
      <c r="S75" s="107"/>
      <c r="T75" s="52">
        <f t="shared" ref="T75" si="738">T72+T73+T74</f>
        <v>2110.9969999999998</v>
      </c>
      <c r="U75" s="20">
        <f t="shared" ref="U75" si="739">IF(M75&gt;0,V75/M75,0)</f>
        <v>0.21599036011843284</v>
      </c>
      <c r="V75" s="52">
        <f t="shared" ref="V75" si="740">V72+V73+V74</f>
        <v>9410.4840000000004</v>
      </c>
      <c r="W75" s="20">
        <f t="shared" ref="W75" si="741">IF(M75&gt;0,X75/M75,0)</f>
        <v>0.4996812182974133</v>
      </c>
      <c r="X75" s="52">
        <f t="shared" ref="X75" si="742">X72+X73+X74</f>
        <v>21770.611000000001</v>
      </c>
      <c r="Y75" s="20">
        <f t="shared" ref="Y75" si="743">IF(M75&gt;0,Z75/M75,0)</f>
        <v>0.40004957653377404</v>
      </c>
      <c r="Z75" s="52">
        <f t="shared" ref="Z75" si="744">Z72+Z73+Z74</f>
        <v>17429.760000000002</v>
      </c>
      <c r="AA75" s="119">
        <f t="shared" ref="AA75" si="745">IF(M75&gt;0,AB75/M75,0)</f>
        <v>2.6514156854644359E-3</v>
      </c>
      <c r="AB75" s="54">
        <f t="shared" ref="AB75" si="746">SUM(AB72:AB74)</f>
        <v>115.51953</v>
      </c>
      <c r="AC75" s="53">
        <f t="shared" ref="AC75" si="747">IF(M75&gt;0,AD75/M75,0)</f>
        <v>2.6076425899148477E-3</v>
      </c>
      <c r="AD75" s="54">
        <f t="shared" ref="AD75" si="748">SUM(AD72:AD74)</f>
        <v>113.61238</v>
      </c>
      <c r="AE75" s="53">
        <f t="shared" ref="AE75" si="749">IF(M75&gt;0,(AE72*M72+AE73*M73+AE74*M74)/M75,0)</f>
        <v>2.8402012348229247E-3</v>
      </c>
      <c r="AF75" s="53">
        <f t="shared" ref="AF75" si="750">IF(K75&gt;0,(K72*AF72+K73*AF73+K74*AF74)/K75,0)</f>
        <v>2.4335538133175548E-4</v>
      </c>
      <c r="AG75" s="50">
        <f t="shared" ref="AG75" si="751">SUM(AG72:AG74)</f>
        <v>10.603910000000001</v>
      </c>
      <c r="AH75" s="51">
        <f t="shared" ref="AH75" si="752">IF(K75&gt;0,(K72*AH72+K73*AH73+K74*AH74)/K75,0)</f>
        <v>0.21078182836372861</v>
      </c>
      <c r="AI75" s="56">
        <f t="shared" ref="AI75" si="753">SUM(AI72:AI74)</f>
        <v>107.7911628</v>
      </c>
      <c r="AJ75" s="51">
        <f t="shared" ref="AJ75" si="754">IF(AND(AD75&gt;0),((AD72*AJ72+AD73*AJ73+AD74*AJ74)/AD75),0)</f>
        <v>0.90771566973512896</v>
      </c>
      <c r="AK75" s="55">
        <f t="shared" si="682"/>
        <v>0.91532504437542506</v>
      </c>
      <c r="AL75" s="49">
        <f t="shared" ref="AL75" si="755">SUM(AL72:AL74)</f>
        <v>564</v>
      </c>
      <c r="AM75" s="20">
        <f t="shared" ref="AM75" si="756">IF(AL75&gt;0,(AM72*AL72+AM73*AL73+AM74*AL74)/AL75,0)</f>
        <v>9.2347517730496459E-2</v>
      </c>
      <c r="AN75" s="51">
        <f>IF(K75&gt;0,(AN72*K72+AN73*K73+AN74*K74)/K75,0)</f>
        <v>0.22109379133999704</v>
      </c>
      <c r="AO75" s="107">
        <f>IF(L75&gt;0,(AO72*K72+AO73*K73+AO74*K74)/K75,0)</f>
        <v>0.21162234314574924</v>
      </c>
      <c r="AP75" s="56">
        <f t="shared" ref="AP75:AQ87" si="757">SUM(AP72:AP74)</f>
        <v>113.14081759999999</v>
      </c>
      <c r="AQ75" s="108">
        <f t="shared" si="757"/>
        <v>108.26809399999999</v>
      </c>
      <c r="AR75" s="54"/>
      <c r="AS75" s="54">
        <f t="shared" ref="AS75" si="758">SUM(AS72:AS74)</f>
        <v>0</v>
      </c>
      <c r="AT75" s="83"/>
      <c r="AU75" s="84">
        <f>AT74</f>
        <v>1406.619999999999</v>
      </c>
      <c r="AV75" s="49">
        <f t="shared" ref="AV75" si="759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57</v>
      </c>
      <c r="D76" s="11">
        <v>11800</v>
      </c>
      <c r="E76" s="11">
        <v>1</v>
      </c>
      <c r="F76" s="11">
        <v>16881</v>
      </c>
      <c r="G76" s="12">
        <v>0.7</v>
      </c>
      <c r="H76" s="12">
        <v>5</v>
      </c>
      <c r="I76" s="11">
        <v>16259</v>
      </c>
      <c r="J76" s="12">
        <v>1.9</v>
      </c>
      <c r="K76" s="11">
        <v>15874</v>
      </c>
      <c r="L76" s="13">
        <v>7.0999999999999994E-2</v>
      </c>
      <c r="M76" s="23">
        <f>ROUND(K76*(1-L76),0)</f>
        <v>14747</v>
      </c>
      <c r="N76" s="14">
        <v>0.58499999999999996</v>
      </c>
      <c r="O76" s="24">
        <f t="shared" ref="O76:O78" si="760">M76*N76</f>
        <v>8626.994999999999</v>
      </c>
      <c r="P76" s="13">
        <v>0.36</v>
      </c>
      <c r="Q76" s="24">
        <f t="shared" ref="Q76:Q78" si="761">M76*P76</f>
        <v>5308.92</v>
      </c>
      <c r="R76" s="15">
        <v>5.5E-2</v>
      </c>
      <c r="S76" s="112">
        <v>0.22950000000000001</v>
      </c>
      <c r="T76" s="24">
        <f t="shared" ref="T76:T78" si="762">M76*R76</f>
        <v>811.08500000000004</v>
      </c>
      <c r="U76" s="25">
        <v>0.22500000000000001</v>
      </c>
      <c r="V76" s="24">
        <f t="shared" ref="V76:V78" si="763">M76*U76</f>
        <v>3318.0750000000003</v>
      </c>
      <c r="W76" s="15">
        <v>0.495</v>
      </c>
      <c r="X76" s="24">
        <f t="shared" ref="X76:X78" si="764">M76*W76</f>
        <v>7299.7650000000003</v>
      </c>
      <c r="Y76" s="15">
        <v>0.41</v>
      </c>
      <c r="Z76" s="24">
        <f t="shared" ref="Z76:Z78" si="765">Y76*M76</f>
        <v>6046.2699999999995</v>
      </c>
      <c r="AA76" s="116">
        <v>2.5899999999999999E-3</v>
      </c>
      <c r="AB76" s="18">
        <f t="shared" ref="AB76:AB123" si="766">M76*AA76</f>
        <v>38.19473</v>
      </c>
      <c r="AC76" s="16">
        <v>2.6900000000000001E-3</v>
      </c>
      <c r="AD76" s="17">
        <f t="shared" ref="AD76:AD78" si="767">M76*AC76</f>
        <v>39.669429999999998</v>
      </c>
      <c r="AE76" s="26">
        <f>IF(M76&gt;0,(AG76+AP76)/M76,0)</f>
        <v>2.7680271919712485E-3</v>
      </c>
      <c r="AF76" s="16">
        <v>2.4000000000000001E-4</v>
      </c>
      <c r="AG76" s="23">
        <f t="shared" ref="AG76:AG78" si="768">AF76*M76</f>
        <v>3.5392800000000002</v>
      </c>
      <c r="AH76" s="92">
        <v>0.21179999999999999</v>
      </c>
      <c r="AI76" s="29">
        <f t="shared" ref="AI76:AI78" si="769">AL76*(1-AM76)*AH76</f>
        <v>36.387451800000001</v>
      </c>
      <c r="AJ76" s="27">
        <f t="shared" ref="AJ76:AJ78" si="770">IF(AND(AH76&gt;0,AF76&gt;0,AC76&gt;0),((AC76-AF76)*AH76)/((AH76-AF76)*AC76),0)</f>
        <v>0.91181388601298474</v>
      </c>
      <c r="AK76" s="58">
        <f t="shared" si="682"/>
        <v>0.91430686440968467</v>
      </c>
      <c r="AL76" s="11">
        <v>189</v>
      </c>
      <c r="AM76" s="13">
        <v>9.0999999999999998E-2</v>
      </c>
      <c r="AN76" s="14">
        <v>0.217</v>
      </c>
      <c r="AO76" s="101">
        <v>0.20669999999999999</v>
      </c>
      <c r="AP76" s="29">
        <f>AL76*(1-AM76)*AN76</f>
        <v>37.280817000000006</v>
      </c>
      <c r="AQ76" s="102">
        <f t="shared" ref="AQ76" si="771">AL76*(1-AM76)*AO76</f>
        <v>35.5112667</v>
      </c>
      <c r="AR76" s="18">
        <v>1.55</v>
      </c>
      <c r="AS76" s="18"/>
      <c r="AT76" s="79">
        <f>AT74+AL76-AS76</f>
        <v>1595.619999999999</v>
      </c>
      <c r="AU76" s="80"/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43" t="s">
        <v>58</v>
      </c>
      <c r="D77" s="33">
        <v>19600</v>
      </c>
      <c r="E77" s="33">
        <v>3</v>
      </c>
      <c r="F77" s="33">
        <v>16236</v>
      </c>
      <c r="G77" s="34">
        <v>0.2</v>
      </c>
      <c r="H77" s="34">
        <v>3.4</v>
      </c>
      <c r="I77" s="33">
        <v>15738</v>
      </c>
      <c r="J77" s="34">
        <v>2</v>
      </c>
      <c r="K77" s="33">
        <v>15856</v>
      </c>
      <c r="L77" s="35">
        <v>0.08</v>
      </c>
      <c r="M77" s="36">
        <f>ROUND(K77*(1-L77),0)</f>
        <v>14588</v>
      </c>
      <c r="N77" s="37">
        <v>0.69699999999999995</v>
      </c>
      <c r="O77" s="24">
        <f t="shared" si="760"/>
        <v>10167.835999999999</v>
      </c>
      <c r="P77" s="35">
        <v>0.26600000000000001</v>
      </c>
      <c r="Q77" s="24">
        <f t="shared" si="761"/>
        <v>3880.4080000000004</v>
      </c>
      <c r="R77" s="38">
        <v>3.6999999999999998E-2</v>
      </c>
      <c r="S77" s="105">
        <v>0.23219999999999999</v>
      </c>
      <c r="T77" s="24">
        <f t="shared" si="762"/>
        <v>539.75599999999997</v>
      </c>
      <c r="U77" s="27">
        <v>0.219</v>
      </c>
      <c r="V77" s="24">
        <f t="shared" si="763"/>
        <v>3194.7719999999999</v>
      </c>
      <c r="W77" s="38">
        <v>0.5</v>
      </c>
      <c r="X77" s="24">
        <f t="shared" si="764"/>
        <v>7294</v>
      </c>
      <c r="Y77" s="38">
        <v>0.41</v>
      </c>
      <c r="Z77" s="24">
        <f t="shared" si="765"/>
        <v>5981.08</v>
      </c>
      <c r="AA77" s="117">
        <v>2.6199999999999999E-3</v>
      </c>
      <c r="AB77" s="18">
        <f t="shared" si="766"/>
        <v>38.220559999999999</v>
      </c>
      <c r="AC77" s="39">
        <v>2.66E-3</v>
      </c>
      <c r="AD77" s="17">
        <f t="shared" si="767"/>
        <v>38.804079999999999</v>
      </c>
      <c r="AE77" s="26">
        <f>IF(M77&gt;0,(AG77+AP77)/M77,0)</f>
        <v>3.0660264601041951E-3</v>
      </c>
      <c r="AF77" s="39">
        <v>2.5000000000000001E-4</v>
      </c>
      <c r="AG77" s="36">
        <f t="shared" si="768"/>
        <v>3.6470000000000002</v>
      </c>
      <c r="AH77" s="27">
        <v>0.21</v>
      </c>
      <c r="AI77" s="40">
        <f t="shared" si="769"/>
        <v>38.598839999999996</v>
      </c>
      <c r="AJ77" s="27">
        <f t="shared" si="770"/>
        <v>0.90709491248980623</v>
      </c>
      <c r="AK77" s="28">
        <f t="shared" si="682"/>
        <v>0.91948975061764215</v>
      </c>
      <c r="AL77" s="33">
        <v>204</v>
      </c>
      <c r="AM77" s="35">
        <v>9.9000000000000005E-2</v>
      </c>
      <c r="AN77" s="37">
        <v>0.2235</v>
      </c>
      <c r="AO77" s="103">
        <v>0.21129999999999999</v>
      </c>
      <c r="AP77" s="40">
        <f>AL77*(1-AM77)*AN77</f>
        <v>41.080193999999999</v>
      </c>
      <c r="AQ77" s="104">
        <f t="shared" si="727"/>
        <v>38.837785199999999</v>
      </c>
      <c r="AR77" s="41">
        <v>1.55</v>
      </c>
      <c r="AS77" s="41"/>
      <c r="AT77" s="129">
        <f>AT76+AL77-AS77</f>
        <v>1799.619999999999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53</v>
      </c>
      <c r="D78" s="42">
        <v>15500</v>
      </c>
      <c r="E78" s="42">
        <v>0</v>
      </c>
      <c r="F78" s="42">
        <v>15837</v>
      </c>
      <c r="G78" s="36">
        <v>0.4</v>
      </c>
      <c r="H78" s="36">
        <v>3.2</v>
      </c>
      <c r="I78" s="42">
        <v>15410</v>
      </c>
      <c r="J78" s="133">
        <v>1.6</v>
      </c>
      <c r="K78" s="42">
        <v>15850</v>
      </c>
      <c r="L78" s="38">
        <v>7.2999999999999995E-2</v>
      </c>
      <c r="M78" s="36">
        <f>ROUND(K78*(1-L78),0)</f>
        <v>14693</v>
      </c>
      <c r="N78" s="27">
        <v>0.79200000000000004</v>
      </c>
      <c r="O78" s="24">
        <f t="shared" si="760"/>
        <v>11636.856</v>
      </c>
      <c r="P78" s="38">
        <v>0.17499999999999999</v>
      </c>
      <c r="Q78" s="24">
        <f t="shared" si="761"/>
        <v>2571.2749999999996</v>
      </c>
      <c r="R78" s="38">
        <v>3.3000000000000002E-2</v>
      </c>
      <c r="S78" s="105">
        <v>0.21060000000000001</v>
      </c>
      <c r="T78" s="24">
        <f t="shared" si="762"/>
        <v>484.86900000000003</v>
      </c>
      <c r="U78" s="27">
        <v>0.221</v>
      </c>
      <c r="V78" s="24">
        <f t="shared" si="763"/>
        <v>3247.1530000000002</v>
      </c>
      <c r="W78" s="38">
        <v>0.49299999999999999</v>
      </c>
      <c r="X78" s="24">
        <f t="shared" si="764"/>
        <v>7243.6490000000003</v>
      </c>
      <c r="Y78" s="38">
        <v>0.39</v>
      </c>
      <c r="Z78" s="24">
        <f t="shared" si="765"/>
        <v>5730.27</v>
      </c>
      <c r="AA78" s="118">
        <v>2.5600000000000002E-3</v>
      </c>
      <c r="AB78" s="121">
        <f t="shared" si="766"/>
        <v>37.614080000000001</v>
      </c>
      <c r="AC78" s="45">
        <v>2.5999999999999999E-3</v>
      </c>
      <c r="AD78" s="17">
        <f t="shared" si="767"/>
        <v>38.201799999999999</v>
      </c>
      <c r="AE78" s="26">
        <f>IF(M78&gt;0,(AG78+AP78)/M78,0)</f>
        <v>2.6525140406996532E-3</v>
      </c>
      <c r="AF78" s="45">
        <v>2.4000000000000001E-4</v>
      </c>
      <c r="AG78" s="36">
        <f t="shared" si="768"/>
        <v>3.5263200000000001</v>
      </c>
      <c r="AH78" s="27">
        <v>0.20979999999999999</v>
      </c>
      <c r="AI78" s="40">
        <f t="shared" si="769"/>
        <v>33.453868800000002</v>
      </c>
      <c r="AJ78" s="27">
        <f t="shared" si="770"/>
        <v>0.9087318484149941</v>
      </c>
      <c r="AK78" s="28">
        <f t="shared" si="682"/>
        <v>0.91050279931492284</v>
      </c>
      <c r="AL78" s="42">
        <v>176</v>
      </c>
      <c r="AM78" s="38">
        <v>9.4E-2</v>
      </c>
      <c r="AN78" s="27">
        <v>0.2223</v>
      </c>
      <c r="AO78" s="105">
        <v>0.20849999999999999</v>
      </c>
      <c r="AP78" s="40">
        <f>AL78*(1-AM78)*AN78</f>
        <v>35.447068800000004</v>
      </c>
      <c r="AQ78" s="106">
        <f t="shared" si="727"/>
        <v>33.246576000000005</v>
      </c>
      <c r="AR78" s="17">
        <v>1.58</v>
      </c>
      <c r="AS78" s="17"/>
      <c r="AT78" s="129">
        <f>AT77+AL78-AS78</f>
        <v>1975.619999999999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2">SUM(D76:D78)</f>
        <v>46900</v>
      </c>
      <c r="E79" s="49"/>
      <c r="F79" s="49">
        <f t="shared" ref="F79" si="773">SUM(F76:F78)</f>
        <v>48954</v>
      </c>
      <c r="G79" s="50"/>
      <c r="H79" s="50"/>
      <c r="I79" s="49">
        <f t="shared" ref="I79:K79" si="774">SUM(I76:I78)</f>
        <v>47407</v>
      </c>
      <c r="J79" s="50"/>
      <c r="K79" s="49">
        <f t="shared" si="774"/>
        <v>47580</v>
      </c>
      <c r="L79" s="20">
        <f t="shared" ref="L79" si="775">IF(K79&gt;0,(K76*L76+K77*L77+K78*L78)/K79,0)</f>
        <v>7.4665489701555274E-2</v>
      </c>
      <c r="M79" s="50">
        <f t="shared" ref="M79" si="776">M76+M77+M78</f>
        <v>44028</v>
      </c>
      <c r="N79" s="51">
        <f t="shared" ref="N79" si="777">IF(M79&gt;0,O79/M79,0)</f>
        <v>0.69118940219860081</v>
      </c>
      <c r="O79" s="52">
        <f t="shared" ref="O79" si="778">O76+O77+O78</f>
        <v>30431.686999999998</v>
      </c>
      <c r="P79" s="20">
        <f t="shared" ref="P79" si="779">IF(M79&gt;0,Q79/M79,0)</f>
        <v>0.26711644862360318</v>
      </c>
      <c r="Q79" s="52">
        <f t="shared" ref="Q79" si="780">Q76+Q77+Q78</f>
        <v>11760.603000000001</v>
      </c>
      <c r="R79" s="20">
        <f t="shared" ref="R79" si="781">IF(M79&gt;0,T79/M79,0)</f>
        <v>4.1694149177795951E-2</v>
      </c>
      <c r="S79" s="107"/>
      <c r="T79" s="52">
        <f t="shared" ref="T79" si="782">T76+T77+T78</f>
        <v>1835.71</v>
      </c>
      <c r="U79" s="20">
        <f t="shared" ref="U79" si="783">IF(M79&gt;0,V79/M79,0)</f>
        <v>0.22167711456345962</v>
      </c>
      <c r="V79" s="52">
        <f t="shared" ref="V79" si="784">V76+V77+V78</f>
        <v>9760</v>
      </c>
      <c r="W79" s="20">
        <f t="shared" ref="W79" si="785">IF(M79&gt;0,X79/M79,0)</f>
        <v>0.49598923412373946</v>
      </c>
      <c r="X79" s="52">
        <f t="shared" ref="X79" si="786">X76+X77+X78</f>
        <v>21837.414000000001</v>
      </c>
      <c r="Y79" s="20">
        <f t="shared" ref="Y79" si="787">IF(M79&gt;0,Z79/M79,0)</f>
        <v>0.40332561097483416</v>
      </c>
      <c r="Z79" s="52">
        <f t="shared" ref="Z79" si="788">Z76+Z77+Z78</f>
        <v>17757.62</v>
      </c>
      <c r="AA79" s="119">
        <f t="shared" ref="AA79" si="789">IF(M79&gt;0,AB79/M79,0)</f>
        <v>2.5899284546197876E-3</v>
      </c>
      <c r="AB79" s="54">
        <f t="shared" ref="AB79" si="790">SUM(AB76:AB78)</f>
        <v>114.02937</v>
      </c>
      <c r="AC79" s="53">
        <f t="shared" ref="AC79" si="791">IF(M79&gt;0,AD79/M79,0)</f>
        <v>2.6500252112292176E-3</v>
      </c>
      <c r="AD79" s="54">
        <f t="shared" ref="AD79" si="792">SUM(AD76:AD78)</f>
        <v>116.67531</v>
      </c>
      <c r="AE79" s="53">
        <f t="shared" ref="AE79" si="793">IF(M79&gt;0,(AE76*M76+AE77*M77+AE78*M78)/M79,0)</f>
        <v>2.8282156763877533E-3</v>
      </c>
      <c r="AF79" s="53">
        <f t="shared" ref="AF79" si="794">IF(K79&gt;0,(K76*AF76+K77*AF77+K78*AF78)/K79,0)</f>
        <v>2.4333249264396809E-4</v>
      </c>
      <c r="AG79" s="50">
        <f t="shared" ref="AG79" si="795">SUM(AG76:AG78)</f>
        <v>10.7126</v>
      </c>
      <c r="AH79" s="51">
        <f t="shared" ref="AH79" si="796">IF(K79&gt;0,(K76*AH76+K77*AH77+K78*AH78)/K79,0)</f>
        <v>0.21053390500210173</v>
      </c>
      <c r="AI79" s="56">
        <f t="shared" ref="AI79" si="797">SUM(AI76:AI78)</f>
        <v>108.44016060000001</v>
      </c>
      <c r="AJ79" s="51">
        <f t="shared" ref="AJ79" si="798">IF(AND(AD79&gt;0),((AD76*AJ76+AD77*AJ77+AD78*AJ78)/AD79),0)</f>
        <v>0.90923532153329989</v>
      </c>
      <c r="AK79" s="55">
        <f t="shared" si="682"/>
        <v>0.91497028159801685</v>
      </c>
      <c r="AL79" s="49">
        <f t="shared" ref="AL79" si="799">SUM(AL76:AL78)</f>
        <v>569</v>
      </c>
      <c r="AM79" s="20">
        <f t="shared" ref="AM79" si="800">IF(AL79&gt;0,(AM76*AL76+AM77*AL77+AM78*AL78)/AL79,0)</f>
        <v>9.4796133567662547E-2</v>
      </c>
      <c r="AN79" s="51">
        <f>IF(K79&gt;0,(AN76*K76+AN77*K77+AN78*K78)/K79,0)</f>
        <v>0.22093167297183691</v>
      </c>
      <c r="AO79" s="107">
        <f>IF(L79&gt;0,(AO76*K76+AO77*K77+AO78*K78)/K79,0)</f>
        <v>0.20883256830601094</v>
      </c>
      <c r="AP79" s="56">
        <f t="shared" ref="AP79" si="801">SUM(AP76:AP78)</f>
        <v>113.8080798</v>
      </c>
      <c r="AQ79" s="108">
        <f t="shared" si="757"/>
        <v>107.59562790000001</v>
      </c>
      <c r="AR79" s="54"/>
      <c r="AS79" s="54">
        <f t="shared" ref="AS79" si="802">SUM(AS76:AS78)</f>
        <v>0</v>
      </c>
      <c r="AT79" s="83"/>
      <c r="AU79" s="84">
        <f>AT78</f>
        <v>1975.619999999999</v>
      </c>
      <c r="AV79" s="49">
        <f t="shared" ref="AV79" si="803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0" t="s">
        <v>59</v>
      </c>
      <c r="D80" s="11">
        <v>3800</v>
      </c>
      <c r="E80" s="11">
        <v>1</v>
      </c>
      <c r="F80" s="11">
        <v>10054</v>
      </c>
      <c r="G80" s="12">
        <v>0.3</v>
      </c>
      <c r="H80" s="12">
        <v>3.9</v>
      </c>
      <c r="I80" s="11">
        <v>9642</v>
      </c>
      <c r="J80" s="131">
        <v>3.6</v>
      </c>
      <c r="K80" s="11">
        <v>15817</v>
      </c>
      <c r="L80" s="13">
        <v>7.0999999999999994E-2</v>
      </c>
      <c r="M80" s="23">
        <f>ROUND(K80*(1-L80),0)</f>
        <v>14694</v>
      </c>
      <c r="N80" s="14">
        <v>0.78200000000000003</v>
      </c>
      <c r="O80" s="24">
        <f t="shared" ref="O80:O82" si="804">M80*N80</f>
        <v>11490.708000000001</v>
      </c>
      <c r="P80" s="13">
        <v>0.19900000000000001</v>
      </c>
      <c r="Q80" s="24">
        <f t="shared" ref="Q80:Q82" si="805">M80*P80</f>
        <v>2924.1060000000002</v>
      </c>
      <c r="R80" s="15">
        <v>1.9E-2</v>
      </c>
      <c r="S80" s="112">
        <v>0.21079999999999999</v>
      </c>
      <c r="T80" s="24">
        <f t="shared" ref="T80:T82" si="806">M80*R80</f>
        <v>279.18599999999998</v>
      </c>
      <c r="U80" s="25">
        <v>0.22600000000000001</v>
      </c>
      <c r="V80" s="24">
        <f t="shared" ref="V80:V82" si="807">M80*U80</f>
        <v>3320.8440000000001</v>
      </c>
      <c r="W80" s="15">
        <v>0.49299999999999999</v>
      </c>
      <c r="X80" s="24">
        <f t="shared" ref="X80:X82" si="808">M80*W80</f>
        <v>7244.1419999999998</v>
      </c>
      <c r="Y80" s="15">
        <v>0.42</v>
      </c>
      <c r="Z80" s="24">
        <f t="shared" ref="Z80:Z82" si="809">Y80*M80</f>
        <v>6171.48</v>
      </c>
      <c r="AA80" s="116">
        <v>2.64E-3</v>
      </c>
      <c r="AB80" s="18">
        <f t="shared" ref="AB80" si="810">M80*AA80</f>
        <v>38.792160000000003</v>
      </c>
      <c r="AC80" s="16">
        <v>2.63E-3</v>
      </c>
      <c r="AD80" s="17">
        <f t="shared" ref="AD80:AD82" si="811">M80*AC80</f>
        <v>38.645220000000002</v>
      </c>
      <c r="AE80" s="26">
        <f>IF(M80&gt;0,(AG80+AP80)/M80,0)</f>
        <v>2.7709451476793249E-3</v>
      </c>
      <c r="AF80" s="16">
        <v>2.5000000000000001E-4</v>
      </c>
      <c r="AG80" s="23">
        <f t="shared" ref="AG80:AG82" si="812">AF80*M80</f>
        <v>3.6735000000000002</v>
      </c>
      <c r="AH80" s="92">
        <v>0.21310000000000001</v>
      </c>
      <c r="AI80" s="29">
        <f t="shared" ref="AI80:AI82" si="813">AL80*(1-AM80)*AH80</f>
        <v>36.377022400000001</v>
      </c>
      <c r="AJ80" s="27">
        <f t="shared" ref="AJ80:AJ82" si="814">IF(AND(AH80&gt;0,AF80&gt;0,AC80&gt;0),((AC80-AF80)*AH80)/((AH80-AF80)*AC80),0)</f>
        <v>0.90600585392344168</v>
      </c>
      <c r="AK80" s="58">
        <f t="shared" si="682"/>
        <v>0.91082741725264915</v>
      </c>
      <c r="AL80" s="11">
        <v>188</v>
      </c>
      <c r="AM80" s="13">
        <v>9.1999999999999998E-2</v>
      </c>
      <c r="AN80" s="14">
        <v>0.217</v>
      </c>
      <c r="AO80" s="101">
        <v>0.20280000000000001</v>
      </c>
      <c r="AP80" s="29">
        <f>AL80*(1-AM80)*AN80</f>
        <v>37.042768000000002</v>
      </c>
      <c r="AQ80" s="102">
        <f t="shared" ref="AQ80" si="815">AL80*(1-AM80)*AO80</f>
        <v>34.618771200000005</v>
      </c>
      <c r="AR80" s="18">
        <v>1.55</v>
      </c>
      <c r="AS80" s="18">
        <v>1007.7</v>
      </c>
      <c r="AT80" s="79">
        <f>AT78+AL80-AS80</f>
        <v>1155.9199999999989</v>
      </c>
      <c r="AU80" s="80"/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43" t="s">
        <v>58</v>
      </c>
      <c r="D81" s="33">
        <v>20030</v>
      </c>
      <c r="E81" s="33">
        <v>2</v>
      </c>
      <c r="F81" s="33">
        <v>16565</v>
      </c>
      <c r="G81" s="34">
        <v>0.2</v>
      </c>
      <c r="H81" s="34">
        <v>3.7</v>
      </c>
      <c r="I81" s="33">
        <v>15991</v>
      </c>
      <c r="J81" s="34">
        <v>3.3</v>
      </c>
      <c r="K81" s="33">
        <v>15700</v>
      </c>
      <c r="L81" s="35">
        <v>7.2999999999999995E-2</v>
      </c>
      <c r="M81" s="36">
        <f>ROUND(K81*(1-L81),0)</f>
        <v>14554</v>
      </c>
      <c r="N81" s="37">
        <v>0.65800000000000003</v>
      </c>
      <c r="O81" s="24">
        <f t="shared" si="804"/>
        <v>9576.5320000000011</v>
      </c>
      <c r="P81" s="35">
        <v>0.29599999999999999</v>
      </c>
      <c r="Q81" s="24">
        <f t="shared" si="805"/>
        <v>4307.9839999999995</v>
      </c>
      <c r="R81" s="38">
        <v>4.5999999999999999E-2</v>
      </c>
      <c r="S81" s="105">
        <v>0.25540000000000002</v>
      </c>
      <c r="T81" s="24">
        <f t="shared" si="806"/>
        <v>669.48400000000004</v>
      </c>
      <c r="U81" s="27">
        <v>0.22600000000000001</v>
      </c>
      <c r="V81" s="24">
        <f t="shared" si="807"/>
        <v>3289.2040000000002</v>
      </c>
      <c r="W81" s="38">
        <v>0.48099999999999998</v>
      </c>
      <c r="X81" s="24">
        <f t="shared" si="808"/>
        <v>7000.4740000000002</v>
      </c>
      <c r="Y81" s="38">
        <v>0.42</v>
      </c>
      <c r="Z81" s="24">
        <f t="shared" si="809"/>
        <v>6112.6799999999994</v>
      </c>
      <c r="AA81" s="117">
        <v>2.5799999999999998E-3</v>
      </c>
      <c r="AB81" s="18">
        <f t="shared" si="766"/>
        <v>37.549319999999994</v>
      </c>
      <c r="AC81" s="39">
        <v>2.63E-3</v>
      </c>
      <c r="AD81" s="17">
        <f t="shared" si="811"/>
        <v>38.27702</v>
      </c>
      <c r="AE81" s="26">
        <f>IF(M81&gt;0,(AG81+AP81)/M81,0)</f>
        <v>2.9757674522468049E-3</v>
      </c>
      <c r="AF81" s="39">
        <v>2.5000000000000001E-4</v>
      </c>
      <c r="AG81" s="36">
        <f t="shared" si="812"/>
        <v>3.6385000000000001</v>
      </c>
      <c r="AH81" s="27">
        <v>0.21129999999999999</v>
      </c>
      <c r="AI81" s="40">
        <f t="shared" si="813"/>
        <v>37.371574500000001</v>
      </c>
      <c r="AJ81" s="27">
        <f t="shared" si="814"/>
        <v>0.90601491906752685</v>
      </c>
      <c r="AK81" s="28">
        <f t="shared" si="682"/>
        <v>0.91701013883352456</v>
      </c>
      <c r="AL81" s="33">
        <v>195</v>
      </c>
      <c r="AM81" s="35">
        <v>9.2999999999999999E-2</v>
      </c>
      <c r="AN81" s="37">
        <v>0.2243</v>
      </c>
      <c r="AO81" s="103">
        <v>0.21129999999999999</v>
      </c>
      <c r="AP81" s="40">
        <f>AL81*(1-AM81)*AN81</f>
        <v>39.6708195</v>
      </c>
      <c r="AQ81" s="104">
        <f t="shared" si="727"/>
        <v>37.371574500000001</v>
      </c>
      <c r="AR81" s="41">
        <v>1.55</v>
      </c>
      <c r="AS81" s="41"/>
      <c r="AT81" s="129">
        <f>AT80+AL81-AS81</f>
        <v>1350.9199999999989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53</v>
      </c>
      <c r="D82" s="42">
        <v>18000</v>
      </c>
      <c r="E82" s="42">
        <v>2</v>
      </c>
      <c r="F82" s="42">
        <v>17547</v>
      </c>
      <c r="G82" s="36">
        <v>0.7</v>
      </c>
      <c r="H82" s="36">
        <v>2.2999999999999998</v>
      </c>
      <c r="I82" s="42">
        <v>17100</v>
      </c>
      <c r="J82" s="36">
        <v>1.9</v>
      </c>
      <c r="K82" s="42">
        <v>15607</v>
      </c>
      <c r="L82" s="38">
        <v>7.1999999999999995E-2</v>
      </c>
      <c r="M82" s="36">
        <f>ROUND(K82*(1-L82),0)</f>
        <v>14483</v>
      </c>
      <c r="N82" s="27">
        <v>0.78800000000000003</v>
      </c>
      <c r="O82" s="24">
        <f t="shared" si="804"/>
        <v>11412.604000000001</v>
      </c>
      <c r="P82" s="38">
        <v>0.189</v>
      </c>
      <c r="Q82" s="24">
        <f t="shared" si="805"/>
        <v>2737.2869999999998</v>
      </c>
      <c r="R82" s="38">
        <v>2.3E-2</v>
      </c>
      <c r="S82" s="105">
        <v>0.20599999999999999</v>
      </c>
      <c r="T82" s="24">
        <f t="shared" si="806"/>
        <v>333.10899999999998</v>
      </c>
      <c r="U82" s="27">
        <v>0.22800000000000001</v>
      </c>
      <c r="V82" s="24">
        <f t="shared" si="807"/>
        <v>3302.1240000000003</v>
      </c>
      <c r="W82" s="38">
        <v>0.48699999999999999</v>
      </c>
      <c r="X82" s="24">
        <f t="shared" si="808"/>
        <v>7053.2209999999995</v>
      </c>
      <c r="Y82" s="38">
        <v>0.42</v>
      </c>
      <c r="Z82" s="24">
        <f t="shared" si="809"/>
        <v>6082.86</v>
      </c>
      <c r="AA82" s="118">
        <v>2.5699999999999998E-3</v>
      </c>
      <c r="AB82" s="121">
        <f t="shared" si="766"/>
        <v>37.221309999999995</v>
      </c>
      <c r="AC82" s="45">
        <v>2.63E-3</v>
      </c>
      <c r="AD82" s="17">
        <f t="shared" si="811"/>
        <v>38.090289999999996</v>
      </c>
      <c r="AE82" s="26">
        <f>IF(M82&gt;0,(AG82+AP82)/M82,0)</f>
        <v>2.6503663053234826E-3</v>
      </c>
      <c r="AF82" s="45">
        <v>2.5000000000000001E-4</v>
      </c>
      <c r="AG82" s="36">
        <f t="shared" si="812"/>
        <v>3.6207500000000001</v>
      </c>
      <c r="AH82" s="27">
        <v>0.21609999999999999</v>
      </c>
      <c r="AI82" s="40">
        <f t="shared" si="813"/>
        <v>33.553414799999999</v>
      </c>
      <c r="AJ82" s="27">
        <f t="shared" si="814"/>
        <v>0.90599108132936301</v>
      </c>
      <c r="AK82" s="28">
        <f t="shared" si="682"/>
        <v>0.90668579403744731</v>
      </c>
      <c r="AL82" s="42">
        <v>171</v>
      </c>
      <c r="AM82" s="38">
        <v>9.1999999999999998E-2</v>
      </c>
      <c r="AN82" s="27">
        <v>0.22389999999999999</v>
      </c>
      <c r="AO82" s="105">
        <v>0.21060000000000001</v>
      </c>
      <c r="AP82" s="40">
        <f>AL82*(1-AM82)*AN82</f>
        <v>34.764505199999995</v>
      </c>
      <c r="AQ82" s="106">
        <f t="shared" si="727"/>
        <v>32.699440800000005</v>
      </c>
      <c r="AR82" s="17">
        <v>1.55</v>
      </c>
      <c r="AS82" s="17"/>
      <c r="AT82" s="129">
        <f>AT81+AL82-AS82</f>
        <v>1521.9199999999989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6">SUM(D80:D82)</f>
        <v>41830</v>
      </c>
      <c r="E83" s="49"/>
      <c r="F83" s="49">
        <f t="shared" ref="F83" si="817">SUM(F80:F82)</f>
        <v>44166</v>
      </c>
      <c r="G83" s="50"/>
      <c r="H83" s="50"/>
      <c r="I83" s="49">
        <f t="shared" ref="I83:K83" si="818">SUM(I80:I82)</f>
        <v>42733</v>
      </c>
      <c r="J83" s="50"/>
      <c r="K83" s="49">
        <f t="shared" si="818"/>
        <v>47124</v>
      </c>
      <c r="L83" s="20">
        <f t="shared" ref="L83" si="819">IF(K83&gt;0,(K80*L80+K81*L81+K82*L82)/K83,0)</f>
        <v>7.1997517188693655E-2</v>
      </c>
      <c r="M83" s="50">
        <f t="shared" ref="M83" si="820">M80+M81+M82</f>
        <v>43731</v>
      </c>
      <c r="N83" s="51">
        <f t="shared" ref="N83" si="821">IF(M83&gt;0,O83/M83,0)</f>
        <v>0.74271898653129365</v>
      </c>
      <c r="O83" s="52">
        <f t="shared" ref="O83" si="822">O80+O81+O82</f>
        <v>32479.844000000005</v>
      </c>
      <c r="P83" s="20">
        <f t="shared" ref="P83" si="823">IF(M83&gt;0,Q83/M83,0)</f>
        <v>0.22797047860785255</v>
      </c>
      <c r="Q83" s="52">
        <f t="shared" ref="Q83" si="824">Q80+Q81+Q82</f>
        <v>9969.3770000000004</v>
      </c>
      <c r="R83" s="20">
        <f t="shared" ref="R83" si="825">IF(M83&gt;0,T83/M83,0)</f>
        <v>2.9310534860853856E-2</v>
      </c>
      <c r="S83" s="107"/>
      <c r="T83" s="52">
        <f t="shared" ref="T83" si="826">T80+T81+T82</f>
        <v>1281.779</v>
      </c>
      <c r="U83" s="20">
        <f t="shared" ref="U83" si="827">IF(M83&gt;0,V83/M83,0)</f>
        <v>0.22666236765681097</v>
      </c>
      <c r="V83" s="52">
        <f t="shared" ref="V83" si="828">V80+V81+V82</f>
        <v>9912.1720000000005</v>
      </c>
      <c r="W83" s="20">
        <f t="shared" ref="W83" si="829">IF(M83&gt;0,X83/M83,0)</f>
        <v>0.48701920834190848</v>
      </c>
      <c r="X83" s="52">
        <f t="shared" ref="X83" si="830">X80+X81+X82</f>
        <v>21297.837</v>
      </c>
      <c r="Y83" s="20">
        <f t="shared" ref="Y83" si="831">IF(M83&gt;0,Z83/M83,0)</f>
        <v>0.42</v>
      </c>
      <c r="Z83" s="52">
        <f t="shared" ref="Z83" si="832">Z80+Z81+Z82</f>
        <v>18367.02</v>
      </c>
      <c r="AA83" s="119">
        <f t="shared" ref="AA83" si="833">IF(M83&gt;0,AB83/M83,0)</f>
        <v>2.5968486885733226E-3</v>
      </c>
      <c r="AB83" s="54">
        <f t="shared" ref="AB83" si="834">SUM(AB80:AB82)</f>
        <v>113.56278999999998</v>
      </c>
      <c r="AC83" s="53">
        <f t="shared" ref="AC83" si="835">IF(M83&gt;0,AD83/M83,0)</f>
        <v>2.63E-3</v>
      </c>
      <c r="AD83" s="54">
        <f t="shared" ref="AD83" si="836">SUM(AD80:AD82)</f>
        <v>115.01253</v>
      </c>
      <c r="AE83" s="53">
        <f t="shared" ref="AE83" si="837">IF(M83&gt;0,(AE80*M80+AE81*M81+AE82*M82)/M83,0)</f>
        <v>2.799177761770826E-3</v>
      </c>
      <c r="AF83" s="53">
        <f t="shared" ref="AF83" si="838">IF(K83&gt;0,(K80*AF80+K81*AF81+K82*AF82)/K83,0)</f>
        <v>2.5000000000000001E-4</v>
      </c>
      <c r="AG83" s="50">
        <f t="shared" ref="AG83" si="839">SUM(AG80:AG82)</f>
        <v>10.93275</v>
      </c>
      <c r="AH83" s="51">
        <f t="shared" ref="AH83" si="840">IF(K83&gt;0,(K80*AH80+K81*AH81+K82*AH82)/K83,0)</f>
        <v>0.21349387573211104</v>
      </c>
      <c r="AI83" s="56">
        <f t="shared" ref="AI83" si="841">SUM(AI80:AI82)</f>
        <v>107.30201169999999</v>
      </c>
      <c r="AJ83" s="51">
        <f t="shared" ref="AJ83" si="842">IF(AND(AD83&gt;0),((AD80*AJ80+AD81*AJ81+AD82*AJ82)/AD83),0)</f>
        <v>0.9060039784261279</v>
      </c>
      <c r="AK83" s="55">
        <f t="shared" si="682"/>
        <v>0.91171607504806285</v>
      </c>
      <c r="AL83" s="49">
        <f t="shared" ref="AL83" si="843">SUM(AL80:AL82)</f>
        <v>554</v>
      </c>
      <c r="AM83" s="20">
        <f t="shared" ref="AM83" si="844">IF(AL83&gt;0,(AM80*AL80+AM81*AL81+AM82*AL82)/AL83,0)</f>
        <v>9.2351985559566779E-2</v>
      </c>
      <c r="AN83" s="51">
        <f>IF(K83&gt;0,(AN80*K80+AN81*K81+AN82*K82)/K83,0)</f>
        <v>0.22171730540701123</v>
      </c>
      <c r="AO83" s="107">
        <f>IF(L83&gt;0,(AO80*K80+AO81*K81+AO82*K82)/K83,0)</f>
        <v>0.20821517273576098</v>
      </c>
      <c r="AP83" s="56">
        <f t="shared" ref="AP83" si="845">SUM(AP80:AP82)</f>
        <v>111.47809269999999</v>
      </c>
      <c r="AQ83" s="108">
        <f t="shared" si="757"/>
        <v>104.68978650000001</v>
      </c>
      <c r="AR83" s="54"/>
      <c r="AS83" s="54">
        <f t="shared" ref="AS83" si="846">SUM(AS80:AS82)</f>
        <v>1007.7</v>
      </c>
      <c r="AT83" s="83"/>
      <c r="AU83" s="84">
        <f>AT82</f>
        <v>1521.9199999999989</v>
      </c>
      <c r="AV83" s="49">
        <f t="shared" ref="AV83" si="847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59</v>
      </c>
      <c r="D84" s="11">
        <v>6900</v>
      </c>
      <c r="E84" s="11">
        <v>0</v>
      </c>
      <c r="F84" s="11">
        <v>9548</v>
      </c>
      <c r="G84" s="12">
        <v>0.2</v>
      </c>
      <c r="H84" s="12">
        <v>3.6</v>
      </c>
      <c r="I84" s="11">
        <v>9547</v>
      </c>
      <c r="J84" s="12">
        <v>4.5</v>
      </c>
      <c r="K84" s="11">
        <v>16409</v>
      </c>
      <c r="L84" s="13">
        <v>6.0999999999999999E-2</v>
      </c>
      <c r="M84" s="23">
        <f>ROUND(K84*(1-L84),0)</f>
        <v>15408</v>
      </c>
      <c r="N84" s="14">
        <v>0.72</v>
      </c>
      <c r="O84" s="24">
        <f t="shared" ref="O84:O86" si="848">M84*N84</f>
        <v>11093.76</v>
      </c>
      <c r="P84" s="13">
        <v>0.214</v>
      </c>
      <c r="Q84" s="24">
        <f t="shared" ref="Q84:Q86" si="849">M84*P84</f>
        <v>3297.3119999999999</v>
      </c>
      <c r="R84" s="15">
        <v>6.6000000000000003E-2</v>
      </c>
      <c r="S84" s="112">
        <v>0.22159999999999999</v>
      </c>
      <c r="T84" s="24">
        <f t="shared" ref="T84:T86" si="850">M84*R84</f>
        <v>1016.928</v>
      </c>
      <c r="U84" s="25">
        <v>0.24199999999999999</v>
      </c>
      <c r="V84" s="24">
        <f t="shared" ref="V84:V86" si="851">M84*U84</f>
        <v>3728.7359999999999</v>
      </c>
      <c r="W84" s="15">
        <v>0.48899999999999999</v>
      </c>
      <c r="X84" s="24">
        <f t="shared" ref="X84:X86" si="852">M84*W84</f>
        <v>7534.5119999999997</v>
      </c>
      <c r="Y84" s="15">
        <v>0.43</v>
      </c>
      <c r="Z84" s="24">
        <f t="shared" ref="Z84:Z86" si="853">Y84*M84</f>
        <v>6625.44</v>
      </c>
      <c r="AA84" s="116">
        <v>2.5899999999999999E-3</v>
      </c>
      <c r="AB84" s="18">
        <f t="shared" ref="AB84" si="854">M84*AA84</f>
        <v>39.90672</v>
      </c>
      <c r="AC84" s="16">
        <v>2.6900000000000001E-3</v>
      </c>
      <c r="AD84" s="17">
        <f t="shared" ref="AD84:AD86" si="855">M84*AC84</f>
        <v>41.447520000000004</v>
      </c>
      <c r="AE84" s="26">
        <f>IF(M84&gt;0,(AG84+AP84)/M84,0)</f>
        <v>2.8167298676012461E-3</v>
      </c>
      <c r="AF84" s="16">
        <v>2.5999999999999998E-4</v>
      </c>
      <c r="AG84" s="23">
        <f t="shared" ref="AG84:AG86" si="856">AF84*M84</f>
        <v>4.0060799999999999</v>
      </c>
      <c r="AH84" s="92">
        <v>0.21199999999999999</v>
      </c>
      <c r="AI84" s="29">
        <f t="shared" ref="AI84:AI86" si="857">AL84*(1-AM84)*AH84</f>
        <v>36.726244000000001</v>
      </c>
      <c r="AJ84" s="27">
        <f t="shared" ref="AJ84:AJ86" si="858">IF(AND(AH84&gt;0,AF84&gt;0,AC84&gt;0),((AC84-AF84)*AH84)/((AH84-AF84)*AC84),0)</f>
        <v>0.90445496212476362</v>
      </c>
      <c r="AK84" s="58">
        <f t="shared" si="682"/>
        <v>0.90873338801521086</v>
      </c>
      <c r="AL84" s="11">
        <v>191</v>
      </c>
      <c r="AM84" s="13">
        <v>9.2999999999999999E-2</v>
      </c>
      <c r="AN84" s="14">
        <v>0.22739999999999999</v>
      </c>
      <c r="AO84" s="101">
        <v>0.2097</v>
      </c>
      <c r="AP84" s="29">
        <f>AL84*(1-AM84)*AN84</f>
        <v>39.3940938</v>
      </c>
      <c r="AQ84" s="102">
        <f t="shared" ref="AQ84" si="859">AL84*(1-AM84)*AO84</f>
        <v>36.327798899999998</v>
      </c>
      <c r="AR84" s="18">
        <v>1.6</v>
      </c>
      <c r="AS84" s="18">
        <v>508.08</v>
      </c>
      <c r="AT84" s="79">
        <f>AT82+AL84-AS84</f>
        <v>1204.839999999999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55</v>
      </c>
      <c r="D85" s="33">
        <v>19000</v>
      </c>
      <c r="E85" s="33">
        <v>2</v>
      </c>
      <c r="F85" s="33">
        <v>17597</v>
      </c>
      <c r="G85" s="34">
        <v>0.6</v>
      </c>
      <c r="H85" s="34">
        <v>4.2</v>
      </c>
      <c r="I85" s="33">
        <v>16293</v>
      </c>
      <c r="J85" s="34">
        <v>4</v>
      </c>
      <c r="K85" s="33">
        <v>16638</v>
      </c>
      <c r="L85" s="35">
        <v>0.06</v>
      </c>
      <c r="M85" s="36">
        <f>ROUND(K85*(1-L85),0)</f>
        <v>15640</v>
      </c>
      <c r="N85" s="37">
        <v>0.52100000000000002</v>
      </c>
      <c r="O85" s="24">
        <f t="shared" si="848"/>
        <v>8148.4400000000005</v>
      </c>
      <c r="P85" s="35">
        <v>0.45600000000000002</v>
      </c>
      <c r="Q85" s="24">
        <f t="shared" si="849"/>
        <v>7131.84</v>
      </c>
      <c r="R85" s="38">
        <v>2.3E-2</v>
      </c>
      <c r="S85" s="105">
        <v>0.24340000000000001</v>
      </c>
      <c r="T85" s="24">
        <f t="shared" si="850"/>
        <v>359.71999999999997</v>
      </c>
      <c r="U85" s="27">
        <v>0.25</v>
      </c>
      <c r="V85" s="24">
        <f t="shared" si="851"/>
        <v>3910</v>
      </c>
      <c r="W85" s="38">
        <v>0.45300000000000001</v>
      </c>
      <c r="X85" s="24">
        <f t="shared" si="852"/>
        <v>7084.92</v>
      </c>
      <c r="Y85" s="38">
        <v>0.42</v>
      </c>
      <c r="Z85" s="24">
        <f t="shared" si="853"/>
        <v>6568.8</v>
      </c>
      <c r="AA85" s="117">
        <v>2.66E-3</v>
      </c>
      <c r="AB85" s="18">
        <f t="shared" si="766"/>
        <v>41.602400000000003</v>
      </c>
      <c r="AC85" s="39">
        <v>2.65E-3</v>
      </c>
      <c r="AD85" s="17">
        <f t="shared" si="855"/>
        <v>41.445999999999998</v>
      </c>
      <c r="AE85" s="26">
        <f>IF(M85&gt;0,(AG85+AP85)/M85,0)</f>
        <v>2.7296010230179026E-3</v>
      </c>
      <c r="AF85" s="39">
        <v>2.7E-4</v>
      </c>
      <c r="AG85" s="36">
        <f t="shared" si="856"/>
        <v>4.2228000000000003</v>
      </c>
      <c r="AH85" s="27">
        <v>0.21190000000000001</v>
      </c>
      <c r="AI85" s="40">
        <f t="shared" si="857"/>
        <v>36.718032000000001</v>
      </c>
      <c r="AJ85" s="27">
        <f t="shared" si="858"/>
        <v>0.89925903075766811</v>
      </c>
      <c r="AK85" s="28">
        <f t="shared" si="682"/>
        <v>0.90218169304916285</v>
      </c>
      <c r="AL85" s="33">
        <v>190</v>
      </c>
      <c r="AM85" s="35">
        <v>8.7999999999999995E-2</v>
      </c>
      <c r="AN85" s="37">
        <v>0.222</v>
      </c>
      <c r="AO85" s="103">
        <v>0.20880000000000001</v>
      </c>
      <c r="AP85" s="40">
        <f>AL85*(1-AM85)*AN85</f>
        <v>38.468159999999997</v>
      </c>
      <c r="AQ85" s="104">
        <f t="shared" si="727"/>
        <v>36.180864</v>
      </c>
      <c r="AR85" s="41">
        <v>1.6</v>
      </c>
      <c r="AS85" s="41"/>
      <c r="AT85" s="129">
        <f>AT84+AL85-AS85</f>
        <v>1394.839999999999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53</v>
      </c>
      <c r="D86" s="42">
        <v>15800</v>
      </c>
      <c r="E86" s="42">
        <v>0</v>
      </c>
      <c r="F86" s="42">
        <v>15751</v>
      </c>
      <c r="G86" s="36">
        <v>0.4</v>
      </c>
      <c r="H86" s="36">
        <v>3.3</v>
      </c>
      <c r="I86" s="42">
        <v>15011</v>
      </c>
      <c r="J86" s="133">
        <v>4.3</v>
      </c>
      <c r="K86" s="42">
        <v>16709</v>
      </c>
      <c r="L86" s="38">
        <v>6.4000000000000001E-2</v>
      </c>
      <c r="M86" s="36">
        <f>ROUND(K86*(1-L86),0)</f>
        <v>15640</v>
      </c>
      <c r="N86" s="27">
        <v>0.61699999999999999</v>
      </c>
      <c r="O86" s="24">
        <f t="shared" si="848"/>
        <v>9649.8799999999992</v>
      </c>
      <c r="P86" s="38">
        <v>0.34</v>
      </c>
      <c r="Q86" s="24">
        <f t="shared" si="849"/>
        <v>5317.6</v>
      </c>
      <c r="R86" s="38">
        <v>4.2999999999999997E-2</v>
      </c>
      <c r="S86" s="105">
        <v>0.23219999999999999</v>
      </c>
      <c r="T86" s="24">
        <f t="shared" si="850"/>
        <v>672.52</v>
      </c>
      <c r="U86" s="27">
        <v>0.25800000000000001</v>
      </c>
      <c r="V86" s="24">
        <f t="shared" si="851"/>
        <v>4035.12</v>
      </c>
      <c r="W86" s="38">
        <v>0.46600000000000003</v>
      </c>
      <c r="X86" s="24">
        <f t="shared" si="852"/>
        <v>7288.2400000000007</v>
      </c>
      <c r="Y86" s="38">
        <v>0.43</v>
      </c>
      <c r="Z86" s="24">
        <f t="shared" si="853"/>
        <v>6725.2</v>
      </c>
      <c r="AA86" s="118">
        <v>2.5799999999999998E-3</v>
      </c>
      <c r="AB86" s="121">
        <f t="shared" si="766"/>
        <v>40.351199999999999</v>
      </c>
      <c r="AC86" s="45">
        <v>2.5899999999999999E-3</v>
      </c>
      <c r="AD86" s="17">
        <f t="shared" si="855"/>
        <v>40.507599999999996</v>
      </c>
      <c r="AE86" s="26">
        <f>IF(M86&gt;0,(AG86+AP86)/M86,0)</f>
        <v>2.7125704347826089E-3</v>
      </c>
      <c r="AF86" s="45">
        <v>2.5999999999999998E-4</v>
      </c>
      <c r="AG86" s="36">
        <f t="shared" si="856"/>
        <v>4.0663999999999998</v>
      </c>
      <c r="AH86" s="27">
        <v>0.20749999999999999</v>
      </c>
      <c r="AI86" s="40">
        <f t="shared" si="857"/>
        <v>36.294240000000002</v>
      </c>
      <c r="AJ86" s="27">
        <f t="shared" si="858"/>
        <v>0.90074254086992955</v>
      </c>
      <c r="AK86" s="28">
        <f t="shared" si="682"/>
        <v>0.90522317836549315</v>
      </c>
      <c r="AL86" s="42">
        <v>192</v>
      </c>
      <c r="AM86" s="38">
        <v>8.8999999999999996E-2</v>
      </c>
      <c r="AN86" s="27">
        <v>0.21929999999999999</v>
      </c>
      <c r="AO86" s="105">
        <v>0.20860000000000001</v>
      </c>
      <c r="AP86" s="40">
        <f>AL86*(1-AM86)*AN86</f>
        <v>38.358201600000001</v>
      </c>
      <c r="AQ86" s="106">
        <f t="shared" si="727"/>
        <v>36.486643200000003</v>
      </c>
      <c r="AR86" s="17">
        <v>1.6</v>
      </c>
      <c r="AS86" s="17"/>
      <c r="AT86" s="129">
        <f>AT85+AL86-AS86</f>
        <v>1586.839999999999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60">SUM(D84:D86)</f>
        <v>41700</v>
      </c>
      <c r="E87" s="49"/>
      <c r="F87" s="49">
        <f t="shared" ref="F87" si="861">SUM(F84:F86)</f>
        <v>42896</v>
      </c>
      <c r="G87" s="50"/>
      <c r="H87" s="50"/>
      <c r="I87" s="49">
        <f t="shared" ref="I87:K87" si="862">SUM(I84:I86)</f>
        <v>40851</v>
      </c>
      <c r="J87" s="50"/>
      <c r="K87" s="49">
        <f t="shared" si="862"/>
        <v>49756</v>
      </c>
      <c r="L87" s="20">
        <f t="shared" ref="L87" si="863">IF(K87&gt;0,(K84*L84+K85*L85+K86*L86)/K87,0)</f>
        <v>6.167306455502853E-2</v>
      </c>
      <c r="M87" s="50">
        <f t="shared" ref="M87" si="864">M84+M85+M86</f>
        <v>46688</v>
      </c>
      <c r="N87" s="51">
        <f t="shared" ref="N87" si="865">IF(M87&gt;0,O87/M87,0)</f>
        <v>0.61883310486634679</v>
      </c>
      <c r="O87" s="52">
        <f t="shared" ref="O87" si="866">O84+O85+O86</f>
        <v>28892.080000000002</v>
      </c>
      <c r="P87" s="20">
        <f t="shared" ref="P87" si="867">IF(M87&gt;0,Q87/M87,0)</f>
        <v>0.3372762165867032</v>
      </c>
      <c r="Q87" s="52">
        <f t="shared" ref="Q87" si="868">Q84+Q85+Q86</f>
        <v>15746.752</v>
      </c>
      <c r="R87" s="20">
        <f t="shared" ref="R87" si="869">IF(M87&gt;0,T87/M87,0)</f>
        <v>4.389067854694996E-2</v>
      </c>
      <c r="S87" s="107"/>
      <c r="T87" s="52">
        <f t="shared" ref="T87" si="870">T84+T85+T86</f>
        <v>2049.1679999999997</v>
      </c>
      <c r="U87" s="20">
        <f t="shared" ref="U87" si="871">IF(M87&gt;0,V87/M87,0)</f>
        <v>0.25003975325565453</v>
      </c>
      <c r="V87" s="52">
        <f t="shared" ref="V87" si="872">V84+V85+V86</f>
        <v>11673.856</v>
      </c>
      <c r="W87" s="20">
        <f t="shared" ref="W87" si="873">IF(M87&gt;0,X87/M87,0)</f>
        <v>0.46923560657984925</v>
      </c>
      <c r="X87" s="52">
        <f t="shared" ref="X87" si="874">X84+X85+X86</f>
        <v>21907.672000000002</v>
      </c>
      <c r="Y87" s="20">
        <f t="shared" ref="Y87" si="875">IF(M87&gt;0,Z87/M87,0)</f>
        <v>0.42665010281014393</v>
      </c>
      <c r="Z87" s="52">
        <f t="shared" ref="Z87" si="876">Z84+Z85+Z86</f>
        <v>19919.439999999999</v>
      </c>
      <c r="AA87" s="119">
        <f t="shared" ref="AA87" si="877">IF(M87&gt;0,AB87/M87,0)</f>
        <v>2.6100993831391366E-3</v>
      </c>
      <c r="AB87" s="54">
        <f t="shared" ref="AB87" si="878">SUM(AB84:AB86)</f>
        <v>121.86032</v>
      </c>
      <c r="AC87" s="53">
        <f t="shared" ref="AC87" si="879">IF(M87&gt;0,AD87/M87,0)</f>
        <v>2.6431014393420147E-3</v>
      </c>
      <c r="AD87" s="54">
        <f t="shared" ref="AD87" si="880">SUM(AD84:AD86)</f>
        <v>123.40111999999999</v>
      </c>
      <c r="AE87" s="53">
        <f t="shared" ref="AE87" si="881">IF(M87&gt;0,(AE84*M84+AE85*M85+AE86*M86)/M87,0)</f>
        <v>2.7526502613091156E-3</v>
      </c>
      <c r="AF87" s="53">
        <f t="shared" ref="AF87" si="882">IF(K87&gt;0,(K84*AF84+K85*AF85+K86*AF86)/K87,0)</f>
        <v>2.6334391832140848E-4</v>
      </c>
      <c r="AG87" s="50">
        <f t="shared" ref="AG87" si="883">SUM(AG84:AG86)</f>
        <v>12.29528</v>
      </c>
      <c r="AH87" s="51">
        <f t="shared" ref="AH87" si="884">IF(K87&gt;0,(K84*AH84+K85*AH85+K86*AH86)/K87,0)</f>
        <v>0.21045537623603183</v>
      </c>
      <c r="AI87" s="56">
        <f t="shared" ref="AI87" si="885">SUM(AI84:AI86)</f>
        <v>109.738516</v>
      </c>
      <c r="AJ87" s="51">
        <f t="shared" ref="AJ87" si="886">IF(AND(AD87&gt;0),((AD84*AJ84+AD85*AJ85+AD86*AJ86)/AD87),0)</f>
        <v>0.90149119772243935</v>
      </c>
      <c r="AK87" s="55">
        <f t="shared" si="682"/>
        <v>0.90540057893623138</v>
      </c>
      <c r="AL87" s="49">
        <f t="shared" ref="AL87" si="887">SUM(AL84:AL86)</f>
        <v>573</v>
      </c>
      <c r="AM87" s="20">
        <f t="shared" ref="AM87" si="888">IF(AL87&gt;0,(AM84*AL84+AM85*AL85+AM86*AL86)/AL87,0)</f>
        <v>9.0001745200698077E-2</v>
      </c>
      <c r="AN87" s="51">
        <f>IF(K87&gt;0,(AN84*K84+AN85*K85+AN86*K86)/K87,0)</f>
        <v>0.22287415186108209</v>
      </c>
      <c r="AO87" s="107">
        <f>IF(L87&gt;0,(AO84*K84+AO85*K85+AO86*K86)/K87,0)</f>
        <v>0.20902964667577781</v>
      </c>
      <c r="AP87" s="56">
        <f t="shared" ref="AP87" si="889">SUM(AP84:AP86)</f>
        <v>116.22045539999999</v>
      </c>
      <c r="AQ87" s="108">
        <f t="shared" si="757"/>
        <v>108.99530609999999</v>
      </c>
      <c r="AR87" s="54"/>
      <c r="AS87" s="54">
        <f t="shared" ref="AS87" si="890">SUM(AS84:AS86)</f>
        <v>508.08</v>
      </c>
      <c r="AT87" s="83"/>
      <c r="AU87" s="84">
        <f>AT86</f>
        <v>1586.839999999999</v>
      </c>
      <c r="AV87" s="49">
        <f t="shared" ref="AV87" si="891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59</v>
      </c>
      <c r="D88" s="11">
        <v>4685</v>
      </c>
      <c r="E88" s="11">
        <v>0</v>
      </c>
      <c r="F88" s="11">
        <v>14044</v>
      </c>
      <c r="G88" s="12">
        <v>0.4</v>
      </c>
      <c r="H88" s="12">
        <v>3.7</v>
      </c>
      <c r="I88" s="11">
        <v>14055</v>
      </c>
      <c r="J88" s="131">
        <v>4.7</v>
      </c>
      <c r="K88" s="11">
        <v>16661</v>
      </c>
      <c r="L88" s="13">
        <v>7.3999999999999996E-2</v>
      </c>
      <c r="M88" s="23">
        <f>ROUND(K88*(1-L88),0)</f>
        <v>15428</v>
      </c>
      <c r="N88" s="14">
        <v>0.80200000000000005</v>
      </c>
      <c r="O88" s="24">
        <f t="shared" ref="O88:O90" si="892">M88*N88</f>
        <v>12373.256000000001</v>
      </c>
      <c r="P88" s="13">
        <v>0.153</v>
      </c>
      <c r="Q88" s="24">
        <f t="shared" ref="Q88:Q90" si="893">M88*P88</f>
        <v>2360.4839999999999</v>
      </c>
      <c r="R88" s="15">
        <v>4.4999999999999998E-2</v>
      </c>
      <c r="S88" s="112">
        <v>0.2429</v>
      </c>
      <c r="T88" s="24">
        <f t="shared" ref="T88:T90" si="894">M88*R88</f>
        <v>694.26</v>
      </c>
      <c r="U88" s="25">
        <v>0.25</v>
      </c>
      <c r="V88" s="24">
        <f t="shared" ref="V88:V90" si="895">M88*U88</f>
        <v>3857</v>
      </c>
      <c r="W88" s="15">
        <v>0.46700000000000003</v>
      </c>
      <c r="X88" s="24">
        <f t="shared" ref="X88:X90" si="896">M88*W88</f>
        <v>7204.8760000000002</v>
      </c>
      <c r="Y88" s="15">
        <v>0.43</v>
      </c>
      <c r="Z88" s="24">
        <f t="shared" ref="Z88:Z90" si="897">Y88*M88</f>
        <v>6634.04</v>
      </c>
      <c r="AA88" s="116">
        <v>2.6800000000000001E-3</v>
      </c>
      <c r="AB88" s="18">
        <f t="shared" ref="AB88" si="898">M88*AA88</f>
        <v>41.34704</v>
      </c>
      <c r="AC88" s="16">
        <v>2.5999999999999999E-3</v>
      </c>
      <c r="AD88" s="17">
        <f t="shared" ref="AD88:AD90" si="899">M88*AC88</f>
        <v>40.1128</v>
      </c>
      <c r="AE88" s="26">
        <f>IF(M88&gt;0,(AG88+AP88)/M88,0)</f>
        <v>2.7023035390199637E-3</v>
      </c>
      <c r="AF88" s="16">
        <v>2.7E-4</v>
      </c>
      <c r="AG88" s="23">
        <f t="shared" ref="AG88:AG90" si="900">AF88*M88</f>
        <v>4.1655600000000002</v>
      </c>
      <c r="AH88" s="92">
        <v>0.2102</v>
      </c>
      <c r="AI88" s="29">
        <f t="shared" ref="AI88:AI90" si="901">AL88*(1-AM88)*AH88</f>
        <v>36.534861999999997</v>
      </c>
      <c r="AJ88" s="27">
        <f t="shared" ref="AJ88:AJ90" si="902">IF(AND(AH88&gt;0,AF88&gt;0,AC88&gt;0),((AC88-AF88)*AH88)/((AH88-AF88)*AC88),0)</f>
        <v>0.89730642815004269</v>
      </c>
      <c r="AK88" s="58">
        <f t="shared" si="682"/>
        <v>0.90121228066067771</v>
      </c>
      <c r="AL88" s="11">
        <v>191</v>
      </c>
      <c r="AM88" s="13">
        <v>0.09</v>
      </c>
      <c r="AN88" s="14">
        <v>0.21590000000000001</v>
      </c>
      <c r="AO88" s="101">
        <v>0.20349999999999999</v>
      </c>
      <c r="AP88" s="29">
        <f>AL88*(1-AM88)*AN88</f>
        <v>37.525579</v>
      </c>
      <c r="AQ88" s="102">
        <f t="shared" ref="AQ88" si="903">AL88*(1-AM88)*AO88</f>
        <v>35.370334999999997</v>
      </c>
      <c r="AR88" s="18">
        <v>1.6</v>
      </c>
      <c r="AS88" s="18">
        <v>1064.6600000000001</v>
      </c>
      <c r="AT88" s="79">
        <f>AT86+AL88-AS88+AU88</f>
        <v>746.61999999999898</v>
      </c>
      <c r="AU88" s="80">
        <v>33.44</v>
      </c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55</v>
      </c>
      <c r="D89" s="33">
        <v>22215</v>
      </c>
      <c r="E89" s="33">
        <v>3</v>
      </c>
      <c r="F89" s="33">
        <v>17551</v>
      </c>
      <c r="G89" s="34">
        <v>0.5</v>
      </c>
      <c r="H89" s="34">
        <v>4.5</v>
      </c>
      <c r="I89" s="33">
        <v>16501</v>
      </c>
      <c r="J89" s="34">
        <v>4</v>
      </c>
      <c r="K89" s="33">
        <v>16782</v>
      </c>
      <c r="L89" s="35">
        <v>7.0000000000000007E-2</v>
      </c>
      <c r="M89" s="36">
        <f>ROUND(K89*(1-L89),0)</f>
        <v>15607</v>
      </c>
      <c r="N89" s="37">
        <v>0.81499999999999995</v>
      </c>
      <c r="O89" s="24">
        <f t="shared" si="892"/>
        <v>12719.705</v>
      </c>
      <c r="P89" s="35">
        <v>0.115</v>
      </c>
      <c r="Q89" s="24">
        <f t="shared" si="893"/>
        <v>1794.8050000000001</v>
      </c>
      <c r="R89" s="38">
        <v>7.0000000000000007E-2</v>
      </c>
      <c r="S89" s="105">
        <v>0.24610000000000001</v>
      </c>
      <c r="T89" s="24">
        <f t="shared" si="894"/>
        <v>1092.49</v>
      </c>
      <c r="U89" s="27">
        <v>0.26</v>
      </c>
      <c r="V89" s="24">
        <f t="shared" si="895"/>
        <v>4057.82</v>
      </c>
      <c r="W89" s="38">
        <v>0.46899999999999997</v>
      </c>
      <c r="X89" s="24">
        <f t="shared" si="896"/>
        <v>7319.683</v>
      </c>
      <c r="Y89" s="38">
        <v>0.42</v>
      </c>
      <c r="Z89" s="24">
        <f t="shared" si="897"/>
        <v>6554.94</v>
      </c>
      <c r="AA89" s="117">
        <v>2.4199999999999998E-3</v>
      </c>
      <c r="AB89" s="18">
        <f t="shared" si="766"/>
        <v>37.768940000000001</v>
      </c>
      <c r="AC89" s="39">
        <v>2.5000000000000001E-3</v>
      </c>
      <c r="AD89" s="17">
        <f t="shared" si="899"/>
        <v>39.017499999999998</v>
      </c>
      <c r="AE89" s="26">
        <f>IF(M89&gt;0,(AG89+AP89)/M89,0)</f>
        <v>2.4914560389568785E-3</v>
      </c>
      <c r="AF89" s="39">
        <v>2.7E-4</v>
      </c>
      <c r="AG89" s="36">
        <f t="shared" si="900"/>
        <v>4.2138900000000001</v>
      </c>
      <c r="AH89" s="27">
        <v>0.21129999999999999</v>
      </c>
      <c r="AI89" s="40">
        <f t="shared" si="901"/>
        <v>33.884490599999999</v>
      </c>
      <c r="AJ89" s="27">
        <f t="shared" si="902"/>
        <v>0.89314125953655887</v>
      </c>
      <c r="AK89" s="28">
        <f t="shared" si="682"/>
        <v>0.89274453348329164</v>
      </c>
      <c r="AL89" s="33">
        <v>177</v>
      </c>
      <c r="AM89" s="35">
        <v>9.4E-2</v>
      </c>
      <c r="AN89" s="37">
        <v>0.2162</v>
      </c>
      <c r="AO89" s="103">
        <v>0.20219999999999999</v>
      </c>
      <c r="AP89" s="40">
        <f>AL89*(1-AM89)*AN89</f>
        <v>34.670264400000001</v>
      </c>
      <c r="AQ89" s="104">
        <f t="shared" si="727"/>
        <v>32.425196399999997</v>
      </c>
      <c r="AR89" s="41">
        <v>1.6</v>
      </c>
      <c r="AS89" s="41"/>
      <c r="AT89" s="129">
        <f>AT88+AL89-AS89</f>
        <v>923.61999999999898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0" t="s">
        <v>57</v>
      </c>
      <c r="D90" s="42">
        <v>19300</v>
      </c>
      <c r="E90" s="42">
        <v>0</v>
      </c>
      <c r="F90" s="42">
        <v>16752</v>
      </c>
      <c r="G90" s="36">
        <v>1.1000000000000001</v>
      </c>
      <c r="H90" s="36">
        <v>5.7</v>
      </c>
      <c r="I90" s="42">
        <v>16211</v>
      </c>
      <c r="J90" s="133">
        <v>4.0999999999999996</v>
      </c>
      <c r="K90" s="42">
        <v>16776</v>
      </c>
      <c r="L90" s="38">
        <v>7.1999999999999995E-2</v>
      </c>
      <c r="M90" s="36">
        <f>ROUND(K90*(1-L90),0)</f>
        <v>15568</v>
      </c>
      <c r="N90" s="27">
        <v>0.6</v>
      </c>
      <c r="O90" s="24">
        <f t="shared" si="892"/>
        <v>9340.7999999999993</v>
      </c>
      <c r="P90" s="38">
        <v>0.34100000000000003</v>
      </c>
      <c r="Q90" s="24">
        <f t="shared" si="893"/>
        <v>5308.6880000000001</v>
      </c>
      <c r="R90" s="38">
        <v>5.8999999999999997E-2</v>
      </c>
      <c r="S90" s="105">
        <v>0.24779999999999999</v>
      </c>
      <c r="T90" s="24">
        <f t="shared" si="894"/>
        <v>918.51199999999994</v>
      </c>
      <c r="U90" s="27">
        <v>0.26500000000000001</v>
      </c>
      <c r="V90" s="24">
        <f t="shared" si="895"/>
        <v>4125.5200000000004</v>
      </c>
      <c r="W90" s="38">
        <v>0.45200000000000001</v>
      </c>
      <c r="X90" s="24">
        <f t="shared" si="896"/>
        <v>7036.7359999999999</v>
      </c>
      <c r="Y90" s="38">
        <v>0.43</v>
      </c>
      <c r="Z90" s="24">
        <f t="shared" si="897"/>
        <v>6694.24</v>
      </c>
      <c r="AA90" s="118">
        <v>2.49E-3</v>
      </c>
      <c r="AB90" s="121">
        <f t="shared" si="766"/>
        <v>38.764319999999998</v>
      </c>
      <c r="AC90" s="45">
        <v>2.48E-3</v>
      </c>
      <c r="AD90" s="17">
        <f t="shared" si="899"/>
        <v>38.608640000000001</v>
      </c>
      <c r="AE90" s="26">
        <f>IF(M90&gt;0,(AG90+AP90)/M90,0)</f>
        <v>2.5844500899280575E-3</v>
      </c>
      <c r="AF90" s="45">
        <v>2.7E-4</v>
      </c>
      <c r="AG90" s="36">
        <f t="shared" si="900"/>
        <v>4.20336</v>
      </c>
      <c r="AH90" s="27">
        <v>0.20760000000000001</v>
      </c>
      <c r="AI90" s="40">
        <f t="shared" si="901"/>
        <v>33.438132000000003</v>
      </c>
      <c r="AJ90" s="27">
        <f t="shared" si="902"/>
        <v>0.89228952441409437</v>
      </c>
      <c r="AK90" s="28">
        <f t="shared" si="682"/>
        <v>0.89661121911615316</v>
      </c>
      <c r="AL90" s="42">
        <v>177</v>
      </c>
      <c r="AM90" s="38">
        <v>0.09</v>
      </c>
      <c r="AN90" s="27">
        <v>0.22370000000000001</v>
      </c>
      <c r="AO90" s="105">
        <v>0.21179999999999999</v>
      </c>
      <c r="AP90" s="40">
        <f>AL90*(1-AM90)*AN90</f>
        <v>36.031359000000002</v>
      </c>
      <c r="AQ90" s="106">
        <f t="shared" si="727"/>
        <v>34.114625999999994</v>
      </c>
      <c r="AR90" s="17">
        <v>1.55</v>
      </c>
      <c r="AS90" s="17"/>
      <c r="AT90" s="129">
        <f>AT89+AL90-AS90</f>
        <v>1100.619999999999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4">SUM(D88:D90)</f>
        <v>46200</v>
      </c>
      <c r="E91" s="49"/>
      <c r="F91" s="49">
        <f t="shared" ref="F91" si="905">SUM(F88:F90)</f>
        <v>48347</v>
      </c>
      <c r="G91" s="50"/>
      <c r="H91" s="50"/>
      <c r="I91" s="49">
        <f t="shared" ref="I91:K91" si="906">SUM(I88:I90)</f>
        <v>46767</v>
      </c>
      <c r="J91" s="50"/>
      <c r="K91" s="49">
        <f t="shared" si="906"/>
        <v>50219</v>
      </c>
      <c r="L91" s="20">
        <f t="shared" ref="L91" si="907">IF(K91&gt;0,(K88*L88+K89*L89+K90*L90)/K91,0)</f>
        <v>7.1995181106752418E-2</v>
      </c>
      <c r="M91" s="50">
        <f t="shared" ref="M91" si="908">M88+M89+M90</f>
        <v>46603</v>
      </c>
      <c r="N91" s="51">
        <f t="shared" ref="N91" si="909">IF(M91&gt;0,O91/M91,0)</f>
        <v>0.73887434285346432</v>
      </c>
      <c r="O91" s="52">
        <f t="shared" ref="O91" si="910">O88+O89+O90</f>
        <v>34433.760999999999</v>
      </c>
      <c r="P91" s="20">
        <f t="shared" ref="P91" si="911">IF(M91&gt;0,Q91/M91,0)</f>
        <v>0.2030765615947471</v>
      </c>
      <c r="Q91" s="52">
        <f t="shared" ref="Q91" si="912">Q88+Q89+Q90</f>
        <v>9463.976999999999</v>
      </c>
      <c r="R91" s="20">
        <f t="shared" ref="R91" si="913">IF(M91&gt;0,T91/M91,0)</f>
        <v>5.8049095551788506E-2</v>
      </c>
      <c r="S91" s="107"/>
      <c r="T91" s="52">
        <f t="shared" ref="T91" si="914">T88+T89+T90</f>
        <v>2705.2619999999997</v>
      </c>
      <c r="U91" s="20">
        <f t="shared" ref="U91" si="915">IF(M91&gt;0,V91/M91,0)</f>
        <v>0.25835976224706564</v>
      </c>
      <c r="V91" s="52">
        <f t="shared" ref="V91" si="916">V88+V89+V90</f>
        <v>12040.34</v>
      </c>
      <c r="W91" s="20">
        <f t="shared" ref="W91" si="917">IF(M91&gt;0,X91/M91,0)</f>
        <v>0.46265894899469995</v>
      </c>
      <c r="X91" s="52">
        <f t="shared" ref="X91" si="918">X88+X89+X90</f>
        <v>21561.295000000002</v>
      </c>
      <c r="Y91" s="20">
        <f t="shared" ref="Y91" si="919">IF(M91&gt;0,Z91/M91,0)</f>
        <v>0.42665107396519542</v>
      </c>
      <c r="Z91" s="52">
        <f t="shared" ref="Z91" si="920">Z88+Z89+Z90</f>
        <v>19883.22</v>
      </c>
      <c r="AA91" s="119">
        <f t="shared" ref="AA91" si="921">IF(M91&gt;0,AB91/M91,0)</f>
        <v>2.529457331073107E-3</v>
      </c>
      <c r="AB91" s="54">
        <f t="shared" ref="AB91" si="922">SUM(AB88:AB90)</f>
        <v>117.88030000000001</v>
      </c>
      <c r="AC91" s="53">
        <f t="shared" ref="AC91" si="923">IF(M91&gt;0,AD91/M91,0)</f>
        <v>2.5264240499538659E-3</v>
      </c>
      <c r="AD91" s="54">
        <f t="shared" ref="AD91" si="924">SUM(AD88:AD90)</f>
        <v>117.73894000000001</v>
      </c>
      <c r="AE91" s="53">
        <f t="shared" ref="AE91" si="925">IF(M91&gt;0,(AE88*M88+AE89*M89+AE90*M90)/M91,0)</f>
        <v>2.5923226487565175E-3</v>
      </c>
      <c r="AF91" s="53">
        <f t="shared" ref="AF91" si="926">IF(K91&gt;0,(K88*AF88+K89*AF89+K90*AF90)/K91,0)</f>
        <v>2.7E-4</v>
      </c>
      <c r="AG91" s="50">
        <f t="shared" ref="AG91" si="927">SUM(AG88:AG90)</f>
        <v>12.58281</v>
      </c>
      <c r="AH91" s="51">
        <f t="shared" ref="AH91" si="928">IF(K91&gt;0,(K88*AH88+K89*AH89+K90*AH90)/K91,0)</f>
        <v>0.20969904617774149</v>
      </c>
      <c r="AI91" s="56">
        <f t="shared" ref="AI91" si="929">SUM(AI88:AI90)</f>
        <v>103.85748459999999</v>
      </c>
      <c r="AJ91" s="51">
        <f t="shared" ref="AJ91" si="930">IF(AND(AD91&gt;0),((AD88*AJ88+AD89*AJ89+AD90*AJ90)/AD91),0)</f>
        <v>0.89428100345509876</v>
      </c>
      <c r="AK91" s="55">
        <f t="shared" si="682"/>
        <v>0.89695412570589073</v>
      </c>
      <c r="AL91" s="49">
        <f t="shared" ref="AL91" si="931">SUM(AL88:AL90)</f>
        <v>545</v>
      </c>
      <c r="AM91" s="20">
        <f t="shared" ref="AM91" si="932">IF(AL91&gt;0,(AM88*AL88+AM89*AL89+AM90*AL90)/AL91,0)</f>
        <v>9.1299082568807338E-2</v>
      </c>
      <c r="AN91" s="51">
        <f>IF(K91&gt;0,(AN88*K88+AN89*K89+AN90*K90)/K91,0)</f>
        <v>0.21860589617475457</v>
      </c>
      <c r="AO91" s="107">
        <f>IF(L91&gt;0,(AO88*K88+AO89*K89+AO90*K90)/K91,0)</f>
        <v>0.20583824249785934</v>
      </c>
      <c r="AP91" s="56">
        <f t="shared" ref="AP91:AQ103" si="933">SUM(AP88:AP90)</f>
        <v>108.22720240000001</v>
      </c>
      <c r="AQ91" s="108">
        <f t="shared" si="933"/>
        <v>101.91015739999997</v>
      </c>
      <c r="AR91" s="54"/>
      <c r="AS91" s="54">
        <f t="shared" ref="AS91" si="934">SUM(AS88:AS90)</f>
        <v>1064.6600000000001</v>
      </c>
      <c r="AT91" s="83"/>
      <c r="AU91" s="84">
        <f>AT90</f>
        <v>1100.619999999999</v>
      </c>
      <c r="AV91" s="49">
        <f t="shared" ref="AV91" si="935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58</v>
      </c>
      <c r="D92" s="11">
        <v>4801</v>
      </c>
      <c r="E92" s="11">
        <v>0</v>
      </c>
      <c r="F92" s="11">
        <v>14572</v>
      </c>
      <c r="G92" s="12">
        <v>2.2000000000000002</v>
      </c>
      <c r="H92" s="12">
        <v>4.0999999999999996</v>
      </c>
      <c r="I92" s="11">
        <v>14328</v>
      </c>
      <c r="J92" s="12">
        <v>4.0999999999999996</v>
      </c>
      <c r="K92" s="11">
        <v>16526</v>
      </c>
      <c r="L92" s="13">
        <v>7.8E-2</v>
      </c>
      <c r="M92" s="23">
        <f>ROUND(K92*(1-L92),0)</f>
        <v>15237</v>
      </c>
      <c r="N92" s="14">
        <v>0.72699999999999998</v>
      </c>
      <c r="O92" s="24">
        <f t="shared" ref="O92:O94" si="936">M92*N92</f>
        <v>11077.298999999999</v>
      </c>
      <c r="P92" s="13">
        <v>0.16800000000000001</v>
      </c>
      <c r="Q92" s="24">
        <f t="shared" ref="Q92:Q94" si="937">M92*P92</f>
        <v>2559.8160000000003</v>
      </c>
      <c r="R92" s="15">
        <v>0.105</v>
      </c>
      <c r="S92" s="112">
        <v>0.25590000000000002</v>
      </c>
      <c r="T92" s="24">
        <f t="shared" ref="T92:T94" si="938">M92*R92</f>
        <v>1599.885</v>
      </c>
      <c r="U92" s="25">
        <v>0.249</v>
      </c>
      <c r="V92" s="24">
        <f t="shared" ref="V92:V94" si="939">M92*U92</f>
        <v>3794.0129999999999</v>
      </c>
      <c r="W92" s="15">
        <v>0.48099999999999998</v>
      </c>
      <c r="X92" s="24">
        <f t="shared" ref="X92:X94" si="940">M92*W92</f>
        <v>7328.9969999999994</v>
      </c>
      <c r="Y92" s="15">
        <v>0.43</v>
      </c>
      <c r="Z92" s="24">
        <f t="shared" ref="Z92:Z94" si="941">Y92*M92</f>
        <v>6551.91</v>
      </c>
      <c r="AA92" s="116">
        <v>2.5999999999999999E-3</v>
      </c>
      <c r="AB92" s="18">
        <f t="shared" ref="AB92" si="942">M92*AA92</f>
        <v>39.616199999999999</v>
      </c>
      <c r="AC92" s="16">
        <v>2.5300000000000001E-3</v>
      </c>
      <c r="AD92" s="17">
        <f t="shared" ref="AD92:AD94" si="943">M92*AC92</f>
        <v>38.549610000000001</v>
      </c>
      <c r="AE92" s="26">
        <f>IF(M92&gt;0,(AG92+AP92)/M92,0)</f>
        <v>2.6206556408741879E-3</v>
      </c>
      <c r="AF92" s="16">
        <v>2.9E-4</v>
      </c>
      <c r="AG92" s="23">
        <f t="shared" ref="AG92:AG94" si="944">AF92*M92</f>
        <v>4.41873</v>
      </c>
      <c r="AH92" s="92">
        <v>0.20039999999999999</v>
      </c>
      <c r="AI92" s="29">
        <f t="shared" ref="AI92:AI94" si="945">AL92*(1-AM92)*AH92</f>
        <v>32.645159999999997</v>
      </c>
      <c r="AJ92" s="27">
        <f t="shared" ref="AJ92:AJ94" si="946">IF(AND(AH92&gt;0,AF92&gt;0,AC92&gt;0),((AC92-AF92)*AH92)/((AH92-AF92)*AC92),0)</f>
        <v>0.88665858283872745</v>
      </c>
      <c r="AK92" s="58">
        <f t="shared" si="682"/>
        <v>0.89052531276488334</v>
      </c>
      <c r="AL92" s="11">
        <v>180</v>
      </c>
      <c r="AM92" s="13">
        <v>9.5000000000000001E-2</v>
      </c>
      <c r="AN92" s="14">
        <v>0.218</v>
      </c>
      <c r="AO92" s="101">
        <v>0.21360000000000001</v>
      </c>
      <c r="AP92" s="29">
        <f>AL92*(1-AM92)*AN92</f>
        <v>35.5122</v>
      </c>
      <c r="AQ92" s="102">
        <f t="shared" ref="AQ92" si="947">AL92*(1-AM92)*AO92</f>
        <v>34.795440000000006</v>
      </c>
      <c r="AR92" s="18">
        <v>1.55</v>
      </c>
      <c r="AS92" s="18">
        <v>1061.56</v>
      </c>
      <c r="AT92" s="79">
        <f>AT90+AL92-AS92+AU92</f>
        <v>222.09999999999903</v>
      </c>
      <c r="AU92" s="80">
        <v>3.04</v>
      </c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55</v>
      </c>
      <c r="D93" s="33">
        <v>19599</v>
      </c>
      <c r="E93" s="33">
        <v>6</v>
      </c>
      <c r="F93" s="33">
        <v>17067</v>
      </c>
      <c r="G93" s="34">
        <v>1.8</v>
      </c>
      <c r="H93" s="34">
        <v>5.7</v>
      </c>
      <c r="I93" s="33">
        <v>16372</v>
      </c>
      <c r="J93" s="34">
        <v>3.9</v>
      </c>
      <c r="K93" s="33">
        <v>16700</v>
      </c>
      <c r="L93" s="35">
        <v>7.3999999999999996E-2</v>
      </c>
      <c r="M93" s="36">
        <f>ROUND(K93*(1-L93),0)</f>
        <v>15464</v>
      </c>
      <c r="N93" s="37">
        <v>0.72799999999999998</v>
      </c>
      <c r="O93" s="24">
        <f t="shared" si="936"/>
        <v>11257.791999999999</v>
      </c>
      <c r="P93" s="35">
        <v>0.158</v>
      </c>
      <c r="Q93" s="24">
        <f t="shared" si="937"/>
        <v>2443.3119999999999</v>
      </c>
      <c r="R93" s="38">
        <v>0.114</v>
      </c>
      <c r="S93" s="105">
        <v>0.26090000000000002</v>
      </c>
      <c r="T93" s="24">
        <f t="shared" si="938"/>
        <v>1762.896</v>
      </c>
      <c r="U93" s="27">
        <v>0.255</v>
      </c>
      <c r="V93" s="24">
        <f t="shared" si="939"/>
        <v>3943.32</v>
      </c>
      <c r="W93" s="38">
        <v>0.45600000000000002</v>
      </c>
      <c r="X93" s="24">
        <f t="shared" si="940"/>
        <v>7051.5839999999998</v>
      </c>
      <c r="Y93" s="38">
        <v>0.41</v>
      </c>
      <c r="Z93" s="24">
        <f t="shared" si="941"/>
        <v>6340.24</v>
      </c>
      <c r="AA93" s="117">
        <v>2.4099999999999998E-3</v>
      </c>
      <c r="AB93" s="18">
        <f t="shared" si="766"/>
        <v>37.268239999999999</v>
      </c>
      <c r="AC93" s="39">
        <v>2.3600000000000001E-3</v>
      </c>
      <c r="AD93" s="17">
        <f t="shared" si="943"/>
        <v>36.495040000000003</v>
      </c>
      <c r="AE93" s="26">
        <f>IF(M93&gt;0,(AG93+AP93)/M93,0)</f>
        <v>2.4098384311950338E-3</v>
      </c>
      <c r="AF93" s="39">
        <v>2.9E-4</v>
      </c>
      <c r="AG93" s="36">
        <f t="shared" si="944"/>
        <v>4.4845600000000001</v>
      </c>
      <c r="AH93" s="27">
        <v>0.20330000000000001</v>
      </c>
      <c r="AI93" s="40">
        <f t="shared" si="945"/>
        <v>30.725745499999999</v>
      </c>
      <c r="AJ93" s="27">
        <f t="shared" si="946"/>
        <v>0.87837160897976974</v>
      </c>
      <c r="AK93" s="28">
        <f t="shared" si="682"/>
        <v>0.88083768114417771</v>
      </c>
      <c r="AL93" s="33">
        <v>167</v>
      </c>
      <c r="AM93" s="35">
        <v>9.5000000000000001E-2</v>
      </c>
      <c r="AN93" s="37">
        <v>0.21690000000000001</v>
      </c>
      <c r="AO93" s="103">
        <v>0.2122</v>
      </c>
      <c r="AP93" s="40">
        <f>AL93*(1-AM93)*AN93</f>
        <v>32.781181500000002</v>
      </c>
      <c r="AQ93" s="104">
        <f t="shared" si="727"/>
        <v>32.070847000000001</v>
      </c>
      <c r="AR93" s="41">
        <v>1.56</v>
      </c>
      <c r="AS93" s="41"/>
      <c r="AT93" s="129">
        <f>AT92+AL93-AS93</f>
        <v>389.099999999999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0" t="s">
        <v>57</v>
      </c>
      <c r="D94" s="42">
        <v>21935</v>
      </c>
      <c r="E94" s="42">
        <v>1</v>
      </c>
      <c r="F94" s="42">
        <v>18496</v>
      </c>
      <c r="G94" s="36">
        <v>2</v>
      </c>
      <c r="H94" s="36">
        <v>5.5</v>
      </c>
      <c r="I94" s="42">
        <v>18385</v>
      </c>
      <c r="J94" s="36">
        <v>3.5</v>
      </c>
      <c r="K94" s="42">
        <v>16937</v>
      </c>
      <c r="L94" s="38">
        <v>7.0999999999999994E-2</v>
      </c>
      <c r="M94" s="36">
        <f>ROUND(K94*(1-L94),0)</f>
        <v>15734</v>
      </c>
      <c r="N94" s="27">
        <v>0.66400000000000003</v>
      </c>
      <c r="O94" s="24">
        <f t="shared" si="936"/>
        <v>10447.376</v>
      </c>
      <c r="P94" s="38">
        <v>0.248</v>
      </c>
      <c r="Q94" s="24">
        <f t="shared" si="937"/>
        <v>3902.0320000000002</v>
      </c>
      <c r="R94" s="38">
        <v>8.7999999999999995E-2</v>
      </c>
      <c r="S94" s="105">
        <v>0.25900000000000001</v>
      </c>
      <c r="T94" s="24">
        <f t="shared" si="938"/>
        <v>1384.5919999999999</v>
      </c>
      <c r="U94" s="27">
        <v>0.26200000000000001</v>
      </c>
      <c r="V94" s="24">
        <f t="shared" si="939"/>
        <v>4122.308</v>
      </c>
      <c r="W94" s="38">
        <v>0.47199999999999998</v>
      </c>
      <c r="X94" s="24">
        <f t="shared" si="940"/>
        <v>7426.4479999999994</v>
      </c>
      <c r="Y94" s="38">
        <v>0.43</v>
      </c>
      <c r="Z94" s="24">
        <f t="shared" si="941"/>
        <v>6765.62</v>
      </c>
      <c r="AA94" s="118">
        <v>2.3400000000000001E-3</v>
      </c>
      <c r="AB94" s="121">
        <f t="shared" si="766"/>
        <v>36.81756</v>
      </c>
      <c r="AC94" s="45">
        <v>2.3700000000000001E-3</v>
      </c>
      <c r="AD94" s="17">
        <f t="shared" si="943"/>
        <v>37.289580000000001</v>
      </c>
      <c r="AE94" s="26">
        <f>IF(M94&gt;0,(AG94+AP94)/M94,0)</f>
        <v>2.4690809711452912E-3</v>
      </c>
      <c r="AF94" s="45">
        <v>2.7999999999999998E-4</v>
      </c>
      <c r="AG94" s="36">
        <f t="shared" si="944"/>
        <v>4.4055199999999992</v>
      </c>
      <c r="AH94" s="27">
        <v>0.20630000000000001</v>
      </c>
      <c r="AI94" s="40">
        <f t="shared" si="945"/>
        <v>33.049260000000004</v>
      </c>
      <c r="AJ94" s="27">
        <f t="shared" si="946"/>
        <v>0.88305506368027042</v>
      </c>
      <c r="AK94" s="28">
        <f t="shared" si="682"/>
        <v>0.88775362596293494</v>
      </c>
      <c r="AL94" s="42">
        <v>178</v>
      </c>
      <c r="AM94" s="38">
        <v>0.1</v>
      </c>
      <c r="AN94" s="27">
        <v>0.215</v>
      </c>
      <c r="AO94" s="105">
        <v>0.20899999999999999</v>
      </c>
      <c r="AP94" s="40">
        <f>AL94*(1-AM94)*AN94</f>
        <v>34.443000000000005</v>
      </c>
      <c r="AQ94" s="106">
        <f t="shared" si="727"/>
        <v>33.4818</v>
      </c>
      <c r="AR94" s="17">
        <v>1.55</v>
      </c>
      <c r="AS94" s="17"/>
      <c r="AT94" s="129">
        <f>AT93+AL94-AS94</f>
        <v>567.099999999999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48">SUM(D92:D94)</f>
        <v>46335</v>
      </c>
      <c r="E95" s="49"/>
      <c r="F95" s="49">
        <f t="shared" ref="F95" si="949">SUM(F92:F94)</f>
        <v>50135</v>
      </c>
      <c r="G95" s="50"/>
      <c r="H95" s="50"/>
      <c r="I95" s="49">
        <f t="shared" ref="I95:K95" si="950">SUM(I92:I94)</f>
        <v>49085</v>
      </c>
      <c r="J95" s="50"/>
      <c r="K95" s="49">
        <f t="shared" si="950"/>
        <v>50163</v>
      </c>
      <c r="L95" s="20">
        <f t="shared" ref="L95" si="951">IF(K95&gt;0,(K92*L92+K93*L93+K94*L94)/K95,0)</f>
        <v>7.4304866136395337E-2</v>
      </c>
      <c r="M95" s="50">
        <f t="shared" ref="M95" si="952">M92+M93+M94</f>
        <v>46435</v>
      </c>
      <c r="N95" s="51">
        <f t="shared" ref="N95" si="953">IF(M95&gt;0,O95/M95,0)</f>
        <v>0.70598615268655118</v>
      </c>
      <c r="O95" s="52">
        <f t="shared" ref="O95" si="954">O92+O93+O94</f>
        <v>32782.467000000004</v>
      </c>
      <c r="P95" s="20">
        <f t="shared" ref="P95" si="955">IF(M95&gt;0,Q95/M95,0)</f>
        <v>0.19177689243027887</v>
      </c>
      <c r="Q95" s="52">
        <f t="shared" ref="Q95" si="956">Q92+Q93+Q94</f>
        <v>8905.16</v>
      </c>
      <c r="R95" s="20">
        <f t="shared" ref="R95" si="957">IF(M95&gt;0,T95/M95,0)</f>
        <v>0.10223695488317001</v>
      </c>
      <c r="S95" s="107"/>
      <c r="T95" s="52">
        <f t="shared" ref="T95" si="958">T92+T93+T94</f>
        <v>4747.3729999999996</v>
      </c>
      <c r="U95" s="20">
        <f t="shared" ref="U95" si="959">IF(M95&gt;0,V95/M95,0)</f>
        <v>0.2554030580381178</v>
      </c>
      <c r="V95" s="52">
        <f t="shared" ref="V95" si="960">V92+V93+V94</f>
        <v>11859.641</v>
      </c>
      <c r="W95" s="20">
        <f t="shared" ref="W95" si="961">IF(M95&gt;0,X95/M95,0)</f>
        <v>0.46962483040809733</v>
      </c>
      <c r="X95" s="52">
        <f t="shared" ref="X95" si="962">X92+X93+X94</f>
        <v>21807.028999999999</v>
      </c>
      <c r="Y95" s="20">
        <f t="shared" ref="Y95" si="963">IF(M95&gt;0,Z95/M95,0)</f>
        <v>0.42333950683751481</v>
      </c>
      <c r="Z95" s="52">
        <f t="shared" ref="Z95" si="964">Z92+Z93+Z94</f>
        <v>19657.77</v>
      </c>
      <c r="AA95" s="119">
        <f t="shared" ref="AA95" si="965">IF(M95&gt;0,AB95/M95,0)</f>
        <v>2.4486271131689457E-3</v>
      </c>
      <c r="AB95" s="54">
        <f t="shared" ref="AB95" si="966">SUM(AB92:AB94)</f>
        <v>113.702</v>
      </c>
      <c r="AC95" s="53">
        <f t="shared" ref="AC95" si="967">IF(M95&gt;0,AD95/M95,0)</f>
        <v>2.419171530095833E-3</v>
      </c>
      <c r="AD95" s="54">
        <f t="shared" ref="AD95" si="968">SUM(AD92:AD94)</f>
        <v>112.33423000000001</v>
      </c>
      <c r="AE95" s="53">
        <f t="shared" ref="AE95" si="969">IF(M95&gt;0,(AE92*M92+AE93*M93+AE94*M94)/M95,0)</f>
        <v>2.4990888661569938E-3</v>
      </c>
      <c r="AF95" s="53">
        <f t="shared" ref="AF95" si="970">IF(K95&gt;0,(K92*AF92+K93*AF93+K94*AF94)/K95,0)</f>
        <v>2.8662360704104618E-4</v>
      </c>
      <c r="AG95" s="50">
        <f t="shared" ref="AG95" si="971">SUM(AG92:AG94)</f>
        <v>13.308809999999999</v>
      </c>
      <c r="AH95" s="51">
        <f t="shared" ref="AH95" si="972">IF(K95&gt;0,(K92*AH92+K93*AH93+K94*AH94)/K95,0)</f>
        <v>0.20335752447022704</v>
      </c>
      <c r="AI95" s="56">
        <f t="shared" ref="AI95" si="973">SUM(AI92:AI94)</f>
        <v>96.420165499999996</v>
      </c>
      <c r="AJ95" s="51">
        <f t="shared" ref="AJ95" si="974">IF(AND(AD95&gt;0),((AD92*AJ92+AD93*AJ93+AD94*AJ94)/AD95),0)</f>
        <v>0.88277012285282275</v>
      </c>
      <c r="AK95" s="55">
        <f t="shared" si="682"/>
        <v>0.88648171276946175</v>
      </c>
      <c r="AL95" s="49">
        <f t="shared" ref="AL95" si="975">SUM(AL92:AL94)</f>
        <v>525</v>
      </c>
      <c r="AM95" s="20">
        <f t="shared" ref="AM95" si="976">IF(AL95&gt;0,(AM92*AL92+AM93*AL93+AM94*AL94)/AL95,0)</f>
        <v>9.6695238095238098E-2</v>
      </c>
      <c r="AN95" s="51">
        <f>IF(K95&gt;0,(AN92*K92+AN93*K93+AN94*K94)/K95,0)</f>
        <v>0.21662087594442117</v>
      </c>
      <c r="AO95" s="107">
        <f>IF(L95&gt;0,(AO92*K92+AO93*K93+AO94*K94)/K95,0)</f>
        <v>0.21158077866156333</v>
      </c>
      <c r="AP95" s="56">
        <f t="shared" ref="AP95" si="977">SUM(AP92:AP94)</f>
        <v>102.73638150000002</v>
      </c>
      <c r="AQ95" s="108">
        <f t="shared" si="933"/>
        <v>100.34808699999999</v>
      </c>
      <c r="AR95" s="54"/>
      <c r="AS95" s="54">
        <f t="shared" ref="AS95" si="978">SUM(AS92:AS94)</f>
        <v>1061.56</v>
      </c>
      <c r="AT95" s="83"/>
      <c r="AU95" s="84">
        <f>AT94</f>
        <v>567.099999999999</v>
      </c>
      <c r="AV95" s="49">
        <f t="shared" ref="AV95" si="979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58</v>
      </c>
      <c r="D96" s="11">
        <v>4659</v>
      </c>
      <c r="E96" s="11">
        <v>0</v>
      </c>
      <c r="F96" s="11">
        <v>10456</v>
      </c>
      <c r="G96" s="12">
        <v>2.1</v>
      </c>
      <c r="H96" s="12">
        <v>4.7</v>
      </c>
      <c r="I96" s="11">
        <v>9663</v>
      </c>
      <c r="J96" s="12">
        <v>6.3</v>
      </c>
      <c r="K96" s="11">
        <v>16985</v>
      </c>
      <c r="L96" s="13">
        <v>7.0000000000000007E-2</v>
      </c>
      <c r="M96" s="23">
        <f>ROUND(K96*(1-L96),0)</f>
        <v>15796</v>
      </c>
      <c r="N96" s="14">
        <v>0.61799999999999999</v>
      </c>
      <c r="O96" s="24">
        <f t="shared" ref="O96:O98" si="980">M96*N96</f>
        <v>9761.9279999999999</v>
      </c>
      <c r="P96" s="13">
        <v>0.29599999999999999</v>
      </c>
      <c r="Q96" s="24">
        <f t="shared" ref="Q96:Q98" si="981">M96*P96</f>
        <v>4675.616</v>
      </c>
      <c r="R96" s="15">
        <v>8.5999999999999993E-2</v>
      </c>
      <c r="S96" s="112">
        <v>0.25800000000000001</v>
      </c>
      <c r="T96" s="24">
        <f t="shared" ref="T96:T98" si="982">M96*R96</f>
        <v>1358.4559999999999</v>
      </c>
      <c r="U96" s="25">
        <v>0.26300000000000001</v>
      </c>
      <c r="V96" s="24">
        <f t="shared" ref="V96:V98" si="983">M96*U96</f>
        <v>4154.348</v>
      </c>
      <c r="W96" s="15">
        <v>0.46600000000000003</v>
      </c>
      <c r="X96" s="24">
        <f t="shared" ref="X96:X98" si="984">M96*W96</f>
        <v>7360.9360000000006</v>
      </c>
      <c r="Y96" s="15">
        <v>0.43</v>
      </c>
      <c r="Z96" s="24">
        <f t="shared" ref="Z96:Z98" si="985">Y96*M96</f>
        <v>6792.28</v>
      </c>
      <c r="AA96" s="116">
        <v>2.5100000000000001E-3</v>
      </c>
      <c r="AB96" s="18">
        <f t="shared" ref="AB96" si="986">M96*AA96</f>
        <v>39.647960000000005</v>
      </c>
      <c r="AC96" s="16">
        <v>2.48E-3</v>
      </c>
      <c r="AD96" s="17">
        <f t="shared" ref="AD96:AD98" si="987">M96*AC96</f>
        <v>39.174079999999996</v>
      </c>
      <c r="AE96" s="26">
        <f>IF(M96&gt;0,(AG96+AP96)/M96,0)</f>
        <v>2.55214930362117E-3</v>
      </c>
      <c r="AF96" s="16">
        <v>2.9E-4</v>
      </c>
      <c r="AG96" s="23">
        <f t="shared" ref="AG96:AG98" si="988">AF96*M96</f>
        <v>4.5808400000000002</v>
      </c>
      <c r="AH96" s="92">
        <v>0.2104</v>
      </c>
      <c r="AI96" s="29">
        <f t="shared" ref="AI96:AI98" si="989">AL96*(1-AM96)*AH96</f>
        <v>34.919667200000006</v>
      </c>
      <c r="AJ96" s="27">
        <f t="shared" ref="AJ96:AJ98" si="990">IF(AND(AH96&gt;0,AF96&gt;0,AC96&gt;0),((AC96-AF96)*AH96)/((AH96-AF96)*AC96),0)</f>
        <v>0.88428334773950978</v>
      </c>
      <c r="AK96" s="58">
        <f t="shared" si="682"/>
        <v>0.88756579783474165</v>
      </c>
      <c r="AL96" s="11">
        <v>184</v>
      </c>
      <c r="AM96" s="13">
        <v>9.8000000000000004E-2</v>
      </c>
      <c r="AN96" s="14">
        <v>0.21529999999999999</v>
      </c>
      <c r="AO96" s="101">
        <v>0.20810000000000001</v>
      </c>
      <c r="AP96" s="29">
        <f>AL96*(1-AM96)*AN96</f>
        <v>35.732910400000002</v>
      </c>
      <c r="AQ96" s="102">
        <f t="shared" ref="AQ96" si="991">AL96*(1-AM96)*AO96</f>
        <v>34.537940800000008</v>
      </c>
      <c r="AR96" s="18">
        <v>1.55</v>
      </c>
      <c r="AS96" s="18">
        <v>533.72</v>
      </c>
      <c r="AT96" s="79">
        <f>AT94+AL96-AS96+AU96</f>
        <v>233.33999999999898</v>
      </c>
      <c r="AU96" s="80">
        <v>15.96</v>
      </c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53</v>
      </c>
      <c r="D97" s="33">
        <v>18300</v>
      </c>
      <c r="E97" s="33">
        <v>5</v>
      </c>
      <c r="F97" s="33">
        <v>16645</v>
      </c>
      <c r="G97" s="34">
        <v>1.7</v>
      </c>
      <c r="H97" s="34">
        <v>3.9</v>
      </c>
      <c r="I97" s="33">
        <v>16032</v>
      </c>
      <c r="J97" s="34">
        <v>6</v>
      </c>
      <c r="K97" s="33">
        <v>17454</v>
      </c>
      <c r="L97" s="35">
        <v>7.4999999999999997E-2</v>
      </c>
      <c r="M97" s="36">
        <f>ROUND(K97*(1-L97),0)</f>
        <v>16145</v>
      </c>
      <c r="N97" s="37">
        <v>0.76</v>
      </c>
      <c r="O97" s="24">
        <f t="shared" si="980"/>
        <v>12270.2</v>
      </c>
      <c r="P97" s="35">
        <v>0.217</v>
      </c>
      <c r="Q97" s="24">
        <f t="shared" si="981"/>
        <v>3503.4650000000001</v>
      </c>
      <c r="R97" s="38">
        <v>2.3E-2</v>
      </c>
      <c r="S97" s="105">
        <v>0.27339999999999998</v>
      </c>
      <c r="T97" s="24">
        <f t="shared" si="982"/>
        <v>371.33499999999998</v>
      </c>
      <c r="U97" s="27">
        <v>0.26500000000000001</v>
      </c>
      <c r="V97" s="24">
        <f t="shared" si="983"/>
        <v>4278.4250000000002</v>
      </c>
      <c r="W97" s="38">
        <v>0.46100000000000002</v>
      </c>
      <c r="X97" s="24">
        <f t="shared" si="984"/>
        <v>7442.8450000000003</v>
      </c>
      <c r="Y97" s="38">
        <v>0.44</v>
      </c>
      <c r="Z97" s="24">
        <f t="shared" si="985"/>
        <v>7103.8</v>
      </c>
      <c r="AA97" s="117">
        <v>2.5400000000000002E-3</v>
      </c>
      <c r="AB97" s="18">
        <f t="shared" si="766"/>
        <v>41.008300000000006</v>
      </c>
      <c r="AC97" s="39">
        <v>2.5899999999999999E-3</v>
      </c>
      <c r="AD97" s="17">
        <f t="shared" si="987"/>
        <v>41.815549999999995</v>
      </c>
      <c r="AE97" s="26">
        <f>IF(M97&gt;0,(AG97+AP97)/M97,0)</f>
        <v>2.5890225828429855E-3</v>
      </c>
      <c r="AF97" s="39">
        <v>3.2000000000000003E-4</v>
      </c>
      <c r="AG97" s="36">
        <f t="shared" si="988"/>
        <v>5.1664000000000003</v>
      </c>
      <c r="AH97" s="27">
        <v>0.2054</v>
      </c>
      <c r="AI97" s="40">
        <f t="shared" si="989"/>
        <v>34.078324800000004</v>
      </c>
      <c r="AJ97" s="27">
        <f t="shared" si="990"/>
        <v>0.8778154565164511</v>
      </c>
      <c r="AK97" s="28">
        <f t="shared" si="682"/>
        <v>0.87767322278186788</v>
      </c>
      <c r="AL97" s="33">
        <v>186</v>
      </c>
      <c r="AM97" s="35">
        <v>0.108</v>
      </c>
      <c r="AN97" s="37">
        <v>0.2208</v>
      </c>
      <c r="AO97" s="103">
        <v>0.2205</v>
      </c>
      <c r="AP97" s="40">
        <f>AL97*(1-AM97)*AN97</f>
        <v>36.633369600000002</v>
      </c>
      <c r="AQ97" s="104">
        <f t="shared" si="727"/>
        <v>36.583596</v>
      </c>
      <c r="AR97" s="41">
        <v>1.6</v>
      </c>
      <c r="AS97" s="41"/>
      <c r="AT97" s="129">
        <f>AT96+AL97-AS97</f>
        <v>419.33999999999901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0" t="s">
        <v>57</v>
      </c>
      <c r="D98" s="42">
        <v>16423</v>
      </c>
      <c r="E98" s="42">
        <v>2</v>
      </c>
      <c r="F98" s="42">
        <v>16471</v>
      </c>
      <c r="G98" s="36">
        <v>1.2</v>
      </c>
      <c r="H98" s="36">
        <v>5.8</v>
      </c>
      <c r="I98" s="42">
        <v>16132</v>
      </c>
      <c r="J98" s="36">
        <v>5.6</v>
      </c>
      <c r="K98" s="42">
        <v>17525</v>
      </c>
      <c r="L98" s="38">
        <v>7.2999999999999995E-2</v>
      </c>
      <c r="M98" s="36">
        <f>ROUND(K98*(1-L98),0)</f>
        <v>16246</v>
      </c>
      <c r="N98" s="27">
        <v>0.67600000000000005</v>
      </c>
      <c r="O98" s="24">
        <f t="shared" si="980"/>
        <v>10982.296</v>
      </c>
      <c r="P98" s="38">
        <v>0.27900000000000003</v>
      </c>
      <c r="Q98" s="24">
        <f t="shared" si="981"/>
        <v>4532.634</v>
      </c>
      <c r="R98" s="38">
        <v>4.4999999999999998E-2</v>
      </c>
      <c r="S98" s="105">
        <v>0.28120000000000001</v>
      </c>
      <c r="T98" s="24">
        <f t="shared" si="982"/>
        <v>731.06999999999994</v>
      </c>
      <c r="U98" s="27">
        <v>0.27400000000000002</v>
      </c>
      <c r="V98" s="24">
        <f t="shared" si="983"/>
        <v>4451.4040000000005</v>
      </c>
      <c r="W98" s="38">
        <v>0.45900000000000002</v>
      </c>
      <c r="X98" s="24">
        <f t="shared" si="984"/>
        <v>7456.9140000000007</v>
      </c>
      <c r="Y98" s="38">
        <v>0.43</v>
      </c>
      <c r="Z98" s="24">
        <f t="shared" si="985"/>
        <v>6985.78</v>
      </c>
      <c r="AA98" s="118">
        <v>2.5400000000000002E-3</v>
      </c>
      <c r="AB98" s="121">
        <f t="shared" si="766"/>
        <v>41.26484</v>
      </c>
      <c r="AC98" s="45">
        <v>2.5899999999999999E-3</v>
      </c>
      <c r="AD98" s="17">
        <f t="shared" si="987"/>
        <v>42.07714</v>
      </c>
      <c r="AE98" s="26">
        <f>IF(M98&gt;0,(AG98+AP98)/M98,0)</f>
        <v>2.7083021051335717E-3</v>
      </c>
      <c r="AF98" s="45">
        <v>3.2000000000000003E-4</v>
      </c>
      <c r="AG98" s="36">
        <f t="shared" si="988"/>
        <v>5.1987200000000007</v>
      </c>
      <c r="AH98" s="27">
        <v>0.20810000000000001</v>
      </c>
      <c r="AI98" s="40">
        <f t="shared" si="989"/>
        <v>36.953565599999997</v>
      </c>
      <c r="AJ98" s="27">
        <f t="shared" si="990"/>
        <v>0.8777976854788867</v>
      </c>
      <c r="AK98" s="28">
        <f t="shared" si="682"/>
        <v>0.88313817460690591</v>
      </c>
      <c r="AL98" s="42">
        <v>196</v>
      </c>
      <c r="AM98" s="38">
        <v>9.4E-2</v>
      </c>
      <c r="AN98" s="27">
        <v>0.2185</v>
      </c>
      <c r="AO98" s="105">
        <v>0.21629999999999999</v>
      </c>
      <c r="AP98" s="40">
        <f>AL98*(1-AM98)*AN98</f>
        <v>38.800356000000001</v>
      </c>
      <c r="AQ98" s="106">
        <f t="shared" si="727"/>
        <v>38.409688799999998</v>
      </c>
      <c r="AR98" s="17">
        <v>1.55</v>
      </c>
      <c r="AS98" s="17"/>
      <c r="AT98" s="129">
        <f>AT97+AL98-AS98</f>
        <v>615.33999999999901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92">SUM(D96:D98)</f>
        <v>39382</v>
      </c>
      <c r="E99" s="49"/>
      <c r="F99" s="49">
        <f t="shared" ref="F99" si="993">SUM(F96:F98)</f>
        <v>43572</v>
      </c>
      <c r="G99" s="50"/>
      <c r="H99" s="50"/>
      <c r="I99" s="49">
        <f t="shared" ref="I99:K99" si="994">SUM(I96:I98)</f>
        <v>41827</v>
      </c>
      <c r="J99" s="50"/>
      <c r="K99" s="49">
        <f t="shared" si="994"/>
        <v>51964</v>
      </c>
      <c r="L99" s="20">
        <f t="shared" ref="L99" si="995">IF(K99&gt;0,(K96*L96+K97*L97+K98*L98)/K99,0)</f>
        <v>7.2691190054653215E-2</v>
      </c>
      <c r="M99" s="50">
        <f t="shared" ref="M99" si="996">M96+M97+M98</f>
        <v>48187</v>
      </c>
      <c r="N99" s="51">
        <f t="shared" ref="N99" si="997">IF(M99&gt;0,O99/M99,0)</f>
        <v>0.6851313424782618</v>
      </c>
      <c r="O99" s="52">
        <f t="shared" ref="O99" si="998">O96+O97+O98</f>
        <v>33014.423999999999</v>
      </c>
      <c r="P99" s="20">
        <f t="shared" ref="P99" si="999">IF(M99&gt;0,Q99/M99,0)</f>
        <v>0.2637996762612323</v>
      </c>
      <c r="Q99" s="52">
        <f t="shared" ref="Q99" si="1000">Q96+Q97+Q98</f>
        <v>12711.715</v>
      </c>
      <c r="R99" s="20">
        <f t="shared" ref="R99" si="1001">IF(M99&gt;0,T99/M99,0)</f>
        <v>5.1068981260505943E-2</v>
      </c>
      <c r="S99" s="107"/>
      <c r="T99" s="52">
        <f t="shared" ref="T99" si="1002">T96+T97+T98</f>
        <v>2460.8609999999999</v>
      </c>
      <c r="U99" s="20">
        <f t="shared" ref="U99" si="1003">IF(M99&gt;0,V99/M99,0)</f>
        <v>0.26737869134828901</v>
      </c>
      <c r="V99" s="52">
        <f t="shared" ref="V99" si="1004">V96+V97+V98</f>
        <v>12884.177000000001</v>
      </c>
      <c r="W99" s="20">
        <f t="shared" ref="W99" si="1005">IF(M99&gt;0,X99/M99,0)</f>
        <v>0.46196474152779793</v>
      </c>
      <c r="X99" s="52">
        <f t="shared" ref="X99" si="1006">X96+X97+X98</f>
        <v>22260.695</v>
      </c>
      <c r="Y99" s="20">
        <f t="shared" ref="Y99" si="1007">IF(M99&gt;0,Z99/M99,0)</f>
        <v>0.43335048872102433</v>
      </c>
      <c r="Z99" s="52">
        <f t="shared" ref="Z99" si="1008">Z96+Z97+Z98</f>
        <v>20881.86</v>
      </c>
      <c r="AA99" s="119">
        <f t="shared" ref="AA99" si="1009">IF(M99&gt;0,AB99/M99,0)</f>
        <v>2.5301658123560297E-3</v>
      </c>
      <c r="AB99" s="54">
        <f t="shared" ref="AB99" si="1010">SUM(AB96:AB98)</f>
        <v>121.9211</v>
      </c>
      <c r="AC99" s="53">
        <f t="shared" ref="AC99" si="1011">IF(M99&gt;0,AD99/M99,0)</f>
        <v>2.5539413119721084E-3</v>
      </c>
      <c r="AD99" s="54">
        <f t="shared" ref="AD99" si="1012">SUM(AD96:AD98)</f>
        <v>123.06676999999999</v>
      </c>
      <c r="AE99" s="53">
        <f t="shared" ref="AE99" si="1013">IF(M99&gt;0,(AE96*M96+AE97*M97+AE98*M98)/M99,0)</f>
        <v>2.6171497706850397E-3</v>
      </c>
      <c r="AF99" s="53">
        <f t="shared" ref="AF99" si="1014">IF(K99&gt;0,(K96*AF96+K97*AF97+K98*AF98)/K99,0)</f>
        <v>3.1019417288892309E-4</v>
      </c>
      <c r="AG99" s="50">
        <f t="shared" ref="AG99" si="1015">SUM(AG96:AG98)</f>
        <v>14.945960000000003</v>
      </c>
      <c r="AH99" s="51">
        <f t="shared" ref="AH99" si="1016">IF(K99&gt;0,(K96*AH96+K97*AH97+K98*AH98)/K99,0)</f>
        <v>0.20794488684473866</v>
      </c>
      <c r="AI99" s="56">
        <f t="shared" ref="AI99" si="1017">SUM(AI96:AI98)</f>
        <v>105.9515576</v>
      </c>
      <c r="AJ99" s="51">
        <f t="shared" ref="AJ99" si="1018">IF(AND(AD99&gt;0),((AD96*AJ96+AD97*AJ97+AD98*AJ98)/AD99),0)</f>
        <v>0.87986821156777684</v>
      </c>
      <c r="AK99" s="55">
        <f t="shared" si="682"/>
        <v>0.88273108063512906</v>
      </c>
      <c r="AL99" s="49">
        <f t="shared" ref="AL99" si="1019">SUM(AL96:AL98)</f>
        <v>566</v>
      </c>
      <c r="AM99" s="20">
        <f t="shared" ref="AM99" si="1020">IF(AL99&gt;0,(AM96*AL96+AM97*AL97+AM98*AL98)/AL99,0)</f>
        <v>9.9901060070671385E-2</v>
      </c>
      <c r="AN99" s="51">
        <f>IF(K99&gt;0,(AN96*K96+AN97*K97+AN98*K98)/K99,0)</f>
        <v>0.21822658378877685</v>
      </c>
      <c r="AO99" s="107">
        <f>IF(L99&gt;0,(AO96*K96+AO97*K97+AO98*K98)/K99,0)</f>
        <v>0.21503046339773688</v>
      </c>
      <c r="AP99" s="56">
        <f t="shared" ref="AP99" si="1021">SUM(AP96:AP98)</f>
        <v>111.16663600000001</v>
      </c>
      <c r="AQ99" s="108">
        <f t="shared" si="933"/>
        <v>109.5312256</v>
      </c>
      <c r="AR99" s="54"/>
      <c r="AS99" s="54">
        <f t="shared" ref="AS99" si="1022">SUM(AS96:AS98)</f>
        <v>533.72</v>
      </c>
      <c r="AT99" s="83"/>
      <c r="AU99" s="84">
        <f>AT98</f>
        <v>615.33999999999901</v>
      </c>
      <c r="AV99" s="49">
        <f t="shared" ref="AV99" si="1023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58</v>
      </c>
      <c r="D100" s="11">
        <v>17287</v>
      </c>
      <c r="E100" s="11">
        <v>0</v>
      </c>
      <c r="F100" s="11">
        <v>17721</v>
      </c>
      <c r="G100" s="12">
        <v>0.4</v>
      </c>
      <c r="H100" s="12">
        <v>3.5</v>
      </c>
      <c r="I100" s="11">
        <v>17527</v>
      </c>
      <c r="J100" s="12">
        <v>5.4</v>
      </c>
      <c r="K100" s="11">
        <v>17572</v>
      </c>
      <c r="L100" s="13">
        <v>6.5000000000000002E-2</v>
      </c>
      <c r="M100" s="23">
        <f>ROUND(K100*(1-L100),0)</f>
        <v>16430</v>
      </c>
      <c r="N100" s="14">
        <v>0.64300000000000002</v>
      </c>
      <c r="O100" s="24">
        <f t="shared" ref="O100:O102" si="1024">M100*N100</f>
        <v>10564.49</v>
      </c>
      <c r="P100" s="13">
        <v>0.34499999999999997</v>
      </c>
      <c r="Q100" s="24">
        <f t="shared" ref="Q100:Q102" si="1025">M100*P100</f>
        <v>5668.3499999999995</v>
      </c>
      <c r="R100" s="15">
        <v>1.2E-2</v>
      </c>
      <c r="S100" s="112">
        <v>0.27210000000000001</v>
      </c>
      <c r="T100" s="24">
        <f t="shared" ref="T100:T102" si="1026">M100*R100</f>
        <v>197.16</v>
      </c>
      <c r="U100" s="25">
        <v>0.27100000000000002</v>
      </c>
      <c r="V100" s="24">
        <f t="shared" ref="V100:V102" si="1027">M100*U100</f>
        <v>4452.5300000000007</v>
      </c>
      <c r="W100" s="15">
        <v>0.45800000000000002</v>
      </c>
      <c r="X100" s="24">
        <f t="shared" ref="X100:X102" si="1028">M100*W100</f>
        <v>7524.9400000000005</v>
      </c>
      <c r="Y100" s="15">
        <v>0.43</v>
      </c>
      <c r="Z100" s="24">
        <f t="shared" ref="Z100:Z102" si="1029">Y100*M100</f>
        <v>7064.9</v>
      </c>
      <c r="AA100" s="116">
        <v>2.5899999999999999E-3</v>
      </c>
      <c r="AB100" s="18">
        <f t="shared" ref="AB100" si="1030">M100*AA100</f>
        <v>42.553699999999999</v>
      </c>
      <c r="AC100" s="16">
        <v>2.6800000000000001E-3</v>
      </c>
      <c r="AD100" s="17">
        <f t="shared" ref="AD100:AD102" si="1031">M100*AC100</f>
        <v>44.032400000000003</v>
      </c>
      <c r="AE100" s="26">
        <f>IF(M100&gt;0,(AG100+AP100)/M100,0)</f>
        <v>2.8661316798539258E-3</v>
      </c>
      <c r="AF100" s="16">
        <v>3.3E-4</v>
      </c>
      <c r="AG100" s="23">
        <f t="shared" ref="AG100:AG102" si="1032">AF100*M100</f>
        <v>5.4218999999999999</v>
      </c>
      <c r="AH100" s="92">
        <v>0.2029</v>
      </c>
      <c r="AI100" s="29">
        <f t="shared" ref="AI100:AI102" si="1033">AL100*(1-AM100)*AH100</f>
        <v>38.377520500000003</v>
      </c>
      <c r="AJ100" s="27">
        <f t="shared" ref="AJ100:AJ102" si="1034">IF(AND(AH100&gt;0,AF100&gt;0,AC100&gt;0),((AC100-AF100)*AH100)/((AH100-AF100)*AC100),0)</f>
        <v>0.87829414412854523</v>
      </c>
      <c r="AK100" s="58">
        <f t="shared" si="682"/>
        <v>0.88618970790906304</v>
      </c>
      <c r="AL100" s="11">
        <v>209</v>
      </c>
      <c r="AM100" s="13">
        <v>9.5000000000000001E-2</v>
      </c>
      <c r="AN100" s="14">
        <v>0.2203</v>
      </c>
      <c r="AO100" s="101">
        <v>0.2122</v>
      </c>
      <c r="AP100" s="29">
        <f>AL100*(1-AM100)*AN100</f>
        <v>41.668643500000002</v>
      </c>
      <c r="AQ100" s="102">
        <f t="shared" ref="AQ100" si="1035">AL100*(1-AM100)*AO100</f>
        <v>40.136569000000001</v>
      </c>
      <c r="AR100" s="18">
        <v>1.55</v>
      </c>
      <c r="AS100" s="18"/>
      <c r="AT100" s="79">
        <f>AT98+AL100-AS100</f>
        <v>824.33999999999901</v>
      </c>
      <c r="AU100" s="134"/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53</v>
      </c>
      <c r="D101" s="33">
        <v>20800</v>
      </c>
      <c r="E101" s="33">
        <v>3</v>
      </c>
      <c r="F101" s="33">
        <v>18230</v>
      </c>
      <c r="G101" s="34">
        <v>0.6</v>
      </c>
      <c r="H101" s="34">
        <v>3.3</v>
      </c>
      <c r="I101" s="33">
        <v>17231</v>
      </c>
      <c r="J101" s="34">
        <v>5.2</v>
      </c>
      <c r="K101" s="33">
        <v>17445</v>
      </c>
      <c r="L101" s="35">
        <v>6.9000000000000006E-2</v>
      </c>
      <c r="M101" s="36">
        <f>ROUND(K101*(1-L101),0)</f>
        <v>16241</v>
      </c>
      <c r="N101" s="37">
        <v>0.70099999999999996</v>
      </c>
      <c r="O101" s="24">
        <f t="shared" si="1024"/>
        <v>11384.940999999999</v>
      </c>
      <c r="P101" s="35">
        <v>0.27900000000000003</v>
      </c>
      <c r="Q101" s="24">
        <f t="shared" si="1025"/>
        <v>4531.2390000000005</v>
      </c>
      <c r="R101" s="38">
        <v>0.02</v>
      </c>
      <c r="S101" s="105">
        <v>0.28110000000000002</v>
      </c>
      <c r="T101" s="24">
        <f t="shared" si="1026"/>
        <v>324.82</v>
      </c>
      <c r="U101" s="27">
        <v>0.27600000000000002</v>
      </c>
      <c r="V101" s="24">
        <f t="shared" si="1027"/>
        <v>4482.5160000000005</v>
      </c>
      <c r="W101" s="38">
        <v>0.45300000000000001</v>
      </c>
      <c r="X101" s="24">
        <f t="shared" si="1028"/>
        <v>7357.1729999999998</v>
      </c>
      <c r="Y101" s="38">
        <v>0.43</v>
      </c>
      <c r="Z101" s="24">
        <f t="shared" si="1029"/>
        <v>6983.63</v>
      </c>
      <c r="AA101" s="117">
        <v>2.7299999999999998E-3</v>
      </c>
      <c r="AB101" s="18">
        <f t="shared" si="766"/>
        <v>44.33793</v>
      </c>
      <c r="AC101" s="39">
        <v>2.8900000000000002E-3</v>
      </c>
      <c r="AD101" s="17">
        <f t="shared" si="1031"/>
        <v>46.936490000000006</v>
      </c>
      <c r="AE101" s="26">
        <f>IF(M101&gt;0,(AG101+AP101)/M101,0)</f>
        <v>2.889314721999877E-3</v>
      </c>
      <c r="AF101" s="39">
        <v>3.3E-4</v>
      </c>
      <c r="AG101" s="36">
        <f t="shared" si="1032"/>
        <v>5.3595300000000003</v>
      </c>
      <c r="AH101" s="27">
        <v>0.20030000000000001</v>
      </c>
      <c r="AI101" s="40">
        <f t="shared" si="1033"/>
        <v>39.1979088</v>
      </c>
      <c r="AJ101" s="27">
        <f t="shared" si="1034"/>
        <v>0.88727495975607407</v>
      </c>
      <c r="AK101" s="28">
        <f t="shared" si="682"/>
        <v>0.88716442914719384</v>
      </c>
      <c r="AL101" s="33">
        <v>216</v>
      </c>
      <c r="AM101" s="35">
        <v>9.4E-2</v>
      </c>
      <c r="AN101" s="37">
        <v>0.21240000000000001</v>
      </c>
      <c r="AO101" s="103">
        <v>0.20680000000000001</v>
      </c>
      <c r="AP101" s="40">
        <f>AL101*(1-AM101)*AN101</f>
        <v>41.565830400000003</v>
      </c>
      <c r="AQ101" s="104">
        <f t="shared" si="727"/>
        <v>40.469932800000002</v>
      </c>
      <c r="AR101" s="41">
        <v>1.62</v>
      </c>
      <c r="AS101" s="41"/>
      <c r="AT101" s="129">
        <f>AT100+AL101-AS101</f>
        <v>1040.339999999999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0" t="s">
        <v>54</v>
      </c>
      <c r="D102" s="42">
        <v>18000</v>
      </c>
      <c r="E102" s="42">
        <v>1</v>
      </c>
      <c r="F102" s="42">
        <v>18985</v>
      </c>
      <c r="G102" s="36">
        <v>0.3</v>
      </c>
      <c r="H102" s="36">
        <v>3.6</v>
      </c>
      <c r="I102" s="42">
        <v>18551</v>
      </c>
      <c r="J102" s="36">
        <v>4.5</v>
      </c>
      <c r="K102" s="42">
        <v>17394</v>
      </c>
      <c r="L102" s="38">
        <v>7.1999999999999995E-2</v>
      </c>
      <c r="M102" s="36">
        <f>ROUND(K102*(1-L102),0)</f>
        <v>16142</v>
      </c>
      <c r="N102" s="27">
        <v>0.69799999999999995</v>
      </c>
      <c r="O102" s="24">
        <f t="shared" si="1024"/>
        <v>11267.116</v>
      </c>
      <c r="P102" s="38">
        <v>0.23</v>
      </c>
      <c r="Q102" s="24">
        <f t="shared" si="1025"/>
        <v>3712.6600000000003</v>
      </c>
      <c r="R102" s="38">
        <v>7.1999999999999995E-2</v>
      </c>
      <c r="S102" s="105">
        <v>0.25840000000000002</v>
      </c>
      <c r="T102" s="24">
        <f t="shared" si="1026"/>
        <v>1162.2239999999999</v>
      </c>
      <c r="U102" s="27">
        <v>0.27</v>
      </c>
      <c r="V102" s="24">
        <f t="shared" si="1027"/>
        <v>4358.34</v>
      </c>
      <c r="W102" s="38">
        <v>0.47199999999999998</v>
      </c>
      <c r="X102" s="24">
        <f t="shared" si="1028"/>
        <v>7619.0239999999994</v>
      </c>
      <c r="Y102" s="38">
        <v>0.43</v>
      </c>
      <c r="Z102" s="24">
        <f t="shared" si="1029"/>
        <v>6941.0599999999995</v>
      </c>
      <c r="AA102" s="118">
        <v>2.6700000000000001E-3</v>
      </c>
      <c r="AB102" s="121">
        <f t="shared" si="766"/>
        <v>43.099139999999998</v>
      </c>
      <c r="AC102" s="45">
        <v>2.7399999999999998E-3</v>
      </c>
      <c r="AD102" s="17">
        <f t="shared" si="1031"/>
        <v>44.229079999999996</v>
      </c>
      <c r="AE102" s="26">
        <f>IF(M102&gt;0,(AG102+AP102)/M102,0)</f>
        <v>2.7062272333044234E-3</v>
      </c>
      <c r="AF102" s="45">
        <v>3.2000000000000003E-4</v>
      </c>
      <c r="AG102" s="36">
        <f t="shared" si="1032"/>
        <v>5.1654400000000003</v>
      </c>
      <c r="AH102" s="27">
        <v>0.2072</v>
      </c>
      <c r="AI102" s="40">
        <f t="shared" si="1033"/>
        <v>39.218815999999997</v>
      </c>
      <c r="AJ102" s="27">
        <f t="shared" si="1034"/>
        <v>0.88457782218684544</v>
      </c>
      <c r="AK102" s="28">
        <f t="shared" si="682"/>
        <v>0.88314292752541612</v>
      </c>
      <c r="AL102" s="42">
        <v>208</v>
      </c>
      <c r="AM102" s="38">
        <v>0.09</v>
      </c>
      <c r="AN102" s="27">
        <v>0.20349999999999999</v>
      </c>
      <c r="AO102" s="105">
        <v>0.1966</v>
      </c>
      <c r="AP102" s="40">
        <f>AL102*(1-AM102)*AN102</f>
        <v>38.518479999999997</v>
      </c>
      <c r="AQ102" s="106">
        <f t="shared" si="727"/>
        <v>37.212448000000002</v>
      </c>
      <c r="AR102" s="17">
        <v>1.65</v>
      </c>
      <c r="AS102" s="17"/>
      <c r="AT102" s="129">
        <f>AT101+AL102-AS102</f>
        <v>1248.339999999999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36">SUM(D100:D102)</f>
        <v>56087</v>
      </c>
      <c r="E103" s="49"/>
      <c r="F103" s="49">
        <f t="shared" ref="F103" si="1037">SUM(F100:F102)</f>
        <v>54936</v>
      </c>
      <c r="G103" s="50"/>
      <c r="H103" s="50"/>
      <c r="I103" s="49">
        <f t="shared" ref="I103:K103" si="1038">SUM(I100:I102)</f>
        <v>53309</v>
      </c>
      <c r="J103" s="50"/>
      <c r="K103" s="49">
        <f t="shared" si="1038"/>
        <v>52411</v>
      </c>
      <c r="L103" s="20">
        <f t="shared" ref="L103" si="1039">IF(K103&gt;0,(K100*L100+K101*L101+K102*L102)/K103,0)</f>
        <v>6.8654538169468246E-2</v>
      </c>
      <c r="M103" s="50">
        <f t="shared" ref="M103" si="1040">M100+M101+M102</f>
        <v>48813</v>
      </c>
      <c r="N103" s="51">
        <f t="shared" ref="N103" si="1041">IF(M103&gt;0,O103/M103,0)</f>
        <v>0.68048566980107761</v>
      </c>
      <c r="O103" s="52">
        <f t="shared" ref="O103" si="1042">O100+O101+O102</f>
        <v>33216.546999999999</v>
      </c>
      <c r="P103" s="20">
        <f t="shared" ref="P103" si="1043">IF(M103&gt;0,Q103/M103,0)</f>
        <v>0.28501114457214266</v>
      </c>
      <c r="Q103" s="52">
        <f t="shared" ref="Q103" si="1044">Q100+Q101+Q102</f>
        <v>13912.249</v>
      </c>
      <c r="R103" s="20">
        <f t="shared" ref="R103" si="1045">IF(M103&gt;0,T103/M103,0)</f>
        <v>3.4503185626779752E-2</v>
      </c>
      <c r="S103" s="107"/>
      <c r="T103" s="52">
        <f t="shared" ref="T103" si="1046">T100+T101+T102</f>
        <v>1684.204</v>
      </c>
      <c r="U103" s="20">
        <f t="shared" ref="U103" si="1047">IF(M103&gt;0,V103/M103,0)</f>
        <v>0.27233290312007052</v>
      </c>
      <c r="V103" s="52">
        <f t="shared" ref="V103" si="1048">V100+V101+V102</f>
        <v>13293.386000000002</v>
      </c>
      <c r="W103" s="20">
        <f t="shared" ref="W103" si="1049">IF(M103&gt;0,X103/M103,0)</f>
        <v>0.46096607461127165</v>
      </c>
      <c r="X103" s="52">
        <f t="shared" ref="X103" si="1050">X100+X101+X102</f>
        <v>22501.137000000002</v>
      </c>
      <c r="Y103" s="20">
        <f t="shared" ref="Y103" si="1051">IF(M103&gt;0,Z103/M103,0)</f>
        <v>0.42999999999999994</v>
      </c>
      <c r="Z103" s="52">
        <f t="shared" ref="Z103" si="1052">Z100+Z101+Z102</f>
        <v>20989.589999999997</v>
      </c>
      <c r="AA103" s="119">
        <f t="shared" ref="AA103" si="1053">IF(M103&gt;0,AB103/M103,0)</f>
        <v>2.6630358715915843E-3</v>
      </c>
      <c r="AB103" s="54">
        <f t="shared" ref="AB103" si="1054">SUM(AB100:AB102)</f>
        <v>129.99077</v>
      </c>
      <c r="AC103" s="53">
        <f t="shared" ref="AC103" si="1055">IF(M103&gt;0,AD103/M103,0)</f>
        <v>2.7697123717042591E-3</v>
      </c>
      <c r="AD103" s="54">
        <f t="shared" ref="AD103" si="1056">SUM(AD100:AD102)</f>
        <v>135.19797</v>
      </c>
      <c r="AE103" s="53">
        <f t="shared" ref="AE103" si="1057">IF(M103&gt;0,(AE100*M100+AE101*M101+AE102*M102)/M103,0)</f>
        <v>2.8209662159670583E-3</v>
      </c>
      <c r="AF103" s="53">
        <f t="shared" ref="AF103" si="1058">IF(K103&gt;0,(K100*AF100+K101*AF101+K102*AF102)/K103,0)</f>
        <v>3.2668123103928568E-4</v>
      </c>
      <c r="AG103" s="50">
        <f t="shared" ref="AG103" si="1059">SUM(AG100:AG102)</f>
        <v>15.946870000000001</v>
      </c>
      <c r="AH103" s="51">
        <f t="shared" ref="AH103" si="1060">IF(K103&gt;0,(K100*AH100+K101*AH101+K102*AH102)/K103,0)</f>
        <v>0.20346166072007785</v>
      </c>
      <c r="AI103" s="56">
        <f t="shared" ref="AI103" si="1061">SUM(AI100:AI102)</f>
        <v>116.7942453</v>
      </c>
      <c r="AJ103" s="51">
        <f t="shared" ref="AJ103" si="1062">IF(AND(AD103&gt;0),((AD100*AJ100+AD101*AJ101+AD102*AJ102)/AD103),0)</f>
        <v>0.88346766309801017</v>
      </c>
      <c r="AK103" s="55">
        <f t="shared" si="682"/>
        <v>0.88555926089379466</v>
      </c>
      <c r="AL103" s="49">
        <f t="shared" ref="AL103" si="1063">SUM(AL100:AL102)</f>
        <v>633</v>
      </c>
      <c r="AM103" s="20">
        <f t="shared" ref="AM103" si="1064">IF(AL103&gt;0,(AM100*AL100+AM101*AL101+AM102*AL102)/AL103,0)</f>
        <v>9.3015797788309637E-2</v>
      </c>
      <c r="AN103" s="51">
        <f>IF(K103&gt;0,(AN100*K100+AN101*K101+AN102*K102)/K103,0)</f>
        <v>0.21209495334948769</v>
      </c>
      <c r="AO103" s="107">
        <f>IF(L103&gt;0,(AO100*K100+AO101*K101+AO102*K102)/K103,0)</f>
        <v>0.20522533056037856</v>
      </c>
      <c r="AP103" s="56">
        <f t="shared" ref="AP103" si="1065">SUM(AP100:AP102)</f>
        <v>121.75295390000001</v>
      </c>
      <c r="AQ103" s="108">
        <f t="shared" si="933"/>
        <v>117.81894980000001</v>
      </c>
      <c r="AR103" s="54"/>
      <c r="AS103" s="54">
        <f t="shared" ref="AS103" si="1066">SUM(AS100:AS102)</f>
        <v>0</v>
      </c>
      <c r="AT103" s="136"/>
      <c r="AU103" s="84">
        <f>AT102</f>
        <v>1248.339999999999</v>
      </c>
      <c r="AV103" s="49">
        <f t="shared" ref="AV103" si="1067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0" t="s">
        <v>55</v>
      </c>
      <c r="D104" s="11">
        <v>13724</v>
      </c>
      <c r="E104" s="11">
        <v>0</v>
      </c>
      <c r="F104" s="11">
        <v>15983</v>
      </c>
      <c r="G104" s="12">
        <v>0.2</v>
      </c>
      <c r="H104" s="12">
        <v>3.7</v>
      </c>
      <c r="I104" s="11">
        <v>15474</v>
      </c>
      <c r="J104" s="12">
        <v>5.0999999999999996</v>
      </c>
      <c r="K104" s="11">
        <v>17565</v>
      </c>
      <c r="L104" s="13">
        <v>6.8000000000000005E-2</v>
      </c>
      <c r="M104" s="23">
        <f>ROUND(K104*(1-L104),0)</f>
        <v>16371</v>
      </c>
      <c r="N104" s="14">
        <v>0.68300000000000005</v>
      </c>
      <c r="O104" s="24">
        <f t="shared" ref="O104:O106" si="1068">M104*N104</f>
        <v>11181.393</v>
      </c>
      <c r="P104" s="13">
        <v>0.26200000000000001</v>
      </c>
      <c r="Q104" s="24">
        <f t="shared" ref="Q104:Q106" si="1069">M104*P104</f>
        <v>4289.2020000000002</v>
      </c>
      <c r="R104" s="15">
        <v>5.5E-2</v>
      </c>
      <c r="S104" s="112">
        <v>0.2487</v>
      </c>
      <c r="T104" s="24">
        <f t="shared" ref="T104:T106" si="1070">M104*R104</f>
        <v>900.40499999999997</v>
      </c>
      <c r="U104" s="25">
        <v>0.26800000000000002</v>
      </c>
      <c r="V104" s="24">
        <f t="shared" ref="V104:V106" si="1071">M104*U104</f>
        <v>4387.4279999999999</v>
      </c>
      <c r="W104" s="15">
        <v>0.46600000000000003</v>
      </c>
      <c r="X104" s="24">
        <f t="shared" ref="X104:X106" si="1072">M104*W104</f>
        <v>7628.8860000000004</v>
      </c>
      <c r="Y104" s="15">
        <v>0.42</v>
      </c>
      <c r="Z104" s="24">
        <f t="shared" ref="Z104:Z106" si="1073">Y104*M104</f>
        <v>6875.82</v>
      </c>
      <c r="AA104" s="116">
        <v>2.7100000000000002E-3</v>
      </c>
      <c r="AB104" s="18">
        <f t="shared" ref="AB104" si="1074">M104*AA104</f>
        <v>44.365410000000004</v>
      </c>
      <c r="AC104" s="16">
        <v>2.7799999999999999E-3</v>
      </c>
      <c r="AD104" s="17">
        <f t="shared" ref="AD104:AD106" si="1075">M104*AC104</f>
        <v>45.511379999999996</v>
      </c>
      <c r="AE104" s="26">
        <f>IF(M104&gt;0,(AG104+AP104)/M104,0)</f>
        <v>2.7321678577973247E-3</v>
      </c>
      <c r="AF104" s="16">
        <v>3.2000000000000003E-4</v>
      </c>
      <c r="AG104" s="23">
        <f t="shared" ref="AG104:AG106" si="1076">AF104*M104</f>
        <v>5.2387200000000007</v>
      </c>
      <c r="AH104" s="92">
        <v>0.21029999999999999</v>
      </c>
      <c r="AI104" s="29">
        <f t="shared" ref="AI104:AI106" si="1077">AL104*(1-AM104)*AH104</f>
        <v>38.358719999999998</v>
      </c>
      <c r="AJ104" s="27">
        <f t="shared" ref="AJ104:AJ106" si="1078">IF(AND(AH104&gt;0,AF104&gt;0,AC104&gt;0),((AC104-AF104)*AH104)/((AH104-AF104)*AC104),0)</f>
        <v>0.88624062175157481</v>
      </c>
      <c r="AK104" s="58">
        <f t="shared" si="682"/>
        <v>0.88418376543344013</v>
      </c>
      <c r="AL104" s="11">
        <v>200</v>
      </c>
      <c r="AM104" s="13">
        <v>8.7999999999999995E-2</v>
      </c>
      <c r="AN104" s="14">
        <v>0.2165</v>
      </c>
      <c r="AO104" s="101">
        <v>0.20580000000000001</v>
      </c>
      <c r="AP104" s="29">
        <f>AL104*(1-AM104)*AN104</f>
        <v>39.489600000000003</v>
      </c>
      <c r="AQ104" s="102">
        <f t="shared" ref="AQ104" si="1079">AL104*(1-AM104)*AO104</f>
        <v>37.53792</v>
      </c>
      <c r="AR104" s="18">
        <v>1.65</v>
      </c>
      <c r="AS104" s="18"/>
      <c r="AT104" s="79">
        <f>AT102+AL104-AS104</f>
        <v>1448.339999999999</v>
      </c>
      <c r="AU104" s="80"/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0" t="s">
        <v>53</v>
      </c>
      <c r="D105" s="33">
        <v>16200</v>
      </c>
      <c r="E105" s="33">
        <v>0</v>
      </c>
      <c r="F105" s="33">
        <v>15539</v>
      </c>
      <c r="G105" s="34">
        <v>0.6</v>
      </c>
      <c r="H105" s="34">
        <v>3</v>
      </c>
      <c r="I105" s="33">
        <v>15129</v>
      </c>
      <c r="J105" s="34">
        <v>5.3</v>
      </c>
      <c r="K105" s="33">
        <v>17438</v>
      </c>
      <c r="L105" s="35">
        <v>6.9000000000000006E-2</v>
      </c>
      <c r="M105" s="36">
        <f>ROUND(K105*(1-L105),0)</f>
        <v>16235</v>
      </c>
      <c r="N105" s="37">
        <v>0.77500000000000002</v>
      </c>
      <c r="O105" s="24">
        <f t="shared" si="1068"/>
        <v>12582.125</v>
      </c>
      <c r="P105" s="35">
        <v>0.19400000000000001</v>
      </c>
      <c r="Q105" s="24">
        <f t="shared" si="1069"/>
        <v>3149.59</v>
      </c>
      <c r="R105" s="38">
        <v>3.1E-2</v>
      </c>
      <c r="S105" s="105">
        <v>0.26290000000000002</v>
      </c>
      <c r="T105" s="24">
        <f t="shared" si="1070"/>
        <v>503.28499999999997</v>
      </c>
      <c r="U105" s="27">
        <v>0.27300000000000002</v>
      </c>
      <c r="V105" s="24">
        <f t="shared" si="1071"/>
        <v>4432.1550000000007</v>
      </c>
      <c r="W105" s="38">
        <v>0.46</v>
      </c>
      <c r="X105" s="24">
        <f t="shared" si="1072"/>
        <v>7468.1</v>
      </c>
      <c r="Y105" s="38">
        <v>0.43</v>
      </c>
      <c r="Z105" s="24">
        <f t="shared" si="1073"/>
        <v>6981.05</v>
      </c>
      <c r="AA105" s="117">
        <v>2.5799999999999998E-3</v>
      </c>
      <c r="AB105" s="18">
        <f t="shared" si="766"/>
        <v>41.886299999999999</v>
      </c>
      <c r="AC105" s="39">
        <v>2.6900000000000001E-3</v>
      </c>
      <c r="AD105" s="17">
        <f t="shared" si="1075"/>
        <v>43.672150000000002</v>
      </c>
      <c r="AE105" s="26">
        <f>IF(M105&gt;0,(AG105+AP105)/M105,0)</f>
        <v>2.8605860917770244E-3</v>
      </c>
      <c r="AF105" s="39">
        <v>2.9999999999999997E-4</v>
      </c>
      <c r="AG105" s="36">
        <f t="shared" si="1076"/>
        <v>4.8704999999999998</v>
      </c>
      <c r="AH105" s="27">
        <v>0.20849999999999999</v>
      </c>
      <c r="AI105" s="40">
        <f t="shared" si="1077"/>
        <v>38.284352999999996</v>
      </c>
      <c r="AJ105" s="27">
        <f t="shared" si="1078"/>
        <v>0.88975606097939863</v>
      </c>
      <c r="AK105" s="28">
        <f t="shared" si="682"/>
        <v>0.8963140818985067</v>
      </c>
      <c r="AL105" s="33">
        <v>202</v>
      </c>
      <c r="AM105" s="35">
        <v>9.0999999999999998E-2</v>
      </c>
      <c r="AN105" s="37">
        <v>0.22639999999999999</v>
      </c>
      <c r="AO105" s="103">
        <v>0.21590000000000001</v>
      </c>
      <c r="AP105" s="40">
        <f>AL105*(1-AM105)*AN105</f>
        <v>41.571115199999994</v>
      </c>
      <c r="AQ105" s="104">
        <f t="shared" si="727"/>
        <v>39.643126199999998</v>
      </c>
      <c r="AR105" s="41">
        <v>1.65</v>
      </c>
      <c r="AS105" s="41"/>
      <c r="AT105" s="129">
        <f>AT104+AL105-AS105</f>
        <v>1650.339999999999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0" t="s">
        <v>54</v>
      </c>
      <c r="D106" s="42">
        <v>17500</v>
      </c>
      <c r="E106" s="42">
        <v>1</v>
      </c>
      <c r="F106" s="42">
        <v>16043</v>
      </c>
      <c r="G106" s="36">
        <v>0.5</v>
      </c>
      <c r="H106" s="36">
        <v>3.8</v>
      </c>
      <c r="I106" s="42">
        <v>15318</v>
      </c>
      <c r="J106" s="36">
        <v>6</v>
      </c>
      <c r="K106" s="42">
        <v>17184</v>
      </c>
      <c r="L106" s="38">
        <v>6.3E-2</v>
      </c>
      <c r="M106" s="36">
        <f>ROUND(K106*(1-L106),0)</f>
        <v>16101</v>
      </c>
      <c r="N106" s="27">
        <v>0.66600000000000004</v>
      </c>
      <c r="O106" s="24">
        <f t="shared" si="1068"/>
        <v>10723.266000000001</v>
      </c>
      <c r="P106" s="38">
        <v>0.27200000000000002</v>
      </c>
      <c r="Q106" s="24">
        <f t="shared" si="1069"/>
        <v>4379.4720000000007</v>
      </c>
      <c r="R106" s="38">
        <v>6.2E-2</v>
      </c>
      <c r="S106" s="105">
        <v>0.2361</v>
      </c>
      <c r="T106" s="24">
        <f t="shared" si="1070"/>
        <v>998.26199999999994</v>
      </c>
      <c r="U106" s="27">
        <v>0.26800000000000002</v>
      </c>
      <c r="V106" s="24">
        <f t="shared" si="1071"/>
        <v>4315.0680000000002</v>
      </c>
      <c r="W106" s="38">
        <v>0.45900000000000002</v>
      </c>
      <c r="X106" s="24">
        <f t="shared" si="1072"/>
        <v>7390.3590000000004</v>
      </c>
      <c r="Y106" s="38">
        <v>0.43</v>
      </c>
      <c r="Z106" s="24">
        <f t="shared" si="1073"/>
        <v>6923.43</v>
      </c>
      <c r="AA106" s="118">
        <v>2.7000000000000001E-3</v>
      </c>
      <c r="AB106" s="121">
        <f t="shared" si="766"/>
        <v>43.472700000000003</v>
      </c>
      <c r="AC106" s="45">
        <v>2.8800000000000002E-3</v>
      </c>
      <c r="AD106" s="17">
        <f t="shared" si="1075"/>
        <v>46.37088</v>
      </c>
      <c r="AE106" s="26">
        <f>IF(M106&gt;0,(AG106+AP106)/M106,0)</f>
        <v>2.8854079373951923E-3</v>
      </c>
      <c r="AF106" s="45">
        <v>2.9E-4</v>
      </c>
      <c r="AG106" s="36">
        <f t="shared" si="1076"/>
        <v>4.6692900000000002</v>
      </c>
      <c r="AH106" s="27">
        <v>0.21240000000000001</v>
      </c>
      <c r="AI106" s="40">
        <f t="shared" si="1077"/>
        <v>40.0537548</v>
      </c>
      <c r="AJ106" s="27">
        <f t="shared" si="1078"/>
        <v>0.90053509971241352</v>
      </c>
      <c r="AK106" s="28">
        <f t="shared" si="682"/>
        <v>0.90067295928858548</v>
      </c>
      <c r="AL106" s="42">
        <v>207</v>
      </c>
      <c r="AM106" s="38">
        <v>8.8999999999999996E-2</v>
      </c>
      <c r="AN106" s="27">
        <v>0.22159999999999999</v>
      </c>
      <c r="AO106" s="105">
        <v>0.2072</v>
      </c>
      <c r="AP106" s="40">
        <f>AL106*(1-AM106)*AN106</f>
        <v>41.788663199999995</v>
      </c>
      <c r="AQ106" s="106">
        <f t="shared" si="727"/>
        <v>39.0731544</v>
      </c>
      <c r="AR106" s="17">
        <v>1.6</v>
      </c>
      <c r="AS106" s="17"/>
      <c r="AT106" s="129">
        <f>AT105+AL106-AS106</f>
        <v>1857.339999999999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80">SUM(D104:D106)</f>
        <v>47424</v>
      </c>
      <c r="E107" s="49"/>
      <c r="F107" s="49">
        <f t="shared" ref="F107" si="1081">SUM(F104:F106)</f>
        <v>47565</v>
      </c>
      <c r="G107" s="50"/>
      <c r="H107" s="50"/>
      <c r="I107" s="49">
        <f t="shared" ref="I107:K107" si="1082">SUM(I104:I106)</f>
        <v>45921</v>
      </c>
      <c r="J107" s="50"/>
      <c r="K107" s="49">
        <f t="shared" si="1082"/>
        <v>52187</v>
      </c>
      <c r="L107" s="20">
        <f t="shared" ref="L107" si="1083">IF(K107&gt;0,(K104*L104+K105*L105+K106*L106)/K107,0)</f>
        <v>6.668775748749689E-2</v>
      </c>
      <c r="M107" s="50">
        <f t="shared" ref="M107" si="1084">M104+M105+M106</f>
        <v>48707</v>
      </c>
      <c r="N107" s="51">
        <f t="shared" ref="N107" si="1085">IF(M107&gt;0,O107/M107,0)</f>
        <v>0.70804574291169642</v>
      </c>
      <c r="O107" s="52">
        <f t="shared" ref="O107" si="1086">O104+O105+O106</f>
        <v>34486.784</v>
      </c>
      <c r="P107" s="20">
        <f t="shared" ref="P107" si="1087">IF(M107&gt;0,Q107/M107,0)</f>
        <v>0.242639949083294</v>
      </c>
      <c r="Q107" s="52">
        <f t="shared" ref="Q107" si="1088">Q104+Q105+Q106</f>
        <v>11818.264000000001</v>
      </c>
      <c r="R107" s="20">
        <f t="shared" ref="R107" si="1089">IF(M107&gt;0,T107/M107,0)</f>
        <v>4.9314308005009549E-2</v>
      </c>
      <c r="S107" s="107"/>
      <c r="T107" s="52">
        <f t="shared" ref="T107" si="1090">T104+T105+T106</f>
        <v>2401.9520000000002</v>
      </c>
      <c r="U107" s="20">
        <f t="shared" ref="U107" si="1091">IF(M107&gt;0,V107/M107,0)</f>
        <v>0.26966659823023387</v>
      </c>
      <c r="V107" s="52">
        <f t="shared" ref="V107" si="1092">V104+V105+V106</f>
        <v>13134.651000000002</v>
      </c>
      <c r="W107" s="20">
        <f t="shared" ref="W107" si="1093">IF(M107&gt;0,X107/M107,0)</f>
        <v>0.46168610261358739</v>
      </c>
      <c r="X107" s="52">
        <f t="shared" ref="X107" si="1094">X104+X105+X106</f>
        <v>22487.345000000001</v>
      </c>
      <c r="Y107" s="20">
        <f t="shared" ref="Y107" si="1095">IF(M107&gt;0,Z107/M107,0)</f>
        <v>0.426638881474942</v>
      </c>
      <c r="Z107" s="52">
        <f t="shared" ref="Z107" si="1096">Z104+Z105+Z106</f>
        <v>20780.3</v>
      </c>
      <c r="AA107" s="119">
        <f t="shared" ref="AA107" si="1097">IF(M107&gt;0,AB107/M107,0)</f>
        <v>2.6633627609994456E-3</v>
      </c>
      <c r="AB107" s="54">
        <f t="shared" ref="AB107" si="1098">SUM(AB104:AB106)</f>
        <v>129.72441000000001</v>
      </c>
      <c r="AC107" s="53">
        <f t="shared" ref="AC107" si="1099">IF(M107&gt;0,AD107/M107,0)</f>
        <v>2.7830580820005337E-3</v>
      </c>
      <c r="AD107" s="54">
        <f t="shared" ref="AD107" si="1100">SUM(AD104:AD106)</f>
        <v>135.55440999999999</v>
      </c>
      <c r="AE107" s="53">
        <f t="shared" ref="AE107" si="1101">IF(M107&gt;0,(AE104*M104+AE105*M105+AE106*M106)/M107,0)</f>
        <v>2.8256285215677414E-3</v>
      </c>
      <c r="AF107" s="53">
        <f t="shared" ref="AF107" si="1102">IF(K107&gt;0,(K104*AF104+K105*AF105+K106*AF106)/K107,0)</f>
        <v>3.0343878743748447E-4</v>
      </c>
      <c r="AG107" s="50">
        <f t="shared" ref="AG107" si="1103">SUM(AG104:AG106)</f>
        <v>14.778510000000001</v>
      </c>
      <c r="AH107" s="51">
        <f t="shared" ref="AH107" si="1104">IF(K107&gt;0,(K104*AH104+K105*AH105+K106*AH106)/K107,0)</f>
        <v>0.21039002241937649</v>
      </c>
      <c r="AI107" s="56">
        <f t="shared" ref="AI107" si="1105">SUM(AI104:AI106)</f>
        <v>116.69682779999999</v>
      </c>
      <c r="AJ107" s="51">
        <f t="shared" ref="AJ107" si="1106">IF(AND(AD107&gt;0),((AD104*AJ104+AD105*AJ105+AD106*AJ106)/AD107),0)</f>
        <v>0.89226310609168669</v>
      </c>
      <c r="AK107" s="55">
        <f t="shared" si="682"/>
        <v>0.89383649266561016</v>
      </c>
      <c r="AL107" s="49">
        <f t="shared" ref="AL107" si="1107">SUM(AL104:AL106)</f>
        <v>609</v>
      </c>
      <c r="AM107" s="20">
        <f t="shared" ref="AM107" si="1108">IF(AL107&gt;0,(AM104*AL104+AM105*AL105+AM106*AL106)/AL107,0)</f>
        <v>8.9334975369458128E-2</v>
      </c>
      <c r="AN107" s="51">
        <f>IF(K107&gt;0,(AN104*K104+AN105*K105+AN106*K106)/K107,0)</f>
        <v>0.22148734550750185</v>
      </c>
      <c r="AO107" s="107">
        <f>IF(L107&gt;0,(AO104*K104+AO105*K105+AO106*K106)/K107,0)</f>
        <v>0.20963584800812463</v>
      </c>
      <c r="AP107" s="56">
        <f t="shared" ref="AP107:AQ119" si="1109">SUM(AP104:AP106)</f>
        <v>122.84937840000001</v>
      </c>
      <c r="AQ107" s="108">
        <f t="shared" si="1109"/>
        <v>116.25420059999999</v>
      </c>
      <c r="AR107" s="54"/>
      <c r="AS107" s="54">
        <f t="shared" ref="AS107" si="1110">SUM(AS104:AS106)</f>
        <v>0</v>
      </c>
      <c r="AT107" s="83"/>
      <c r="AU107" s="84">
        <f>AT106</f>
        <v>1857.339999999999</v>
      </c>
      <c r="AV107" s="49">
        <f t="shared" ref="AV107" si="1111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55</v>
      </c>
      <c r="D108" s="11">
        <v>4082</v>
      </c>
      <c r="E108" s="11">
        <v>0</v>
      </c>
      <c r="F108" s="11">
        <v>12855</v>
      </c>
      <c r="G108" s="12">
        <v>0.3</v>
      </c>
      <c r="H108" s="12">
        <v>4.4000000000000004</v>
      </c>
      <c r="I108" s="11">
        <v>13015</v>
      </c>
      <c r="J108" s="12">
        <v>6.5</v>
      </c>
      <c r="K108" s="11">
        <v>16683</v>
      </c>
      <c r="L108" s="13">
        <v>6.4000000000000001E-2</v>
      </c>
      <c r="M108" s="23">
        <f>ROUND(K108*(1-L108),0)</f>
        <v>15615</v>
      </c>
      <c r="N108" s="14">
        <v>0.63700000000000001</v>
      </c>
      <c r="O108" s="24">
        <f t="shared" ref="O108:O110" si="1112">M108*N108</f>
        <v>9946.755000000001</v>
      </c>
      <c r="P108" s="13">
        <v>0.26</v>
      </c>
      <c r="Q108" s="24">
        <f t="shared" ref="Q108:Q110" si="1113">M108*P108</f>
        <v>4059.9</v>
      </c>
      <c r="R108" s="15">
        <v>0.10299999999999999</v>
      </c>
      <c r="S108" s="112">
        <v>0.22750000000000001</v>
      </c>
      <c r="T108" s="24">
        <f t="shared" ref="T108:T110" si="1114">M108*R108</f>
        <v>1608.3449999999998</v>
      </c>
      <c r="U108" s="25">
        <v>0.249</v>
      </c>
      <c r="V108" s="24">
        <f t="shared" ref="V108:V110" si="1115">M108*U108</f>
        <v>3888.1349999999998</v>
      </c>
      <c r="W108" s="15">
        <v>0.49199999999999999</v>
      </c>
      <c r="X108" s="24">
        <f t="shared" ref="X108:X110" si="1116">M108*W108</f>
        <v>7682.58</v>
      </c>
      <c r="Y108" s="15">
        <v>0.43</v>
      </c>
      <c r="Z108" s="24">
        <f t="shared" ref="Z108:Z110" si="1117">Y108*M108</f>
        <v>6714.45</v>
      </c>
      <c r="AA108" s="116">
        <v>2.6199999999999999E-3</v>
      </c>
      <c r="AB108" s="18">
        <f t="shared" ref="AB108" si="1118">M108*AA108</f>
        <v>40.911299999999997</v>
      </c>
      <c r="AC108" s="16">
        <v>2.8400000000000001E-3</v>
      </c>
      <c r="AD108" s="17">
        <f t="shared" ref="AD108:AD110" si="1119">M108*AC108</f>
        <v>44.346600000000002</v>
      </c>
      <c r="AE108" s="26">
        <f>IF(M108&gt;0,(AG108+AP108)/M108,0)</f>
        <v>2.8011608069164269E-3</v>
      </c>
      <c r="AF108" s="16">
        <v>2.9E-4</v>
      </c>
      <c r="AG108" s="23">
        <f t="shared" ref="AG108:AG110" si="1120">AF108*M108</f>
        <v>4.5283499999999997</v>
      </c>
      <c r="AH108" s="92">
        <v>0.21210000000000001</v>
      </c>
      <c r="AI108" s="29">
        <f t="shared" ref="AI108:AI110" si="1121">AL108*(1-AM108)*AH108</f>
        <v>37.261728000000005</v>
      </c>
      <c r="AJ108" s="27">
        <f t="shared" ref="AJ108:AJ110" si="1122">IF(AND(AH108&gt;0,AF108&gt;0,AC108&gt;0),((AC108-AF108)*AH108)/((AH108-AF108)*AC108),0)</f>
        <v>0.89911666780818045</v>
      </c>
      <c r="AK108" s="58">
        <f t="shared" si="682"/>
        <v>0.89763777728844318</v>
      </c>
      <c r="AL108" s="11">
        <v>192</v>
      </c>
      <c r="AM108" s="13">
        <v>8.5000000000000006E-2</v>
      </c>
      <c r="AN108" s="14">
        <v>0.22320000000000001</v>
      </c>
      <c r="AO108" s="101">
        <v>0.2145</v>
      </c>
      <c r="AP108" s="29">
        <f>AL108*(1-AM108)*AN108</f>
        <v>39.211776</v>
      </c>
      <c r="AQ108" s="102">
        <f t="shared" ref="AQ108" si="1123">AL108*(1-AM108)*AO108</f>
        <v>37.68336</v>
      </c>
      <c r="AR108" s="18">
        <v>1.6</v>
      </c>
      <c r="AS108" s="18">
        <v>1070.5999999999999</v>
      </c>
      <c r="AT108" s="79">
        <f>AT106+AL108-AS108</f>
        <v>978.73999999999933</v>
      </c>
      <c r="AU108" s="80"/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0" t="s">
        <v>57</v>
      </c>
      <c r="D109" s="33">
        <v>19500</v>
      </c>
      <c r="E109" s="33">
        <v>5</v>
      </c>
      <c r="F109" s="33">
        <v>16563</v>
      </c>
      <c r="G109" s="34">
        <v>0.6</v>
      </c>
      <c r="H109" s="34">
        <v>4.5999999999999996</v>
      </c>
      <c r="I109" s="33">
        <v>16650</v>
      </c>
      <c r="J109" s="34">
        <v>5.9</v>
      </c>
      <c r="K109" s="33">
        <v>16022</v>
      </c>
      <c r="L109" s="35">
        <v>7.0999999999999994E-2</v>
      </c>
      <c r="M109" s="36">
        <f>ROUND(K109*(1-L109),0)</f>
        <v>14884</v>
      </c>
      <c r="N109" s="37">
        <v>0.71799999999999997</v>
      </c>
      <c r="O109" s="24">
        <f t="shared" si="1112"/>
        <v>10686.712</v>
      </c>
      <c r="P109" s="35">
        <v>0.23899999999999999</v>
      </c>
      <c r="Q109" s="24">
        <f t="shared" si="1113"/>
        <v>3557.2759999999998</v>
      </c>
      <c r="R109" s="38">
        <v>4.2999999999999997E-2</v>
      </c>
      <c r="S109" s="105">
        <v>0.2389</v>
      </c>
      <c r="T109" s="24">
        <f t="shared" si="1114"/>
        <v>640.01199999999994</v>
      </c>
      <c r="U109" s="27">
        <v>0.23799999999999999</v>
      </c>
      <c r="V109" s="24">
        <f t="shared" si="1115"/>
        <v>3542.3919999999998</v>
      </c>
      <c r="W109" s="38">
        <v>0.46400000000000002</v>
      </c>
      <c r="X109" s="24">
        <f t="shared" si="1116"/>
        <v>6906.1760000000004</v>
      </c>
      <c r="Y109" s="38">
        <v>0.42</v>
      </c>
      <c r="Z109" s="24">
        <f t="shared" si="1117"/>
        <v>6251.28</v>
      </c>
      <c r="AA109" s="117">
        <v>2.64E-3</v>
      </c>
      <c r="AB109" s="18">
        <f t="shared" si="766"/>
        <v>39.293759999999999</v>
      </c>
      <c r="AC109" s="39">
        <v>2.7799999999999999E-3</v>
      </c>
      <c r="AD109" s="17">
        <f t="shared" si="1119"/>
        <v>41.377519999999997</v>
      </c>
      <c r="AE109" s="26">
        <f>IF(M109&gt;0,(AG109+AP109)/M109,0)</f>
        <v>3.02860882827197E-3</v>
      </c>
      <c r="AF109" s="39">
        <v>2.9999999999999997E-4</v>
      </c>
      <c r="AG109" s="36">
        <f t="shared" si="1120"/>
        <v>4.4651999999999994</v>
      </c>
      <c r="AH109" s="27">
        <v>0.21659999999999999</v>
      </c>
      <c r="AI109" s="40">
        <f t="shared" si="1121"/>
        <v>38.957892600000001</v>
      </c>
      <c r="AJ109" s="27">
        <f t="shared" si="1122"/>
        <v>0.89332362126942</v>
      </c>
      <c r="AK109" s="28">
        <f t="shared" si="682"/>
        <v>0.90214321540318465</v>
      </c>
      <c r="AL109" s="33">
        <v>197</v>
      </c>
      <c r="AM109" s="35">
        <v>8.6999999999999994E-2</v>
      </c>
      <c r="AN109" s="37">
        <v>0.2258</v>
      </c>
      <c r="AO109" s="103">
        <v>0.2175</v>
      </c>
      <c r="AP109" s="40">
        <f>AL109*(1-AM109)*AN109</f>
        <v>40.612613800000005</v>
      </c>
      <c r="AQ109" s="104">
        <f t="shared" si="727"/>
        <v>39.119767500000002</v>
      </c>
      <c r="AR109" s="41">
        <v>1.55</v>
      </c>
      <c r="AS109" s="41"/>
      <c r="AT109" s="129">
        <f>AT108+AL109-AS109</f>
        <v>1175.7399999999993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43" t="s">
        <v>54</v>
      </c>
      <c r="D110" s="42">
        <v>21600</v>
      </c>
      <c r="E110" s="42">
        <v>0</v>
      </c>
      <c r="F110" s="42">
        <v>18567</v>
      </c>
      <c r="G110" s="36">
        <v>2.7</v>
      </c>
      <c r="H110" s="36">
        <v>5</v>
      </c>
      <c r="I110" s="42">
        <v>18354</v>
      </c>
      <c r="J110" s="36">
        <v>5.2</v>
      </c>
      <c r="K110" s="42">
        <v>15867</v>
      </c>
      <c r="L110" s="38">
        <v>6.7000000000000004E-2</v>
      </c>
      <c r="M110" s="36">
        <f>ROUND(K110*(1-L110),0)</f>
        <v>14804</v>
      </c>
      <c r="N110" s="27">
        <v>0.60199999999999998</v>
      </c>
      <c r="O110" s="24">
        <f t="shared" si="1112"/>
        <v>8912.0079999999998</v>
      </c>
      <c r="P110" s="38">
        <v>0.30499999999999999</v>
      </c>
      <c r="Q110" s="24">
        <f t="shared" si="1113"/>
        <v>4515.22</v>
      </c>
      <c r="R110" s="38">
        <v>9.2999999999999999E-2</v>
      </c>
      <c r="S110" s="105">
        <v>0.2283</v>
      </c>
      <c r="T110" s="24">
        <f t="shared" si="1114"/>
        <v>1376.7719999999999</v>
      </c>
      <c r="U110" s="27">
        <v>0.22600000000000001</v>
      </c>
      <c r="V110" s="24">
        <f t="shared" si="1115"/>
        <v>3345.7040000000002</v>
      </c>
      <c r="W110" s="38">
        <v>0.49299999999999999</v>
      </c>
      <c r="X110" s="24">
        <f t="shared" si="1116"/>
        <v>7298.3720000000003</v>
      </c>
      <c r="Y110" s="38">
        <v>0.41</v>
      </c>
      <c r="Z110" s="24">
        <f t="shared" si="1117"/>
        <v>6069.6399999999994</v>
      </c>
      <c r="AA110" s="118">
        <v>2.5600000000000002E-3</v>
      </c>
      <c r="AB110" s="121">
        <f t="shared" si="766"/>
        <v>37.898240000000001</v>
      </c>
      <c r="AC110" s="45">
        <v>2.66E-3</v>
      </c>
      <c r="AD110" s="17">
        <f t="shared" si="1119"/>
        <v>39.378639999999997</v>
      </c>
      <c r="AE110" s="26">
        <f>IF(M110&gt;0,(AG110+AP110)/M110,0)</f>
        <v>2.8323950959200216E-3</v>
      </c>
      <c r="AF110" s="45">
        <v>2.7999999999999998E-4</v>
      </c>
      <c r="AG110" s="36">
        <f t="shared" si="1120"/>
        <v>4.1451199999999995</v>
      </c>
      <c r="AH110" s="27">
        <v>0.21360000000000001</v>
      </c>
      <c r="AI110" s="40">
        <f t="shared" si="1121"/>
        <v>35.570808</v>
      </c>
      <c r="AJ110" s="27">
        <f t="shared" si="1122"/>
        <v>0.89591125761149548</v>
      </c>
      <c r="AK110" s="28">
        <f t="shared" si="682"/>
        <v>0.90225714185190187</v>
      </c>
      <c r="AL110" s="42">
        <v>183</v>
      </c>
      <c r="AM110" s="38">
        <v>0.09</v>
      </c>
      <c r="AN110" s="27">
        <v>0.22689999999999999</v>
      </c>
      <c r="AO110" s="105">
        <v>0.21679999999999999</v>
      </c>
      <c r="AP110" s="40">
        <f>AL110*(1-AM110)*AN110</f>
        <v>37.785657</v>
      </c>
      <c r="AQ110" s="106">
        <f t="shared" si="727"/>
        <v>36.103704</v>
      </c>
      <c r="AR110" s="17">
        <v>1.55</v>
      </c>
      <c r="AS110" s="17"/>
      <c r="AT110" s="129">
        <f>AT109+AL110-AS110</f>
        <v>1358.7399999999993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24">SUM(D108:D110)</f>
        <v>45182</v>
      </c>
      <c r="E111" s="49"/>
      <c r="F111" s="49">
        <f t="shared" ref="F111" si="1125">SUM(F108:F110)</f>
        <v>47985</v>
      </c>
      <c r="G111" s="50"/>
      <c r="H111" s="50"/>
      <c r="I111" s="49">
        <f t="shared" ref="I111:K111" si="1126">SUM(I108:I110)</f>
        <v>48019</v>
      </c>
      <c r="J111" s="50"/>
      <c r="K111" s="49">
        <f t="shared" si="1126"/>
        <v>48572</v>
      </c>
      <c r="L111" s="20">
        <f t="shared" ref="L111" si="1127">IF(K111&gt;0,(K108*L108+K109*L109+K110*L110)/K111,0)</f>
        <v>6.7289034834884298E-2</v>
      </c>
      <c r="M111" s="50">
        <f t="shared" ref="M111" si="1128">M108+M109+M110</f>
        <v>45303</v>
      </c>
      <c r="N111" s="51">
        <f t="shared" ref="N111" si="1129">IF(M111&gt;0,O111/M111,0)</f>
        <v>0.65217480078581991</v>
      </c>
      <c r="O111" s="52">
        <f t="shared" ref="O111" si="1130">O108+O109+O110</f>
        <v>29545.474999999999</v>
      </c>
      <c r="P111" s="20">
        <f t="shared" ref="P111" si="1131">IF(M111&gt;0,Q111/M111,0)</f>
        <v>0.26780557578968284</v>
      </c>
      <c r="Q111" s="52">
        <f t="shared" ref="Q111" si="1132">Q108+Q109+Q110</f>
        <v>12132.396000000001</v>
      </c>
      <c r="R111" s="20">
        <f t="shared" ref="R111" si="1133">IF(M111&gt;0,T111/M111,0)</f>
        <v>8.0019623424497269E-2</v>
      </c>
      <c r="S111" s="107"/>
      <c r="T111" s="52">
        <f t="shared" ref="T111" si="1134">T108+T109+T110</f>
        <v>3625.1289999999999</v>
      </c>
      <c r="U111" s="20">
        <f t="shared" ref="U111" si="1135">IF(M111&gt;0,V111/M111,0)</f>
        <v>0.23787014105026158</v>
      </c>
      <c r="V111" s="52">
        <f t="shared" ref="V111" si="1136">V108+V109+V110</f>
        <v>10776.231</v>
      </c>
      <c r="W111" s="20">
        <f t="shared" ref="W111" si="1137">IF(M111&gt;0,X111/M111,0)</f>
        <v>0.48312756329602896</v>
      </c>
      <c r="X111" s="52">
        <f t="shared" ref="X111" si="1138">X108+X109+X110</f>
        <v>21887.128000000001</v>
      </c>
      <c r="Y111" s="20">
        <f t="shared" ref="Y111" si="1139">IF(M111&gt;0,Z111/M111,0)</f>
        <v>0.4201790168421517</v>
      </c>
      <c r="Z111" s="52">
        <f t="shared" ref="Z111" si="1140">Z108+Z109+Z110</f>
        <v>19035.37</v>
      </c>
      <c r="AA111" s="119">
        <f t="shared" ref="AA111" si="1141">IF(M111&gt;0,AB111/M111,0)</f>
        <v>2.6069642187051632E-3</v>
      </c>
      <c r="AB111" s="54">
        <f t="shared" ref="AB111" si="1142">SUM(AB108:AB110)</f>
        <v>118.1033</v>
      </c>
      <c r="AC111" s="53">
        <f t="shared" ref="AC111" si="1143">IF(M111&gt;0,AD111/M111,0)</f>
        <v>2.76146745248659E-3</v>
      </c>
      <c r="AD111" s="54">
        <f t="shared" ref="AD111" si="1144">SUM(AD108:AD110)</f>
        <v>125.10275999999999</v>
      </c>
      <c r="AE111" s="53">
        <f t="shared" ref="AE111" si="1145">IF(M111&gt;0,(AE108*M108+AE109*M109+AE110*M110)/M111,0)</f>
        <v>2.8860940070194029E-3</v>
      </c>
      <c r="AF111" s="53">
        <f t="shared" ref="AF111" si="1146">IF(K111&gt;0,(K108*AF108+K109*AF109+K110*AF110)/K111,0)</f>
        <v>2.9003191138927774E-4</v>
      </c>
      <c r="AG111" s="50">
        <f t="shared" ref="AG111" si="1147">SUM(AG108:AG110)</f>
        <v>13.138669999999998</v>
      </c>
      <c r="AH111" s="51">
        <f t="shared" ref="AH111" si="1148">IF(K111&gt;0,(K108*AH108+K109*AH109+K110*AH110)/K111,0)</f>
        <v>0.21407437824260894</v>
      </c>
      <c r="AI111" s="56">
        <f t="shared" ref="AI111" si="1149">SUM(AI108:AI110)</f>
        <v>111.79042860000001</v>
      </c>
      <c r="AJ111" s="51">
        <f t="shared" ref="AJ111" si="1150">IF(AND(AD111&gt;0),((AD108*AJ108+AD109*AJ109+AD110*AJ110)/AD111),0)</f>
        <v>0.89619165965323599</v>
      </c>
      <c r="AK111" s="55">
        <f t="shared" si="682"/>
        <v>0.90066673013947474</v>
      </c>
      <c r="AL111" s="49">
        <f t="shared" ref="AL111" si="1151">SUM(AL108:AL110)</f>
        <v>572</v>
      </c>
      <c r="AM111" s="20">
        <f t="shared" ref="AM111" si="1152">IF(AL111&gt;0,(AM108*AL108+AM109*AL109+AM110*AL110)/AL111,0)</f>
        <v>8.7288461538461537E-2</v>
      </c>
      <c r="AN111" s="51">
        <f>IF(K111&gt;0,(AN108*K108+AN109*K109+AN110*K110)/K111,0)</f>
        <v>0.22526631598451782</v>
      </c>
      <c r="AO111" s="107">
        <f>IF(L111&gt;0,(AO108*K108+AO109*K109+AO110*K110)/K111,0)</f>
        <v>0.21624092275384996</v>
      </c>
      <c r="AP111" s="56">
        <f t="shared" ref="AP111" si="1153">SUM(AP108:AP110)</f>
        <v>117.61004680000001</v>
      </c>
      <c r="AQ111" s="108">
        <f t="shared" si="1109"/>
        <v>112.90683150000001</v>
      </c>
      <c r="AR111" s="54"/>
      <c r="AS111" s="54">
        <f t="shared" ref="AS111" si="1154">SUM(AS108:AS110)</f>
        <v>1070.5999999999999</v>
      </c>
      <c r="AT111" s="83"/>
      <c r="AU111" s="84">
        <f>AT110</f>
        <v>1358.7399999999993</v>
      </c>
      <c r="AV111" s="49">
        <f t="shared" ref="AV111" si="1155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59</v>
      </c>
      <c r="D112" s="11">
        <v>3964</v>
      </c>
      <c r="E112" s="11">
        <v>2</v>
      </c>
      <c r="F112" s="11">
        <v>15923</v>
      </c>
      <c r="G112" s="12">
        <v>1.9</v>
      </c>
      <c r="H112" s="12">
        <v>4.0999999999999996</v>
      </c>
      <c r="I112" s="11">
        <v>15894</v>
      </c>
      <c r="J112" s="12">
        <v>5</v>
      </c>
      <c r="K112" s="11">
        <v>15755</v>
      </c>
      <c r="L112" s="13">
        <v>6.6000000000000003E-2</v>
      </c>
      <c r="M112" s="23">
        <f>ROUND(K112*(1-L112),0)</f>
        <v>14715</v>
      </c>
      <c r="N112" s="14">
        <v>0.69799999999999995</v>
      </c>
      <c r="O112" s="24">
        <f t="shared" ref="O112:O114" si="1156">M112*N112</f>
        <v>10271.07</v>
      </c>
      <c r="P112" s="13">
        <v>0.23799999999999999</v>
      </c>
      <c r="Q112" s="24">
        <f t="shared" ref="Q112:Q114" si="1157">M112*P112</f>
        <v>3502.1699999999996</v>
      </c>
      <c r="R112" s="15">
        <v>6.4000000000000001E-2</v>
      </c>
      <c r="S112" s="112">
        <v>0.21510000000000001</v>
      </c>
      <c r="T112" s="24">
        <f t="shared" ref="T112:T114" si="1158">M112*R112</f>
        <v>941.76</v>
      </c>
      <c r="U112" s="25">
        <v>0.221</v>
      </c>
      <c r="V112" s="24">
        <f t="shared" ref="V112:V114" si="1159">M112*U112</f>
        <v>3252.0149999999999</v>
      </c>
      <c r="W112" s="15">
        <v>0.496</v>
      </c>
      <c r="X112" s="24">
        <f t="shared" ref="X112:X114" si="1160">M112*W112</f>
        <v>7298.64</v>
      </c>
      <c r="Y112" s="15">
        <v>0.41</v>
      </c>
      <c r="Z112" s="24">
        <f t="shared" ref="Z112:Z114" si="1161">Y112*M112</f>
        <v>6033.15</v>
      </c>
      <c r="AA112" s="116">
        <v>2.6800000000000001E-3</v>
      </c>
      <c r="AB112" s="18">
        <f t="shared" ref="AB112" si="1162">M112*AA112</f>
        <v>39.436199999999999</v>
      </c>
      <c r="AC112" s="16">
        <v>2.7000000000000001E-3</v>
      </c>
      <c r="AD112" s="17">
        <f t="shared" ref="AD112:AD114" si="1163">M112*AC112</f>
        <v>39.730499999999999</v>
      </c>
      <c r="AE112" s="26">
        <f>IF(M112&gt;0,(AG112+AP112)/M112,0)</f>
        <v>2.6838302752293583E-3</v>
      </c>
      <c r="AF112" s="16">
        <v>2.9E-4</v>
      </c>
      <c r="AG112" s="23">
        <f t="shared" ref="AG112:AG114" si="1164">AF112*M112</f>
        <v>4.2673500000000004</v>
      </c>
      <c r="AH112" s="92">
        <v>0.21299999999999999</v>
      </c>
      <c r="AI112" s="29">
        <f t="shared" ref="AI112:AI114" si="1165">AL112*(1-AM112)*AH112</f>
        <v>34.496414999999999</v>
      </c>
      <c r="AJ112" s="27">
        <f t="shared" ref="AJ112:AJ114" si="1166">IF(AND(AH112&gt;0,AF112&gt;0,AC112&gt;0),((AC112-AF112)*AH112)/((AH112-AF112)*AC112),0)</f>
        <v>0.89380951634724382</v>
      </c>
      <c r="AK112" s="58">
        <f t="shared" si="682"/>
        <v>0.89313632550960154</v>
      </c>
      <c r="AL112" s="11">
        <v>177</v>
      </c>
      <c r="AM112" s="13">
        <v>8.5000000000000006E-2</v>
      </c>
      <c r="AN112" s="14">
        <v>0.2175</v>
      </c>
      <c r="AO112" s="101">
        <v>0.20810000000000001</v>
      </c>
      <c r="AP112" s="29">
        <f>AL112*(1-AM112)*AN112</f>
        <v>35.225212500000005</v>
      </c>
      <c r="AQ112" s="102">
        <f t="shared" ref="AQ112" si="1167">AL112*(1-AM112)*AO112</f>
        <v>33.702835500000006</v>
      </c>
      <c r="AR112" s="18">
        <v>1.5</v>
      </c>
      <c r="AS112" s="18">
        <v>534.41999999999996</v>
      </c>
      <c r="AT112" s="79">
        <f>AT110+AL112-AS112</f>
        <v>1001.3199999999994</v>
      </c>
      <c r="AU112" s="80"/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0" t="s">
        <v>57</v>
      </c>
      <c r="D113" s="33">
        <v>20990</v>
      </c>
      <c r="E113" s="33">
        <v>5</v>
      </c>
      <c r="F113" s="33">
        <v>14872</v>
      </c>
      <c r="G113" s="34">
        <v>1.5</v>
      </c>
      <c r="H113" s="34">
        <v>4.8</v>
      </c>
      <c r="I113" s="33">
        <v>15102</v>
      </c>
      <c r="J113" s="34">
        <v>5.4</v>
      </c>
      <c r="K113" s="33">
        <v>15796</v>
      </c>
      <c r="L113" s="35">
        <v>6.2E-2</v>
      </c>
      <c r="M113" s="36">
        <f>ROUND(K113*(1-L113),0)</f>
        <v>14817</v>
      </c>
      <c r="N113" s="37">
        <v>0.61</v>
      </c>
      <c r="O113" s="24">
        <f t="shared" si="1156"/>
        <v>9038.369999999999</v>
      </c>
      <c r="P113" s="35">
        <v>0.28100000000000003</v>
      </c>
      <c r="Q113" s="24">
        <f t="shared" si="1157"/>
        <v>4163.5770000000002</v>
      </c>
      <c r="R113" s="38">
        <v>0.109</v>
      </c>
      <c r="S113" s="105">
        <v>0.2248</v>
      </c>
      <c r="T113" s="24">
        <f t="shared" si="1158"/>
        <v>1615.0529999999999</v>
      </c>
      <c r="U113" s="27">
        <v>0.22600000000000001</v>
      </c>
      <c r="V113" s="24">
        <f t="shared" si="1159"/>
        <v>3348.6420000000003</v>
      </c>
      <c r="W113" s="38">
        <v>0.497</v>
      </c>
      <c r="X113" s="24">
        <f t="shared" si="1160"/>
        <v>7364.049</v>
      </c>
      <c r="Y113" s="38">
        <v>0.41</v>
      </c>
      <c r="Z113" s="24">
        <f t="shared" si="1161"/>
        <v>6074.9699999999993</v>
      </c>
      <c r="AA113" s="117">
        <v>2.7100000000000002E-3</v>
      </c>
      <c r="AB113" s="18">
        <f t="shared" si="766"/>
        <v>40.154070000000004</v>
      </c>
      <c r="AC113" s="39">
        <v>2.7799999999999999E-3</v>
      </c>
      <c r="AD113" s="17">
        <f t="shared" si="1163"/>
        <v>41.19126</v>
      </c>
      <c r="AE113" s="26">
        <f>IF(M113&gt;0,(AG113+AP113)/M113,0)</f>
        <v>2.9516435243301612E-3</v>
      </c>
      <c r="AF113" s="39">
        <v>2.7E-4</v>
      </c>
      <c r="AG113" s="36">
        <f t="shared" si="1164"/>
        <v>4.0005899999999999</v>
      </c>
      <c r="AH113" s="27">
        <v>0.21709999999999999</v>
      </c>
      <c r="AI113" s="40">
        <f t="shared" si="1165"/>
        <v>38.839407100000003</v>
      </c>
      <c r="AJ113" s="27">
        <f t="shared" si="1166"/>
        <v>0.9040019748256185</v>
      </c>
      <c r="AK113" s="28">
        <f t="shared" si="682"/>
        <v>0.90963134943844159</v>
      </c>
      <c r="AL113" s="33">
        <v>199</v>
      </c>
      <c r="AM113" s="35">
        <v>0.10100000000000001</v>
      </c>
      <c r="AN113" s="37">
        <v>0.22209999999999999</v>
      </c>
      <c r="AO113" s="103">
        <v>0.2109</v>
      </c>
      <c r="AP113" s="40">
        <f>AL113*(1-AM113)*AN113</f>
        <v>39.733912099999998</v>
      </c>
      <c r="AQ113" s="104">
        <f t="shared" si="727"/>
        <v>37.730220900000006</v>
      </c>
      <c r="AR113" s="41">
        <v>1.55</v>
      </c>
      <c r="AS113" s="41"/>
      <c r="AT113" s="129">
        <f>AT112+AL113-AS113</f>
        <v>1200.3199999999993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0" t="s">
        <v>58</v>
      </c>
      <c r="D114" s="42">
        <v>22700</v>
      </c>
      <c r="E114" s="42">
        <v>0</v>
      </c>
      <c r="F114" s="42">
        <v>18182</v>
      </c>
      <c r="G114" s="36">
        <v>0.8</v>
      </c>
      <c r="H114" s="36">
        <v>4.4000000000000004</v>
      </c>
      <c r="I114" s="42">
        <v>17588</v>
      </c>
      <c r="J114" s="36">
        <v>4.4000000000000004</v>
      </c>
      <c r="K114" s="42">
        <v>15823</v>
      </c>
      <c r="L114" s="38">
        <v>6.3E-2</v>
      </c>
      <c r="M114" s="36">
        <f>ROUND(K114*(1-L114),0)</f>
        <v>14826</v>
      </c>
      <c r="N114" s="27">
        <v>0.59499999999999997</v>
      </c>
      <c r="O114" s="24">
        <f t="shared" si="1156"/>
        <v>8821.4699999999993</v>
      </c>
      <c r="P114" s="38">
        <v>0.35799999999999998</v>
      </c>
      <c r="Q114" s="24">
        <f t="shared" si="1157"/>
        <v>5307.7079999999996</v>
      </c>
      <c r="R114" s="38">
        <v>4.7E-2</v>
      </c>
      <c r="S114" s="105">
        <v>0.22020000000000001</v>
      </c>
      <c r="T114" s="24">
        <f t="shared" si="1158"/>
        <v>696.822</v>
      </c>
      <c r="U114" s="27">
        <v>0.22600000000000001</v>
      </c>
      <c r="V114" s="24">
        <f t="shared" si="1159"/>
        <v>3350.6759999999999</v>
      </c>
      <c r="W114" s="38">
        <v>0.46899999999999997</v>
      </c>
      <c r="X114" s="24">
        <f t="shared" si="1160"/>
        <v>6953.3939999999993</v>
      </c>
      <c r="Y114" s="38">
        <v>0.41</v>
      </c>
      <c r="Z114" s="24">
        <f t="shared" si="1161"/>
        <v>6078.66</v>
      </c>
      <c r="AA114" s="118">
        <v>2.7599999999999999E-3</v>
      </c>
      <c r="AB114" s="121">
        <f t="shared" si="766"/>
        <v>40.919759999999997</v>
      </c>
      <c r="AC114" s="45">
        <v>2.7899999999999999E-3</v>
      </c>
      <c r="AD114" s="17">
        <f t="shared" si="1163"/>
        <v>41.364539999999998</v>
      </c>
      <c r="AE114" s="26">
        <f>IF(M114&gt;0,(AG114+AP114)/M114,0)</f>
        <v>3.0754101173613921E-3</v>
      </c>
      <c r="AF114" s="45">
        <v>2.7E-4</v>
      </c>
      <c r="AG114" s="36">
        <f t="shared" si="1164"/>
        <v>4.0030200000000002</v>
      </c>
      <c r="AH114" s="27">
        <v>0.20860000000000001</v>
      </c>
      <c r="AI114" s="40">
        <f t="shared" si="1165"/>
        <v>37.987311599999998</v>
      </c>
      <c r="AJ114" s="27">
        <f t="shared" si="1166"/>
        <v>0.90439640582636416</v>
      </c>
      <c r="AK114" s="28">
        <f t="shared" si="682"/>
        <v>0.91328646041119521</v>
      </c>
      <c r="AL114" s="42">
        <v>201</v>
      </c>
      <c r="AM114" s="38">
        <v>9.4E-2</v>
      </c>
      <c r="AN114" s="27">
        <v>0.22839999999999999</v>
      </c>
      <c r="AO114" s="105">
        <v>0.21629999999999999</v>
      </c>
      <c r="AP114" s="40">
        <f>AL114*(1-AM114)*AN114</f>
        <v>41.593010399999997</v>
      </c>
      <c r="AQ114" s="106">
        <f t="shared" si="727"/>
        <v>39.389527799999996</v>
      </c>
      <c r="AR114" s="17">
        <v>1.55</v>
      </c>
      <c r="AS114" s="17"/>
      <c r="AT114" s="129">
        <f>AT113+AL114-AS114</f>
        <v>1401.3199999999993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68">SUM(D112:D114)</f>
        <v>47654</v>
      </c>
      <c r="E115" s="49"/>
      <c r="F115" s="49">
        <f t="shared" ref="F115" si="1169">SUM(F112:F114)</f>
        <v>48977</v>
      </c>
      <c r="G115" s="50"/>
      <c r="H115" s="50"/>
      <c r="I115" s="49">
        <f t="shared" ref="I115:K115" si="1170">SUM(I112:I114)</f>
        <v>48584</v>
      </c>
      <c r="J115" s="50"/>
      <c r="K115" s="49">
        <f t="shared" si="1170"/>
        <v>47374</v>
      </c>
      <c r="L115" s="20">
        <f t="shared" ref="L115" si="1171">IF(K115&gt;0,(K112*L112+K113*L113+K114*L114)/K115,0)</f>
        <v>6.3664267319626808E-2</v>
      </c>
      <c r="M115" s="50">
        <f t="shared" ref="M115" si="1172">M112+M113+M114</f>
        <v>44358</v>
      </c>
      <c r="N115" s="51">
        <f t="shared" ref="N115" si="1173">IF(M115&gt;0,O115/M115,0)</f>
        <v>0.63417895306370886</v>
      </c>
      <c r="O115" s="52">
        <f t="shared" ref="O115" si="1174">O112+O113+O114</f>
        <v>28130.909999999996</v>
      </c>
      <c r="P115" s="20">
        <f t="shared" ref="P115" si="1175">IF(M115&gt;0,Q115/M115,0)</f>
        <v>0.29247159475179219</v>
      </c>
      <c r="Q115" s="52">
        <f t="shared" ref="Q115" si="1176">Q112+Q113+Q114</f>
        <v>12973.454999999998</v>
      </c>
      <c r="R115" s="20">
        <f t="shared" ref="R115" si="1177">IF(M115&gt;0,T115/M115,0)</f>
        <v>7.3349452184498856E-2</v>
      </c>
      <c r="S115" s="107"/>
      <c r="T115" s="52">
        <f t="shared" ref="T115" si="1178">T112+T113+T114</f>
        <v>3253.6350000000002</v>
      </c>
      <c r="U115" s="20">
        <f t="shared" ref="U115" si="1179">IF(M115&gt;0,V115/M115,0)</f>
        <v>0.22434133639929665</v>
      </c>
      <c r="V115" s="52">
        <f t="shared" ref="V115" si="1180">V112+V113+V114</f>
        <v>9951.3330000000005</v>
      </c>
      <c r="W115" s="20">
        <f t="shared" ref="W115" si="1181">IF(M115&gt;0,X115/M115,0)</f>
        <v>0.48730968483700793</v>
      </c>
      <c r="X115" s="52">
        <f t="shared" ref="X115" si="1182">X112+X113+X114</f>
        <v>21616.082999999999</v>
      </c>
      <c r="Y115" s="20">
        <f t="shared" ref="Y115" si="1183">IF(M115&gt;0,Z115/M115,0)</f>
        <v>0.41</v>
      </c>
      <c r="Z115" s="52">
        <f t="shared" ref="Z115" si="1184">Z112+Z113+Z114</f>
        <v>18186.78</v>
      </c>
      <c r="AA115" s="119">
        <f t="shared" ref="AA115" si="1185">IF(M115&gt;0,AB115/M115,0)</f>
        <v>2.7167597727580143E-3</v>
      </c>
      <c r="AB115" s="54">
        <f t="shared" ref="AB115" si="1186">SUM(AB112:AB114)</f>
        <v>120.51003</v>
      </c>
      <c r="AC115" s="53">
        <f t="shared" ref="AC115" si="1187">IF(M115&gt;0,AD115/M115,0)</f>
        <v>2.7568037332611935E-3</v>
      </c>
      <c r="AD115" s="54">
        <f t="shared" ref="AD115" si="1188">SUM(AD112:AD114)</f>
        <v>122.28630000000001</v>
      </c>
      <c r="AE115" s="53">
        <f t="shared" ref="AE115" si="1189">IF(M115&gt;0,(AE112*M112+AE113*M113+AE114*M114)/M115,0)</f>
        <v>2.9041682447360113E-3</v>
      </c>
      <c r="AF115" s="53">
        <f t="shared" ref="AF115" si="1190">IF(K115&gt;0,(K112*AF112+K113*AF113+K114*AF114)/K115,0)</f>
        <v>2.7665132773251153E-4</v>
      </c>
      <c r="AG115" s="50">
        <f t="shared" ref="AG115" si="1191">SUM(AG112:AG114)</f>
        <v>12.270959999999999</v>
      </c>
      <c r="AH115" s="51">
        <f t="shared" ref="AH115" si="1192">IF(K115&gt;0,(K112*AH112+K113*AH113+K114*AH114)/K115,0)</f>
        <v>0.21289746274327689</v>
      </c>
      <c r="AI115" s="56">
        <f t="shared" ref="AI115" si="1193">SUM(AI112:AI114)</f>
        <v>111.3231337</v>
      </c>
      <c r="AJ115" s="51">
        <f t="shared" ref="AJ115" si="1194">IF(AND(AD115&gt;0),((AD112*AJ112+AD113*AJ113+AD114*AJ114)/AD115),0)</f>
        <v>0.90082389179695943</v>
      </c>
      <c r="AK115" s="55">
        <f t="shared" si="682"/>
        <v>0.90586535997019213</v>
      </c>
      <c r="AL115" s="49">
        <f t="shared" ref="AL115" si="1195">SUM(AL112:AL114)</f>
        <v>577</v>
      </c>
      <c r="AM115" s="20">
        <f t="shared" ref="AM115" si="1196">IF(AL115&gt;0,(AM112*AL112+AM113*AL113+AM114*AL114)/AL115,0)</f>
        <v>9.3653379549393415E-2</v>
      </c>
      <c r="AN115" s="51">
        <f>IF(K115&gt;0,(AN112*K112+AN113*K113+AN114*K114)/K115,0)</f>
        <v>0.22267440579220671</v>
      </c>
      <c r="AO115" s="107">
        <f>IF(L115&gt;0,(AO112*K112+AO113*K113+AO114*K114)/K115,0)</f>
        <v>0.21177242369232072</v>
      </c>
      <c r="AP115" s="56">
        <f t="shared" ref="AP115" si="1197">SUM(AP112:AP114)</f>
        <v>116.55213499999999</v>
      </c>
      <c r="AQ115" s="108">
        <f t="shared" si="1109"/>
        <v>110.82258420000001</v>
      </c>
      <c r="AR115" s="54"/>
      <c r="AS115" s="54">
        <f t="shared" ref="AS115" si="1198">SUM(AS112:AS114)</f>
        <v>534.41999999999996</v>
      </c>
      <c r="AT115" s="83"/>
      <c r="AU115" s="84">
        <f>AT114</f>
        <v>1401.3199999999993</v>
      </c>
      <c r="AV115" s="49">
        <f t="shared" ref="AV115" si="1199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53</v>
      </c>
      <c r="D116" s="11">
        <v>3190</v>
      </c>
      <c r="E116" s="11">
        <v>2</v>
      </c>
      <c r="F116" s="11">
        <v>11576</v>
      </c>
      <c r="G116" s="12">
        <v>1.7</v>
      </c>
      <c r="H116" s="12">
        <v>3</v>
      </c>
      <c r="I116" s="11">
        <v>11835</v>
      </c>
      <c r="J116" s="12">
        <v>5.5</v>
      </c>
      <c r="K116" s="11">
        <v>15543</v>
      </c>
      <c r="L116" s="13">
        <v>7.4999999999999997E-2</v>
      </c>
      <c r="M116" s="23">
        <f>ROUND(K116*(1-L116),0)</f>
        <v>14377</v>
      </c>
      <c r="N116" s="14">
        <v>0.73199999999999998</v>
      </c>
      <c r="O116" s="24">
        <f t="shared" ref="O116:O118" si="1200">M116*N116</f>
        <v>10523.964</v>
      </c>
      <c r="P116" s="13">
        <v>0.183</v>
      </c>
      <c r="Q116" s="24">
        <f t="shared" ref="Q116:Q118" si="1201">M116*P116</f>
        <v>2630.991</v>
      </c>
      <c r="R116" s="15">
        <v>8.5000000000000006E-2</v>
      </c>
      <c r="S116" s="112">
        <v>0.2228</v>
      </c>
      <c r="T116" s="24">
        <f t="shared" ref="T116:T118" si="1202">M116*R116</f>
        <v>1222.0450000000001</v>
      </c>
      <c r="U116" s="25">
        <v>0.217</v>
      </c>
      <c r="V116" s="24">
        <f t="shared" ref="V116:V118" si="1203">M116*U116</f>
        <v>3119.8090000000002</v>
      </c>
      <c r="W116" s="15">
        <v>0.51100000000000001</v>
      </c>
      <c r="X116" s="24">
        <f t="shared" ref="X116:X118" si="1204">M116*W116</f>
        <v>7346.6469999999999</v>
      </c>
      <c r="Y116" s="15">
        <v>0.4</v>
      </c>
      <c r="Z116" s="24">
        <f t="shared" ref="Z116:Z118" si="1205">Y116*M116</f>
        <v>5750.8</v>
      </c>
      <c r="AA116" s="116">
        <v>2.8E-3</v>
      </c>
      <c r="AB116" s="18">
        <f t="shared" ref="AB116" si="1206">M116*AA116</f>
        <v>40.255600000000001</v>
      </c>
      <c r="AC116" s="16">
        <v>2.7499999999999998E-3</v>
      </c>
      <c r="AD116" s="17">
        <f t="shared" ref="AD116:AD118" si="1207">M116*AC116</f>
        <v>39.536749999999998</v>
      </c>
      <c r="AE116" s="26">
        <f>IF(M116&gt;0,(AG116+AP116)/M116,0)</f>
        <v>2.927774125339083E-3</v>
      </c>
      <c r="AF116" s="16">
        <v>2.7999999999999998E-4</v>
      </c>
      <c r="AG116" s="23">
        <f t="shared" ref="AG116:AG118" si="1208">AF116*M116</f>
        <v>4.0255599999999996</v>
      </c>
      <c r="AH116" s="92">
        <v>0.21249999999999999</v>
      </c>
      <c r="AI116" s="29">
        <f t="shared" ref="AI116:AI118" si="1209">AL116*(1-AM116)*AH116</f>
        <v>37.226175000000005</v>
      </c>
      <c r="AJ116" s="27">
        <f t="shared" ref="AJ116:AJ118" si="1210">IF(AND(AH116&gt;0,AF116&gt;0,AC116&gt;0),((AC116-AF116)*AH116)/((AH116-AF116)*AC116),0)</f>
        <v>0.8993668662879859</v>
      </c>
      <c r="AK116" s="58">
        <f t="shared" si="682"/>
        <v>0.90553102108593242</v>
      </c>
      <c r="AL116" s="11">
        <v>194</v>
      </c>
      <c r="AM116" s="13">
        <v>9.7000000000000003E-2</v>
      </c>
      <c r="AN116" s="14">
        <v>0.21729999999999999</v>
      </c>
      <c r="AO116" s="101">
        <v>0.2069</v>
      </c>
      <c r="AP116" s="29">
        <f>AL116*(1-AM116)*AN116</f>
        <v>38.0670486</v>
      </c>
      <c r="AQ116" s="102">
        <f t="shared" ref="AQ116" si="1211">AL116*(1-AM116)*AO116</f>
        <v>36.245155800000006</v>
      </c>
      <c r="AR116" s="18">
        <v>1.6</v>
      </c>
      <c r="AS116" s="18">
        <v>537.22</v>
      </c>
      <c r="AT116" s="79">
        <f>AT114+AL116-AS116</f>
        <v>1058.0999999999992</v>
      </c>
      <c r="AU116" s="134"/>
      <c r="AV116" s="11"/>
      <c r="AW116" s="30"/>
      <c r="AX116" s="19"/>
      <c r="AY116" s="19"/>
      <c r="AZ116" s="19"/>
      <c r="BA116" s="19"/>
      <c r="BB116" s="31"/>
    </row>
    <row r="117" spans="1:54">
      <c r="A117" s="147"/>
      <c r="B117" s="32">
        <v>2</v>
      </c>
      <c r="C117" s="10" t="s">
        <v>57</v>
      </c>
      <c r="D117" s="33">
        <v>19346</v>
      </c>
      <c r="E117" s="33">
        <v>3</v>
      </c>
      <c r="F117" s="33">
        <v>15959</v>
      </c>
      <c r="G117" s="34">
        <v>2.6</v>
      </c>
      <c r="H117" s="34">
        <v>4.5</v>
      </c>
      <c r="I117" s="33">
        <v>14818</v>
      </c>
      <c r="J117" s="34">
        <v>6</v>
      </c>
      <c r="K117" s="33">
        <v>15863</v>
      </c>
      <c r="L117" s="35">
        <v>7.4999999999999997E-2</v>
      </c>
      <c r="M117" s="36">
        <f>ROUND(K117*(1-L117),0)</f>
        <v>14673</v>
      </c>
      <c r="N117" s="37">
        <v>0.64300000000000002</v>
      </c>
      <c r="O117" s="24">
        <f t="shared" si="1200"/>
        <v>9434.7389999999996</v>
      </c>
      <c r="P117" s="35">
        <v>0.28999999999999998</v>
      </c>
      <c r="Q117" s="24">
        <f t="shared" si="1201"/>
        <v>4255.17</v>
      </c>
      <c r="R117" s="38">
        <v>6.7000000000000004E-2</v>
      </c>
      <c r="S117" s="105">
        <v>0.2445</v>
      </c>
      <c r="T117" s="24">
        <f t="shared" si="1202"/>
        <v>983.09100000000001</v>
      </c>
      <c r="U117" s="27">
        <v>0.22700000000000001</v>
      </c>
      <c r="V117" s="24">
        <f t="shared" si="1203"/>
        <v>3330.7710000000002</v>
      </c>
      <c r="W117" s="38">
        <v>0.47799999999999998</v>
      </c>
      <c r="X117" s="24">
        <f t="shared" si="1204"/>
        <v>7013.6939999999995</v>
      </c>
      <c r="Y117" s="38">
        <v>0.41</v>
      </c>
      <c r="Z117" s="24">
        <f t="shared" si="1205"/>
        <v>6015.9299999999994</v>
      </c>
      <c r="AA117" s="117">
        <v>2.6900000000000001E-3</v>
      </c>
      <c r="AB117" s="18">
        <f t="shared" si="766"/>
        <v>39.470370000000003</v>
      </c>
      <c r="AC117" s="39">
        <v>2.64E-3</v>
      </c>
      <c r="AD117" s="17">
        <f t="shared" si="1207"/>
        <v>38.736719999999998</v>
      </c>
      <c r="AE117" s="26">
        <f>IF(M117&gt;0,(AG117+AP117)/M117,0)</f>
        <v>2.9274296326586252E-3</v>
      </c>
      <c r="AF117" s="39">
        <v>2.7E-4</v>
      </c>
      <c r="AG117" s="36">
        <f t="shared" si="1208"/>
        <v>3.9617100000000001</v>
      </c>
      <c r="AH117" s="27">
        <v>0.21909999999999999</v>
      </c>
      <c r="AI117" s="40">
        <f t="shared" si="1209"/>
        <v>37.257955000000003</v>
      </c>
      <c r="AJ117" s="27">
        <f t="shared" si="1210"/>
        <v>0.89883491959304229</v>
      </c>
      <c r="AK117" s="28">
        <f t="shared" si="682"/>
        <v>0.90883907389049212</v>
      </c>
      <c r="AL117" s="33">
        <v>190</v>
      </c>
      <c r="AM117" s="35">
        <v>0.105</v>
      </c>
      <c r="AN117" s="37">
        <v>0.2293</v>
      </c>
      <c r="AO117" s="103">
        <v>0.22</v>
      </c>
      <c r="AP117" s="40">
        <f>AL117*(1-AM117)*AN117</f>
        <v>38.992465000000003</v>
      </c>
      <c r="AQ117" s="104">
        <f t="shared" si="727"/>
        <v>37.411000000000001</v>
      </c>
      <c r="AR117" s="41">
        <v>1.55</v>
      </c>
      <c r="AS117" s="41"/>
      <c r="AT117" s="129">
        <f>AT116+AL117-AS117</f>
        <v>1248.0999999999992</v>
      </c>
      <c r="AU117" s="82"/>
      <c r="AV117" s="42"/>
      <c r="AW117" s="43"/>
      <c r="AX117" s="44"/>
      <c r="AY117" s="44"/>
      <c r="AZ117" s="44"/>
      <c r="BA117" s="44"/>
      <c r="BB117" s="31"/>
    </row>
    <row r="118" spans="1:54">
      <c r="A118" s="147"/>
      <c r="B118" s="32">
        <v>3</v>
      </c>
      <c r="C118" s="10" t="s">
        <v>58</v>
      </c>
      <c r="D118" s="42">
        <v>18800</v>
      </c>
      <c r="E118" s="42">
        <v>1</v>
      </c>
      <c r="F118" s="42">
        <v>12940</v>
      </c>
      <c r="G118" s="36">
        <v>1</v>
      </c>
      <c r="H118" s="36">
        <v>4</v>
      </c>
      <c r="I118" s="42">
        <v>13114</v>
      </c>
      <c r="J118" s="36">
        <v>6.7</v>
      </c>
      <c r="K118" s="42">
        <v>15971</v>
      </c>
      <c r="L118" s="38">
        <v>6.8000000000000005E-2</v>
      </c>
      <c r="M118" s="36">
        <f>ROUND(K118*(1-L118),0)</f>
        <v>14885</v>
      </c>
      <c r="N118" s="27">
        <v>0.59599999999999997</v>
      </c>
      <c r="O118" s="24">
        <f t="shared" si="1200"/>
        <v>8871.4599999999991</v>
      </c>
      <c r="P118" s="38">
        <v>0.32500000000000001</v>
      </c>
      <c r="Q118" s="24">
        <f t="shared" si="1201"/>
        <v>4837.625</v>
      </c>
      <c r="R118" s="38">
        <v>7.9000000000000001E-2</v>
      </c>
      <c r="S118" s="105">
        <v>0.2019</v>
      </c>
      <c r="T118" s="24">
        <f t="shared" si="1202"/>
        <v>1175.915</v>
      </c>
      <c r="U118" s="27">
        <v>0.23599999999999999</v>
      </c>
      <c r="V118" s="24">
        <f t="shared" si="1203"/>
        <v>3512.8599999999997</v>
      </c>
      <c r="W118" s="38">
        <v>0.48899999999999999</v>
      </c>
      <c r="X118" s="24">
        <f t="shared" si="1204"/>
        <v>7278.7649999999994</v>
      </c>
      <c r="Y118" s="38">
        <v>0.42</v>
      </c>
      <c r="Z118" s="24">
        <f t="shared" si="1205"/>
        <v>6251.7</v>
      </c>
      <c r="AA118" s="118">
        <v>2.64E-3</v>
      </c>
      <c r="AB118" s="121">
        <f t="shared" si="766"/>
        <v>39.296399999999998</v>
      </c>
      <c r="AC118" s="45">
        <v>2.5899999999999999E-3</v>
      </c>
      <c r="AD118" s="17">
        <f t="shared" si="1207"/>
        <v>38.552149999999997</v>
      </c>
      <c r="AE118" s="26">
        <f>IF(M118&gt;0,(AG118+AP118)/M118,0)</f>
        <v>2.7837815787705748E-3</v>
      </c>
      <c r="AF118" s="45">
        <v>2.5999999999999998E-4</v>
      </c>
      <c r="AG118" s="36">
        <f t="shared" si="1208"/>
        <v>3.8700999999999999</v>
      </c>
      <c r="AH118" s="27">
        <v>0.20860000000000001</v>
      </c>
      <c r="AI118" s="40">
        <f t="shared" si="1209"/>
        <v>34.812836799999999</v>
      </c>
      <c r="AJ118" s="27">
        <f t="shared" si="1210"/>
        <v>0.90073658183478678</v>
      </c>
      <c r="AK118" s="28">
        <f t="shared" si="682"/>
        <v>0.90765024210326251</v>
      </c>
      <c r="AL118" s="42">
        <v>184</v>
      </c>
      <c r="AM118" s="38">
        <v>9.2999999999999999E-2</v>
      </c>
      <c r="AN118" s="27">
        <v>0.22509999999999999</v>
      </c>
      <c r="AO118" s="105">
        <v>0.21779999999999999</v>
      </c>
      <c r="AP118" s="40">
        <f>AL118*(1-AM118)*AN118</f>
        <v>37.566488800000002</v>
      </c>
      <c r="AQ118" s="106">
        <f t="shared" si="727"/>
        <v>36.348206400000002</v>
      </c>
      <c r="AR118" s="17">
        <v>1.55</v>
      </c>
      <c r="AS118" s="17"/>
      <c r="AT118" s="129">
        <f>AT117+AL118-AS118</f>
        <v>1432.0999999999992</v>
      </c>
      <c r="AU118" s="82"/>
      <c r="AV118" s="42"/>
      <c r="AW118" s="46"/>
      <c r="AX118" s="40"/>
      <c r="AY118" s="40"/>
      <c r="AZ118" s="40"/>
      <c r="BA118" s="40"/>
      <c r="BB118" s="31"/>
    </row>
    <row r="119" spans="1:54">
      <c r="A119" s="148"/>
      <c r="B119" s="47" t="s">
        <v>56</v>
      </c>
      <c r="C119" s="48"/>
      <c r="D119" s="49">
        <f t="shared" ref="D119" si="1212">SUM(D116:D118)</f>
        <v>41336</v>
      </c>
      <c r="E119" s="49"/>
      <c r="F119" s="49">
        <f t="shared" ref="F119" si="1213">SUM(F116:F118)</f>
        <v>40475</v>
      </c>
      <c r="G119" s="50"/>
      <c r="H119" s="50"/>
      <c r="I119" s="49">
        <f t="shared" ref="I119:K119" si="1214">SUM(I116:I118)</f>
        <v>39767</v>
      </c>
      <c r="J119" s="50"/>
      <c r="K119" s="49">
        <f t="shared" si="1214"/>
        <v>47377</v>
      </c>
      <c r="L119" s="20">
        <f t="shared" ref="L119" si="1215">IF(K119&gt;0,(K116*L116+K117*L117+K118*L118)/K119,0)</f>
        <v>7.2640268484707768E-2</v>
      </c>
      <c r="M119" s="50">
        <f t="shared" ref="M119" si="1216">M116+M117+M118</f>
        <v>43935</v>
      </c>
      <c r="N119" s="51">
        <f t="shared" ref="N119" si="1217">IF(M119&gt;0,O119/M119,0)</f>
        <v>0.65620036417434846</v>
      </c>
      <c r="O119" s="52">
        <f t="shared" ref="O119" si="1218">O116+O117+O118</f>
        <v>28830.163</v>
      </c>
      <c r="P119" s="20">
        <f t="shared" ref="P119" si="1219">IF(M119&gt;0,Q119/M119,0)</f>
        <v>0.26684388300899053</v>
      </c>
      <c r="Q119" s="52">
        <f t="shared" ref="Q119" si="1220">Q116+Q117+Q118</f>
        <v>11723.786</v>
      </c>
      <c r="R119" s="20">
        <f t="shared" ref="R119" si="1221">IF(M119&gt;0,T119/M119,0)</f>
        <v>7.6955752816660977E-2</v>
      </c>
      <c r="S119" s="107"/>
      <c r="T119" s="52">
        <f t="shared" ref="T119" si="1222">T116+T117+T118</f>
        <v>3381.0509999999999</v>
      </c>
      <c r="U119" s="20">
        <f t="shared" ref="U119" si="1223">IF(M119&gt;0,V119/M119,0)</f>
        <v>0.22677682940707861</v>
      </c>
      <c r="V119" s="52">
        <f t="shared" ref="V119" si="1224">V116+V117+V118</f>
        <v>9963.4399999999987</v>
      </c>
      <c r="W119" s="20">
        <f t="shared" ref="W119" si="1225">IF(M119&gt;0,X119/M119,0)</f>
        <v>0.49252545806304771</v>
      </c>
      <c r="X119" s="52">
        <f t="shared" ref="X119" si="1226">X116+X117+X118</f>
        <v>21639.106</v>
      </c>
      <c r="Y119" s="20">
        <f t="shared" ref="Y119" si="1227">IF(M119&gt;0,Z119/M119,0)</f>
        <v>0.410115625355639</v>
      </c>
      <c r="Z119" s="52">
        <f t="shared" ref="Z119" si="1228">Z116+Z117+Z118</f>
        <v>18018.43</v>
      </c>
      <c r="AA119" s="119">
        <f t="shared" ref="AA119" si="1229">IF(M119&gt;0,AB119/M119,0)</f>
        <v>2.709055878001593E-3</v>
      </c>
      <c r="AB119" s="54">
        <f t="shared" ref="AB119" si="1230">SUM(AB116:AB118)</f>
        <v>119.02237</v>
      </c>
      <c r="AC119" s="53">
        <f t="shared" ref="AC119" si="1231">IF(M119&gt;0,AD119/M119,0)</f>
        <v>2.6590558780015933E-3</v>
      </c>
      <c r="AD119" s="54">
        <f t="shared" ref="AD119" si="1232">SUM(AD116:AD118)</f>
        <v>116.82562</v>
      </c>
      <c r="AE119" s="53">
        <f t="shared" ref="AE119" si="1233">IF(M119&gt;0,(AE116*M116+AE117*M117+AE118*M118)/M119,0)</f>
        <v>2.8788749834983501E-3</v>
      </c>
      <c r="AF119" s="53">
        <f t="shared" ref="AF119" si="1234">IF(K119&gt;0,(K116*AF116+K117*AF117+K118*AF118)/K119,0)</f>
        <v>2.6990966080587625E-4</v>
      </c>
      <c r="AG119" s="50">
        <f t="shared" ref="AG119" si="1235">SUM(AG116:AG118)</f>
        <v>11.85737</v>
      </c>
      <c r="AH119" s="51">
        <f t="shared" ref="AH119" si="1236">IF(K119&gt;0,(K116*AH116+K117*AH117+K118*AH118)/K119,0)</f>
        <v>0.21339513688076492</v>
      </c>
      <c r="AI119" s="56">
        <f t="shared" ref="AI119" si="1237">SUM(AI116:AI118)</f>
        <v>109.29696680000001</v>
      </c>
      <c r="AJ119" s="51">
        <f t="shared" ref="AJ119" si="1238">IF(AND(AD119&gt;0),((AD116*AJ116+AD117*AJ117+AD118*AJ118)/AD119),0)</f>
        <v>0.89964248741493247</v>
      </c>
      <c r="AK119" s="55">
        <f t="shared" si="682"/>
        <v>0.90733830207580646</v>
      </c>
      <c r="AL119" s="49">
        <f t="shared" ref="AL119" si="1239">SUM(AL116:AL118)</f>
        <v>568</v>
      </c>
      <c r="AM119" s="20">
        <f t="shared" ref="AM119" si="1240">IF(AL119&gt;0,(AM116*AL116+AM117*AL117+AM118*AL118)/AL119,0)</f>
        <v>9.8380281690140833E-2</v>
      </c>
      <c r="AN119" s="51">
        <f>IF(K119&gt;0,(AN116*K116+AN117*K117+AN118*K118)/K119,0)</f>
        <v>0.22394731409755789</v>
      </c>
      <c r="AO119" s="107">
        <f>IF(L119&gt;0,(AO116*K116+AO117*K117+AO118*K118)/K119,0)</f>
        <v>0.21496064546087765</v>
      </c>
      <c r="AP119" s="56">
        <f t="shared" ref="AP119" si="1241">SUM(AP116:AP118)</f>
        <v>114.6260024</v>
      </c>
      <c r="AQ119" s="108">
        <f t="shared" si="1109"/>
        <v>110.0043622</v>
      </c>
      <c r="AR119" s="54"/>
      <c r="AS119" s="54">
        <f t="shared" ref="AS119" si="1242">SUM(AS116:AS118)</f>
        <v>537.22</v>
      </c>
      <c r="AT119" s="83"/>
      <c r="AU119" s="84">
        <f>AT118</f>
        <v>1432.0999999999992</v>
      </c>
      <c r="AV119" s="49">
        <f t="shared" ref="AV119" si="1243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53</v>
      </c>
      <c r="D120" s="11">
        <v>2492</v>
      </c>
      <c r="E120" s="11">
        <v>1</v>
      </c>
      <c r="F120" s="11">
        <v>16187</v>
      </c>
      <c r="G120" s="12">
        <v>0.9</v>
      </c>
      <c r="H120" s="12">
        <v>3.1</v>
      </c>
      <c r="I120" s="11">
        <v>15218</v>
      </c>
      <c r="J120" s="12">
        <v>6.6</v>
      </c>
      <c r="K120" s="11">
        <v>16153</v>
      </c>
      <c r="L120" s="13">
        <v>7.0000000000000007E-2</v>
      </c>
      <c r="M120" s="36">
        <f>ROUND(K120*(1-L120),0)</f>
        <v>15022</v>
      </c>
      <c r="N120" s="14">
        <v>0.64800000000000002</v>
      </c>
      <c r="O120" s="24">
        <f t="shared" ref="O120:O122" si="1244">M120*N120</f>
        <v>9734.2559999999994</v>
      </c>
      <c r="P120" s="13">
        <v>0.23499999999999999</v>
      </c>
      <c r="Q120" s="24">
        <f t="shared" ref="Q120:Q122" si="1245">M120*P120</f>
        <v>3530.1699999999996</v>
      </c>
      <c r="R120" s="15">
        <v>0.11700000000000001</v>
      </c>
      <c r="S120" s="112">
        <v>0.2339</v>
      </c>
      <c r="T120" s="24">
        <f t="shared" ref="T120:T122" si="1246">M120*R120</f>
        <v>1757.5740000000001</v>
      </c>
      <c r="U120" s="25">
        <v>0.24399999999999999</v>
      </c>
      <c r="V120" s="24">
        <f t="shared" ref="V120:V122" si="1247">M120*U120</f>
        <v>3665.3679999999999</v>
      </c>
      <c r="W120" s="15">
        <v>0.47899999999999998</v>
      </c>
      <c r="X120" s="24">
        <f t="shared" ref="X120:X122" si="1248">M120*W120</f>
        <v>7195.5379999999996</v>
      </c>
      <c r="Y120" s="15">
        <v>0.42</v>
      </c>
      <c r="Z120" s="24">
        <f t="shared" ref="Z120:Z122" si="1249">Y120*M120</f>
        <v>6309.24</v>
      </c>
      <c r="AA120" s="116">
        <v>2.48E-3</v>
      </c>
      <c r="AB120" s="18">
        <f t="shared" ref="AB120" si="1250">M120*AA120</f>
        <v>37.254559999999998</v>
      </c>
      <c r="AC120" s="16">
        <v>2.32E-3</v>
      </c>
      <c r="AD120" s="17">
        <f t="shared" ref="AD120:AD122" si="1251">M120*AC120</f>
        <v>34.851039999999998</v>
      </c>
      <c r="AE120" s="26">
        <f>IF(M120&gt;0,(AG120+AP120)/M120,0)</f>
        <v>2.65610728265211E-3</v>
      </c>
      <c r="AF120" s="16">
        <v>2.7999999999999998E-4</v>
      </c>
      <c r="AG120" s="23">
        <f t="shared" ref="AG120:AG122" si="1252">AF120*M120</f>
        <v>4.2061599999999997</v>
      </c>
      <c r="AH120" s="92">
        <v>0.2107</v>
      </c>
      <c r="AI120" s="29">
        <f t="shared" ref="AI120:AI122" si="1253">AL120*(1-AM120)*AH120</f>
        <v>35.192799600000001</v>
      </c>
      <c r="AJ120" s="27">
        <f t="shared" ref="AJ120:AJ122" si="1254">IF(AND(AH120&gt;0,AF120&gt;0,AC120&gt;0),((AC120-AF120)*AH120)/((AH120-AF120)*AC120),0)</f>
        <v>0.88048041847339809</v>
      </c>
      <c r="AK120" s="58">
        <f t="shared" si="682"/>
        <v>0.89575623415768324</v>
      </c>
      <c r="AL120" s="11">
        <v>186</v>
      </c>
      <c r="AM120" s="13">
        <v>0.10199999999999999</v>
      </c>
      <c r="AN120" s="14">
        <v>0.2137</v>
      </c>
      <c r="AO120" s="101">
        <v>0.20530000000000001</v>
      </c>
      <c r="AP120" s="29">
        <f>AL120*(1-AM120)*AN120</f>
        <v>35.693883599999999</v>
      </c>
      <c r="AQ120" s="102">
        <f t="shared" ref="AQ120" si="1255">AL120*(1-AM120)*AO120</f>
        <v>34.290848400000002</v>
      </c>
      <c r="AR120" s="18">
        <v>1.6</v>
      </c>
      <c r="AS120" s="18">
        <v>466.24</v>
      </c>
      <c r="AT120" s="79">
        <f>AT118+AL120-AS120+AU120</f>
        <v>1160.2199999999991</v>
      </c>
      <c r="AU120" s="80">
        <v>8.36</v>
      </c>
      <c r="AV120" s="11"/>
      <c r="AW120" s="30"/>
      <c r="AX120" s="19"/>
      <c r="AY120" s="19"/>
      <c r="AZ120" s="19"/>
      <c r="BA120" s="19"/>
      <c r="BB120" s="31"/>
    </row>
    <row r="121" spans="1:54">
      <c r="A121" s="147"/>
      <c r="B121" s="32">
        <v>2</v>
      </c>
      <c r="C121" s="143" t="s">
        <v>54</v>
      </c>
      <c r="D121" s="33">
        <v>18819</v>
      </c>
      <c r="E121" s="33">
        <v>5</v>
      </c>
      <c r="F121" s="33">
        <v>15788</v>
      </c>
      <c r="G121" s="34">
        <v>0.5</v>
      </c>
      <c r="H121" s="34">
        <v>4.0999999999999996</v>
      </c>
      <c r="I121" s="33">
        <v>15190</v>
      </c>
      <c r="J121" s="34">
        <v>7.1</v>
      </c>
      <c r="K121" s="33">
        <v>15927</v>
      </c>
      <c r="L121" s="35">
        <v>5.8999999999999997E-2</v>
      </c>
      <c r="M121" s="36">
        <f>ROUND(K121*(1-L121),0)</f>
        <v>14987</v>
      </c>
      <c r="N121" s="37">
        <v>0.61099999999999999</v>
      </c>
      <c r="O121" s="24">
        <f t="shared" si="1244"/>
        <v>9157.0570000000007</v>
      </c>
      <c r="P121" s="35">
        <v>0.26700000000000002</v>
      </c>
      <c r="Q121" s="24">
        <f t="shared" si="1245"/>
        <v>4001.5290000000005</v>
      </c>
      <c r="R121" s="38">
        <v>0.122</v>
      </c>
      <c r="S121" s="105">
        <v>0.23150000000000001</v>
      </c>
      <c r="T121" s="24">
        <f t="shared" si="1246"/>
        <v>1828.414</v>
      </c>
      <c r="U121" s="27">
        <v>0.24</v>
      </c>
      <c r="V121" s="24">
        <f t="shared" si="1247"/>
        <v>3596.8799999999997</v>
      </c>
      <c r="W121" s="38">
        <v>0.48599999999999999</v>
      </c>
      <c r="X121" s="24">
        <f t="shared" si="1248"/>
        <v>7283.6819999999998</v>
      </c>
      <c r="Y121" s="38">
        <v>0.41</v>
      </c>
      <c r="Z121" s="24">
        <f t="shared" si="1249"/>
        <v>6144.67</v>
      </c>
      <c r="AA121" s="117">
        <v>2.2499999999999998E-3</v>
      </c>
      <c r="AB121" s="18">
        <f t="shared" si="766"/>
        <v>33.720749999999995</v>
      </c>
      <c r="AC121" s="39">
        <v>2.0200000000000001E-3</v>
      </c>
      <c r="AD121" s="17">
        <f t="shared" si="1251"/>
        <v>30.27374</v>
      </c>
      <c r="AE121" s="26">
        <f>IF(M121&gt;0,(AG121+AP121)/M121,0)</f>
        <v>2.4698257156202039E-3</v>
      </c>
      <c r="AF121" s="39">
        <v>2.7E-4</v>
      </c>
      <c r="AG121" s="36">
        <f t="shared" si="1252"/>
        <v>4.0464900000000004</v>
      </c>
      <c r="AH121" s="27">
        <v>0.20449999999999999</v>
      </c>
      <c r="AI121" s="40">
        <f t="shared" si="1253"/>
        <v>31.832469999999997</v>
      </c>
      <c r="AJ121" s="27">
        <f t="shared" si="1254"/>
        <v>0.86748196437427616</v>
      </c>
      <c r="AK121" s="28">
        <f t="shared" si="682"/>
        <v>0.89181742321135604</v>
      </c>
      <c r="AL121" s="33">
        <v>172</v>
      </c>
      <c r="AM121" s="35">
        <v>9.5000000000000001E-2</v>
      </c>
      <c r="AN121" s="37">
        <v>0.21179999999999999</v>
      </c>
      <c r="AO121" s="103">
        <v>0.20130000000000001</v>
      </c>
      <c r="AP121" s="40">
        <f>AL121*(1-AM121)*AN121</f>
        <v>32.968787999999996</v>
      </c>
      <c r="AQ121" s="104">
        <f t="shared" si="727"/>
        <v>31.334358000000002</v>
      </c>
      <c r="AR121" s="41">
        <v>1.55</v>
      </c>
      <c r="AS121" s="41"/>
      <c r="AT121" s="129">
        <f>AT120+AL121-AS121</f>
        <v>1332.2199999999991</v>
      </c>
      <c r="AU121" s="82"/>
      <c r="AV121" s="42"/>
      <c r="AW121" s="43"/>
      <c r="AX121" s="44"/>
      <c r="AY121" s="44"/>
      <c r="AZ121" s="44"/>
      <c r="BA121" s="44"/>
      <c r="BB121" s="31"/>
    </row>
    <row r="122" spans="1:54">
      <c r="A122" s="147"/>
      <c r="B122" s="32">
        <v>3</v>
      </c>
      <c r="C122" s="143" t="s">
        <v>58</v>
      </c>
      <c r="D122" s="42">
        <v>22200</v>
      </c>
      <c r="E122" s="42">
        <v>1</v>
      </c>
      <c r="F122" s="42">
        <v>16428</v>
      </c>
      <c r="G122" s="36">
        <v>0.5</v>
      </c>
      <c r="H122" s="36">
        <v>3.6</v>
      </c>
      <c r="I122" s="42">
        <v>15732</v>
      </c>
      <c r="J122" s="36">
        <v>6.4</v>
      </c>
      <c r="K122" s="42">
        <v>16061</v>
      </c>
      <c r="L122" s="38">
        <v>7.0999999999999994E-2</v>
      </c>
      <c r="M122" s="36">
        <f>ROUND(K122*(1-L122),0)</f>
        <v>14921</v>
      </c>
      <c r="N122" s="27">
        <v>0.69</v>
      </c>
      <c r="O122" s="24">
        <f t="shared" si="1244"/>
        <v>10295.49</v>
      </c>
      <c r="P122" s="38">
        <v>0.26500000000000001</v>
      </c>
      <c r="Q122" s="24">
        <f t="shared" si="1245"/>
        <v>3954.0650000000001</v>
      </c>
      <c r="R122" s="38">
        <v>4.4999999999999998E-2</v>
      </c>
      <c r="S122" s="105">
        <v>0.2331</v>
      </c>
      <c r="T122" s="24">
        <f t="shared" si="1246"/>
        <v>671.44499999999994</v>
      </c>
      <c r="U122" s="27">
        <v>0.24099999999999999</v>
      </c>
      <c r="V122" s="24">
        <f t="shared" si="1247"/>
        <v>3595.9609999999998</v>
      </c>
      <c r="W122" s="38">
        <v>0.48399999999999999</v>
      </c>
      <c r="X122" s="24">
        <f t="shared" si="1248"/>
        <v>7221.7640000000001</v>
      </c>
      <c r="Y122" s="38">
        <v>0.42</v>
      </c>
      <c r="Z122" s="24">
        <f t="shared" si="1249"/>
        <v>6266.82</v>
      </c>
      <c r="AA122" s="118">
        <v>2.1800000000000001E-3</v>
      </c>
      <c r="AB122" s="121">
        <f t="shared" si="766"/>
        <v>32.52778</v>
      </c>
      <c r="AC122" s="45">
        <v>1.97E-3</v>
      </c>
      <c r="AD122" s="17">
        <f t="shared" si="1251"/>
        <v>29.394369999999999</v>
      </c>
      <c r="AE122" s="26">
        <f>IF(M122&gt;0,(AG122+AP122)/M122,0)</f>
        <v>2.3982341934186717E-3</v>
      </c>
      <c r="AF122" s="45">
        <v>2.7999999999999998E-4</v>
      </c>
      <c r="AG122" s="36">
        <f t="shared" si="1252"/>
        <v>4.17788</v>
      </c>
      <c r="AH122" s="27">
        <v>0.2092</v>
      </c>
      <c r="AI122" s="40">
        <f t="shared" si="1253"/>
        <v>29.757026399999997</v>
      </c>
      <c r="AJ122" s="27">
        <f t="shared" si="1254"/>
        <v>0.85901775726457852</v>
      </c>
      <c r="AK122" s="28">
        <f t="shared" si="682"/>
        <v>0.88436183967021564</v>
      </c>
      <c r="AL122" s="42">
        <v>157</v>
      </c>
      <c r="AM122" s="38">
        <v>9.4E-2</v>
      </c>
      <c r="AN122" s="27">
        <v>0.22220000000000001</v>
      </c>
      <c r="AO122" s="105">
        <v>0.21129999999999999</v>
      </c>
      <c r="AP122" s="40">
        <f>AL122*(1-AM122)*AN122</f>
        <v>31.606172399999998</v>
      </c>
      <c r="AQ122" s="106">
        <f t="shared" si="727"/>
        <v>30.055734599999997</v>
      </c>
      <c r="AR122" s="17">
        <v>1.55</v>
      </c>
      <c r="AS122" s="17"/>
      <c r="AT122" s="129">
        <f>AT121+AL122-AS122</f>
        <v>1489.2199999999991</v>
      </c>
      <c r="AU122" s="82"/>
      <c r="AV122" s="42"/>
      <c r="AW122" s="46"/>
      <c r="AX122" s="40"/>
      <c r="AY122" s="40"/>
      <c r="AZ122" s="40"/>
      <c r="BA122" s="40"/>
      <c r="BB122" s="31"/>
    </row>
    <row r="123" spans="1:54">
      <c r="A123" s="148"/>
      <c r="B123" s="47" t="s">
        <v>56</v>
      </c>
      <c r="C123" s="48"/>
      <c r="D123" s="49">
        <f t="shared" ref="D123" si="1256">SUM(D120:D122)</f>
        <v>43511</v>
      </c>
      <c r="E123" s="49"/>
      <c r="F123" s="49">
        <f t="shared" ref="F123" si="1257">SUM(F120:F122)</f>
        <v>48403</v>
      </c>
      <c r="G123" s="50"/>
      <c r="H123" s="50"/>
      <c r="I123" s="49">
        <f t="shared" ref="I123:K123" si="1258">SUM(I120:I122)</f>
        <v>46140</v>
      </c>
      <c r="J123" s="50"/>
      <c r="K123" s="49">
        <f t="shared" si="1258"/>
        <v>48141</v>
      </c>
      <c r="L123" s="20">
        <f t="shared" ref="L123" si="1259">IF(K123&gt;0,(K120*L120+K121*L121+K122*L122)/K123,0)</f>
        <v>6.6694376934421817E-2</v>
      </c>
      <c r="M123" s="50">
        <f t="shared" ref="M123" si="1260">M120+M121+M122</f>
        <v>44930</v>
      </c>
      <c r="N123" s="51">
        <f t="shared" ref="N123" si="1261">IF(M123&gt;0,O123/M123,0)</f>
        <v>0.64960612063209433</v>
      </c>
      <c r="O123" s="52">
        <f t="shared" ref="O123" si="1262">O120+O121+O122</f>
        <v>29186.803</v>
      </c>
      <c r="P123" s="20">
        <f t="shared" ref="P123" si="1263">IF(M123&gt;0,Q123/M123,0)</f>
        <v>0.25563685733363012</v>
      </c>
      <c r="Q123" s="52">
        <f t="shared" ref="Q123" si="1264">Q120+Q121+Q122</f>
        <v>11485.764000000001</v>
      </c>
      <c r="R123" s="20">
        <f t="shared" ref="R123" si="1265">IF(M123&gt;0,T123/M123,0)</f>
        <v>9.4757022034275537E-2</v>
      </c>
      <c r="S123" s="107"/>
      <c r="T123" s="52">
        <f t="shared" ref="T123" si="1266">T120+T121+T122</f>
        <v>4257.433</v>
      </c>
      <c r="U123" s="20">
        <f t="shared" ref="U123" si="1267">IF(M123&gt;0,V123/M123,0)</f>
        <v>0.24166946361006006</v>
      </c>
      <c r="V123" s="52">
        <f t="shared" ref="V123" si="1268">V120+V121+V122</f>
        <v>10858.208999999999</v>
      </c>
      <c r="W123" s="20">
        <f t="shared" ref="W123" si="1269">IF(M123&gt;0,X123/M123,0)</f>
        <v>0.48299541509014021</v>
      </c>
      <c r="X123" s="52">
        <f t="shared" ref="X123" si="1270">X120+X121+X122</f>
        <v>21700.984</v>
      </c>
      <c r="Y123" s="20">
        <f t="shared" ref="Y123" si="1271">IF(M123&gt;0,Z123/M123,0)</f>
        <v>0.41666436679278879</v>
      </c>
      <c r="Z123" s="52">
        <f t="shared" ref="Z123" si="1272">Z120+Z121+Z122</f>
        <v>18720.73</v>
      </c>
      <c r="AA123" s="119">
        <f t="shared" ref="AA123" si="1273">IF(M123&gt;0,AB123/M123,0)</f>
        <v>2.3036521255285999E-3</v>
      </c>
      <c r="AB123" s="54">
        <f t="shared" ref="AB123" si="1274">SUM(AB120:AB122)</f>
        <v>103.50308999999999</v>
      </c>
      <c r="AC123" s="53">
        <f t="shared" ref="AC123" si="1275">IF(M123&gt;0,AD123/M123,0)</f>
        <v>2.1036979746271978E-3</v>
      </c>
      <c r="AD123" s="54">
        <f t="shared" ref="AD123" si="1276">SUM(AD120:AD122)</f>
        <v>94.519149999999996</v>
      </c>
      <c r="AE123" s="53">
        <f t="shared" ref="AE123" si="1277">IF(M123&gt;0,(AE120*M120+AE121*M121+AE122*M122)/M123,0)</f>
        <v>2.5083323837079901E-3</v>
      </c>
      <c r="AF123" s="53">
        <f t="shared" ref="AF123" si="1278">IF(K123&gt;0,(K120*AF120+K121*AF121+K122*AF122)/K123,0)</f>
        <v>2.7669159344425746E-4</v>
      </c>
      <c r="AG123" s="50">
        <f t="shared" ref="AG123" si="1279">SUM(AG120:AG122)</f>
        <v>12.430529999999999</v>
      </c>
      <c r="AH123" s="51">
        <f t="shared" ref="AH123" si="1280">IF(K123&gt;0,(K120*AH120+K121*AH121+K122*AH122)/K123,0)</f>
        <v>0.2081483517168318</v>
      </c>
      <c r="AI123" s="56">
        <f t="shared" ref="AI123" si="1281">SUM(AI120:AI122)</f>
        <v>96.782296000000002</v>
      </c>
      <c r="AJ123" s="51">
        <f t="shared" ref="AJ123" si="1282">IF(AND(AD123&gt;0),((AD120*AJ120+AD121*AJ121+AD122*AJ122)/AD123),0)</f>
        <v>0.86964247479155754</v>
      </c>
      <c r="AK123" s="55">
        <f t="shared" si="682"/>
        <v>0.89083264621182978</v>
      </c>
      <c r="AL123" s="49">
        <f t="shared" ref="AL123" si="1283">SUM(AL120:AL122)</f>
        <v>515</v>
      </c>
      <c r="AM123" s="20">
        <f t="shared" ref="AM123" si="1284">IF(AL123&gt;0,(AM120*AL120+AM121*AL121+AM122*AL122)/AL123,0)</f>
        <v>9.7223300970873783E-2</v>
      </c>
      <c r="AN123" s="51">
        <f>IF(K123&gt;0,(AN120*K120+AN121*K121+AN122*K122)/K123,0)</f>
        <v>0.21590720799318669</v>
      </c>
      <c r="AO123" s="107">
        <f>IF(L123&gt;0,(AO120*K120+AO121*K121+AO122*K122)/K123,0)</f>
        <v>0.20597838225213436</v>
      </c>
      <c r="AP123" s="56">
        <f t="shared" ref="AP123:AQ123" si="1285">SUM(AP120:AP122)</f>
        <v>100.268844</v>
      </c>
      <c r="AQ123" s="108">
        <f t="shared" si="1285"/>
        <v>95.68094099999999</v>
      </c>
      <c r="AR123" s="54"/>
      <c r="AS123" s="54">
        <f t="shared" ref="AS123" si="1286">SUM(AS120:AS122)</f>
        <v>466.24</v>
      </c>
      <c r="AT123" s="83"/>
      <c r="AU123" s="84">
        <f>AT122</f>
        <v>1489.2199999999991</v>
      </c>
      <c r="AV123" s="49">
        <f t="shared" ref="AV123" si="1287">SUM(AV120:AV122)</f>
        <v>0</v>
      </c>
      <c r="AW123" s="57"/>
      <c r="AX123" s="56"/>
      <c r="AY123" s="56"/>
      <c r="AZ123" s="56"/>
      <c r="BA123" s="56"/>
      <c r="BB123" s="21"/>
    </row>
  </sheetData>
  <protectedRanges>
    <protectedRange sqref="Q1 V1 X1 Z1 O1 T1 AG1 AD1:AE1 AP1:AQ1 M1 AK1" name="Range1_1_1_1_1_1_1_1_1"/>
    <protectedRange sqref="AI1:AJ1" name="Range1_1_1_1_1_1_1"/>
    <protectedRange sqref="AB1" name="Range1_1_1_1_1_1_1_1_1_1_1_1_1"/>
    <protectedRange sqref="Q2:Q3 V2:V3 X2:X3 Z2:Z3 AP2:AQ3 O2:O3 T2:T3 AG2:AG3 AK2:AK3 AD2:AE3 M2:M3" name="Range1_1_1_1_1_1_1_1_1_1"/>
    <protectedRange sqref="AH3:AJ3 AI2:AJ2" name="Range1_1_1_1_1_1_1_1"/>
    <protectedRange sqref="AA3" name="Range1_1_1_1_1_1_1_1_1_1_1"/>
    <protectedRange sqref="AB3" name="Range1_1_1_1_1_1_1_1_1_1_1_1"/>
    <protectedRange sqref="AP4:AQ123 AK4:AK123 M4:M123" name="Range1_1_1_1_1_1_1_1_1_2"/>
    <protectedRange sqref="AH7:AJ7 AH4:AI6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" name="Range1_1_1_1_1_1_1_1_2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" name="Range1_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" name="Range1_1_1_1_1_2_2_1_1"/>
    <protectedRange sqref="O4:O123" name="Range1_1_1_1_1_5_1_1_1"/>
    <protectedRange sqref="Q4:Q123" name="Range1_1_1_1_1_7_1_1_1"/>
    <protectedRange sqref="T4:T123" name="Range1_1_1_1_1_8_1_1_1"/>
    <protectedRange sqref="V4:V123" name="Range1_1_1_1_1_10_1_1_1"/>
    <protectedRange sqref="X4:X123" name="Range1_1_1_1_1_12_1_1_1"/>
    <protectedRange sqref="Z4:Z123" name="Range1_1_1_1_1_16_1_1_1"/>
    <protectedRange sqref="AG4:AG123" name="Range1_1_1_1_1_18_1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B4:AB123" name="Range1_1_1_1_1_2_2_1_1_1_1"/>
  </protectedRanges>
  <mergeCells count="32">
    <mergeCell ref="A116:A119"/>
    <mergeCell ref="A120:A123"/>
    <mergeCell ref="A92:A95"/>
    <mergeCell ref="A96:A99"/>
    <mergeCell ref="A100:A103"/>
    <mergeCell ref="A104:A107"/>
    <mergeCell ref="A108:A111"/>
    <mergeCell ref="A112:A115"/>
    <mergeCell ref="A88:A91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40:A43"/>
    <mergeCell ref="AX1:AY1"/>
    <mergeCell ref="AZ1:BA1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5205-921F-4EDC-9D2B-DFA756117B54}">
  <dimension ref="A1:BB127"/>
  <sheetViews>
    <sheetView workbookViewId="0">
      <selection sqref="A1:BB3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53</v>
      </c>
      <c r="D4" s="11">
        <v>14000</v>
      </c>
      <c r="E4" s="11">
        <v>0</v>
      </c>
      <c r="F4" s="11">
        <v>17311</v>
      </c>
      <c r="G4" s="12">
        <v>0.5</v>
      </c>
      <c r="H4" s="12">
        <v>3.1</v>
      </c>
      <c r="I4" s="11">
        <v>16671</v>
      </c>
      <c r="J4" s="12">
        <v>6.2</v>
      </c>
      <c r="K4" s="11">
        <v>15999</v>
      </c>
      <c r="L4" s="13">
        <v>6.6000000000000003E-2</v>
      </c>
      <c r="M4" s="23">
        <f>ROUND(K4*(1-L4),0)</f>
        <v>14943</v>
      </c>
      <c r="N4" s="14">
        <v>0.67300000000000004</v>
      </c>
      <c r="O4" s="24">
        <f t="shared" ref="O4:O6" si="0">M4*N4</f>
        <v>10056.639000000001</v>
      </c>
      <c r="P4" s="13">
        <v>0.28699999999999998</v>
      </c>
      <c r="Q4" s="24">
        <f t="shared" ref="Q4:Q6" si="1">M4*P4</f>
        <v>4288.6409999999996</v>
      </c>
      <c r="R4" s="15">
        <v>0.04</v>
      </c>
      <c r="S4" s="111">
        <v>0.2339</v>
      </c>
      <c r="T4" s="24">
        <f t="shared" ref="T4:T6" si="2">M4*R4</f>
        <v>597.72</v>
      </c>
      <c r="U4" s="25">
        <v>0.23699999999999999</v>
      </c>
      <c r="V4" s="24">
        <f t="shared" ref="V4:V6" si="3">M4*U4</f>
        <v>3541.491</v>
      </c>
      <c r="W4" s="15">
        <v>0.49099999999999999</v>
      </c>
      <c r="X4" s="24">
        <f>M4*W4</f>
        <v>7337.0129999999999</v>
      </c>
      <c r="Y4" s="15">
        <v>0.43</v>
      </c>
      <c r="Z4" s="96">
        <f t="shared" ref="Z4:Z6" si="4">Y4*M4</f>
        <v>6425.49</v>
      </c>
      <c r="AA4" s="116">
        <v>2.3700000000000001E-3</v>
      </c>
      <c r="AB4" s="18">
        <f>M4*AA4</f>
        <v>35.414909999999999</v>
      </c>
      <c r="AC4" s="16">
        <v>2.16E-3</v>
      </c>
      <c r="AD4" s="18">
        <f>M4*AC4</f>
        <v>32.276879999999998</v>
      </c>
      <c r="AE4" s="26">
        <f>IF(M4&gt;0,(AG4+AP4)/M4,0)</f>
        <v>2.4079206852706952E-3</v>
      </c>
      <c r="AF4" s="16">
        <v>2.9999999999999997E-4</v>
      </c>
      <c r="AG4" s="23">
        <f t="shared" ref="AG4:AG6" si="5">AF4*M4</f>
        <v>4.4828999999999999</v>
      </c>
      <c r="AH4" s="92">
        <v>0.20810000000000001</v>
      </c>
      <c r="AI4" s="29">
        <f>AL4*(1-AM4)*AH4</f>
        <v>29.821978600000005</v>
      </c>
      <c r="AJ4" s="27">
        <f>IF(AND(AH4&gt;0,AF4&gt;0,AC4&gt;0),((AC4-AF4)*AH4)/((AH4-AF4)*AC4),0)</f>
        <v>0.8623542936584323</v>
      </c>
      <c r="AK4" s="58">
        <f t="shared" ref="AK4:AK67" si="6">IF(AND(AE4&gt;0,AN4&gt;0,AF4&gt;0),((AN4*(AE4-AF4))/(AE4*(AN4-AF4))),0)</f>
        <v>0.87660764043175299</v>
      </c>
      <c r="AL4" s="11">
        <v>158</v>
      </c>
      <c r="AM4" s="13">
        <v>9.2999999999999999E-2</v>
      </c>
      <c r="AN4" s="14">
        <v>0.2198</v>
      </c>
      <c r="AO4" s="101">
        <v>0.20810000000000001</v>
      </c>
      <c r="AP4" s="29">
        <f>AL4*(1-AM4)*AN4</f>
        <v>31.498658800000001</v>
      </c>
      <c r="AQ4" s="102">
        <f>AL4*(1-AM4)*AO4</f>
        <v>29.821978600000005</v>
      </c>
      <c r="AR4" s="18">
        <v>1.57</v>
      </c>
      <c r="AS4" s="18"/>
      <c r="AT4" s="88">
        <f>AT3+AL4-AS4</f>
        <v>1604.4599999999994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43" t="s">
        <v>54</v>
      </c>
      <c r="D5" s="33">
        <v>18769</v>
      </c>
      <c r="E5" s="33">
        <v>2</v>
      </c>
      <c r="F5" s="33">
        <v>17657</v>
      </c>
      <c r="G5" s="34">
        <v>0.4</v>
      </c>
      <c r="H5" s="34">
        <v>4.4000000000000004</v>
      </c>
      <c r="I5" s="33">
        <v>16323</v>
      </c>
      <c r="J5" s="34">
        <v>6.2</v>
      </c>
      <c r="K5" s="33">
        <v>16105</v>
      </c>
      <c r="L5" s="35">
        <v>6.3E-2</v>
      </c>
      <c r="M5" s="36">
        <f>ROUND(K5*(1-L5),0)</f>
        <v>15090</v>
      </c>
      <c r="N5" s="37">
        <v>0.65800000000000003</v>
      </c>
      <c r="O5" s="24">
        <f t="shared" si="0"/>
        <v>9929.2200000000012</v>
      </c>
      <c r="P5" s="35">
        <v>0.23599999999999999</v>
      </c>
      <c r="Q5" s="24">
        <f t="shared" si="1"/>
        <v>3561.24</v>
      </c>
      <c r="R5" s="38">
        <v>0.106</v>
      </c>
      <c r="S5" s="105">
        <v>0.2288</v>
      </c>
      <c r="T5" s="24">
        <f t="shared" si="2"/>
        <v>1599.54</v>
      </c>
      <c r="U5" s="27">
        <v>0.24</v>
      </c>
      <c r="V5" s="24">
        <f t="shared" si="3"/>
        <v>3621.6</v>
      </c>
      <c r="W5" s="38">
        <v>0.48599999999999999</v>
      </c>
      <c r="X5" s="24">
        <f>M5*W5</f>
        <v>7333.74</v>
      </c>
      <c r="Y5" s="38">
        <v>0.41</v>
      </c>
      <c r="Z5" s="24">
        <f t="shared" si="4"/>
        <v>6186.9</v>
      </c>
      <c r="AA5" s="117">
        <v>2.4299999999999999E-3</v>
      </c>
      <c r="AB5" s="18">
        <f t="shared" ref="AB5:AB6" si="7">M5*AA5</f>
        <v>36.668700000000001</v>
      </c>
      <c r="AC5" s="39">
        <v>2.2699999999999999E-3</v>
      </c>
      <c r="AD5" s="17">
        <f>M5*AC5</f>
        <v>34.254300000000001</v>
      </c>
      <c r="AE5" s="26">
        <f>IF(M5&gt;0,(AG5+AP5)/M5,0)</f>
        <v>2.5810503379721673E-3</v>
      </c>
      <c r="AF5" s="39">
        <v>2.7999999999999998E-4</v>
      </c>
      <c r="AG5" s="36">
        <f t="shared" si="5"/>
        <v>4.2252000000000001</v>
      </c>
      <c r="AH5" s="27">
        <v>0.21429999999999999</v>
      </c>
      <c r="AI5" s="40">
        <f>AL5*(1-AM5)*AH5</f>
        <v>34.984046400000004</v>
      </c>
      <c r="AJ5" s="27">
        <f>IF(AND(AH5&gt;0,AF5&gt;0,AC5&gt;0),((AC5-AF5)*AH5)/((AH5-AF5)*AC5),0)</f>
        <v>0.87779889647597686</v>
      </c>
      <c r="AK5" s="28">
        <f t="shared" si="6"/>
        <v>0.89269217967700576</v>
      </c>
      <c r="AL5" s="33">
        <v>179</v>
      </c>
      <c r="AM5" s="35">
        <v>8.7999999999999995E-2</v>
      </c>
      <c r="AN5" s="37">
        <v>0.2127</v>
      </c>
      <c r="AO5" s="103">
        <v>0.2024</v>
      </c>
      <c r="AP5" s="40">
        <f>AL5*(1-AM5)*AN5</f>
        <v>34.722849600000004</v>
      </c>
      <c r="AQ5" s="104">
        <f t="shared" ref="AQ5:AQ6" si="8">AL5*(1-AM5)*AO5</f>
        <v>33.041395200000004</v>
      </c>
      <c r="AR5" s="41">
        <v>1.55</v>
      </c>
      <c r="AS5" s="41"/>
      <c r="AT5" s="88">
        <f>AT4+AL5-AS5</f>
        <v>1783.4599999999994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59</v>
      </c>
      <c r="D6" s="42">
        <v>18400</v>
      </c>
      <c r="E6" s="42">
        <v>1</v>
      </c>
      <c r="F6" s="42">
        <v>16387</v>
      </c>
      <c r="G6" s="36">
        <v>0.9</v>
      </c>
      <c r="H6" s="36">
        <v>4</v>
      </c>
      <c r="I6" s="42">
        <v>15678</v>
      </c>
      <c r="J6" s="36">
        <v>6</v>
      </c>
      <c r="K6" s="42">
        <v>16097</v>
      </c>
      <c r="L6" s="38">
        <v>7.0000000000000007E-2</v>
      </c>
      <c r="M6" s="36">
        <f>ROUND(K6*(1-L6),0)</f>
        <v>14970</v>
      </c>
      <c r="N6" s="27">
        <v>0.55200000000000005</v>
      </c>
      <c r="O6" s="24">
        <f t="shared" si="0"/>
        <v>8263.44</v>
      </c>
      <c r="P6" s="38">
        <v>0.41299999999999998</v>
      </c>
      <c r="Q6" s="24">
        <f t="shared" si="1"/>
        <v>6182.61</v>
      </c>
      <c r="R6" s="38">
        <v>3.5000000000000003E-2</v>
      </c>
      <c r="S6" s="105">
        <v>0.23519999999999999</v>
      </c>
      <c r="T6" s="24">
        <f t="shared" si="2"/>
        <v>523.95000000000005</v>
      </c>
      <c r="U6" s="27">
        <v>0.24</v>
      </c>
      <c r="V6" s="24">
        <f t="shared" si="3"/>
        <v>3592.7999999999997</v>
      </c>
      <c r="W6" s="38">
        <v>0.503</v>
      </c>
      <c r="X6" s="24">
        <f>M6*W6</f>
        <v>7529.91</v>
      </c>
      <c r="Y6" s="38">
        <v>0.42</v>
      </c>
      <c r="Z6" s="24">
        <f t="shared" si="4"/>
        <v>6287.4</v>
      </c>
      <c r="AA6" s="118">
        <v>2.4399999999999999E-3</v>
      </c>
      <c r="AB6" s="121">
        <f t="shared" si="7"/>
        <v>36.526800000000001</v>
      </c>
      <c r="AC6" s="45">
        <v>2.2799999999999999E-3</v>
      </c>
      <c r="AD6" s="17">
        <f>M6*AC6</f>
        <v>34.131599999999999</v>
      </c>
      <c r="AE6" s="26">
        <f>IF(M6&gt;0,(AG6+AP6)/M6,0)</f>
        <v>2.7225931863727459E-3</v>
      </c>
      <c r="AF6" s="45">
        <v>2.7999999999999998E-4</v>
      </c>
      <c r="AG6" s="36">
        <f t="shared" si="5"/>
        <v>4.1915999999999993</v>
      </c>
      <c r="AH6" s="27">
        <v>0.20519999999999999</v>
      </c>
      <c r="AI6" s="40">
        <f>AL6*(1-AM6)*AH6</f>
        <v>33.798492000000003</v>
      </c>
      <c r="AJ6" s="27">
        <f>IF(AND(AH6&gt;0,AF6&gt;0,AC6&gt;0),((AC6-AF6)*AH6)/((AH6-AF6)*AC6),0)</f>
        <v>0.8783915674409527</v>
      </c>
      <c r="AK6" s="28">
        <f t="shared" si="6"/>
        <v>0.89828985002689998</v>
      </c>
      <c r="AL6" s="42">
        <v>181</v>
      </c>
      <c r="AM6" s="38">
        <v>0.09</v>
      </c>
      <c r="AN6" s="27">
        <v>0.222</v>
      </c>
      <c r="AO6" s="105">
        <v>0.2099</v>
      </c>
      <c r="AP6" s="40">
        <f>AL6*(1-AM6)*AN6</f>
        <v>36.565620000000003</v>
      </c>
      <c r="AQ6" s="106">
        <f t="shared" si="8"/>
        <v>34.572628999999999</v>
      </c>
      <c r="AR6" s="17">
        <v>1.6</v>
      </c>
      <c r="AS6" s="17"/>
      <c r="AT6" s="88">
        <f>AT5+AL6-AS6</f>
        <v>1964.4599999999994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51169</v>
      </c>
      <c r="E7" s="49"/>
      <c r="F7" s="49">
        <f>SUM(F4:F6)</f>
        <v>51355</v>
      </c>
      <c r="G7" s="50"/>
      <c r="H7" s="50"/>
      <c r="I7" s="49">
        <f>SUM(I4:I6)</f>
        <v>48672</v>
      </c>
      <c r="J7" s="50"/>
      <c r="K7" s="49">
        <f>SUM(K4:K6)</f>
        <v>48201</v>
      </c>
      <c r="L7" s="20">
        <f>IF(K7&gt;0,(K4*L4+K5*L5+K6*L6)/K7,0)</f>
        <v>6.6333457812078583E-2</v>
      </c>
      <c r="M7" s="50">
        <f>M4+M5+M6</f>
        <v>45003</v>
      </c>
      <c r="N7" s="51">
        <f>IF(M7&gt;0,O7/M7,0)</f>
        <v>0.62772035197653508</v>
      </c>
      <c r="O7" s="52">
        <f>O4+O5+O6</f>
        <v>28249.299000000006</v>
      </c>
      <c r="P7" s="20">
        <f>IF(M7&gt;0,Q7/M7,0)</f>
        <v>0.31181234584361039</v>
      </c>
      <c r="Q7" s="52">
        <f>Q4+Q5+Q6</f>
        <v>14032.490999999998</v>
      </c>
      <c r="R7" s="20">
        <f>IF(M7&gt;0,T7/M7,0)</f>
        <v>6.046730217985468E-2</v>
      </c>
      <c r="S7" s="107"/>
      <c r="T7" s="52">
        <f>T4+T5+T6</f>
        <v>2721.21</v>
      </c>
      <c r="U7" s="20">
        <f>IF(M7&gt;0,V7/M7,0)</f>
        <v>0.23900386640890606</v>
      </c>
      <c r="V7" s="52">
        <f>V4+V5+V6</f>
        <v>10755.891</v>
      </c>
      <c r="W7" s="20">
        <f>IF(M7&gt;0,X7/M7,0)</f>
        <v>0.49331517898806748</v>
      </c>
      <c r="X7" s="52">
        <f>X4+X5+X6</f>
        <v>22200.663</v>
      </c>
      <c r="Y7" s="20">
        <f>IF(M7&gt;0,Z7/M7,0)</f>
        <v>0.41996733551096593</v>
      </c>
      <c r="Z7" s="52">
        <f>Z4+Z5+Z6</f>
        <v>18899.79</v>
      </c>
      <c r="AA7" s="119">
        <f>IF(M7&gt;0,AB7/M7,0)</f>
        <v>2.4134037730817945E-3</v>
      </c>
      <c r="AB7" s="54">
        <f t="shared" ref="AB7" si="9">SUM(AB4:AB6)</f>
        <v>108.61041</v>
      </c>
      <c r="AC7" s="53">
        <f>IF(M7&gt;0,AD7/M7,0)</f>
        <v>2.2368015465635623E-3</v>
      </c>
      <c r="AD7" s="54">
        <f>SUM(AD4:AD6)</f>
        <v>100.66278</v>
      </c>
      <c r="AE7" s="53">
        <f>IF(M7&gt;0,(AE4*M4+AE5*M5+AE6*M6)/M7,0)</f>
        <v>2.5706470324200611E-3</v>
      </c>
      <c r="AF7" s="53">
        <f>IF(K7&gt;0,(K4*AF4+K5*AF5+K6*AF6)/K7,0)</f>
        <v>2.8663845148440902E-4</v>
      </c>
      <c r="AG7" s="50">
        <f>SUM(AG4:AG6)</f>
        <v>12.899699999999999</v>
      </c>
      <c r="AH7" s="51">
        <f>IF(K7&gt;0,(K4*AH4+K5*AH5+K6*AH6)/K7,0)</f>
        <v>0.2092030829235908</v>
      </c>
      <c r="AI7" s="56">
        <f>SUM(AI4:AI6)</f>
        <v>98.604517000000016</v>
      </c>
      <c r="AJ7" s="51">
        <f>IF(AND(AD7&gt;0),((AD4*AJ4+AD5*AJ5+AD6*AJ6)/AD7),0)</f>
        <v>0.87304763902529481</v>
      </c>
      <c r="AK7" s="55">
        <f t="shared" si="6"/>
        <v>0.88966451044322481</v>
      </c>
      <c r="AL7" s="49">
        <f>SUM(AL4:AL6)</f>
        <v>518</v>
      </c>
      <c r="AM7" s="20">
        <f>IF(AL7&gt;0,(AM4*AL4+AM5*AL5+AM6*AL6)/AL7,0)</f>
        <v>9.0223938223938219E-2</v>
      </c>
      <c r="AN7" s="51">
        <f>IF(K7&gt;0,(AN4*K4+AN5*K5+AN6*K6)/K7,0)</f>
        <v>0.21816243853861952</v>
      </c>
      <c r="AO7" s="107">
        <f>IF(K7&gt;0,(AO4*K4+AO5*K5+AO6*K6)/K7,0)</f>
        <v>0.20679662662600362</v>
      </c>
      <c r="AP7" s="56">
        <f>SUM(AP4:AP6)</f>
        <v>102.7871284</v>
      </c>
      <c r="AQ7" s="108">
        <f t="shared" ref="AQ7" si="10">SUM(AQ4:AQ6)</f>
        <v>97.436002800000011</v>
      </c>
      <c r="AR7" s="54"/>
      <c r="AS7" s="54">
        <f>SUM(AS4:AS6)</f>
        <v>0</v>
      </c>
      <c r="AT7" s="83"/>
      <c r="AU7" s="84">
        <f>AT6</f>
        <v>1964.4599999999994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0" t="s">
        <v>57</v>
      </c>
      <c r="D8" s="11">
        <v>10500</v>
      </c>
      <c r="E8" s="11">
        <v>0</v>
      </c>
      <c r="F8" s="11">
        <v>16543</v>
      </c>
      <c r="G8" s="12">
        <v>0.4</v>
      </c>
      <c r="H8" s="12">
        <v>4.3</v>
      </c>
      <c r="I8" s="11">
        <v>15996</v>
      </c>
      <c r="J8" s="12">
        <v>5.6</v>
      </c>
      <c r="K8" s="11">
        <v>16185</v>
      </c>
      <c r="L8" s="13">
        <v>7.0999999999999994E-2</v>
      </c>
      <c r="M8" s="23">
        <f>ROUND(K8*(1-L8),0)</f>
        <v>15036</v>
      </c>
      <c r="N8" s="14">
        <v>0.63100000000000001</v>
      </c>
      <c r="O8" s="24">
        <f t="shared" ref="O8:O10" si="11">M8*N8</f>
        <v>9487.7160000000003</v>
      </c>
      <c r="P8" s="13">
        <v>0.32600000000000001</v>
      </c>
      <c r="Q8" s="24">
        <f t="shared" ref="Q8:Q10" si="12">M8*P8</f>
        <v>4901.7359999999999</v>
      </c>
      <c r="R8" s="15">
        <v>4.2999999999999997E-2</v>
      </c>
      <c r="S8" s="112">
        <v>0.2417</v>
      </c>
      <c r="T8" s="24">
        <f t="shared" ref="T8:T10" si="13">M8*R8</f>
        <v>646.548</v>
      </c>
      <c r="U8" s="25">
        <v>0.246</v>
      </c>
      <c r="V8" s="24">
        <f t="shared" ref="V8:V10" si="14">M8*U8</f>
        <v>3698.8559999999998</v>
      </c>
      <c r="W8" s="15">
        <v>0.48399999999999999</v>
      </c>
      <c r="X8" s="24">
        <f t="shared" ref="X8:X10" si="15">M8*W8</f>
        <v>7277.424</v>
      </c>
      <c r="Y8" s="15">
        <v>0.43</v>
      </c>
      <c r="Z8" s="24">
        <f t="shared" ref="Z8:Z10" si="16">Y8*M8</f>
        <v>6465.48</v>
      </c>
      <c r="AA8" s="116">
        <v>2.4599999999999999E-3</v>
      </c>
      <c r="AB8" s="18">
        <f>M8*AA8</f>
        <v>36.98856</v>
      </c>
      <c r="AC8" s="16">
        <v>2.31E-3</v>
      </c>
      <c r="AD8" s="17">
        <f t="shared" ref="AD8:AD10" si="17">M8*AC8</f>
        <v>34.733159999999998</v>
      </c>
      <c r="AE8" s="26">
        <f>IF(M8&gt;0,(AG8+AP8)/M8,0)</f>
        <v>2.5159870311252989E-3</v>
      </c>
      <c r="AF8" s="16">
        <v>2.7999999999999998E-4</v>
      </c>
      <c r="AG8" s="23">
        <f t="shared" ref="AG8:AG10" si="18">AF8*M8</f>
        <v>4.2100799999999996</v>
      </c>
      <c r="AH8" s="92">
        <v>0.2147</v>
      </c>
      <c r="AI8" s="29">
        <f t="shared" ref="AI8:AI10" si="19">AL8*(1-AM8)*AH8</f>
        <v>33.651648600000001</v>
      </c>
      <c r="AJ8" s="27">
        <f t="shared" ref="AJ8:AJ10" si="20">IF(AND(AH8&gt;0,AF8&gt;0,AC8&gt;0),((AC8-AF8)*AH8)/((AH8-AF8)*AC8),0)</f>
        <v>0.87993544247625033</v>
      </c>
      <c r="AK8" s="58">
        <f t="shared" si="6"/>
        <v>0.88987327414970685</v>
      </c>
      <c r="AL8" s="11">
        <v>173</v>
      </c>
      <c r="AM8" s="13">
        <v>9.4E-2</v>
      </c>
      <c r="AN8" s="14">
        <v>0.2145</v>
      </c>
      <c r="AO8" s="101">
        <v>0.20649999999999999</v>
      </c>
      <c r="AP8" s="29">
        <f>AL8*(1-AM8)*AN8</f>
        <v>33.620300999999998</v>
      </c>
      <c r="AQ8" s="102">
        <f t="shared" ref="AQ8:AQ70" si="21">AL8*(1-AM8)*AO8</f>
        <v>32.366396999999999</v>
      </c>
      <c r="AR8" s="18">
        <v>1.55</v>
      </c>
      <c r="AS8" s="18"/>
      <c r="AT8" s="79">
        <f>AT6+AL8-AS8</f>
        <v>2137.4599999999991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43" t="s">
        <v>54</v>
      </c>
      <c r="D9" s="33">
        <v>20600</v>
      </c>
      <c r="E9" s="33">
        <v>4</v>
      </c>
      <c r="F9" s="33">
        <v>18165</v>
      </c>
      <c r="G9" s="34">
        <v>0.4</v>
      </c>
      <c r="H9" s="34">
        <v>3.4</v>
      </c>
      <c r="I9" s="33">
        <v>17224</v>
      </c>
      <c r="J9" s="34">
        <v>5.6</v>
      </c>
      <c r="K9" s="33">
        <v>16238</v>
      </c>
      <c r="L9" s="35">
        <v>6.4000000000000001E-2</v>
      </c>
      <c r="M9" s="36">
        <f>ROUND(K9*(1-L9),0)</f>
        <v>15199</v>
      </c>
      <c r="N9" s="37">
        <v>0.64400000000000002</v>
      </c>
      <c r="O9" s="24">
        <f t="shared" si="11"/>
        <v>9788.1560000000009</v>
      </c>
      <c r="P9" s="35">
        <v>0.30499999999999999</v>
      </c>
      <c r="Q9" s="24">
        <f t="shared" si="12"/>
        <v>4635.6949999999997</v>
      </c>
      <c r="R9" s="38">
        <v>5.0999999999999997E-2</v>
      </c>
      <c r="S9" s="105">
        <v>0.24160000000000001</v>
      </c>
      <c r="T9" s="24">
        <f t="shared" si="13"/>
        <v>775.149</v>
      </c>
      <c r="U9" s="27">
        <v>0.25600000000000001</v>
      </c>
      <c r="V9" s="24">
        <f t="shared" si="14"/>
        <v>3890.944</v>
      </c>
      <c r="W9" s="38">
        <v>0.47599999999999998</v>
      </c>
      <c r="X9" s="24">
        <f t="shared" si="15"/>
        <v>7234.7239999999993</v>
      </c>
      <c r="Y9" s="38">
        <v>0.43</v>
      </c>
      <c r="Z9" s="24">
        <f t="shared" si="16"/>
        <v>6535.57</v>
      </c>
      <c r="AA9" s="117">
        <v>2.5600000000000002E-3</v>
      </c>
      <c r="AB9" s="18">
        <f t="shared" ref="AB9:AB10" si="22">M9*AA9</f>
        <v>38.909440000000004</v>
      </c>
      <c r="AC9" s="39">
        <v>2.5100000000000001E-3</v>
      </c>
      <c r="AD9" s="17">
        <f t="shared" si="17"/>
        <v>38.14949</v>
      </c>
      <c r="AE9" s="26">
        <f>IF(M9&gt;0,(AG9+AP9)/M9,0)</f>
        <v>2.8647282058030135E-3</v>
      </c>
      <c r="AF9" s="39">
        <v>2.7E-4</v>
      </c>
      <c r="AG9" s="36">
        <f t="shared" si="18"/>
        <v>4.1037299999999997</v>
      </c>
      <c r="AH9" s="27">
        <v>0.2152</v>
      </c>
      <c r="AI9" s="40">
        <f t="shared" si="19"/>
        <v>37.044528000000007</v>
      </c>
      <c r="AJ9" s="27">
        <f t="shared" si="20"/>
        <v>0.89355137028770415</v>
      </c>
      <c r="AK9" s="28">
        <f t="shared" si="6"/>
        <v>0.90681892957414723</v>
      </c>
      <c r="AL9" s="33">
        <v>190</v>
      </c>
      <c r="AM9" s="35">
        <v>9.4E-2</v>
      </c>
      <c r="AN9" s="37">
        <v>0.2291</v>
      </c>
      <c r="AO9" s="103">
        <v>0.21820000000000001</v>
      </c>
      <c r="AP9" s="40">
        <f>AL9*(1-AM9)*AN9</f>
        <v>39.437274000000002</v>
      </c>
      <c r="AQ9" s="104">
        <f t="shared" si="21"/>
        <v>37.560948000000003</v>
      </c>
      <c r="AR9" s="41">
        <v>1.55</v>
      </c>
      <c r="AS9" s="41"/>
      <c r="AT9" s="88">
        <f>AT8+AL9-AS9</f>
        <v>2327.4599999999991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43" t="s">
        <v>59</v>
      </c>
      <c r="D10" s="42">
        <v>18920</v>
      </c>
      <c r="E10" s="42">
        <v>2</v>
      </c>
      <c r="F10" s="42">
        <v>19102</v>
      </c>
      <c r="G10" s="36">
        <v>0.7</v>
      </c>
      <c r="H10" s="36">
        <v>4.5</v>
      </c>
      <c r="I10" s="42">
        <v>18083</v>
      </c>
      <c r="J10" s="36">
        <v>5</v>
      </c>
      <c r="K10" s="42">
        <v>16266</v>
      </c>
      <c r="L10" s="38">
        <v>6.5000000000000002E-2</v>
      </c>
      <c r="M10" s="36">
        <f>ROUND(K10*(1-L10),0)</f>
        <v>15209</v>
      </c>
      <c r="N10" s="27">
        <v>0.629</v>
      </c>
      <c r="O10" s="24">
        <f t="shared" si="11"/>
        <v>9566.4609999999993</v>
      </c>
      <c r="P10" s="38">
        <v>0.32800000000000001</v>
      </c>
      <c r="Q10" s="24">
        <f t="shared" si="12"/>
        <v>4988.5520000000006</v>
      </c>
      <c r="R10" s="38">
        <v>4.2999999999999997E-2</v>
      </c>
      <c r="S10" s="105">
        <v>0.23430000000000001</v>
      </c>
      <c r="T10" s="24">
        <f t="shared" si="13"/>
        <v>653.98699999999997</v>
      </c>
      <c r="U10" s="27">
        <v>0.23799999999999999</v>
      </c>
      <c r="V10" s="24">
        <f t="shared" si="14"/>
        <v>3619.7419999999997</v>
      </c>
      <c r="W10" s="38">
        <v>0.49199999999999999</v>
      </c>
      <c r="X10" s="24">
        <f t="shared" si="15"/>
        <v>7482.8279999999995</v>
      </c>
      <c r="Y10" s="38">
        <v>0.42</v>
      </c>
      <c r="Z10" s="24">
        <f t="shared" si="16"/>
        <v>6387.78</v>
      </c>
      <c r="AA10" s="118">
        <v>2.7699999999999999E-3</v>
      </c>
      <c r="AB10" s="121">
        <f t="shared" si="22"/>
        <v>42.128929999999997</v>
      </c>
      <c r="AC10" s="45">
        <v>2.7299999999999998E-3</v>
      </c>
      <c r="AD10" s="17">
        <f t="shared" si="17"/>
        <v>41.520569999999999</v>
      </c>
      <c r="AE10" s="26">
        <f>IF(M10&gt;0,(AG10+AP10)/M10,0)</f>
        <v>3.018649746860412E-3</v>
      </c>
      <c r="AF10" s="45">
        <v>2.9999999999999997E-4</v>
      </c>
      <c r="AG10" s="36">
        <f t="shared" si="18"/>
        <v>4.5626999999999995</v>
      </c>
      <c r="AH10" s="27">
        <v>0.2064</v>
      </c>
      <c r="AI10" s="40">
        <f t="shared" si="19"/>
        <v>38.4424128</v>
      </c>
      <c r="AJ10" s="27">
        <f t="shared" si="20"/>
        <v>0.8914055376937472</v>
      </c>
      <c r="AK10" s="28">
        <f t="shared" si="6"/>
        <v>0.90183651550918986</v>
      </c>
      <c r="AL10" s="42">
        <v>204</v>
      </c>
      <c r="AM10" s="38">
        <v>8.6999999999999994E-2</v>
      </c>
      <c r="AN10" s="27">
        <v>0.222</v>
      </c>
      <c r="AO10" s="105">
        <v>0.21360000000000001</v>
      </c>
      <c r="AP10" s="40">
        <f>AL10*(1-AM10)*AN10</f>
        <v>41.347944000000005</v>
      </c>
      <c r="AQ10" s="106">
        <f t="shared" si="21"/>
        <v>39.783427200000006</v>
      </c>
      <c r="AR10" s="17">
        <v>1.55</v>
      </c>
      <c r="AS10" s="17"/>
      <c r="AT10" s="88">
        <f>AT9+AL10-AS10</f>
        <v>2531.4599999999991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50020</v>
      </c>
      <c r="E11" s="49"/>
      <c r="F11" s="49">
        <f t="shared" ref="F11" si="24">SUM(F8:F10)</f>
        <v>53810</v>
      </c>
      <c r="G11" s="50"/>
      <c r="H11" s="50"/>
      <c r="I11" s="49">
        <f t="shared" ref="I11:K11" si="25">SUM(I8:I10)</f>
        <v>51303</v>
      </c>
      <c r="J11" s="50"/>
      <c r="K11" s="49">
        <f t="shared" si="25"/>
        <v>48689</v>
      </c>
      <c r="L11" s="20">
        <f t="shared" ref="L11" si="26">IF(K11&gt;0,(K8*L8+K9*L9+K10*L10)/K11,0)</f>
        <v>6.6660991188974922E-2</v>
      </c>
      <c r="M11" s="50">
        <f t="shared" ref="M11" si="27">M8+M9+M10</f>
        <v>45444</v>
      </c>
      <c r="N11" s="51">
        <f t="shared" ref="N11" si="28">IF(M11&gt;0,O11/M11,0)</f>
        <v>0.63467857142857143</v>
      </c>
      <c r="O11" s="52">
        <f t="shared" ref="O11" si="29">O8+O9+O10</f>
        <v>28842.333000000002</v>
      </c>
      <c r="P11" s="20">
        <f t="shared" ref="P11" si="30">IF(M11&gt;0,Q11/M11,0)</f>
        <v>0.31964578382184666</v>
      </c>
      <c r="Q11" s="52">
        <f t="shared" ref="Q11" si="31">Q8+Q9+Q10</f>
        <v>14525.983</v>
      </c>
      <c r="R11" s="20">
        <f t="shared" ref="R11" si="32">IF(M11&gt;0,T11/M11,0)</f>
        <v>4.5675644749581905E-2</v>
      </c>
      <c r="S11" s="107"/>
      <c r="T11" s="52">
        <f t="shared" ref="T11" si="33">T8+T9+T10</f>
        <v>2075.6840000000002</v>
      </c>
      <c r="U11" s="20">
        <f t="shared" ref="U11" si="34">IF(M11&gt;0,V11/M11,0)</f>
        <v>0.24666715077898071</v>
      </c>
      <c r="V11" s="52">
        <f t="shared" ref="V11" si="35">V8+V9+V10</f>
        <v>11209.541999999999</v>
      </c>
      <c r="W11" s="20">
        <f t="shared" ref="W11" si="36">IF(M11&gt;0,X11/M11,0)</f>
        <v>0.48400176040841475</v>
      </c>
      <c r="X11" s="52">
        <f t="shared" ref="X11" si="37">X8+X9+X10</f>
        <v>21994.975999999999</v>
      </c>
      <c r="Y11" s="20">
        <f t="shared" ref="Y11" si="38">IF(M11&gt;0,Z11/M11,0)</f>
        <v>0.42665324355250411</v>
      </c>
      <c r="Z11" s="52">
        <f t="shared" ref="Z11" si="39">Z8+Z9+Z10</f>
        <v>19388.829999999998</v>
      </c>
      <c r="AA11" s="119">
        <f t="shared" ref="AA11" si="40">IF(M11&gt;0,AB11/M11,0)</f>
        <v>2.597195009242144E-3</v>
      </c>
      <c r="AB11" s="54">
        <f t="shared" ref="AB11" si="41">SUM(AB8:AB10)</f>
        <v>118.02692999999999</v>
      </c>
      <c r="AC11" s="53">
        <f t="shared" ref="AC11" si="42">IF(M11&gt;0,AD11/M11,0)</f>
        <v>2.5174548895343721E-3</v>
      </c>
      <c r="AD11" s="54">
        <f t="shared" ref="AD11" si="43">SUM(AD8:AD10)</f>
        <v>114.40322</v>
      </c>
      <c r="AE11" s="53">
        <f t="shared" ref="AE11" si="44">IF(M11&gt;0,(AE8*M8+AE9*M9+AE10*M10)/M11,0)</f>
        <v>2.8008544362292053E-3</v>
      </c>
      <c r="AF11" s="53">
        <f t="shared" ref="AF11" si="45">IF(K11&gt;0,(K8*AF8+K9*AF9+K10*AF10)/K11,0)</f>
        <v>2.8334654644786295E-4</v>
      </c>
      <c r="AG11" s="50">
        <f t="shared" ref="AG11" si="46">SUM(AG8:AG10)</f>
        <v>12.87651</v>
      </c>
      <c r="AH11" s="51">
        <f t="shared" ref="AH11" si="47">IF(K11&gt;0,(K8*AH8+K9*AH9+K10*AH10)/K11,0)</f>
        <v>0.21209389184415373</v>
      </c>
      <c r="AI11" s="56">
        <f t="shared" ref="AI11" si="48">SUM(AI8:AI10)</f>
        <v>109.1385894</v>
      </c>
      <c r="AJ11" s="51">
        <f t="shared" ref="AJ11" si="49">IF(AND(AD11&gt;0),((AD8*AJ8+AD9*AJ9+AD10*AJ10)/AD11),0)</f>
        <v>0.88863874290143519</v>
      </c>
      <c r="AK11" s="55">
        <f t="shared" si="6"/>
        <v>0.89998500717629382</v>
      </c>
      <c r="AL11" s="49">
        <f t="shared" ref="AL11" si="50">SUM(AL8:AL10)</f>
        <v>567</v>
      </c>
      <c r="AM11" s="20">
        <f t="shared" ref="AM11" si="51">IF(AL11&gt;0,(AM8*AL8+AM9*AL9+AM10*AL10)/AL11,0)</f>
        <v>9.1481481481481483E-2</v>
      </c>
      <c r="AN11" s="51">
        <f>IF(K11&gt;0,(AN8*K8+AN9*K9+AN10*K10)/K11,0)</f>
        <v>0.22187476226663108</v>
      </c>
      <c r="AO11" s="107">
        <f>IF(K11&gt;0,(AO8*K8+AO9*K9+AO10*K10)/K11,0)</f>
        <v>0.21277396742590729</v>
      </c>
      <c r="AP11" s="56">
        <f t="shared" ref="AP11:AQ23" si="52">SUM(AP8:AP10)</f>
        <v>114.405519</v>
      </c>
      <c r="AQ11" s="108">
        <f t="shared" si="52"/>
        <v>109.71077220000001</v>
      </c>
      <c r="AR11" s="54"/>
      <c r="AS11" s="54">
        <f t="shared" ref="AS11" si="53">SUM(AS8:AS10)</f>
        <v>0</v>
      </c>
      <c r="AT11" s="83"/>
      <c r="AU11" s="84">
        <f>AT10</f>
        <v>2531.4599999999991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57</v>
      </c>
      <c r="D12" s="11">
        <v>14100</v>
      </c>
      <c r="E12" s="11">
        <v>0</v>
      </c>
      <c r="F12" s="11">
        <v>18673</v>
      </c>
      <c r="G12" s="12">
        <v>1.2</v>
      </c>
      <c r="H12" s="12">
        <v>4.4000000000000004</v>
      </c>
      <c r="I12" s="11">
        <v>17967</v>
      </c>
      <c r="J12" s="12">
        <v>4.4000000000000004</v>
      </c>
      <c r="K12" s="11">
        <v>16378</v>
      </c>
      <c r="L12" s="13">
        <v>7.0000000000000007E-2</v>
      </c>
      <c r="M12" s="23">
        <f>ROUND(K12*(1-L12),0)</f>
        <v>15232</v>
      </c>
      <c r="N12" s="14">
        <v>0.58199999999999996</v>
      </c>
      <c r="O12" s="24">
        <f t="shared" ref="O12:O14" si="55">M12*N12</f>
        <v>8865.0239999999994</v>
      </c>
      <c r="P12" s="13">
        <v>0.34599999999999997</v>
      </c>
      <c r="Q12" s="24">
        <f t="shared" ref="Q12:Q14" si="56">M12*P12</f>
        <v>5270.2719999999999</v>
      </c>
      <c r="R12" s="15">
        <v>7.1999999999999995E-2</v>
      </c>
      <c r="S12" s="112">
        <v>0.23499999999999999</v>
      </c>
      <c r="T12" s="24">
        <f t="shared" ref="T12:T14" si="57">M12*R12</f>
        <v>1096.704</v>
      </c>
      <c r="U12" s="25">
        <v>0.254</v>
      </c>
      <c r="V12" s="24">
        <f t="shared" ref="V12:V14" si="58">M12*U12</f>
        <v>3868.9279999999999</v>
      </c>
      <c r="W12" s="15">
        <v>0.48</v>
      </c>
      <c r="X12" s="24">
        <f t="shared" ref="X12:X14" si="59">M12*W12</f>
        <v>7311.36</v>
      </c>
      <c r="Y12" s="15">
        <v>0.43</v>
      </c>
      <c r="Z12" s="24">
        <f t="shared" ref="Z12:Z14" si="60">Y12*M12</f>
        <v>6549.76</v>
      </c>
      <c r="AA12" s="116">
        <v>2.7899999999999999E-3</v>
      </c>
      <c r="AB12" s="18">
        <f t="shared" ref="AB12:AB74" si="61">M12*AA12</f>
        <v>42.497279999999996</v>
      </c>
      <c r="AC12" s="16">
        <v>2.5699999999999998E-3</v>
      </c>
      <c r="AD12" s="17">
        <f t="shared" ref="AD12:AD14" si="62">M12*AC12</f>
        <v>39.146239999999999</v>
      </c>
      <c r="AE12" s="26">
        <f>IF(M12&gt;0,(AG12+AP12)/M12,0)</f>
        <v>2.9843864955357144E-3</v>
      </c>
      <c r="AF12" s="16">
        <v>3.4000000000000002E-4</v>
      </c>
      <c r="AG12" s="23">
        <f t="shared" ref="AG12:AG14" si="63">AF12*M12</f>
        <v>5.1788800000000004</v>
      </c>
      <c r="AH12" s="92">
        <v>0.21110000000000001</v>
      </c>
      <c r="AI12" s="29">
        <f t="shared" ref="AI12:AI14" si="64">AL12*(1-AM12)*AH12</f>
        <v>39.752029900000004</v>
      </c>
      <c r="AJ12" s="27">
        <f t="shared" ref="AJ12:AJ14" si="65">IF(AND(AH12&gt;0,AF12&gt;0,AC12&gt;0),((AC12-AF12)*AH12)/((AH12-AF12)*AC12),0)</f>
        <v>0.8691040688026952</v>
      </c>
      <c r="AK12" s="58">
        <f t="shared" si="6"/>
        <v>0.88748441843273673</v>
      </c>
      <c r="AL12" s="11">
        <v>209</v>
      </c>
      <c r="AM12" s="13">
        <v>9.9000000000000005E-2</v>
      </c>
      <c r="AN12" s="14">
        <v>0.21390000000000001</v>
      </c>
      <c r="AO12" s="101">
        <v>0.20119999999999999</v>
      </c>
      <c r="AP12" s="29">
        <f>AL12*(1-AM12)*AN12</f>
        <v>40.279295099999999</v>
      </c>
      <c r="AQ12" s="102">
        <f t="shared" ref="AQ12" si="66">AL12*(1-AM12)*AO12</f>
        <v>37.887770799999998</v>
      </c>
      <c r="AR12" s="18">
        <v>1.55</v>
      </c>
      <c r="AS12" s="18"/>
      <c r="AT12" s="79">
        <f>AT10+AL12-AS12</f>
        <v>2740.4599999999991</v>
      </c>
      <c r="AU12" s="80"/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0" t="s">
        <v>58</v>
      </c>
      <c r="D13" s="33">
        <v>20300</v>
      </c>
      <c r="E13" s="33">
        <v>4</v>
      </c>
      <c r="F13" s="33">
        <v>17960</v>
      </c>
      <c r="G13" s="34">
        <v>1.2</v>
      </c>
      <c r="H13" s="34">
        <v>4.5</v>
      </c>
      <c r="I13" s="33">
        <v>17250</v>
      </c>
      <c r="J13" s="34">
        <v>3.7</v>
      </c>
      <c r="K13" s="33">
        <v>16398</v>
      </c>
      <c r="L13" s="35">
        <v>6.9000000000000006E-2</v>
      </c>
      <c r="M13" s="36">
        <f>ROUND(K13*(1-L13),0)</f>
        <v>15267</v>
      </c>
      <c r="N13" s="37">
        <v>0.53600000000000003</v>
      </c>
      <c r="O13" s="24">
        <f t="shared" si="55"/>
        <v>8183.1120000000001</v>
      </c>
      <c r="P13" s="35">
        <v>0.35699999999999998</v>
      </c>
      <c r="Q13" s="24">
        <f t="shared" si="56"/>
        <v>5450.3189999999995</v>
      </c>
      <c r="R13" s="38">
        <v>0.107</v>
      </c>
      <c r="S13" s="105">
        <v>0.25269999999999998</v>
      </c>
      <c r="T13" s="24">
        <f t="shared" si="57"/>
        <v>1633.569</v>
      </c>
      <c r="U13" s="27">
        <v>0.25800000000000001</v>
      </c>
      <c r="V13" s="24">
        <f t="shared" si="58"/>
        <v>3938.886</v>
      </c>
      <c r="W13" s="38">
        <v>0.48599999999999999</v>
      </c>
      <c r="X13" s="24">
        <f t="shared" si="59"/>
        <v>7419.7619999999997</v>
      </c>
      <c r="Y13" s="38">
        <v>0.43</v>
      </c>
      <c r="Z13" s="24">
        <f t="shared" si="60"/>
        <v>6564.8099999999995</v>
      </c>
      <c r="AA13" s="117">
        <v>2.6900000000000001E-3</v>
      </c>
      <c r="AB13" s="18">
        <f t="shared" si="61"/>
        <v>41.06823</v>
      </c>
      <c r="AC13" s="39">
        <v>2.4399999999999999E-3</v>
      </c>
      <c r="AD13" s="17">
        <f t="shared" si="62"/>
        <v>37.251480000000001</v>
      </c>
      <c r="AE13" s="26">
        <f>IF(M13&gt;0,(AG13+AP13)/M13,0)</f>
        <v>3.0006927097661622E-3</v>
      </c>
      <c r="AF13" s="39">
        <v>3.5E-4</v>
      </c>
      <c r="AG13" s="36">
        <f t="shared" si="63"/>
        <v>5.3434499999999998</v>
      </c>
      <c r="AH13" s="27">
        <v>0.2112</v>
      </c>
      <c r="AI13" s="40">
        <f t="shared" si="64"/>
        <v>40.621996799999998</v>
      </c>
      <c r="AJ13" s="27">
        <f t="shared" si="65"/>
        <v>0.85797921760866425</v>
      </c>
      <c r="AK13" s="28">
        <f t="shared" si="6"/>
        <v>0.88483218248102791</v>
      </c>
      <c r="AL13" s="33">
        <v>213</v>
      </c>
      <c r="AM13" s="35">
        <v>9.7000000000000003E-2</v>
      </c>
      <c r="AN13" s="37">
        <v>0.2104</v>
      </c>
      <c r="AO13" s="103">
        <v>0.19939999999999999</v>
      </c>
      <c r="AP13" s="40">
        <f>AL13*(1-AM13)*AN13</f>
        <v>40.4681256</v>
      </c>
      <c r="AQ13" s="104">
        <f t="shared" si="21"/>
        <v>38.352396599999999</v>
      </c>
      <c r="AR13" s="41">
        <v>1.55</v>
      </c>
      <c r="AS13" s="41"/>
      <c r="AT13" s="88">
        <f>AT12+AL13-AS13</f>
        <v>2953.4599999999991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43" t="s">
        <v>59</v>
      </c>
      <c r="D14" s="42">
        <v>17600</v>
      </c>
      <c r="E14" s="42">
        <v>1</v>
      </c>
      <c r="F14" s="42">
        <v>19182</v>
      </c>
      <c r="G14" s="36">
        <v>0.8</v>
      </c>
      <c r="H14" s="36">
        <v>4.4000000000000004</v>
      </c>
      <c r="I14" s="42">
        <v>18290</v>
      </c>
      <c r="J14" s="36">
        <v>3</v>
      </c>
      <c r="K14" s="42">
        <v>16274</v>
      </c>
      <c r="L14" s="38">
        <v>6.6000000000000003E-2</v>
      </c>
      <c r="M14" s="36">
        <f>ROUND(K14*(1-L14),0)</f>
        <v>15200</v>
      </c>
      <c r="N14" s="27">
        <v>0.40799999999999997</v>
      </c>
      <c r="O14" s="24">
        <f t="shared" si="55"/>
        <v>6201.5999999999995</v>
      </c>
      <c r="P14" s="38">
        <v>0.53900000000000003</v>
      </c>
      <c r="Q14" s="24">
        <f t="shared" si="56"/>
        <v>8192.8000000000011</v>
      </c>
      <c r="R14" s="38">
        <v>5.2999999999999999E-2</v>
      </c>
      <c r="S14" s="105">
        <v>0.25</v>
      </c>
      <c r="T14" s="24">
        <f t="shared" si="57"/>
        <v>805.6</v>
      </c>
      <c r="U14" s="27">
        <v>0.253</v>
      </c>
      <c r="V14" s="24">
        <f t="shared" si="58"/>
        <v>3845.6</v>
      </c>
      <c r="W14" s="38">
        <v>0.51700000000000002</v>
      </c>
      <c r="X14" s="24">
        <f t="shared" si="59"/>
        <v>7858.4000000000005</v>
      </c>
      <c r="Y14" s="38">
        <v>0.43</v>
      </c>
      <c r="Z14" s="24">
        <f t="shared" si="60"/>
        <v>6536</v>
      </c>
      <c r="AA14" s="118">
        <v>2.7200000000000002E-3</v>
      </c>
      <c r="AB14" s="121">
        <f t="shared" si="61"/>
        <v>41.344000000000001</v>
      </c>
      <c r="AC14" s="45">
        <v>2.4499999999999999E-3</v>
      </c>
      <c r="AD14" s="17">
        <f t="shared" si="62"/>
        <v>37.24</v>
      </c>
      <c r="AE14" s="26">
        <f>IF(M14&gt;0,(AG14+AP14)/M14,0)</f>
        <v>2.9904521052631582E-3</v>
      </c>
      <c r="AF14" s="45">
        <v>3.6000000000000002E-4</v>
      </c>
      <c r="AG14" s="36">
        <f t="shared" si="63"/>
        <v>5.4720000000000004</v>
      </c>
      <c r="AH14" s="27">
        <v>0.2079</v>
      </c>
      <c r="AI14" s="40">
        <f t="shared" si="64"/>
        <v>38.698506000000002</v>
      </c>
      <c r="AJ14" s="27">
        <f t="shared" si="65"/>
        <v>0.85454094907694211</v>
      </c>
      <c r="AK14" s="28">
        <f t="shared" si="6"/>
        <v>0.88109355794631949</v>
      </c>
      <c r="AL14" s="42">
        <v>205</v>
      </c>
      <c r="AM14" s="38">
        <v>9.1999999999999998E-2</v>
      </c>
      <c r="AN14" s="27">
        <v>0.21479999999999999</v>
      </c>
      <c r="AO14" s="105">
        <v>0.19939999999999999</v>
      </c>
      <c r="AP14" s="40">
        <f>AL14*(1-AM14)*AN14</f>
        <v>39.982872</v>
      </c>
      <c r="AQ14" s="106">
        <f t="shared" si="21"/>
        <v>37.116316000000005</v>
      </c>
      <c r="AR14" s="17">
        <v>1.55</v>
      </c>
      <c r="AS14" s="17"/>
      <c r="AT14" s="88">
        <f>AT13+AL14-AS14</f>
        <v>3158.4599999999991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52000</v>
      </c>
      <c r="E15" s="49"/>
      <c r="F15" s="49">
        <f t="shared" ref="F15" si="68">SUM(F12:F14)</f>
        <v>55815</v>
      </c>
      <c r="G15" s="50"/>
      <c r="H15" s="50"/>
      <c r="I15" s="49">
        <f t="shared" ref="I15:K15" si="69">SUM(I12:I14)</f>
        <v>53507</v>
      </c>
      <c r="J15" s="50"/>
      <c r="K15" s="49">
        <f t="shared" si="69"/>
        <v>49050</v>
      </c>
      <c r="L15" s="20">
        <f t="shared" ref="L15" si="70">IF(K15&gt;0,(K12*L12+K13*L13+K14*L14)/K15,0)</f>
        <v>6.8338552497451591E-2</v>
      </c>
      <c r="M15" s="50">
        <f t="shared" ref="M15" si="71">M12+M13+M14</f>
        <v>45699</v>
      </c>
      <c r="N15" s="51">
        <f t="shared" ref="N15" si="72">IF(M15&gt;0,O15/M15,0)</f>
        <v>0.50875809098667357</v>
      </c>
      <c r="O15" s="52">
        <f t="shared" ref="O15" si="73">O12+O13+O14</f>
        <v>23249.735999999997</v>
      </c>
      <c r="P15" s="20">
        <f t="shared" ref="P15" si="74">IF(M15&gt;0,Q15/M15,0)</f>
        <v>0.41386881551018628</v>
      </c>
      <c r="Q15" s="52">
        <f t="shared" ref="Q15" si="75">Q12+Q13+Q14</f>
        <v>18913.391000000003</v>
      </c>
      <c r="R15" s="20">
        <f t="shared" ref="R15" si="76">IF(M15&gt;0,T15/M15,0)</f>
        <v>7.7373093503140117E-2</v>
      </c>
      <c r="S15" s="107"/>
      <c r="T15" s="52">
        <f t="shared" ref="T15" si="77">T12+T13+T14</f>
        <v>3535.873</v>
      </c>
      <c r="U15" s="20">
        <f t="shared" ref="U15" si="78">IF(M15&gt;0,V15/M15,0)</f>
        <v>0.25500369811155604</v>
      </c>
      <c r="V15" s="52">
        <f t="shared" ref="V15" si="79">V12+V13+V14</f>
        <v>11653.414000000001</v>
      </c>
      <c r="W15" s="20">
        <f t="shared" ref="W15" si="80">IF(M15&gt;0,X15/M15,0)</f>
        <v>0.49431107901704635</v>
      </c>
      <c r="X15" s="52">
        <f t="shared" ref="X15" si="81">X12+X13+X14</f>
        <v>22589.522000000001</v>
      </c>
      <c r="Y15" s="20">
        <f t="shared" ref="Y15" si="82">IF(M15&gt;0,Z15/M15,0)</f>
        <v>0.43</v>
      </c>
      <c r="Z15" s="52">
        <f t="shared" ref="Z15" si="83">Z12+Z13+Z14</f>
        <v>19650.57</v>
      </c>
      <c r="AA15" s="119">
        <f t="shared" ref="AA15" si="84">IF(M15&gt;0,AB15/M15,0)</f>
        <v>2.7333094816079121E-3</v>
      </c>
      <c r="AB15" s="54">
        <f t="shared" ref="AB15" si="85">SUM(AB12:AB14)</f>
        <v>124.90950999999998</v>
      </c>
      <c r="AC15" s="53">
        <f t="shared" ref="AC15" si="86">IF(M15&gt;0,AD15/M15,0)</f>
        <v>2.4866566008008928E-3</v>
      </c>
      <c r="AD15" s="54">
        <f t="shared" ref="AD15" si="87">SUM(AD12:AD14)</f>
        <v>113.63772</v>
      </c>
      <c r="AE15" s="53">
        <f t="shared" ref="AE15" si="88">IF(M15&gt;0,(AE12*M12+AE13*M13+AE14*M14)/M15,0)</f>
        <v>2.9918515219151402E-3</v>
      </c>
      <c r="AF15" s="53">
        <f t="shared" ref="AF15" si="89">IF(K15&gt;0,(K12*AF12+K13*AF13+K14*AF14)/K15,0)</f>
        <v>3.4997879714576962E-4</v>
      </c>
      <c r="AG15" s="50">
        <f t="shared" ref="AG15" si="90">SUM(AG12:AG14)</f>
        <v>15.994330000000001</v>
      </c>
      <c r="AH15" s="51">
        <f t="shared" ref="AH15" si="91">IF(K15&gt;0,(K12*AH12+K13*AH13+K14*AH14)/K15,0)</f>
        <v>0.21007172273190622</v>
      </c>
      <c r="AI15" s="56">
        <f t="shared" ref="AI15" si="92">SUM(AI12:AI14)</f>
        <v>119.07253270000001</v>
      </c>
      <c r="AJ15" s="51">
        <f t="shared" ref="AJ15" si="93">IF(AND(AD15&gt;0),((AD12*AJ12+AD13*AJ13+AD14*AJ14)/AD15),0)</f>
        <v>0.86068478909218649</v>
      </c>
      <c r="AK15" s="55">
        <f t="shared" si="6"/>
        <v>0.88447575323588679</v>
      </c>
      <c r="AL15" s="49">
        <f t="shared" ref="AL15" si="94">SUM(AL12:AL14)</f>
        <v>627</v>
      </c>
      <c r="AM15" s="20">
        <f t="shared" ref="AM15" si="95">IF(AL15&gt;0,(AM12*AL12+AM13*AL13+AM14*AL14)/AL15,0)</f>
        <v>9.6031897926634774E-2</v>
      </c>
      <c r="AN15" s="51">
        <f>IF(K15&gt;0,(AN12*K12+AN13*K13+AN14*K14)/K15,0)</f>
        <v>0.21302851376146789</v>
      </c>
      <c r="AO15" s="107">
        <f>IF(K15&gt;0,(AO12*K12+AO13*K13+AO14*K14)/K15,0)</f>
        <v>0.20000102752293578</v>
      </c>
      <c r="AP15" s="56">
        <f t="shared" ref="AP15" si="96">SUM(AP12:AP14)</f>
        <v>120.73029269999999</v>
      </c>
      <c r="AQ15" s="108">
        <f t="shared" si="52"/>
        <v>113.3564834</v>
      </c>
      <c r="AR15" s="54"/>
      <c r="AS15" s="54">
        <f t="shared" ref="AS15" si="97">SUM(AS12:AS14)</f>
        <v>0</v>
      </c>
      <c r="AT15" s="83"/>
      <c r="AU15" s="84">
        <f>AT14</f>
        <v>3158.4599999999991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0" t="s">
        <v>57</v>
      </c>
      <c r="D16" s="11">
        <v>5600</v>
      </c>
      <c r="E16" s="11">
        <v>0</v>
      </c>
      <c r="F16" s="11">
        <v>12402</v>
      </c>
      <c r="G16" s="12">
        <v>0.9</v>
      </c>
      <c r="H16" s="12">
        <v>5.8</v>
      </c>
      <c r="I16" s="11">
        <v>12063</v>
      </c>
      <c r="J16" s="12">
        <v>4.2</v>
      </c>
      <c r="K16" s="11">
        <v>14843</v>
      </c>
      <c r="L16" s="13">
        <v>6.6000000000000003E-2</v>
      </c>
      <c r="M16" s="23">
        <f>ROUND(K16*(1-L16),0)</f>
        <v>13863</v>
      </c>
      <c r="N16" s="14">
        <v>0.63100000000000001</v>
      </c>
      <c r="O16" s="24">
        <f t="shared" ref="O16:O18" si="99">M16*N16</f>
        <v>8747.5529999999999</v>
      </c>
      <c r="P16" s="13">
        <v>0.29199999999999998</v>
      </c>
      <c r="Q16" s="24">
        <f t="shared" ref="Q16:Q18" si="100">M16*P16</f>
        <v>4047.9959999999996</v>
      </c>
      <c r="R16" s="15">
        <v>7.6999999999999999E-2</v>
      </c>
      <c r="S16" s="112">
        <v>0.2109</v>
      </c>
      <c r="T16" s="24">
        <f t="shared" ref="T16:T18" si="101">M16*R16</f>
        <v>1067.451</v>
      </c>
      <c r="U16" s="25">
        <v>0.252</v>
      </c>
      <c r="V16" s="24">
        <f t="shared" ref="V16:V18" si="102">M16*U16</f>
        <v>3493.4760000000001</v>
      </c>
      <c r="W16" s="15">
        <v>0.47899999999999998</v>
      </c>
      <c r="X16" s="24">
        <f t="shared" ref="X16:X18" si="103">M16*W16</f>
        <v>6640.3769999999995</v>
      </c>
      <c r="Y16" s="15">
        <v>0.42</v>
      </c>
      <c r="Z16" s="24">
        <f t="shared" ref="Z16:Z18" si="104">Y16*M16</f>
        <v>5822.46</v>
      </c>
      <c r="AA16" s="116">
        <v>2.7499999999999998E-3</v>
      </c>
      <c r="AB16" s="18">
        <f t="shared" ref="AB16" si="105">M16*AA16</f>
        <v>38.123249999999999</v>
      </c>
      <c r="AC16" s="16">
        <v>2.47E-3</v>
      </c>
      <c r="AD16" s="17">
        <f t="shared" ref="AD16:AD18" si="106">M16*AC16</f>
        <v>34.241610000000001</v>
      </c>
      <c r="AE16" s="26">
        <f>IF(M16&gt;0,(AG16+AP16)/M16,0)</f>
        <v>2.8564689316886676E-3</v>
      </c>
      <c r="AF16" s="16">
        <v>3.2000000000000003E-4</v>
      </c>
      <c r="AG16" s="23">
        <f t="shared" ref="AG16:AG18" si="107">AF16*M16</f>
        <v>4.4361600000000001</v>
      </c>
      <c r="AH16" s="92">
        <v>0.20799999999999999</v>
      </c>
      <c r="AI16" s="29">
        <f t="shared" ref="AI16:AI18" si="108">AL16*(1-AM16)*AH16</f>
        <v>35.350015999999997</v>
      </c>
      <c r="AJ16" s="27">
        <f t="shared" ref="AJ16:AJ18" si="109">IF(AND(AH16&gt;0,AF16&gt;0,AC16&gt;0),((AC16-AF16)*AH16)/((AH16-AF16)*AC16),0)</f>
        <v>0.87178655421295903</v>
      </c>
      <c r="AK16" s="58">
        <f t="shared" si="6"/>
        <v>0.88934907954073295</v>
      </c>
      <c r="AL16" s="11">
        <v>188</v>
      </c>
      <c r="AM16" s="13">
        <v>9.6000000000000002E-2</v>
      </c>
      <c r="AN16" s="14">
        <v>0.2069</v>
      </c>
      <c r="AO16" s="101">
        <v>0.1951</v>
      </c>
      <c r="AP16" s="29">
        <f>AL16*(1-AM16)*AN16</f>
        <v>35.163068799999998</v>
      </c>
      <c r="AQ16" s="102">
        <f t="shared" ref="AQ16" si="110">AL16*(1-AM16)*AO16</f>
        <v>33.157635200000001</v>
      </c>
      <c r="AR16" s="18">
        <v>1.55</v>
      </c>
      <c r="AS16" s="18">
        <v>1167.98</v>
      </c>
      <c r="AT16" s="79">
        <f>AT14+AL16-AS16</f>
        <v>2178.4799999999991</v>
      </c>
      <c r="AU16" s="80"/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0" t="s">
        <v>58</v>
      </c>
      <c r="D17" s="33">
        <v>18300</v>
      </c>
      <c r="E17" s="33">
        <v>7</v>
      </c>
      <c r="F17" s="33">
        <v>19937</v>
      </c>
      <c r="G17" s="34">
        <v>1</v>
      </c>
      <c r="H17" s="34">
        <v>4.4000000000000004</v>
      </c>
      <c r="I17" s="33">
        <v>19093</v>
      </c>
      <c r="J17" s="34">
        <v>1.6</v>
      </c>
      <c r="K17" s="33">
        <v>14798</v>
      </c>
      <c r="L17" s="35">
        <v>6.7000000000000004E-2</v>
      </c>
      <c r="M17" s="36">
        <f>ROUND(K17*(1-L17),0)</f>
        <v>13807</v>
      </c>
      <c r="N17" s="37">
        <v>0.65100000000000002</v>
      </c>
      <c r="O17" s="24">
        <f t="shared" si="99"/>
        <v>8988.357</v>
      </c>
      <c r="P17" s="35">
        <v>0.29299999999999998</v>
      </c>
      <c r="Q17" s="24">
        <f t="shared" si="100"/>
        <v>4045.4509999999996</v>
      </c>
      <c r="R17" s="38">
        <v>5.6000000000000001E-2</v>
      </c>
      <c r="S17" s="105">
        <v>0.21260000000000001</v>
      </c>
      <c r="T17" s="24">
        <f t="shared" si="101"/>
        <v>773.19200000000001</v>
      </c>
      <c r="U17" s="27">
        <v>0.25600000000000001</v>
      </c>
      <c r="V17" s="24">
        <f t="shared" si="102"/>
        <v>3534.5920000000001</v>
      </c>
      <c r="W17" s="38">
        <v>0.47499999999999998</v>
      </c>
      <c r="X17" s="24">
        <f t="shared" si="103"/>
        <v>6558.3249999999998</v>
      </c>
      <c r="Y17" s="38">
        <v>0.43</v>
      </c>
      <c r="Z17" s="24">
        <f t="shared" si="104"/>
        <v>5937.01</v>
      </c>
      <c r="AA17" s="117">
        <v>2.7799999999999999E-3</v>
      </c>
      <c r="AB17" s="18">
        <f t="shared" si="61"/>
        <v>38.383459999999999</v>
      </c>
      <c r="AC17" s="39">
        <v>2.7299999999999998E-3</v>
      </c>
      <c r="AD17" s="17">
        <f t="shared" si="106"/>
        <v>37.693109999999997</v>
      </c>
      <c r="AE17" s="26">
        <f>IF(M17&gt;0,(AG17+AP17)/M17,0)</f>
        <v>3.2324603462012026E-3</v>
      </c>
      <c r="AF17" s="39">
        <v>2.9999999999999997E-4</v>
      </c>
      <c r="AG17" s="36">
        <f t="shared" si="107"/>
        <v>4.1420999999999992</v>
      </c>
      <c r="AH17" s="27">
        <v>0.21</v>
      </c>
      <c r="AI17" s="40">
        <f t="shared" si="108"/>
        <v>38.094000000000001</v>
      </c>
      <c r="AJ17" s="27">
        <f t="shared" si="109"/>
        <v>0.89138329481677137</v>
      </c>
      <c r="AK17" s="28">
        <f t="shared" si="6"/>
        <v>0.90841242133996458</v>
      </c>
      <c r="AL17" s="33">
        <v>200</v>
      </c>
      <c r="AM17" s="35">
        <v>9.2999999999999999E-2</v>
      </c>
      <c r="AN17" s="37">
        <v>0.22320000000000001</v>
      </c>
      <c r="AO17" s="103">
        <v>0.21179999999999999</v>
      </c>
      <c r="AP17" s="40">
        <f>AL17*(1-AM17)*AN17</f>
        <v>40.488480000000003</v>
      </c>
      <c r="AQ17" s="104">
        <f t="shared" si="21"/>
        <v>38.420519999999996</v>
      </c>
      <c r="AR17" s="41">
        <v>1.55</v>
      </c>
      <c r="AS17" s="41"/>
      <c r="AT17" s="88">
        <f>AT16+AL17-AS17</f>
        <v>2378.4799999999991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53</v>
      </c>
      <c r="D18" s="42">
        <v>12480</v>
      </c>
      <c r="E18" s="42">
        <v>8</v>
      </c>
      <c r="F18" s="42">
        <v>17543</v>
      </c>
      <c r="G18" s="36">
        <v>0.7</v>
      </c>
      <c r="H18" s="36">
        <v>3.2</v>
      </c>
      <c r="I18" s="42">
        <v>16944</v>
      </c>
      <c r="J18" s="36">
        <v>1.6</v>
      </c>
      <c r="K18" s="42">
        <v>14720</v>
      </c>
      <c r="L18" s="38">
        <v>7.6999999999999999E-2</v>
      </c>
      <c r="M18" s="36">
        <f>ROUND(K18*(1-L18),0)</f>
        <v>13587</v>
      </c>
      <c r="N18" s="27">
        <v>0.66</v>
      </c>
      <c r="O18" s="24">
        <f t="shared" si="99"/>
        <v>8967.42</v>
      </c>
      <c r="P18" s="38">
        <v>0.26100000000000001</v>
      </c>
      <c r="Q18" s="24">
        <f t="shared" si="100"/>
        <v>3546.2070000000003</v>
      </c>
      <c r="R18" s="38">
        <v>7.9000000000000001E-2</v>
      </c>
      <c r="S18" s="105">
        <v>0.2051</v>
      </c>
      <c r="T18" s="24">
        <f t="shared" si="101"/>
        <v>1073.373</v>
      </c>
      <c r="U18" s="27">
        <v>0.246</v>
      </c>
      <c r="V18" s="24">
        <f t="shared" si="102"/>
        <v>3342.402</v>
      </c>
      <c r="W18" s="38">
        <v>0.47</v>
      </c>
      <c r="X18" s="24">
        <f t="shared" si="103"/>
        <v>6385.8899999999994</v>
      </c>
      <c r="Y18" s="38">
        <v>0.44</v>
      </c>
      <c r="Z18" s="24">
        <f t="shared" si="104"/>
        <v>5978.28</v>
      </c>
      <c r="AA18" s="118">
        <v>3.0400000000000002E-3</v>
      </c>
      <c r="AB18" s="121">
        <f t="shared" si="61"/>
        <v>41.304480000000005</v>
      </c>
      <c r="AC18" s="45">
        <v>3.15E-3</v>
      </c>
      <c r="AD18" s="17">
        <f t="shared" si="106"/>
        <v>42.799050000000001</v>
      </c>
      <c r="AE18" s="26">
        <f>IF(M18&gt;0,(AG18+AP18)/M18,0)</f>
        <v>3.2987439611393242E-3</v>
      </c>
      <c r="AF18" s="45">
        <v>3.2000000000000003E-4</v>
      </c>
      <c r="AG18" s="36">
        <f t="shared" si="107"/>
        <v>4.3478400000000006</v>
      </c>
      <c r="AH18" s="27">
        <v>0.21010000000000001</v>
      </c>
      <c r="AI18" s="40">
        <f t="shared" si="108"/>
        <v>38.5983114</v>
      </c>
      <c r="AJ18" s="27">
        <f t="shared" si="109"/>
        <v>0.89978314394369285</v>
      </c>
      <c r="AK18" s="28">
        <f t="shared" si="6"/>
        <v>0.90430694491283425</v>
      </c>
      <c r="AL18" s="42">
        <v>201</v>
      </c>
      <c r="AM18" s="38">
        <v>8.5999999999999993E-2</v>
      </c>
      <c r="AN18" s="27">
        <v>0.2203</v>
      </c>
      <c r="AO18" s="105">
        <v>0.2077</v>
      </c>
      <c r="AP18" s="40">
        <f>AL18*(1-AM18)*AN18</f>
        <v>40.472194199999997</v>
      </c>
      <c r="AQ18" s="106">
        <f t="shared" si="21"/>
        <v>38.157397799999998</v>
      </c>
      <c r="AR18" s="17">
        <v>1.62</v>
      </c>
      <c r="AS18" s="17"/>
      <c r="AT18" s="88">
        <f>AT17+AL18-AS18</f>
        <v>2579.4799999999991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36380</v>
      </c>
      <c r="E19" s="49"/>
      <c r="F19" s="49">
        <f t="shared" ref="F19" si="112">SUM(F16:F18)</f>
        <v>49882</v>
      </c>
      <c r="G19" s="50"/>
      <c r="H19" s="50"/>
      <c r="I19" s="49">
        <f t="shared" ref="I19:K19" si="113">SUM(I16:I18)</f>
        <v>48100</v>
      </c>
      <c r="J19" s="50"/>
      <c r="K19" s="49">
        <f t="shared" si="113"/>
        <v>44361</v>
      </c>
      <c r="L19" s="20">
        <f t="shared" ref="L19" si="114">IF(K19&gt;0,(K16*L16+K17*L17+K18*L18)/K19,0)</f>
        <v>6.9983634273348208E-2</v>
      </c>
      <c r="M19" s="50">
        <f t="shared" ref="M19" si="115">M16+M17+M18</f>
        <v>41257</v>
      </c>
      <c r="N19" s="51">
        <f t="shared" ref="N19" si="116">IF(M19&gt;0,O19/M19,0)</f>
        <v>0.64724361926460972</v>
      </c>
      <c r="O19" s="52">
        <f t="shared" ref="O19" si="117">O16+O17+O18</f>
        <v>26703.33</v>
      </c>
      <c r="P19" s="20">
        <f t="shared" ref="P19" si="118">IF(M19&gt;0,Q19/M19,0)</f>
        <v>0.28212555445136578</v>
      </c>
      <c r="Q19" s="52">
        <f t="shared" ref="Q19" si="119">Q16+Q17+Q18</f>
        <v>11639.653999999999</v>
      </c>
      <c r="R19" s="20">
        <f t="shared" ref="R19" si="120">IF(M19&gt;0,T19/M19,0)</f>
        <v>7.0630826284024534E-2</v>
      </c>
      <c r="S19" s="107"/>
      <c r="T19" s="52">
        <f t="shared" ref="T19" si="121">T16+T17+T18</f>
        <v>2914.0160000000001</v>
      </c>
      <c r="U19" s="20">
        <f t="shared" ref="U19" si="122">IF(M19&gt;0,V19/M19,0)</f>
        <v>0.25136267784860755</v>
      </c>
      <c r="V19" s="52">
        <f t="shared" ref="V19" si="123">V16+V17+V18</f>
        <v>10370.470000000001</v>
      </c>
      <c r="W19" s="20">
        <f t="shared" ref="W19" si="124">IF(M19&gt;0,X19/M19,0)</f>
        <v>0.47469743316285712</v>
      </c>
      <c r="X19" s="52">
        <f t="shared" ref="X19" si="125">X16+X17+X18</f>
        <v>19584.591999999997</v>
      </c>
      <c r="Y19" s="20">
        <f t="shared" ref="Y19" si="126">IF(M19&gt;0,Z19/M19,0)</f>
        <v>0.42993310226143444</v>
      </c>
      <c r="Z19" s="52">
        <f t="shared" ref="Z19" si="127">Z16+Z17+Z18</f>
        <v>17737.75</v>
      </c>
      <c r="AA19" s="119">
        <f t="shared" ref="AA19" si="128">IF(M19&gt;0,AB19/M19,0)</f>
        <v>2.8555442712751779E-3</v>
      </c>
      <c r="AB19" s="54">
        <f t="shared" ref="AB19" si="129">SUM(AB16:AB18)</f>
        <v>117.81119000000001</v>
      </c>
      <c r="AC19" s="53">
        <f t="shared" ref="AC19" si="130">IF(M19&gt;0,AD19/M19,0)</f>
        <v>2.7809528080083379E-3</v>
      </c>
      <c r="AD19" s="54">
        <f t="shared" ref="AD19" si="131">SUM(AD16:AD18)</f>
        <v>114.73376999999999</v>
      </c>
      <c r="AE19" s="53">
        <f t="shared" ref="AE19" si="132">IF(M19&gt;0,(AE16*M16+AE17*M17+AE18*M18)/M19,0)</f>
        <v>3.1279502387473643E-3</v>
      </c>
      <c r="AF19" s="53">
        <f t="shared" ref="AF19" si="133">IF(K19&gt;0,(K16*AF16+K17*AF17+K18*AF18)/K19,0)</f>
        <v>3.1332837402222674E-4</v>
      </c>
      <c r="AG19" s="50">
        <f t="shared" ref="AG19" si="134">SUM(AG16:AG18)</f>
        <v>12.926100000000002</v>
      </c>
      <c r="AH19" s="51">
        <f t="shared" ref="AH19" si="135">IF(K19&gt;0,(K16*AH16+K17*AH17+K18*AH18)/K19,0)</f>
        <v>0.20936399089290142</v>
      </c>
      <c r="AI19" s="56">
        <f t="shared" ref="AI19" si="136">SUM(AI16:AI18)</f>
        <v>112.0423274</v>
      </c>
      <c r="AJ19" s="51">
        <f t="shared" ref="AJ19" si="137">IF(AND(AD19&gt;0),((AD16*AJ16+AD17*AJ17+AD18*AJ18)/AD19),0)</f>
        <v>0.88866815361421747</v>
      </c>
      <c r="AK19" s="55">
        <f t="shared" si="6"/>
        <v>0.90113193957752824</v>
      </c>
      <c r="AL19" s="49">
        <f t="shared" ref="AL19" si="138">SUM(AL16:AL18)</f>
        <v>589</v>
      </c>
      <c r="AM19" s="20">
        <f t="shared" ref="AM19" si="139">IF(AL19&gt;0,(AM16*AL16+AM17*AL17+AM18*AL18)/AL19,0)</f>
        <v>9.1568760611205433E-2</v>
      </c>
      <c r="AN19" s="51">
        <f>IF(K19&gt;0,(AN16*K16+AN17*K17+AN18*K18)/K19,0)</f>
        <v>0.21678380334077227</v>
      </c>
      <c r="AO19" s="107">
        <f>IF(K19&gt;0,(AO16*K16+AO17*K17+AO18*K18)/K19,0)</f>
        <v>0.20485177746218527</v>
      </c>
      <c r="AP19" s="56">
        <f t="shared" ref="AP19" si="140">SUM(AP16:AP18)</f>
        <v>116.12374299999999</v>
      </c>
      <c r="AQ19" s="108">
        <f t="shared" si="52"/>
        <v>109.735553</v>
      </c>
      <c r="AR19" s="54"/>
      <c r="AS19" s="54">
        <f t="shared" ref="AS19" si="141">SUM(AS16:AS18)</f>
        <v>1167.98</v>
      </c>
      <c r="AT19" s="83"/>
      <c r="AU19" s="84">
        <f>AT18</f>
        <v>2579.4799999999991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54</v>
      </c>
      <c r="D20" s="11">
        <v>2400</v>
      </c>
      <c r="E20" s="11">
        <v>10</v>
      </c>
      <c r="F20" s="11">
        <v>5265</v>
      </c>
      <c r="G20" s="12">
        <v>0.5</v>
      </c>
      <c r="H20" s="12">
        <v>4</v>
      </c>
      <c r="I20" s="11">
        <v>6107</v>
      </c>
      <c r="J20" s="12">
        <v>6</v>
      </c>
      <c r="K20" s="11">
        <v>14675</v>
      </c>
      <c r="L20" s="13">
        <v>7.0999999999999994E-2</v>
      </c>
      <c r="M20" s="23">
        <f>ROUND(K20*(1-L20),0)</f>
        <v>13633</v>
      </c>
      <c r="N20" s="14">
        <v>0.64100000000000001</v>
      </c>
      <c r="O20" s="24">
        <f t="shared" ref="O20:O22" si="143">M20*N20</f>
        <v>8738.7530000000006</v>
      </c>
      <c r="P20" s="13">
        <v>0.27400000000000002</v>
      </c>
      <c r="Q20" s="24">
        <f t="shared" ref="Q20:Q22" si="144">M20*P20</f>
        <v>3735.4420000000005</v>
      </c>
      <c r="R20" s="15">
        <v>8.5000000000000006E-2</v>
      </c>
      <c r="S20" s="112">
        <v>0.2006</v>
      </c>
      <c r="T20" s="24">
        <f t="shared" ref="T20:T22" si="145">M20*R20</f>
        <v>1158.8050000000001</v>
      </c>
      <c r="U20" s="25">
        <v>0.23599999999999999</v>
      </c>
      <c r="V20" s="24">
        <f t="shared" ref="V20:V22" si="146">M20*U20</f>
        <v>3217.3879999999999</v>
      </c>
      <c r="W20" s="15">
        <v>0.47899999999999998</v>
      </c>
      <c r="X20" s="24">
        <f t="shared" ref="X20:X22" si="147">M20*W20</f>
        <v>6530.2069999999994</v>
      </c>
      <c r="Y20" s="15">
        <v>0.42</v>
      </c>
      <c r="Z20" s="24">
        <f t="shared" ref="Z20:Z22" si="148">Y20*M20</f>
        <v>5725.86</v>
      </c>
      <c r="AA20" s="116">
        <v>3.1700000000000001E-3</v>
      </c>
      <c r="AB20" s="18">
        <f t="shared" ref="AB20" si="149">M20*AA20</f>
        <v>43.216610000000003</v>
      </c>
      <c r="AC20" s="16">
        <v>3.13E-3</v>
      </c>
      <c r="AD20" s="17">
        <f t="shared" ref="AD20:AD22" si="150">M20*AC20</f>
        <v>42.671289999999999</v>
      </c>
      <c r="AE20" s="26">
        <f>IF(M20&gt;0,(AG20+AP20)/M20,0)</f>
        <v>3.2639263478324654E-3</v>
      </c>
      <c r="AF20" s="16">
        <v>3.1E-4</v>
      </c>
      <c r="AG20" s="23">
        <f t="shared" ref="AG20:AG22" si="151">AF20*M20</f>
        <v>4.2262300000000002</v>
      </c>
      <c r="AH20" s="92">
        <v>0.21609999999999999</v>
      </c>
      <c r="AI20" s="29">
        <f t="shared" ref="AI20:AI22" si="152">AL20*(1-AM20)*AH20</f>
        <v>38.8679621</v>
      </c>
      <c r="AJ20" s="27">
        <f t="shared" ref="AJ20:AJ22" si="153">IF(AND(AH20&gt;0,AF20&gt;0,AC20&gt;0),((AC20-AF20)*AH20)/((AH20-AF20)*AC20),0)</f>
        <v>0.90225276704499269</v>
      </c>
      <c r="AK20" s="58">
        <f t="shared" si="6"/>
        <v>0.90627714964542017</v>
      </c>
      <c r="AL20" s="11">
        <v>197</v>
      </c>
      <c r="AM20" s="13">
        <v>8.6999999999999994E-2</v>
      </c>
      <c r="AN20" s="14">
        <v>0.22389999999999999</v>
      </c>
      <c r="AO20" s="101">
        <v>0.215</v>
      </c>
      <c r="AP20" s="29">
        <f>AL20*(1-AM20)*AN20</f>
        <v>40.270877900000002</v>
      </c>
      <c r="AQ20" s="102">
        <f t="shared" ref="AQ20" si="154">AL20*(1-AM20)*AO20</f>
        <v>38.670115000000003</v>
      </c>
      <c r="AR20" s="18">
        <v>1.55</v>
      </c>
      <c r="AS20" s="18">
        <v>1005.76</v>
      </c>
      <c r="AT20" s="79">
        <f>AT18+AL20-AS20</f>
        <v>1770.7199999999991</v>
      </c>
      <c r="AU20" s="80"/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58</v>
      </c>
      <c r="D21" s="33">
        <v>23220</v>
      </c>
      <c r="E21" s="33">
        <v>5</v>
      </c>
      <c r="F21" s="33">
        <v>13184</v>
      </c>
      <c r="G21" s="34">
        <v>1.3</v>
      </c>
      <c r="H21" s="34">
        <v>4.7</v>
      </c>
      <c r="I21" s="33">
        <v>12140</v>
      </c>
      <c r="J21" s="34">
        <v>5.5</v>
      </c>
      <c r="K21" s="33">
        <v>15801</v>
      </c>
      <c r="L21" s="35">
        <v>7.0000000000000007E-2</v>
      </c>
      <c r="M21" s="36">
        <f>ROUND(K21*(1-L21),0)</f>
        <v>14695</v>
      </c>
      <c r="N21" s="37">
        <v>0.55900000000000005</v>
      </c>
      <c r="O21" s="24">
        <f t="shared" si="143"/>
        <v>8214.505000000001</v>
      </c>
      <c r="P21" s="35">
        <v>0.313</v>
      </c>
      <c r="Q21" s="24">
        <f t="shared" si="144"/>
        <v>4599.5349999999999</v>
      </c>
      <c r="R21" s="38">
        <v>0.128</v>
      </c>
      <c r="S21" s="105">
        <v>0.23499999999999999</v>
      </c>
      <c r="T21" s="24">
        <f t="shared" si="145"/>
        <v>1880.96</v>
      </c>
      <c r="U21" s="27">
        <v>0.246</v>
      </c>
      <c r="V21" s="24">
        <f t="shared" si="146"/>
        <v>3614.97</v>
      </c>
      <c r="W21" s="38">
        <v>0.48299999999999998</v>
      </c>
      <c r="X21" s="24">
        <f t="shared" si="147"/>
        <v>7097.6849999999995</v>
      </c>
      <c r="Y21" s="38">
        <v>0.43</v>
      </c>
      <c r="Z21" s="24">
        <f t="shared" si="148"/>
        <v>6318.8499999999995</v>
      </c>
      <c r="AA21" s="117">
        <v>3.0000000000000001E-3</v>
      </c>
      <c r="AB21" s="18">
        <f t="shared" si="61"/>
        <v>44.085000000000001</v>
      </c>
      <c r="AC21" s="39">
        <v>2.9299999999999999E-3</v>
      </c>
      <c r="AD21" s="17">
        <f t="shared" si="150"/>
        <v>43.056349999999995</v>
      </c>
      <c r="AE21" s="26">
        <f>IF(M21&gt;0,(AG21+AP21)/M21,0)</f>
        <v>3.4382384484518544E-3</v>
      </c>
      <c r="AF21" s="39">
        <v>3.3E-4</v>
      </c>
      <c r="AG21" s="36">
        <f t="shared" si="151"/>
        <v>4.8493500000000003</v>
      </c>
      <c r="AH21" s="27">
        <v>0.2127</v>
      </c>
      <c r="AI21" s="40">
        <f t="shared" si="152"/>
        <v>42.722922000000004</v>
      </c>
      <c r="AJ21" s="27">
        <f t="shared" si="153"/>
        <v>0.88875089374089677</v>
      </c>
      <c r="AK21" s="28">
        <f t="shared" si="6"/>
        <v>0.90533442827837307</v>
      </c>
      <c r="AL21" s="33">
        <v>220</v>
      </c>
      <c r="AM21" s="35">
        <v>8.6999999999999994E-2</v>
      </c>
      <c r="AN21" s="37">
        <v>0.22739999999999999</v>
      </c>
      <c r="AO21" s="103">
        <v>0.21560000000000001</v>
      </c>
      <c r="AP21" s="40">
        <f>AL21*(1-AM21)*AN21</f>
        <v>45.675564000000001</v>
      </c>
      <c r="AQ21" s="104">
        <f t="shared" si="21"/>
        <v>43.305416000000008</v>
      </c>
      <c r="AR21" s="41">
        <v>1.55</v>
      </c>
      <c r="AS21" s="41"/>
      <c r="AT21" s="129">
        <f>AT20+AL21-AS21</f>
        <v>1990.7199999999991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53</v>
      </c>
      <c r="D22" s="42">
        <v>15500</v>
      </c>
      <c r="E22" s="42">
        <v>3</v>
      </c>
      <c r="F22" s="42">
        <v>20524</v>
      </c>
      <c r="G22" s="36">
        <v>1.5</v>
      </c>
      <c r="H22" s="36">
        <v>4.0999999999999996</v>
      </c>
      <c r="I22" s="42">
        <v>19558</v>
      </c>
      <c r="J22" s="36">
        <v>3.5</v>
      </c>
      <c r="K22" s="42">
        <v>15457</v>
      </c>
      <c r="L22" s="38">
        <v>6.6000000000000003E-2</v>
      </c>
      <c r="M22" s="36">
        <f>ROUND(K22*(1-L22),0)</f>
        <v>14437</v>
      </c>
      <c r="N22" s="27">
        <v>0.70199999999999996</v>
      </c>
      <c r="O22" s="24">
        <f t="shared" si="143"/>
        <v>10134.773999999999</v>
      </c>
      <c r="P22" s="38">
        <v>0.159</v>
      </c>
      <c r="Q22" s="24">
        <f t="shared" si="144"/>
        <v>2295.4830000000002</v>
      </c>
      <c r="R22" s="38">
        <v>0.13900000000000001</v>
      </c>
      <c r="S22" s="105">
        <v>0.2041</v>
      </c>
      <c r="T22" s="24">
        <f t="shared" si="145"/>
        <v>2006.7430000000002</v>
      </c>
      <c r="U22" s="27">
        <v>0.23499999999999999</v>
      </c>
      <c r="V22" s="24">
        <f t="shared" si="146"/>
        <v>3392.6949999999997</v>
      </c>
      <c r="W22" s="38">
        <v>0.49199999999999999</v>
      </c>
      <c r="X22" s="24">
        <f t="shared" si="147"/>
        <v>7103.0039999999999</v>
      </c>
      <c r="Y22" s="38">
        <v>0.44</v>
      </c>
      <c r="Z22" s="24">
        <f t="shared" si="148"/>
        <v>6352.28</v>
      </c>
      <c r="AA22" s="118">
        <v>3.0300000000000001E-3</v>
      </c>
      <c r="AB22" s="121">
        <f t="shared" si="61"/>
        <v>43.744109999999999</v>
      </c>
      <c r="AC22" s="45">
        <v>3.1099999999999999E-3</v>
      </c>
      <c r="AD22" s="17">
        <f t="shared" si="150"/>
        <v>44.899070000000002</v>
      </c>
      <c r="AE22" s="26">
        <f>IF(M22&gt;0,(AG22+AP22)/M22,0)</f>
        <v>3.2480085613354579E-3</v>
      </c>
      <c r="AF22" s="45">
        <v>3.2000000000000003E-4</v>
      </c>
      <c r="AG22" s="36">
        <f t="shared" si="151"/>
        <v>4.6198399999999999</v>
      </c>
      <c r="AH22" s="27">
        <v>0.21990000000000001</v>
      </c>
      <c r="AI22" s="40">
        <f t="shared" si="152"/>
        <v>40.084251600000009</v>
      </c>
      <c r="AJ22" s="27">
        <f t="shared" si="153"/>
        <v>0.89841348684085287</v>
      </c>
      <c r="AK22" s="28">
        <f t="shared" si="6"/>
        <v>0.90272376536032495</v>
      </c>
      <c r="AL22" s="42">
        <v>199</v>
      </c>
      <c r="AM22" s="38">
        <v>8.4000000000000005E-2</v>
      </c>
      <c r="AN22" s="27">
        <v>0.2319</v>
      </c>
      <c r="AO22" s="105">
        <v>0.22370000000000001</v>
      </c>
      <c r="AP22" s="40">
        <f>AL22*(1-AM22)*AN22</f>
        <v>42.271659600000007</v>
      </c>
      <c r="AQ22" s="106">
        <f t="shared" si="21"/>
        <v>40.776930800000009</v>
      </c>
      <c r="AR22" s="17">
        <v>1.6</v>
      </c>
      <c r="AS22" s="17"/>
      <c r="AT22" s="129">
        <f>AT21+AL22-AS22</f>
        <v>2189.7199999999993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41120</v>
      </c>
      <c r="E23" s="49"/>
      <c r="F23" s="49">
        <f t="shared" ref="F23" si="156">SUM(F20:F22)</f>
        <v>38973</v>
      </c>
      <c r="G23" s="50"/>
      <c r="H23" s="50"/>
      <c r="I23" s="49">
        <f t="shared" ref="I23:K23" si="157">SUM(I20:I22)</f>
        <v>37805</v>
      </c>
      <c r="J23" s="50"/>
      <c r="K23" s="49">
        <f t="shared" si="157"/>
        <v>45933</v>
      </c>
      <c r="L23" s="20">
        <f t="shared" ref="L23" si="158">IF(K23&gt;0,(K20*L20+K21*L21+K22*L22)/K23,0)</f>
        <v>6.8973439575033199E-2</v>
      </c>
      <c r="M23" s="50">
        <f t="shared" ref="M23" si="159">M20+M21+M22</f>
        <v>42765</v>
      </c>
      <c r="N23" s="51">
        <f t="shared" ref="N23" si="160">IF(M23&gt;0,O23/M23,0)</f>
        <v>0.6334159242371098</v>
      </c>
      <c r="O23" s="52">
        <f t="shared" ref="O23" si="161">O20+O21+O22</f>
        <v>27088.031999999999</v>
      </c>
      <c r="P23" s="20">
        <f t="shared" ref="P23" si="162">IF(M23&gt;0,Q23/M23,0)</f>
        <v>0.24857851046416465</v>
      </c>
      <c r="Q23" s="52">
        <f t="shared" ref="Q23" si="163">Q20+Q21+Q22</f>
        <v>10630.460000000001</v>
      </c>
      <c r="R23" s="20">
        <f t="shared" ref="R23" si="164">IF(M23&gt;0,T23/M23,0)</f>
        <v>0.11800556529872561</v>
      </c>
      <c r="S23" s="107"/>
      <c r="T23" s="52">
        <f t="shared" ref="T23" si="165">T20+T21+T22</f>
        <v>5046.5080000000007</v>
      </c>
      <c r="U23" s="20">
        <f t="shared" ref="U23" si="166">IF(M23&gt;0,V23/M23,0)</f>
        <v>0.2390986320589267</v>
      </c>
      <c r="V23" s="52">
        <f t="shared" ref="V23" si="167">V20+V21+V22</f>
        <v>10225.053</v>
      </c>
      <c r="W23" s="20">
        <f t="shared" ref="W23" si="168">IF(M23&gt;0,X23/M23,0)</f>
        <v>0.48476314743364901</v>
      </c>
      <c r="X23" s="52">
        <f t="shared" ref="X23" si="169">X20+X21+X22</f>
        <v>20730.896000000001</v>
      </c>
      <c r="Y23" s="20">
        <f t="shared" ref="Y23" si="170">IF(M23&gt;0,Z23/M23,0)</f>
        <v>0.4301880042090494</v>
      </c>
      <c r="Z23" s="52">
        <f t="shared" ref="Z23" si="171">Z20+Z21+Z22</f>
        <v>18396.989999999998</v>
      </c>
      <c r="AA23" s="119">
        <f t="shared" ref="AA23" si="172">IF(M23&gt;0,AB23/M23,0)</f>
        <v>3.0643217584473289E-3</v>
      </c>
      <c r="AB23" s="54">
        <f t="shared" ref="AB23" si="173">SUM(AB20:AB22)</f>
        <v>131.04572000000002</v>
      </c>
      <c r="AC23" s="53">
        <f t="shared" ref="AC23" si="174">IF(M23&gt;0,AD23/M23,0)</f>
        <v>3.0545237928212322E-3</v>
      </c>
      <c r="AD23" s="54">
        <f t="shared" ref="AD23" si="175">SUM(AD20:AD22)</f>
        <v>130.62671</v>
      </c>
      <c r="AE23" s="53">
        <f t="shared" ref="AE23" si="176">IF(M23&gt;0,(AE20*M20+AE21*M21+AE22*M22)/M23,0)</f>
        <v>3.3184501695311588E-3</v>
      </c>
      <c r="AF23" s="53">
        <f t="shared" ref="AF23" si="177">IF(K23&gt;0,(K20*AF20+K21*AF21+K22*AF22)/K23,0)</f>
        <v>3.2024513965993946E-4</v>
      </c>
      <c r="AG23" s="50">
        <f t="shared" ref="AG23" si="178">SUM(AG20:AG22)</f>
        <v>13.69542</v>
      </c>
      <c r="AH23" s="51">
        <f t="shared" ref="AH23" si="179">IF(K23&gt;0,(K20*AH20+K21*AH21+K22*AH22)/K23,0)</f>
        <v>0.21620914157577342</v>
      </c>
      <c r="AI23" s="56">
        <f t="shared" ref="AI23" si="180">SUM(AI20:AI22)</f>
        <v>121.67513570000003</v>
      </c>
      <c r="AJ23" s="51">
        <f t="shared" ref="AJ23" si="181">IF(AND(AD23&gt;0),((AD20*AJ20+AD21*AJ21+AD22*AJ22)/AD23),0)</f>
        <v>0.89648272588517086</v>
      </c>
      <c r="AK23" s="55">
        <f t="shared" si="6"/>
        <v>0.90476753019972922</v>
      </c>
      <c r="AL23" s="49">
        <f t="shared" ref="AL23" si="182">SUM(AL20:AL22)</f>
        <v>616</v>
      </c>
      <c r="AM23" s="20">
        <f t="shared" ref="AM23" si="183">IF(AL23&gt;0,(AM20*AL20+AM21*AL21+AM22*AL22)/AL23,0)</f>
        <v>8.6030844155844152E-2</v>
      </c>
      <c r="AN23" s="51">
        <f>IF(K23&gt;0,(AN20*K20+AN21*K21+AN22*K22)/K23,0)</f>
        <v>0.22779609866544748</v>
      </c>
      <c r="AO23" s="107">
        <f>IF(K23&gt;0,(AO20*K20+AO21*K21+AO22*K22)/K23,0)</f>
        <v>0.21813405394814184</v>
      </c>
      <c r="AP23" s="56">
        <f t="shared" ref="AP23" si="184">SUM(AP20:AP22)</f>
        <v>128.21810149999999</v>
      </c>
      <c r="AQ23" s="108">
        <f t="shared" si="52"/>
        <v>122.75246180000002</v>
      </c>
      <c r="AR23" s="54"/>
      <c r="AS23" s="54">
        <f t="shared" ref="AS23" si="185">SUM(AS20:AS22)</f>
        <v>1005.76</v>
      </c>
      <c r="AT23" s="83"/>
      <c r="AU23" s="84">
        <f>AT22</f>
        <v>2189.7199999999993</v>
      </c>
      <c r="AV23" s="49">
        <f t="shared" ref="AV23" si="186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54</v>
      </c>
      <c r="D24" s="11">
        <v>7000</v>
      </c>
      <c r="E24" s="11">
        <v>7</v>
      </c>
      <c r="F24" s="11">
        <v>14676</v>
      </c>
      <c r="G24" s="12">
        <v>1.3</v>
      </c>
      <c r="H24" s="12">
        <v>5</v>
      </c>
      <c r="I24" s="11">
        <v>14589</v>
      </c>
      <c r="J24" s="12">
        <v>4.8</v>
      </c>
      <c r="K24" s="11">
        <v>16030</v>
      </c>
      <c r="L24" s="13">
        <v>6.6000000000000003E-2</v>
      </c>
      <c r="M24" s="23">
        <f>ROUND(K24*(1-L24),0)</f>
        <v>14972</v>
      </c>
      <c r="N24" s="14">
        <v>0.72499999999999998</v>
      </c>
      <c r="O24" s="24">
        <f t="shared" ref="O24:O26" si="187">M24*N24</f>
        <v>10854.699999999999</v>
      </c>
      <c r="P24" s="13">
        <v>0.21299999999999999</v>
      </c>
      <c r="Q24" s="24">
        <f t="shared" ref="Q24:Q26" si="188">M24*P24</f>
        <v>3189.0360000000001</v>
      </c>
      <c r="R24" s="15">
        <v>6.2E-2</v>
      </c>
      <c r="S24" s="112">
        <v>0.2697</v>
      </c>
      <c r="T24" s="24">
        <f t="shared" ref="T24:T26" si="189">M24*R24</f>
        <v>928.26400000000001</v>
      </c>
      <c r="U24" s="25">
        <v>0.247</v>
      </c>
      <c r="V24" s="24">
        <f t="shared" ref="V24:V26" si="190">M24*U24</f>
        <v>3698.0839999999998</v>
      </c>
      <c r="W24" s="15">
        <v>0.48699999999999999</v>
      </c>
      <c r="X24" s="24">
        <f t="shared" ref="X24:X26" si="191">M24*W24</f>
        <v>7291.3639999999996</v>
      </c>
      <c r="Y24" s="15">
        <v>0.43</v>
      </c>
      <c r="Z24" s="24">
        <f t="shared" ref="Z24:Z26" si="192">Y24*M24</f>
        <v>6437.96</v>
      </c>
      <c r="AA24" s="116">
        <v>2.98E-3</v>
      </c>
      <c r="AB24" s="18">
        <f t="shared" ref="AB24" si="193">M24*AA24</f>
        <v>44.61656</v>
      </c>
      <c r="AC24" s="16">
        <v>2.8600000000000001E-3</v>
      </c>
      <c r="AD24" s="17">
        <f t="shared" ref="AD24:AD26" si="194">M24*AC24</f>
        <v>42.819920000000003</v>
      </c>
      <c r="AE24" s="26">
        <f>IF(M24&gt;0,(AG24+AP24)/M24,0)</f>
        <v>3.0728851522842638E-3</v>
      </c>
      <c r="AF24" s="16">
        <v>2.9999999999999997E-4</v>
      </c>
      <c r="AG24" s="23">
        <f t="shared" ref="AG24:AG26" si="195">AF24*M24</f>
        <v>4.4916</v>
      </c>
      <c r="AH24" s="92">
        <v>0.21190000000000001</v>
      </c>
      <c r="AI24" s="29">
        <f t="shared" ref="AI24:AI26" si="196">AL24*(1-AM24)*AH24</f>
        <v>39.573384500000003</v>
      </c>
      <c r="AJ24" s="27">
        <f t="shared" ref="AJ24:AJ26" si="197">IF(AND(AH24&gt;0,AF24&gt;0,AC24&gt;0),((AC24-AF24)*AH24)/((AH24-AF24)*AC24),0)</f>
        <v>0.89637394741364507</v>
      </c>
      <c r="AK24" s="58">
        <f t="shared" si="6"/>
        <v>0.90359130158766399</v>
      </c>
      <c r="AL24" s="11">
        <v>205</v>
      </c>
      <c r="AM24" s="13">
        <v>8.8999999999999996E-2</v>
      </c>
      <c r="AN24" s="14">
        <v>0.2223</v>
      </c>
      <c r="AO24" s="101">
        <v>0.21110000000000001</v>
      </c>
      <c r="AP24" s="29">
        <f>AL24*(1-AM24)*AN24</f>
        <v>41.515636499999999</v>
      </c>
      <c r="AQ24" s="102">
        <f t="shared" ref="AQ24" si="198">AL24*(1-AM24)*AO24</f>
        <v>39.423980499999999</v>
      </c>
      <c r="AR24" s="18">
        <v>1.55</v>
      </c>
      <c r="AS24" s="18"/>
      <c r="AT24" s="79">
        <f>AT22+AL24-AS24</f>
        <v>2394.7199999999993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55</v>
      </c>
      <c r="D25" s="33">
        <v>18338</v>
      </c>
      <c r="E25" s="33">
        <v>10</v>
      </c>
      <c r="F25" s="33">
        <v>18630</v>
      </c>
      <c r="G25" s="34">
        <v>1.1000000000000001</v>
      </c>
      <c r="H25" s="34">
        <v>5.0999999999999996</v>
      </c>
      <c r="I25" s="33">
        <v>18034</v>
      </c>
      <c r="J25" s="34">
        <v>3.9</v>
      </c>
      <c r="K25" s="33">
        <v>16184</v>
      </c>
      <c r="L25" s="35">
        <v>7.0999999999999994E-2</v>
      </c>
      <c r="M25" s="36">
        <f>ROUND(K25*(1-L25),0)</f>
        <v>15035</v>
      </c>
      <c r="N25" s="37">
        <v>0.70799999999999996</v>
      </c>
      <c r="O25" s="24">
        <f t="shared" si="187"/>
        <v>10644.779999999999</v>
      </c>
      <c r="P25" s="35">
        <v>0.251</v>
      </c>
      <c r="Q25" s="24">
        <f t="shared" si="188"/>
        <v>3773.7849999999999</v>
      </c>
      <c r="R25" s="38">
        <v>4.1000000000000002E-2</v>
      </c>
      <c r="S25" s="105">
        <v>0.2777</v>
      </c>
      <c r="T25" s="24">
        <f t="shared" si="189"/>
        <v>616.43500000000006</v>
      </c>
      <c r="U25" s="27">
        <v>0.252</v>
      </c>
      <c r="V25" s="24">
        <f t="shared" si="190"/>
        <v>3788.82</v>
      </c>
      <c r="W25" s="38">
        <v>0.47599999999999998</v>
      </c>
      <c r="X25" s="24">
        <f t="shared" si="191"/>
        <v>7156.66</v>
      </c>
      <c r="Y25" s="38">
        <v>0.43</v>
      </c>
      <c r="Z25" s="24">
        <f t="shared" si="192"/>
        <v>6465.05</v>
      </c>
      <c r="AA25" s="117">
        <v>2.8700000000000002E-3</v>
      </c>
      <c r="AB25" s="18">
        <f t="shared" si="61"/>
        <v>43.150449999999999</v>
      </c>
      <c r="AC25" s="39">
        <v>2.8300000000000001E-3</v>
      </c>
      <c r="AD25" s="17">
        <f t="shared" si="194"/>
        <v>42.549050000000001</v>
      </c>
      <c r="AE25" s="26">
        <f>IF(M25&gt;0,(AG25+AP25)/M25,0)</f>
        <v>3.1429321982041902E-3</v>
      </c>
      <c r="AF25" s="39">
        <v>2.9E-4</v>
      </c>
      <c r="AG25" s="36">
        <f t="shared" si="195"/>
        <v>4.36015</v>
      </c>
      <c r="AH25" s="27">
        <v>0.21299999999999999</v>
      </c>
      <c r="AI25" s="40">
        <f t="shared" si="196"/>
        <v>39.671675999999998</v>
      </c>
      <c r="AJ25" s="27">
        <f t="shared" si="197"/>
        <v>0.89875015220875898</v>
      </c>
      <c r="AK25" s="28">
        <f t="shared" si="6"/>
        <v>0.90887395497254764</v>
      </c>
      <c r="AL25" s="33">
        <v>204</v>
      </c>
      <c r="AM25" s="35">
        <v>8.6999999999999994E-2</v>
      </c>
      <c r="AN25" s="37">
        <v>0.2303</v>
      </c>
      <c r="AO25" s="103">
        <v>0.2195</v>
      </c>
      <c r="AP25" s="40">
        <f>AL25*(1-AM25)*AN25</f>
        <v>42.893835600000003</v>
      </c>
      <c r="AQ25" s="104">
        <f t="shared" si="21"/>
        <v>40.882314000000001</v>
      </c>
      <c r="AR25" s="41">
        <v>1.6</v>
      </c>
      <c r="AS25" s="41"/>
      <c r="AT25" s="129">
        <f>AT24+AL25-AS25</f>
        <v>2598.7199999999993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53</v>
      </c>
      <c r="D26" s="42">
        <v>24200</v>
      </c>
      <c r="E26" s="42">
        <v>5</v>
      </c>
      <c r="F26" s="42">
        <v>20583</v>
      </c>
      <c r="G26" s="36">
        <v>1</v>
      </c>
      <c r="H26" s="36">
        <v>3.6</v>
      </c>
      <c r="I26" s="42">
        <v>20398</v>
      </c>
      <c r="J26" s="36">
        <v>2.6</v>
      </c>
      <c r="K26" s="42">
        <v>16089</v>
      </c>
      <c r="L26" s="38">
        <v>6.2E-2</v>
      </c>
      <c r="M26" s="36">
        <f>ROUND(K26*(1-L26),0)</f>
        <v>15091</v>
      </c>
      <c r="N26" s="27">
        <v>0.77</v>
      </c>
      <c r="O26" s="24">
        <f t="shared" si="187"/>
        <v>11620.07</v>
      </c>
      <c r="P26" s="38">
        <v>0.187</v>
      </c>
      <c r="Q26" s="24">
        <f t="shared" si="188"/>
        <v>2822.0169999999998</v>
      </c>
      <c r="R26" s="38">
        <v>4.2999999999999997E-2</v>
      </c>
      <c r="S26" s="105">
        <v>0.23430000000000001</v>
      </c>
      <c r="T26" s="24">
        <f t="shared" si="189"/>
        <v>648.9129999999999</v>
      </c>
      <c r="U26" s="27">
        <v>0.248</v>
      </c>
      <c r="V26" s="24">
        <f t="shared" si="190"/>
        <v>3742.5679999999998</v>
      </c>
      <c r="W26" s="38">
        <v>0.47299999999999998</v>
      </c>
      <c r="X26" s="24">
        <f t="shared" si="191"/>
        <v>7138.0429999999997</v>
      </c>
      <c r="Y26" s="38">
        <v>0.44</v>
      </c>
      <c r="Z26" s="24">
        <f t="shared" si="192"/>
        <v>6640.04</v>
      </c>
      <c r="AA26" s="118">
        <v>2.8800000000000002E-3</v>
      </c>
      <c r="AB26" s="121">
        <f t="shared" si="61"/>
        <v>43.46208</v>
      </c>
      <c r="AC26" s="45">
        <v>2.7399999999999998E-3</v>
      </c>
      <c r="AD26" s="17">
        <f t="shared" si="194"/>
        <v>41.349339999999998</v>
      </c>
      <c r="AE26" s="26">
        <f>IF(M26&gt;0,(AG26+AP26)/M26,0)</f>
        <v>3.0844131204028889E-3</v>
      </c>
      <c r="AF26" s="45">
        <v>2.7999999999999998E-4</v>
      </c>
      <c r="AG26" s="36">
        <f t="shared" si="195"/>
        <v>4.2254799999999992</v>
      </c>
      <c r="AH26" s="27">
        <v>0.21640000000000001</v>
      </c>
      <c r="AI26" s="40">
        <f t="shared" si="196"/>
        <v>41.0320368</v>
      </c>
      <c r="AJ26" s="27">
        <f t="shared" si="197"/>
        <v>0.89897340082760191</v>
      </c>
      <c r="AK26" s="28">
        <f t="shared" si="6"/>
        <v>0.91036301256499375</v>
      </c>
      <c r="AL26" s="42">
        <v>207</v>
      </c>
      <c r="AM26" s="38">
        <v>8.4000000000000005E-2</v>
      </c>
      <c r="AN26" s="27">
        <v>0.22320000000000001</v>
      </c>
      <c r="AO26" s="105">
        <v>0.2079</v>
      </c>
      <c r="AP26" s="40">
        <f>AL26*(1-AM26)*AN26</f>
        <v>42.3213984</v>
      </c>
      <c r="AQ26" s="106">
        <f t="shared" si="21"/>
        <v>39.420334799999999</v>
      </c>
      <c r="AR26" s="17">
        <v>1.6</v>
      </c>
      <c r="AS26" s="17"/>
      <c r="AT26" s="129">
        <f>AT25+AL26-AS26</f>
        <v>2805.7199999999993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9">SUM(D24:D26)</f>
        <v>49538</v>
      </c>
      <c r="E27" s="49"/>
      <c r="F27" s="49">
        <f t="shared" ref="F27" si="200">SUM(F24:F26)</f>
        <v>53889</v>
      </c>
      <c r="G27" s="50"/>
      <c r="H27" s="50"/>
      <c r="I27" s="49">
        <f t="shared" ref="I27:K27" si="201">SUM(I24:I26)</f>
        <v>53021</v>
      </c>
      <c r="J27" s="50"/>
      <c r="K27" s="49">
        <f t="shared" si="201"/>
        <v>48303</v>
      </c>
      <c r="L27" s="20">
        <f t="shared" ref="L27" si="202">IF(K27&gt;0,(K24*L24+K25*L25+K26*L26)/K27,0)</f>
        <v>6.6342918659296521E-2</v>
      </c>
      <c r="M27" s="50">
        <f t="shared" ref="M27" si="203">M24+M25+M26</f>
        <v>45098</v>
      </c>
      <c r="N27" s="51">
        <f t="shared" ref="N27" si="204">IF(M27&gt;0,O27/M27,0)</f>
        <v>0.73439066033970457</v>
      </c>
      <c r="O27" s="52">
        <f t="shared" ref="O27" si="205">O24+O25+O26</f>
        <v>33119.549999999996</v>
      </c>
      <c r="P27" s="20">
        <f t="shared" ref="P27" si="206">IF(M27&gt;0,Q27/M27,0)</f>
        <v>0.21696833562463966</v>
      </c>
      <c r="Q27" s="52">
        <f t="shared" ref="Q27" si="207">Q24+Q25+Q26</f>
        <v>9784.8379999999997</v>
      </c>
      <c r="R27" s="20">
        <f t="shared" ref="R27" si="208">IF(M27&gt;0,T27/M27,0)</f>
        <v>4.8641004035655688E-2</v>
      </c>
      <c r="S27" s="107"/>
      <c r="T27" s="52">
        <f t="shared" ref="T27" si="209">T24+T25+T26</f>
        <v>2193.6120000000001</v>
      </c>
      <c r="U27" s="20">
        <f t="shared" ref="U27" si="210">IF(M27&gt;0,V27/M27,0)</f>
        <v>0.24900155217526276</v>
      </c>
      <c r="V27" s="52">
        <f t="shared" ref="V27" si="211">V24+V25+V26</f>
        <v>11229.472</v>
      </c>
      <c r="W27" s="20">
        <f t="shared" ref="W27" si="212">IF(M27&gt;0,X27/M27,0)</f>
        <v>0.47864798882433807</v>
      </c>
      <c r="X27" s="52">
        <f t="shared" ref="X27" si="213">X24+X25+X26</f>
        <v>21586.066999999999</v>
      </c>
      <c r="Y27" s="20">
        <f t="shared" ref="Y27" si="214">IF(M27&gt;0,Z27/M27,0)</f>
        <v>0.43334626812718968</v>
      </c>
      <c r="Z27" s="52">
        <f t="shared" ref="Z27" si="215">Z24+Z25+Z26</f>
        <v>19543.05</v>
      </c>
      <c r="AA27" s="119">
        <f t="shared" ref="AA27" si="216">IF(M27&gt;0,AB27/M27,0)</f>
        <v>2.9098649607521396E-3</v>
      </c>
      <c r="AB27" s="54">
        <f t="shared" ref="AB27" si="217">SUM(AB24:AB26)</f>
        <v>131.22908999999999</v>
      </c>
      <c r="AC27" s="53">
        <f t="shared" ref="AC27" si="218">IF(M27&gt;0,AD27/M27,0)</f>
        <v>2.8098432302984611E-3</v>
      </c>
      <c r="AD27" s="54">
        <f t="shared" ref="AD27" si="219">SUM(AD24:AD26)</f>
        <v>126.71831</v>
      </c>
      <c r="AE27" s="53">
        <f t="shared" ref="AE27" si="220">IF(M27&gt;0,(AE24*M24+AE25*M25+AE26*M26)/M27,0)</f>
        <v>3.1000953589959642E-3</v>
      </c>
      <c r="AF27" s="53">
        <f t="shared" ref="AF27" si="221">IF(K27&gt;0,(K24*AF24+K25*AF25+K26*AF26)/K27,0)</f>
        <v>2.8998778543775744E-4</v>
      </c>
      <c r="AG27" s="50">
        <f t="shared" ref="AG27" si="222">SUM(AG24:AG26)</f>
        <v>13.077229999999998</v>
      </c>
      <c r="AH27" s="51">
        <f t="shared" ref="AH27" si="223">IF(K27&gt;0,(K24*AH24+K25*AH25+K26*AH26)/K27,0)</f>
        <v>0.21376743887543215</v>
      </c>
      <c r="AI27" s="56">
        <f t="shared" ref="AI27" si="224">SUM(AI24:AI26)</f>
        <v>120.27709729999999</v>
      </c>
      <c r="AJ27" s="51">
        <f t="shared" ref="AJ27" si="225">IF(AND(AD27&gt;0),((AD24*AJ24+AD25*AJ25+AD26*AJ26)/AD27),0)</f>
        <v>0.89802004685788006</v>
      </c>
      <c r="AK27" s="55">
        <f t="shared" si="6"/>
        <v>0.90762675638161716</v>
      </c>
      <c r="AL27" s="49">
        <f t="shared" ref="AL27" si="226">SUM(AL24:AL26)</f>
        <v>616</v>
      </c>
      <c r="AM27" s="20">
        <f t="shared" ref="AM27" si="227">IF(AL27&gt;0,(AM24*AL24+AM25*AL25+AM26*AL26)/AL27,0)</f>
        <v>8.665746753246753E-2</v>
      </c>
      <c r="AN27" s="51">
        <f>IF(K27&gt;0,(AN24*K24+AN25*K25+AN26*K26)/K27,0)</f>
        <v>0.22528018963625449</v>
      </c>
      <c r="AO27" s="107">
        <f>IF(K27&gt;0,(AO24*K24+AO25*K25+AO26*K26)/K27,0)</f>
        <v>0.21284856220110551</v>
      </c>
      <c r="AP27" s="56">
        <f t="shared" ref="AP27:AQ39" si="228">SUM(AP24:AP26)</f>
        <v>126.73087050000001</v>
      </c>
      <c r="AQ27" s="108">
        <f t="shared" si="228"/>
        <v>119.72662930000001</v>
      </c>
      <c r="AR27" s="54"/>
      <c r="AS27" s="54">
        <f t="shared" ref="AS27" si="229">SUM(AS24:AS26)</f>
        <v>0</v>
      </c>
      <c r="AT27" s="83"/>
      <c r="AU27" s="84">
        <f>AT26</f>
        <v>2805.7199999999993</v>
      </c>
      <c r="AV27" s="49">
        <f t="shared" ref="AV27" si="230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54</v>
      </c>
      <c r="D28" s="11">
        <v>5913</v>
      </c>
      <c r="E28" s="11">
        <v>4</v>
      </c>
      <c r="F28" s="11">
        <v>13419</v>
      </c>
      <c r="G28" s="12">
        <v>2.6</v>
      </c>
      <c r="H28" s="12">
        <v>5.5</v>
      </c>
      <c r="I28" s="11">
        <v>12841</v>
      </c>
      <c r="J28" s="12">
        <v>3.7</v>
      </c>
      <c r="K28" s="11">
        <v>15599</v>
      </c>
      <c r="L28" s="13">
        <v>6.9000000000000006E-2</v>
      </c>
      <c r="M28" s="23">
        <f>ROUND(K28*(1-L28),0)</f>
        <v>14523</v>
      </c>
      <c r="N28" s="14">
        <v>0.76700000000000002</v>
      </c>
      <c r="O28" s="24">
        <f t="shared" ref="O28:O30" si="231">M28*N28</f>
        <v>11139.141</v>
      </c>
      <c r="P28" s="13">
        <v>0.19500000000000001</v>
      </c>
      <c r="Q28" s="24">
        <f t="shared" ref="Q28:Q30" si="232">M28*P28</f>
        <v>2831.9850000000001</v>
      </c>
      <c r="R28" s="15">
        <v>3.7999999999999999E-2</v>
      </c>
      <c r="S28" s="112">
        <v>0.25979999999999998</v>
      </c>
      <c r="T28" s="24">
        <f t="shared" ref="T28:T30" si="233">M28*R28</f>
        <v>551.87400000000002</v>
      </c>
      <c r="U28" s="25">
        <v>0.23699999999999999</v>
      </c>
      <c r="V28" s="24">
        <f t="shared" ref="V28:V30" si="234">M28*U28</f>
        <v>3441.951</v>
      </c>
      <c r="W28" s="15">
        <v>0.48799999999999999</v>
      </c>
      <c r="X28" s="24">
        <f t="shared" ref="X28:X30" si="235">M28*W28</f>
        <v>7087.2240000000002</v>
      </c>
      <c r="Y28" s="15">
        <v>0.45</v>
      </c>
      <c r="Z28" s="24">
        <f t="shared" ref="Z28:Z30" si="236">Y28*M28</f>
        <v>6535.35</v>
      </c>
      <c r="AA28" s="116">
        <v>2.6099999999999999E-3</v>
      </c>
      <c r="AB28" s="18">
        <f t="shared" ref="AB28" si="237">M28*AA28</f>
        <v>37.905029999999996</v>
      </c>
      <c r="AC28" s="16">
        <v>2.5600000000000002E-3</v>
      </c>
      <c r="AD28" s="17">
        <f t="shared" ref="AD28:AD30" si="238">M28*AC28</f>
        <v>37.178880000000007</v>
      </c>
      <c r="AE28" s="26">
        <f>IF(M28&gt;0,(AG28+AP28)/M28,0)</f>
        <v>2.9064165805962956E-3</v>
      </c>
      <c r="AF28" s="16">
        <v>2.7999999999999998E-4</v>
      </c>
      <c r="AG28" s="23">
        <f t="shared" ref="AG28:AG30" si="239">AF28*M28</f>
        <v>4.0664400000000001</v>
      </c>
      <c r="AH28" s="92">
        <v>0.2157</v>
      </c>
      <c r="AI28" s="29">
        <f t="shared" ref="AI28:AI30" si="240">AL28*(1-AM28)*AH28</f>
        <v>35.834240999999999</v>
      </c>
      <c r="AJ28" s="27">
        <f t="shared" ref="AJ28:AJ30" si="241">IF(AND(AH28&gt;0,AF28&gt;0,AC28&gt;0),((AC28-AF28)*AH28)/((AH28-AF28)*AC28),0)</f>
        <v>0.89178262231919048</v>
      </c>
      <c r="AK28" s="58">
        <f t="shared" si="6"/>
        <v>0.90476480763420175</v>
      </c>
      <c r="AL28" s="11">
        <v>185</v>
      </c>
      <c r="AM28" s="13">
        <v>0.10199999999999999</v>
      </c>
      <c r="AN28" s="14">
        <v>0.2296</v>
      </c>
      <c r="AO28" s="101">
        <v>0.21909999999999999</v>
      </c>
      <c r="AP28" s="29">
        <f>AL28*(1-AM28)*AN28</f>
        <v>38.143447999999999</v>
      </c>
      <c r="AQ28" s="102">
        <f t="shared" ref="AQ28" si="242">AL28*(1-AM28)*AO28</f>
        <v>36.399082999999997</v>
      </c>
      <c r="AR28" s="18">
        <v>1.6</v>
      </c>
      <c r="AS28" s="18">
        <v>1001.48</v>
      </c>
      <c r="AT28" s="79">
        <f>AT26+AL28-AS28</f>
        <v>1989.2399999999993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55</v>
      </c>
      <c r="D29" s="33">
        <v>20037</v>
      </c>
      <c r="E29" s="33">
        <v>10</v>
      </c>
      <c r="F29" s="33">
        <v>19114</v>
      </c>
      <c r="G29" s="34">
        <v>0.7</v>
      </c>
      <c r="H29" s="34">
        <v>4.2</v>
      </c>
      <c r="I29" s="33">
        <v>18558</v>
      </c>
      <c r="J29" s="34">
        <v>2.5</v>
      </c>
      <c r="K29" s="33">
        <v>15128</v>
      </c>
      <c r="L29" s="35">
        <v>6.4000000000000001E-2</v>
      </c>
      <c r="M29" s="36">
        <f>ROUND(K29*(1-L29),0)</f>
        <v>14160</v>
      </c>
      <c r="N29" s="37">
        <v>0.68700000000000006</v>
      </c>
      <c r="O29" s="24">
        <f t="shared" si="231"/>
        <v>9727.92</v>
      </c>
      <c r="P29" s="35">
        <v>0.24399999999999999</v>
      </c>
      <c r="Q29" s="24">
        <f t="shared" si="232"/>
        <v>3455.04</v>
      </c>
      <c r="R29" s="38">
        <v>6.9000000000000006E-2</v>
      </c>
      <c r="S29" s="105">
        <v>0.2394</v>
      </c>
      <c r="T29" s="24">
        <f t="shared" si="233"/>
        <v>977.04000000000008</v>
      </c>
      <c r="U29" s="27">
        <v>0.23</v>
      </c>
      <c r="V29" s="24">
        <f t="shared" si="234"/>
        <v>3256.8</v>
      </c>
      <c r="W29" s="38">
        <v>0.48</v>
      </c>
      <c r="X29" s="24">
        <f t="shared" si="235"/>
        <v>6796.8</v>
      </c>
      <c r="Y29" s="38">
        <v>0.45</v>
      </c>
      <c r="Z29" s="24">
        <f t="shared" si="236"/>
        <v>6372</v>
      </c>
      <c r="AA29" s="117">
        <v>2.7799999999999999E-3</v>
      </c>
      <c r="AB29" s="18">
        <f t="shared" si="61"/>
        <v>39.364799999999995</v>
      </c>
      <c r="AC29" s="39">
        <v>2.66E-3</v>
      </c>
      <c r="AD29" s="17">
        <f t="shared" si="238"/>
        <v>37.665599999999998</v>
      </c>
      <c r="AE29" s="26">
        <f>IF(M29&gt;0,(AG29+AP29)/M29,0)</f>
        <v>2.9893830508474577E-3</v>
      </c>
      <c r="AF29" s="39">
        <v>2.7E-4</v>
      </c>
      <c r="AG29" s="36">
        <f t="shared" si="239"/>
        <v>3.8231999999999999</v>
      </c>
      <c r="AH29" s="27">
        <v>0.21579999999999999</v>
      </c>
      <c r="AI29" s="40">
        <f t="shared" si="240"/>
        <v>36.446030399999998</v>
      </c>
      <c r="AJ29" s="27">
        <f t="shared" si="241"/>
        <v>0.89962181005801756</v>
      </c>
      <c r="AK29" s="28">
        <f t="shared" si="6"/>
        <v>0.91075889059120896</v>
      </c>
      <c r="AL29" s="33">
        <v>186</v>
      </c>
      <c r="AM29" s="35">
        <v>9.1999999999999998E-2</v>
      </c>
      <c r="AN29" s="37">
        <v>0.22800000000000001</v>
      </c>
      <c r="AO29" s="103">
        <v>0.2127</v>
      </c>
      <c r="AP29" s="40">
        <f>AL29*(1-AM29)*AN29</f>
        <v>38.506464000000001</v>
      </c>
      <c r="AQ29" s="104">
        <f t="shared" si="21"/>
        <v>35.922477600000001</v>
      </c>
      <c r="AR29" s="41">
        <v>1.58</v>
      </c>
      <c r="AS29" s="41"/>
      <c r="AT29" s="129">
        <f>AT28+AL29-AS29</f>
        <v>2175.2399999999993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0" t="s">
        <v>57</v>
      </c>
      <c r="D30" s="42">
        <v>23200</v>
      </c>
      <c r="E30" s="42">
        <v>5</v>
      </c>
      <c r="F30" s="42">
        <v>19383</v>
      </c>
      <c r="G30" s="36">
        <v>0.8</v>
      </c>
      <c r="H30" s="36">
        <v>5</v>
      </c>
      <c r="I30" s="42">
        <v>18840</v>
      </c>
      <c r="J30" s="36">
        <v>1</v>
      </c>
      <c r="K30" s="42">
        <v>15188</v>
      </c>
      <c r="L30" s="38">
        <v>6.2E-2</v>
      </c>
      <c r="M30" s="36">
        <f>ROUND(K30*(1-L30),0)</f>
        <v>14246</v>
      </c>
      <c r="N30" s="27">
        <v>0.63300000000000001</v>
      </c>
      <c r="O30" s="24">
        <f t="shared" si="231"/>
        <v>9017.7180000000008</v>
      </c>
      <c r="P30" s="38">
        <v>0.33100000000000002</v>
      </c>
      <c r="Q30" s="24">
        <f t="shared" si="232"/>
        <v>4715.4260000000004</v>
      </c>
      <c r="R30" s="38">
        <v>3.5999999999999997E-2</v>
      </c>
      <c r="S30" s="105">
        <v>0.2298</v>
      </c>
      <c r="T30" s="24">
        <f t="shared" si="233"/>
        <v>512.85599999999999</v>
      </c>
      <c r="U30" s="27">
        <v>0.23</v>
      </c>
      <c r="V30" s="24">
        <f t="shared" si="234"/>
        <v>3276.58</v>
      </c>
      <c r="W30" s="38">
        <v>0.495</v>
      </c>
      <c r="X30" s="24">
        <f t="shared" si="235"/>
        <v>7051.7699999999995</v>
      </c>
      <c r="Y30" s="38">
        <v>0.45</v>
      </c>
      <c r="Z30" s="24">
        <f t="shared" si="236"/>
        <v>6410.7</v>
      </c>
      <c r="AA30" s="118">
        <v>2.5799999999999998E-3</v>
      </c>
      <c r="AB30" s="121">
        <f t="shared" si="61"/>
        <v>36.75468</v>
      </c>
      <c r="AC30" s="45">
        <v>2.4399999999999999E-3</v>
      </c>
      <c r="AD30" s="17">
        <f t="shared" si="238"/>
        <v>34.760239999999996</v>
      </c>
      <c r="AE30" s="26">
        <f>IF(M30&gt;0,(AG30+AP30)/M30,0)</f>
        <v>2.7008563807384531E-3</v>
      </c>
      <c r="AF30" s="45">
        <v>2.7E-4</v>
      </c>
      <c r="AG30" s="36">
        <f t="shared" si="239"/>
        <v>3.8464200000000002</v>
      </c>
      <c r="AH30" s="27">
        <v>0.21029999999999999</v>
      </c>
      <c r="AI30" s="40">
        <f t="shared" si="240"/>
        <v>33.269460000000002</v>
      </c>
      <c r="AJ30" s="27">
        <f t="shared" si="241"/>
        <v>0.89048754159241883</v>
      </c>
      <c r="AK30" s="28">
        <f t="shared" si="6"/>
        <v>0.90114321376784889</v>
      </c>
      <c r="AL30" s="42">
        <v>175</v>
      </c>
      <c r="AM30" s="38">
        <v>9.6000000000000002E-2</v>
      </c>
      <c r="AN30" s="27">
        <v>0.21890000000000001</v>
      </c>
      <c r="AO30" s="105">
        <v>0.2074</v>
      </c>
      <c r="AP30" s="40">
        <f>AL30*(1-AM30)*AN30</f>
        <v>34.629980000000003</v>
      </c>
      <c r="AQ30" s="106">
        <f t="shared" si="21"/>
        <v>32.810680000000005</v>
      </c>
      <c r="AR30" s="17">
        <v>1.55</v>
      </c>
      <c r="AS30" s="17"/>
      <c r="AT30" s="129">
        <f>AT29+AL30-AS30</f>
        <v>2350.2399999999993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3">SUM(D28:D30)</f>
        <v>49150</v>
      </c>
      <c r="E31" s="49"/>
      <c r="F31" s="49">
        <f t="shared" ref="F31" si="244">SUM(F28:F30)</f>
        <v>51916</v>
      </c>
      <c r="G31" s="50"/>
      <c r="H31" s="50"/>
      <c r="I31" s="49">
        <f t="shared" ref="I31:K31" si="245">SUM(I28:I30)</f>
        <v>50239</v>
      </c>
      <c r="J31" s="50"/>
      <c r="K31" s="49">
        <f t="shared" si="245"/>
        <v>45915</v>
      </c>
      <c r="L31" s="20">
        <f t="shared" ref="L31" si="246">IF(K31&gt;0,(K28*L28+K29*L29+K30*L30)/K31,0)</f>
        <v>6.5037112054884022E-2</v>
      </c>
      <c r="M31" s="50">
        <f t="shared" ref="M31" si="247">M28+M29+M30</f>
        <v>42929</v>
      </c>
      <c r="N31" s="51">
        <f t="shared" ref="N31" si="248">IF(M31&gt;0,O31/M31,0)</f>
        <v>0.69614430804351379</v>
      </c>
      <c r="O31" s="52">
        <f t="shared" ref="O31" si="249">O28+O29+O30</f>
        <v>29884.779000000002</v>
      </c>
      <c r="P31" s="20">
        <f t="shared" ref="P31" si="250">IF(M31&gt;0,Q31/M31,0)</f>
        <v>0.25629413683058072</v>
      </c>
      <c r="Q31" s="52">
        <f t="shared" ref="Q31" si="251">Q28+Q29+Q30</f>
        <v>11002.451000000001</v>
      </c>
      <c r="R31" s="20">
        <f t="shared" ref="R31" si="252">IF(M31&gt;0,T31/M31,0)</f>
        <v>4.7561555125905569E-2</v>
      </c>
      <c r="S31" s="107"/>
      <c r="T31" s="52">
        <f t="shared" ref="T31" si="253">T28+T29+T30</f>
        <v>2041.7700000000002</v>
      </c>
      <c r="U31" s="20">
        <f t="shared" ref="U31" si="254">IF(M31&gt;0,V31/M31,0)</f>
        <v>0.23236811945305039</v>
      </c>
      <c r="V31" s="52">
        <f t="shared" ref="V31" si="255">V28+V29+V30</f>
        <v>9975.3310000000001</v>
      </c>
      <c r="W31" s="20">
        <f t="shared" ref="W31" si="256">IF(M31&gt;0,X31/M31,0)</f>
        <v>0.48768417619790821</v>
      </c>
      <c r="X31" s="52">
        <f t="shared" ref="X31" si="257">X28+X29+X30</f>
        <v>20935.794000000002</v>
      </c>
      <c r="Y31" s="20">
        <f t="shared" ref="Y31" si="258">IF(M31&gt;0,Z31/M31,0)</f>
        <v>0.44999999999999996</v>
      </c>
      <c r="Z31" s="52">
        <f t="shared" ref="Z31" si="259">Z28+Z29+Z30</f>
        <v>19318.05</v>
      </c>
      <c r="AA31" s="119">
        <f t="shared" ref="AA31" si="260">IF(M31&gt;0,AB31/M31,0)</f>
        <v>2.6561184746907683E-3</v>
      </c>
      <c r="AB31" s="54">
        <f t="shared" ref="AB31" si="261">SUM(AB28:AB30)</f>
        <v>114.02450999999999</v>
      </c>
      <c r="AC31" s="53">
        <f t="shared" ref="AC31" si="262">IF(M31&gt;0,AD31/M31,0)</f>
        <v>2.5531626639334714E-3</v>
      </c>
      <c r="AD31" s="54">
        <f t="shared" ref="AD31" si="263">SUM(AD28:AD30)</f>
        <v>109.60472</v>
      </c>
      <c r="AE31" s="53">
        <f t="shared" ref="AE31" si="264">IF(M31&gt;0,(AE28*M28+AE29*M29+AE30*M30)/M31,0)</f>
        <v>2.8655676116378205E-3</v>
      </c>
      <c r="AF31" s="53">
        <f t="shared" ref="AF31" si="265">IF(K31&gt;0,(K28*AF28+K29*AF29+K30*AF30)/K31,0)</f>
        <v>2.7339736469563322E-4</v>
      </c>
      <c r="AG31" s="50">
        <f t="shared" ref="AG31" si="266">SUM(AG28:AG30)</f>
        <v>11.73606</v>
      </c>
      <c r="AH31" s="51">
        <f t="shared" ref="AH31" si="267">IF(K31&gt;0,(K28*AH28+K29*AH29+K30*AH30)/K31,0)</f>
        <v>0.21394670804747901</v>
      </c>
      <c r="AI31" s="56">
        <f t="shared" ref="AI31" si="268">SUM(AI28:AI30)</f>
        <v>105.54973140000001</v>
      </c>
      <c r="AJ31" s="51">
        <f t="shared" ref="AJ31" si="269">IF(AND(AD31&gt;0),((AD28*AJ28+AD29*AJ29+AD30*AJ30)/AD31),0)</f>
        <v>0.89406583049502097</v>
      </c>
      <c r="AK31" s="55">
        <f t="shared" si="6"/>
        <v>0.90569014840253503</v>
      </c>
      <c r="AL31" s="49">
        <f t="shared" ref="AL31" si="270">SUM(AL28:AL30)</f>
        <v>546</v>
      </c>
      <c r="AM31" s="20">
        <f t="shared" ref="AM31" si="271">IF(AL31&gt;0,(AM28*AL28+AM29*AL29+AM30*AL30)/AL31,0)</f>
        <v>9.6670329670329666E-2</v>
      </c>
      <c r="AN31" s="51">
        <f>IF(K31&gt;0,(AN28*K28+AN29*K29+AN30*K30)/K31,0)</f>
        <v>0.22553343351845806</v>
      </c>
      <c r="AO31" s="107">
        <f>IF(L31&gt;0,(AO28*K28+AO29*K29+AO30*K30)/K31,0)</f>
        <v>0.21312115212893393</v>
      </c>
      <c r="AP31" s="56">
        <f t="shared" ref="AP31" si="272">SUM(AP28:AP30)</f>
        <v>111.279892</v>
      </c>
      <c r="AQ31" s="108">
        <f t="shared" si="228"/>
        <v>105.1322406</v>
      </c>
      <c r="AR31" s="54"/>
      <c r="AS31" s="54">
        <f t="shared" ref="AS31" si="273">SUM(AS28:AS30)</f>
        <v>1001.48</v>
      </c>
      <c r="AT31" s="83"/>
      <c r="AU31" s="84">
        <f>AT30</f>
        <v>2350.2399999999993</v>
      </c>
      <c r="AV31" s="49">
        <f t="shared" ref="AV31" si="274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58</v>
      </c>
      <c r="D32" s="11">
        <v>6500</v>
      </c>
      <c r="E32" s="11">
        <v>4</v>
      </c>
      <c r="F32" s="11">
        <v>9233</v>
      </c>
      <c r="G32" s="12">
        <v>0.4</v>
      </c>
      <c r="H32" s="12">
        <v>2.7</v>
      </c>
      <c r="I32" s="11">
        <v>9470</v>
      </c>
      <c r="J32" s="12">
        <v>4.2</v>
      </c>
      <c r="K32" s="11">
        <v>15781</v>
      </c>
      <c r="L32" s="13">
        <v>6.9000000000000006E-2</v>
      </c>
      <c r="M32" s="23">
        <f>ROUND(K32*(1-L32),0)</f>
        <v>14692</v>
      </c>
      <c r="N32" s="14">
        <v>0.59599999999999997</v>
      </c>
      <c r="O32" s="24">
        <f t="shared" ref="O32:O34" si="275">M32*N32</f>
        <v>8756.4319999999989</v>
      </c>
      <c r="P32" s="13">
        <v>0.35199999999999998</v>
      </c>
      <c r="Q32" s="24">
        <f t="shared" ref="Q32:Q34" si="276">M32*P32</f>
        <v>5171.5839999999998</v>
      </c>
      <c r="R32" s="15">
        <v>5.1999999999999998E-2</v>
      </c>
      <c r="S32" s="112">
        <v>0.2364</v>
      </c>
      <c r="T32" s="24">
        <f t="shared" ref="T32:T34" si="277">M32*R32</f>
        <v>763.98399999999992</v>
      </c>
      <c r="U32" s="25">
        <v>0.24099999999999999</v>
      </c>
      <c r="V32" s="24">
        <f t="shared" ref="V32:V34" si="278">M32*U32</f>
        <v>3540.7719999999999</v>
      </c>
      <c r="W32" s="15">
        <v>0.499</v>
      </c>
      <c r="X32" s="24">
        <f t="shared" ref="X32:X34" si="279">M32*W32</f>
        <v>7331.308</v>
      </c>
      <c r="Y32" s="15">
        <v>0.44</v>
      </c>
      <c r="Z32" s="24">
        <f t="shared" ref="Z32:Z34" si="280">Y32*M32</f>
        <v>6464.4800000000005</v>
      </c>
      <c r="AA32" s="116">
        <v>2.5899999999999999E-3</v>
      </c>
      <c r="AB32" s="18">
        <f t="shared" ref="AB32" si="281">M32*AA32</f>
        <v>38.052279999999996</v>
      </c>
      <c r="AC32" s="16">
        <v>2.4299999999999999E-3</v>
      </c>
      <c r="AD32" s="17">
        <f t="shared" ref="AD32:AD34" si="282">M32*AC32</f>
        <v>35.701560000000001</v>
      </c>
      <c r="AE32" s="26">
        <f>IF(M32&gt;0,(AG32+AP32)/M32,0)</f>
        <v>2.6235077048734011E-3</v>
      </c>
      <c r="AF32" s="16">
        <v>3.1E-4</v>
      </c>
      <c r="AG32" s="23">
        <f t="shared" ref="AG32:AG34" si="283">AF32*M32</f>
        <v>4.5545200000000001</v>
      </c>
      <c r="AH32" s="92">
        <v>0.214</v>
      </c>
      <c r="AI32" s="29">
        <f t="shared" ref="AI32:AI34" si="284">AL32*(1-AM32)*AH32</f>
        <v>33.458472</v>
      </c>
      <c r="AJ32" s="27">
        <f t="shared" ref="AJ32:AJ34" si="285">IF(AND(AH32&gt;0,AF32&gt;0,AC32&gt;0),((AC32-AF32)*AH32)/((AH32-AF32)*AC32),0)</f>
        <v>0.8736936144759524</v>
      </c>
      <c r="AK32" s="58">
        <f t="shared" si="6"/>
        <v>0.88309683306935238</v>
      </c>
      <c r="AL32" s="11">
        <v>172</v>
      </c>
      <c r="AM32" s="13">
        <v>9.0999999999999998E-2</v>
      </c>
      <c r="AN32" s="14">
        <v>0.21740000000000001</v>
      </c>
      <c r="AO32" s="101">
        <v>0.2079</v>
      </c>
      <c r="AP32" s="29">
        <f>AL32*(1-AM32)*AN32</f>
        <v>33.990055200000008</v>
      </c>
      <c r="AQ32" s="102">
        <f t="shared" ref="AQ32" si="286">AL32*(1-AM32)*AO32</f>
        <v>32.504749200000006</v>
      </c>
      <c r="AR32" s="18">
        <v>1.55</v>
      </c>
      <c r="AS32" s="18">
        <v>1008.42</v>
      </c>
      <c r="AT32" s="79">
        <f>AT30+AL32-AS32</f>
        <v>1513.8199999999993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55</v>
      </c>
      <c r="D33" s="33">
        <v>20032</v>
      </c>
      <c r="E33" s="33">
        <v>5</v>
      </c>
      <c r="F33" s="33">
        <v>19612</v>
      </c>
      <c r="G33" s="34">
        <v>0.7</v>
      </c>
      <c r="H33" s="34">
        <v>3.6</v>
      </c>
      <c r="I33" s="33">
        <v>18704</v>
      </c>
      <c r="J33" s="34">
        <v>2.5</v>
      </c>
      <c r="K33" s="33">
        <v>14975</v>
      </c>
      <c r="L33" s="35">
        <v>7.0999999999999994E-2</v>
      </c>
      <c r="M33" s="36">
        <f>ROUND(K33*(1-L33),0)</f>
        <v>13912</v>
      </c>
      <c r="N33" s="37">
        <v>0.46600000000000003</v>
      </c>
      <c r="O33" s="24">
        <f t="shared" si="275"/>
        <v>6482.9920000000002</v>
      </c>
      <c r="P33" s="35">
        <v>0.50600000000000001</v>
      </c>
      <c r="Q33" s="24">
        <f t="shared" si="276"/>
        <v>7039.4719999999998</v>
      </c>
      <c r="R33" s="38">
        <v>2.8000000000000001E-2</v>
      </c>
      <c r="S33" s="105">
        <v>0.24859999999999999</v>
      </c>
      <c r="T33" s="24">
        <f t="shared" si="277"/>
        <v>389.536</v>
      </c>
      <c r="U33" s="27">
        <v>0.25900000000000001</v>
      </c>
      <c r="V33" s="24">
        <f t="shared" si="278"/>
        <v>3603.2080000000001</v>
      </c>
      <c r="W33" s="38">
        <v>0.47899999999999998</v>
      </c>
      <c r="X33" s="24">
        <f t="shared" si="279"/>
        <v>6663.848</v>
      </c>
      <c r="Y33" s="38">
        <v>0.46</v>
      </c>
      <c r="Z33" s="24">
        <f t="shared" si="280"/>
        <v>6399.52</v>
      </c>
      <c r="AA33" s="117">
        <v>2.5400000000000002E-3</v>
      </c>
      <c r="AB33" s="18">
        <f t="shared" si="61"/>
        <v>35.336480000000002</v>
      </c>
      <c r="AC33" s="39">
        <v>2.3900000000000002E-3</v>
      </c>
      <c r="AD33" s="17">
        <f t="shared" si="282"/>
        <v>33.249680000000005</v>
      </c>
      <c r="AE33" s="26">
        <f>IF(M33&gt;0,(AG33+AP33)/M33,0)</f>
        <v>2.76976058079356E-3</v>
      </c>
      <c r="AF33" s="39">
        <v>3.2000000000000003E-4</v>
      </c>
      <c r="AG33" s="36">
        <f t="shared" si="283"/>
        <v>4.4518400000000007</v>
      </c>
      <c r="AH33" s="27">
        <v>0.2155</v>
      </c>
      <c r="AI33" s="40">
        <f t="shared" si="284"/>
        <v>33.814320500000001</v>
      </c>
      <c r="AJ33" s="27">
        <f t="shared" si="285"/>
        <v>0.86739680042124889</v>
      </c>
      <c r="AK33" s="28">
        <f t="shared" si="6"/>
        <v>0.88577155253065565</v>
      </c>
      <c r="AL33" s="33">
        <v>173</v>
      </c>
      <c r="AM33" s="35">
        <v>9.2999999999999999E-2</v>
      </c>
      <c r="AN33" s="37">
        <v>0.2172</v>
      </c>
      <c r="AO33" s="103">
        <v>0.2051</v>
      </c>
      <c r="AP33" s="40">
        <f>AL33*(1-AM33)*AN33</f>
        <v>34.081069200000002</v>
      </c>
      <c r="AQ33" s="104">
        <f t="shared" si="21"/>
        <v>32.1824461</v>
      </c>
      <c r="AR33" s="41">
        <v>1.56</v>
      </c>
      <c r="AS33" s="41"/>
      <c r="AT33" s="129">
        <f>AT32+AL33-AS33</f>
        <v>1686.8199999999993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0" t="s">
        <v>57</v>
      </c>
      <c r="D34" s="42">
        <v>20500</v>
      </c>
      <c r="E34" s="42">
        <v>3</v>
      </c>
      <c r="F34" s="42">
        <v>14458</v>
      </c>
      <c r="G34" s="36">
        <v>0.5</v>
      </c>
      <c r="H34" s="36">
        <v>3.2</v>
      </c>
      <c r="I34" s="42">
        <v>14666</v>
      </c>
      <c r="J34" s="36">
        <v>1</v>
      </c>
      <c r="K34" s="42">
        <v>10001</v>
      </c>
      <c r="L34" s="38">
        <v>7.3999999999999996E-2</v>
      </c>
      <c r="M34" s="36">
        <f>ROUND(K34*(1-L34),0)</f>
        <v>9261</v>
      </c>
      <c r="N34" s="27">
        <v>0.63600000000000001</v>
      </c>
      <c r="O34" s="24">
        <f t="shared" si="275"/>
        <v>5889.9960000000001</v>
      </c>
      <c r="P34" s="38">
        <v>0.32700000000000001</v>
      </c>
      <c r="Q34" s="24">
        <f t="shared" si="276"/>
        <v>3028.3470000000002</v>
      </c>
      <c r="R34" s="38">
        <v>3.6999999999999998E-2</v>
      </c>
      <c r="S34" s="105">
        <v>0.23130000000000001</v>
      </c>
      <c r="T34" s="24">
        <f t="shared" si="277"/>
        <v>342.65699999999998</v>
      </c>
      <c r="U34" s="27">
        <v>0.20499999999999999</v>
      </c>
      <c r="V34" s="24">
        <f t="shared" si="278"/>
        <v>1898.5049999999999</v>
      </c>
      <c r="W34" s="38">
        <v>0.51900000000000002</v>
      </c>
      <c r="X34" s="24">
        <f t="shared" si="279"/>
        <v>4806.4589999999998</v>
      </c>
      <c r="Y34" s="38">
        <v>0.48</v>
      </c>
      <c r="Z34" s="24">
        <f t="shared" si="280"/>
        <v>4445.28</v>
      </c>
      <c r="AA34" s="118">
        <v>2.47E-3</v>
      </c>
      <c r="AB34" s="121">
        <f t="shared" si="61"/>
        <v>22.874669999999998</v>
      </c>
      <c r="AC34" s="45">
        <v>2.31E-3</v>
      </c>
      <c r="AD34" s="17">
        <f t="shared" si="282"/>
        <v>21.392910000000001</v>
      </c>
      <c r="AE34" s="26">
        <f>IF(M34&gt;0,(AG34+AP34)/M34,0)</f>
        <v>3.0346395637620132E-3</v>
      </c>
      <c r="AF34" s="45">
        <v>2.7E-4</v>
      </c>
      <c r="AG34" s="36">
        <f t="shared" si="283"/>
        <v>2.50047</v>
      </c>
      <c r="AH34" s="27">
        <v>0.21049999999999999</v>
      </c>
      <c r="AI34" s="40">
        <f t="shared" si="284"/>
        <v>24.006682999999999</v>
      </c>
      <c r="AJ34" s="27">
        <f t="shared" si="285"/>
        <v>0.88425107689722637</v>
      </c>
      <c r="AK34" s="28">
        <f t="shared" si="6"/>
        <v>0.91212431180713571</v>
      </c>
      <c r="AL34" s="42">
        <v>127</v>
      </c>
      <c r="AM34" s="38">
        <v>0.10199999999999999</v>
      </c>
      <c r="AN34" s="27">
        <v>0.22450000000000001</v>
      </c>
      <c r="AO34" s="105">
        <v>0.20860000000000001</v>
      </c>
      <c r="AP34" s="40">
        <f>AL34*(1-AM34)*AN34</f>
        <v>25.603327000000004</v>
      </c>
      <c r="AQ34" s="106">
        <f t="shared" si="21"/>
        <v>23.789995600000001</v>
      </c>
      <c r="AR34" s="17">
        <v>1.5</v>
      </c>
      <c r="AS34" s="17"/>
      <c r="AT34" s="129">
        <f>AT33+AL34-AS34</f>
        <v>1813.8199999999993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7">SUM(D32:D34)</f>
        <v>47032</v>
      </c>
      <c r="E35" s="49"/>
      <c r="F35" s="49">
        <f t="shared" ref="F35" si="288">SUM(F32:F34)</f>
        <v>43303</v>
      </c>
      <c r="G35" s="50"/>
      <c r="H35" s="50"/>
      <c r="I35" s="49">
        <f t="shared" ref="I35:K35" si="289">SUM(I32:I34)</f>
        <v>42840</v>
      </c>
      <c r="J35" s="50"/>
      <c r="K35" s="49">
        <f t="shared" si="289"/>
        <v>40757</v>
      </c>
      <c r="L35" s="20">
        <f t="shared" ref="L35" si="290">IF(K35&gt;0,(K32*L32+K33*L33+K34*L34)/K35,0)</f>
        <v>7.0961748902029095E-2</v>
      </c>
      <c r="M35" s="50">
        <f t="shared" ref="M35" si="291">M32+M33+M34</f>
        <v>37865</v>
      </c>
      <c r="N35" s="51">
        <f t="shared" ref="N35" si="292">IF(M35&gt;0,O35/M35,0)</f>
        <v>0.55801980720982436</v>
      </c>
      <c r="O35" s="52">
        <f t="shared" ref="O35" si="293">O32+O33+O34</f>
        <v>21129.42</v>
      </c>
      <c r="P35" s="20">
        <f t="shared" ref="P35" si="294">IF(M35&gt;0,Q35/M35,0)</f>
        <v>0.40246673709230163</v>
      </c>
      <c r="Q35" s="52">
        <f t="shared" ref="Q35" si="295">Q32+Q33+Q34</f>
        <v>15239.403</v>
      </c>
      <c r="R35" s="20">
        <f t="shared" ref="R35" si="296">IF(M35&gt;0,T35/M35,0)</f>
        <v>3.9513455697874025E-2</v>
      </c>
      <c r="S35" s="107"/>
      <c r="T35" s="52">
        <f t="shared" ref="T35" si="297">T32+T33+T34</f>
        <v>1496.1769999999999</v>
      </c>
      <c r="U35" s="20">
        <f t="shared" ref="U35" si="298">IF(M35&gt;0,V35/M35,0)</f>
        <v>0.23880853030503099</v>
      </c>
      <c r="V35" s="52">
        <f t="shared" ref="V35" si="299">V32+V33+V34</f>
        <v>9042.4849999999988</v>
      </c>
      <c r="W35" s="20">
        <f t="shared" ref="W35" si="300">IF(M35&gt;0,X35/M35,0)</f>
        <v>0.49654337778951535</v>
      </c>
      <c r="X35" s="52">
        <f t="shared" ref="X35" si="301">X32+X33+X34</f>
        <v>18801.614999999998</v>
      </c>
      <c r="Y35" s="20">
        <f t="shared" ref="Y35" si="302">IF(M35&gt;0,Z35/M35,0)</f>
        <v>0.45713138782516832</v>
      </c>
      <c r="Z35" s="52">
        <f t="shared" ref="Z35" si="303">Z32+Z33+Z34</f>
        <v>17309.28</v>
      </c>
      <c r="AA35" s="119">
        <f t="shared" ref="AA35" si="304">IF(M35&gt;0,AB35/M35,0)</f>
        <v>2.5422799418988507E-3</v>
      </c>
      <c r="AB35" s="54">
        <f t="shared" ref="AB35" si="305">SUM(AB32:AB34)</f>
        <v>96.263429999999985</v>
      </c>
      <c r="AC35" s="53">
        <f t="shared" ref="AC35" si="306">IF(M35&gt;0,AD35/M35,0)</f>
        <v>2.3859540472732079E-3</v>
      </c>
      <c r="AD35" s="54">
        <f t="shared" ref="AD35" si="307">SUM(AD32:AD34)</f>
        <v>90.344150000000013</v>
      </c>
      <c r="AE35" s="53">
        <f t="shared" ref="AE35" si="308">IF(M35&gt;0,(AE32*M32+AE33*M33+AE34*M34)/M35,0)</f>
        <v>2.7777969470487262E-3</v>
      </c>
      <c r="AF35" s="53">
        <f t="shared" ref="AF35" si="309">IF(K35&gt;0,(K32*AF32+K33*AF33+K34*AF34)/K35,0)</f>
        <v>3.0385896901145815E-4</v>
      </c>
      <c r="AG35" s="50">
        <f t="shared" ref="AG35" si="310">SUM(AG32:AG34)</f>
        <v>11.506830000000001</v>
      </c>
      <c r="AH35" s="51">
        <f t="shared" ref="AH35" si="311">IF(K35&gt;0,(K32*AH32+K33*AH33+K34*AH34)/K35,0)</f>
        <v>0.21369229825551439</v>
      </c>
      <c r="AI35" s="56">
        <f t="shared" ref="AI35" si="312">SUM(AI32:AI34)</f>
        <v>91.279475500000004</v>
      </c>
      <c r="AJ35" s="51">
        <f t="shared" ref="AJ35" si="313">IF(AND(AD35&gt;0),((AD32*AJ32+AD33*AJ33+AD34*AJ34)/AD35),0)</f>
        <v>0.87387611429545697</v>
      </c>
      <c r="AK35" s="55">
        <f t="shared" si="6"/>
        <v>0.89184856336025187</v>
      </c>
      <c r="AL35" s="49">
        <f t="shared" ref="AL35" si="314">SUM(AL32:AL34)</f>
        <v>472</v>
      </c>
      <c r="AM35" s="20">
        <f t="shared" ref="AM35" si="315">IF(AL35&gt;0,(AM32*AL32+AM33*AL33+AM34*AL34)/AL35,0)</f>
        <v>9.4692796610169494E-2</v>
      </c>
      <c r="AN35" s="51">
        <f>IF(K35&gt;0,(AN32*K32+AN33*K33+AN34*K34)/K35,0)</f>
        <v>0.21906872193733595</v>
      </c>
      <c r="AO35" s="107">
        <f>IF(L35&gt;0,(AO32*K32+AO33*K33+AO34*K34)/K35,0)</f>
        <v>0.20704298648084993</v>
      </c>
      <c r="AP35" s="56">
        <f t="shared" ref="AP35" si="316">SUM(AP32:AP34)</f>
        <v>93.674451400000009</v>
      </c>
      <c r="AQ35" s="108">
        <f t="shared" si="228"/>
        <v>88.477190900000011</v>
      </c>
      <c r="AR35" s="54"/>
      <c r="AS35" s="54">
        <f t="shared" ref="AS35" si="317">SUM(AS32:AS34)</f>
        <v>1008.42</v>
      </c>
      <c r="AT35" s="83"/>
      <c r="AU35" s="84">
        <f>AT34</f>
        <v>1813.8199999999993</v>
      </c>
      <c r="AV35" s="49">
        <f t="shared" ref="AV35" si="318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58</v>
      </c>
      <c r="D36" s="11">
        <v>20000</v>
      </c>
      <c r="E36" s="11">
        <v>0</v>
      </c>
      <c r="F36" s="11">
        <v>20061</v>
      </c>
      <c r="G36" s="12">
        <v>0.4</v>
      </c>
      <c r="H36" s="12">
        <v>3.8</v>
      </c>
      <c r="I36" s="11">
        <v>19596</v>
      </c>
      <c r="J36" s="12">
        <v>1.5</v>
      </c>
      <c r="K36" s="11">
        <v>16830</v>
      </c>
      <c r="L36" s="13">
        <v>6.8000000000000005E-2</v>
      </c>
      <c r="M36" s="23">
        <f>ROUND(K36*(1-L36),0)</f>
        <v>15686</v>
      </c>
      <c r="N36" s="14">
        <v>0.59699999999999998</v>
      </c>
      <c r="O36" s="24">
        <f t="shared" ref="O36:O38" si="319">M36*N36</f>
        <v>9364.5419999999995</v>
      </c>
      <c r="P36" s="13">
        <v>0.34599999999999997</v>
      </c>
      <c r="Q36" s="24">
        <f t="shared" ref="Q36:Q38" si="320">M36*P36</f>
        <v>5427.3559999999998</v>
      </c>
      <c r="R36" s="15">
        <v>5.7000000000000002E-2</v>
      </c>
      <c r="S36" s="112">
        <v>0.2792</v>
      </c>
      <c r="T36" s="24">
        <f t="shared" ref="T36:T38" si="321">M36*R36</f>
        <v>894.10199999999998</v>
      </c>
      <c r="U36" s="25">
        <v>0.251</v>
      </c>
      <c r="V36" s="24">
        <f t="shared" ref="V36:V38" si="322">M36*U36</f>
        <v>3937.1860000000001</v>
      </c>
      <c r="W36" s="15">
        <v>0.47399999999999998</v>
      </c>
      <c r="X36" s="24">
        <f t="shared" ref="X36:X38" si="323">M36*W36</f>
        <v>7435.1639999999998</v>
      </c>
      <c r="Y36" s="15">
        <v>0.43</v>
      </c>
      <c r="Z36" s="24">
        <f t="shared" ref="Z36:Z38" si="324">Y36*M36</f>
        <v>6744.98</v>
      </c>
      <c r="AA36" s="116">
        <v>2.5400000000000002E-3</v>
      </c>
      <c r="AB36" s="18">
        <f t="shared" ref="AB36" si="325">M36*AA36</f>
        <v>39.842440000000003</v>
      </c>
      <c r="AC36" s="16">
        <v>2.5300000000000001E-3</v>
      </c>
      <c r="AD36" s="17">
        <f t="shared" ref="AD36:AD38" si="326">M36*AC36</f>
        <v>39.685580000000002</v>
      </c>
      <c r="AE36" s="26">
        <f>IF(M36&gt;0,(AG36+AP36)/M36,0)</f>
        <v>2.704989417314803E-3</v>
      </c>
      <c r="AF36" s="16">
        <v>2.5999999999999998E-4</v>
      </c>
      <c r="AG36" s="23">
        <f t="shared" ref="AG36:AG38" si="327">AF36*M36</f>
        <v>4.07836</v>
      </c>
      <c r="AH36" s="92">
        <v>0.20910000000000001</v>
      </c>
      <c r="AI36" s="29">
        <f t="shared" ref="AI36:AI38" si="328">AL36*(1-AM36)*AH36</f>
        <v>37.213108800000008</v>
      </c>
      <c r="AJ36" s="27">
        <f t="shared" ref="AJ36:AJ38" si="329">IF(AND(AH36&gt;0,AF36&gt;0,AC36&gt;0),((AC36-AF36)*AH36)/((AH36-AF36)*AC36),0)</f>
        <v>0.89835023199862529</v>
      </c>
      <c r="AK36" s="58">
        <f t="shared" si="6"/>
        <v>0.90497317149435053</v>
      </c>
      <c r="AL36" s="11">
        <v>196</v>
      </c>
      <c r="AM36" s="13">
        <v>9.1999999999999998E-2</v>
      </c>
      <c r="AN36" s="14">
        <v>0.2155</v>
      </c>
      <c r="AO36" s="101">
        <v>0.20349999999999999</v>
      </c>
      <c r="AP36" s="29">
        <f>AL36*(1-AM36)*AN36</f>
        <v>38.352104000000004</v>
      </c>
      <c r="AQ36" s="102">
        <f t="shared" ref="AQ36" si="330">AL36*(1-AM36)*AO36</f>
        <v>36.216487999999998</v>
      </c>
      <c r="AR36" s="18">
        <v>1.55</v>
      </c>
      <c r="AS36" s="18"/>
      <c r="AT36" s="79">
        <f>AT34+AL36-AS36</f>
        <v>2009.8199999999993</v>
      </c>
      <c r="AU36" s="80"/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53</v>
      </c>
      <c r="D37" s="33">
        <v>17525</v>
      </c>
      <c r="E37" s="33">
        <v>1</v>
      </c>
      <c r="F37" s="33">
        <v>11667</v>
      </c>
      <c r="G37" s="34">
        <v>0.1</v>
      </c>
      <c r="H37" s="34">
        <v>2.8</v>
      </c>
      <c r="I37" s="33">
        <v>11831</v>
      </c>
      <c r="J37" s="34">
        <v>2.5</v>
      </c>
      <c r="K37" s="33">
        <v>16491</v>
      </c>
      <c r="L37" s="35">
        <v>6.8000000000000005E-2</v>
      </c>
      <c r="M37" s="36">
        <f>ROUND(K37*(1-L37),0)</f>
        <v>15370</v>
      </c>
      <c r="N37" s="37">
        <v>0.74199999999999999</v>
      </c>
      <c r="O37" s="24">
        <f t="shared" si="319"/>
        <v>11404.539999999999</v>
      </c>
      <c r="P37" s="35">
        <v>0.22900000000000001</v>
      </c>
      <c r="Q37" s="24">
        <f t="shared" si="320"/>
        <v>3519.73</v>
      </c>
      <c r="R37" s="38">
        <v>2.9000000000000001E-2</v>
      </c>
      <c r="S37" s="105">
        <v>0.27510000000000001</v>
      </c>
      <c r="T37" s="24">
        <f t="shared" si="321"/>
        <v>445.73</v>
      </c>
      <c r="U37" s="27">
        <v>0.254</v>
      </c>
      <c r="V37" s="24">
        <f t="shared" si="322"/>
        <v>3903.98</v>
      </c>
      <c r="W37" s="38">
        <v>0.46600000000000003</v>
      </c>
      <c r="X37" s="24">
        <f t="shared" si="323"/>
        <v>7162.42</v>
      </c>
      <c r="Y37" s="38">
        <v>0.44</v>
      </c>
      <c r="Z37" s="24">
        <f t="shared" si="324"/>
        <v>6762.8</v>
      </c>
      <c r="AA37" s="117">
        <v>2.6900000000000001E-3</v>
      </c>
      <c r="AB37" s="18">
        <f t="shared" si="61"/>
        <v>41.345300000000002</v>
      </c>
      <c r="AC37" s="39">
        <v>2.6800000000000001E-3</v>
      </c>
      <c r="AD37" s="17">
        <f t="shared" si="326"/>
        <v>41.191600000000001</v>
      </c>
      <c r="AE37" s="26">
        <f>IF(M37&gt;0,(AG37+AP37)/M37,0)</f>
        <v>2.7347024723487316E-3</v>
      </c>
      <c r="AF37" s="39">
        <v>2.5000000000000001E-4</v>
      </c>
      <c r="AG37" s="36">
        <f t="shared" si="327"/>
        <v>3.8425000000000002</v>
      </c>
      <c r="AH37" s="27">
        <v>0.20749999999999999</v>
      </c>
      <c r="AI37" s="40">
        <f t="shared" si="328"/>
        <v>36.184472499999998</v>
      </c>
      <c r="AJ37" s="27">
        <f t="shared" si="329"/>
        <v>0.90781016509731194</v>
      </c>
      <c r="AK37" s="28">
        <f t="shared" si="6"/>
        <v>0.90962075672556608</v>
      </c>
      <c r="AL37" s="33">
        <v>191</v>
      </c>
      <c r="AM37" s="35">
        <v>8.6999999999999994E-2</v>
      </c>
      <c r="AN37" s="37">
        <v>0.219</v>
      </c>
      <c r="AO37" s="103">
        <v>0.2145</v>
      </c>
      <c r="AP37" s="40">
        <f>AL37*(1-AM37)*AN37</f>
        <v>38.189877000000003</v>
      </c>
      <c r="AQ37" s="104">
        <f t="shared" si="21"/>
        <v>37.405153500000004</v>
      </c>
      <c r="AR37" s="41">
        <v>1.57</v>
      </c>
      <c r="AS37" s="41"/>
      <c r="AT37" s="129">
        <f>AT36+AL37-AS37</f>
        <v>2200.8199999999993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0" t="s">
        <v>57</v>
      </c>
      <c r="D38" s="42">
        <v>16745</v>
      </c>
      <c r="E38" s="42">
        <v>1</v>
      </c>
      <c r="F38" s="42">
        <v>19622</v>
      </c>
      <c r="G38" s="36">
        <v>0.2</v>
      </c>
      <c r="H38" s="36">
        <v>3.3</v>
      </c>
      <c r="I38" s="42">
        <v>18924</v>
      </c>
      <c r="J38" s="36">
        <v>1.8</v>
      </c>
      <c r="K38" s="42">
        <v>16559</v>
      </c>
      <c r="L38" s="38">
        <v>6.7000000000000004E-2</v>
      </c>
      <c r="M38" s="36">
        <f>ROUND(K38*(1-L38),0)</f>
        <v>15450</v>
      </c>
      <c r="N38" s="27">
        <v>0.70199999999999996</v>
      </c>
      <c r="O38" s="24">
        <f t="shared" si="319"/>
        <v>10845.9</v>
      </c>
      <c r="P38" s="38">
        <v>0.27</v>
      </c>
      <c r="Q38" s="24">
        <f t="shared" si="320"/>
        <v>4171.5</v>
      </c>
      <c r="R38" s="38">
        <v>2.8000000000000001E-2</v>
      </c>
      <c r="S38" s="105">
        <v>0.28889999999999999</v>
      </c>
      <c r="T38" s="24">
        <f t="shared" si="321"/>
        <v>432.6</v>
      </c>
      <c r="U38" s="27">
        <v>0.26800000000000002</v>
      </c>
      <c r="V38" s="24">
        <f t="shared" si="322"/>
        <v>4140.6000000000004</v>
      </c>
      <c r="W38" s="38">
        <v>0.46200000000000002</v>
      </c>
      <c r="X38" s="24">
        <f t="shared" si="323"/>
        <v>7137.9000000000005</v>
      </c>
      <c r="Y38" s="38">
        <v>0.45</v>
      </c>
      <c r="Z38" s="24">
        <f t="shared" si="324"/>
        <v>6952.5</v>
      </c>
      <c r="AA38" s="118">
        <v>2.6900000000000001E-3</v>
      </c>
      <c r="AB38" s="121">
        <f t="shared" si="61"/>
        <v>41.560500000000005</v>
      </c>
      <c r="AC38" s="45">
        <v>2.7100000000000002E-3</v>
      </c>
      <c r="AD38" s="17">
        <f t="shared" si="326"/>
        <v>41.869500000000002</v>
      </c>
      <c r="AE38" s="26">
        <f>IF(M38&gt;0,(AG38+AP38)/M38,0)</f>
        <v>2.8644104854368938E-3</v>
      </c>
      <c r="AF38" s="45">
        <v>2.7999999999999998E-4</v>
      </c>
      <c r="AG38" s="36">
        <f t="shared" si="327"/>
        <v>4.3259999999999996</v>
      </c>
      <c r="AH38" s="27">
        <v>0.21190000000000001</v>
      </c>
      <c r="AI38" s="40">
        <f t="shared" si="328"/>
        <v>38.112545900000008</v>
      </c>
      <c r="AJ38" s="27">
        <f t="shared" si="329"/>
        <v>0.89786538636580016</v>
      </c>
      <c r="AK38" s="28">
        <f t="shared" si="6"/>
        <v>0.90338805553248136</v>
      </c>
      <c r="AL38" s="42">
        <v>197</v>
      </c>
      <c r="AM38" s="38">
        <v>8.6999999999999994E-2</v>
      </c>
      <c r="AN38" s="27">
        <v>0.222</v>
      </c>
      <c r="AO38" s="105">
        <v>0.21540000000000001</v>
      </c>
      <c r="AP38" s="40">
        <f>AL38*(1-AM38)*AN38</f>
        <v>39.929142000000006</v>
      </c>
      <c r="AQ38" s="106">
        <f t="shared" si="21"/>
        <v>38.742059400000002</v>
      </c>
      <c r="AR38" s="17">
        <v>1.55</v>
      </c>
      <c r="AS38" s="17"/>
      <c r="AT38" s="129">
        <f>AT37+AL38-AS38</f>
        <v>2397.8199999999993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1">SUM(D36:D38)</f>
        <v>54270</v>
      </c>
      <c r="E39" s="49"/>
      <c r="F39" s="49">
        <f t="shared" ref="F39" si="332">SUM(F36:F38)</f>
        <v>51350</v>
      </c>
      <c r="G39" s="50"/>
      <c r="H39" s="50"/>
      <c r="I39" s="49">
        <f t="shared" ref="I39:K39" si="333">SUM(I36:I38)</f>
        <v>50351</v>
      </c>
      <c r="J39" s="50"/>
      <c r="K39" s="49">
        <f t="shared" si="333"/>
        <v>49880</v>
      </c>
      <c r="L39" s="20">
        <f t="shared" ref="L39" si="334">IF(K39&gt;0,(K36*L36+K37*L37+K38*L38)/K39,0)</f>
        <v>6.7668023255813961E-2</v>
      </c>
      <c r="M39" s="50">
        <f t="shared" ref="M39" si="335">M36+M37+M38</f>
        <v>46506</v>
      </c>
      <c r="N39" s="51">
        <f t="shared" ref="N39" si="336">IF(M39&gt;0,O39/M39,0)</f>
        <v>0.67980436932868871</v>
      </c>
      <c r="O39" s="52">
        <f t="shared" ref="O39" si="337">O36+O37+O38</f>
        <v>31614.981999999996</v>
      </c>
      <c r="P39" s="20">
        <f t="shared" ref="P39" si="338">IF(M39&gt;0,Q39/M39,0)</f>
        <v>0.2820837311314669</v>
      </c>
      <c r="Q39" s="52">
        <f t="shared" ref="Q39" si="339">Q36+Q37+Q38</f>
        <v>13118.585999999999</v>
      </c>
      <c r="R39" s="20">
        <f t="shared" ref="R39" si="340">IF(M39&gt;0,T39/M39,0)</f>
        <v>3.811189953984432E-2</v>
      </c>
      <c r="S39" s="107"/>
      <c r="T39" s="52">
        <f t="shared" ref="T39" si="341">T36+T37+T38</f>
        <v>1772.4319999999998</v>
      </c>
      <c r="U39" s="20">
        <f t="shared" ref="U39" si="342">IF(M39&gt;0,V39/M39,0)</f>
        <v>0.25763914333634369</v>
      </c>
      <c r="V39" s="52">
        <f t="shared" ref="V39" si="343">V36+V37+V38</f>
        <v>11981.766</v>
      </c>
      <c r="W39" s="20">
        <f t="shared" ref="W39" si="344">IF(M39&gt;0,X39/M39,0)</f>
        <v>0.46736945770438226</v>
      </c>
      <c r="X39" s="52">
        <f t="shared" ref="X39" si="345">X36+X37+X38</f>
        <v>21735.484</v>
      </c>
      <c r="Y39" s="20">
        <f t="shared" ref="Y39" si="346">IF(M39&gt;0,Z39/M39,0)</f>
        <v>0.439949253859717</v>
      </c>
      <c r="Z39" s="52">
        <f t="shared" ref="Z39" si="347">Z36+Z37+Z38</f>
        <v>20460.28</v>
      </c>
      <c r="AA39" s="119">
        <f t="shared" ref="AA39" si="348">IF(M39&gt;0,AB39/M39,0)</f>
        <v>2.639406528189911E-3</v>
      </c>
      <c r="AB39" s="54">
        <f t="shared" ref="AB39" si="349">SUM(AB36:AB38)</f>
        <v>122.74824000000001</v>
      </c>
      <c r="AC39" s="53">
        <f t="shared" ref="AC39" si="350">IF(M39&gt;0,AD39/M39,0)</f>
        <v>2.6393729841310801E-3</v>
      </c>
      <c r="AD39" s="54">
        <f t="shared" ref="AD39" si="351">SUM(AD36:AD38)</f>
        <v>122.74668000000001</v>
      </c>
      <c r="AE39" s="53">
        <f t="shared" ref="AE39" si="352">IF(M39&gt;0,(AE36*M36+AE37*M37+AE38*M38)/M39,0)</f>
        <v>2.7677715348557175E-3</v>
      </c>
      <c r="AF39" s="53">
        <f t="shared" ref="AF39" si="353">IF(K39&gt;0,(K36*AF36+K37*AF37+K38*AF38)/K39,0)</f>
        <v>2.633334001603849E-4</v>
      </c>
      <c r="AG39" s="50">
        <f t="shared" ref="AG39" si="354">SUM(AG36:AG38)</f>
        <v>12.24686</v>
      </c>
      <c r="AH39" s="51">
        <f t="shared" ref="AH39" si="355">IF(K39&gt;0,(K36*AH36+K37*AH37+K38*AH38)/K39,0)</f>
        <v>0.20950055332798717</v>
      </c>
      <c r="AI39" s="56">
        <f t="shared" ref="AI39" si="356">SUM(AI36:AI38)</f>
        <v>111.51012720000003</v>
      </c>
      <c r="AJ39" s="51">
        <f t="shared" ref="AJ39" si="357">IF(AND(AD39&gt;0),((AD36*AJ36+AD37*AJ37+AD38*AJ38)/AD39),0)</f>
        <v>0.90135943384428241</v>
      </c>
      <c r="AK39" s="55">
        <f t="shared" si="6"/>
        <v>0.90594751278342023</v>
      </c>
      <c r="AL39" s="49">
        <f t="shared" ref="AL39" si="358">SUM(AL36:AL38)</f>
        <v>584</v>
      </c>
      <c r="AM39" s="20">
        <f t="shared" ref="AM39" si="359">IF(AL39&gt;0,(AM36*AL36+AM37*AL37+AM38*AL38)/AL39,0)</f>
        <v>8.8678082191780819E-2</v>
      </c>
      <c r="AN39" s="51">
        <f>IF(K39&gt;0,(AN36*K36+AN37*K37+AN38*K38)/K39,0)</f>
        <v>0.2188149959903769</v>
      </c>
      <c r="AO39" s="107">
        <f>IF(L39&gt;0,(AO36*K36+AO37*K37+AO38*K38)/K39,0)</f>
        <v>0.21108727145148357</v>
      </c>
      <c r="AP39" s="56">
        <f t="shared" ref="AP39" si="360">SUM(AP36:AP38)</f>
        <v>116.47112300000001</v>
      </c>
      <c r="AQ39" s="108">
        <f t="shared" si="228"/>
        <v>112.36370090000001</v>
      </c>
      <c r="AR39" s="54"/>
      <c r="AS39" s="54">
        <f t="shared" ref="AS39" si="361">SUM(AS36:AS38)</f>
        <v>0</v>
      </c>
      <c r="AT39" s="83"/>
      <c r="AU39" s="84">
        <f>AT38</f>
        <v>2397.8199999999993</v>
      </c>
      <c r="AV39" s="49">
        <f t="shared" ref="AV39" si="362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58</v>
      </c>
      <c r="D40" s="11">
        <v>11200</v>
      </c>
      <c r="E40" s="11">
        <v>0</v>
      </c>
      <c r="F40" s="11">
        <v>14340</v>
      </c>
      <c r="G40" s="12">
        <v>0.2</v>
      </c>
      <c r="H40" s="12">
        <v>3.5</v>
      </c>
      <c r="I40" s="11">
        <v>14130</v>
      </c>
      <c r="J40" s="12">
        <v>1.7</v>
      </c>
      <c r="K40" s="11">
        <v>16439</v>
      </c>
      <c r="L40" s="13">
        <v>6.9000000000000006E-2</v>
      </c>
      <c r="M40" s="23">
        <f>ROUND(K40*(1-L40),0)</f>
        <v>15305</v>
      </c>
      <c r="N40" s="14">
        <v>0.66900000000000004</v>
      </c>
      <c r="O40" s="24">
        <f t="shared" ref="O40:O42" si="363">M40*N40</f>
        <v>10239.045</v>
      </c>
      <c r="P40" s="13">
        <v>0.312</v>
      </c>
      <c r="Q40" s="24">
        <f t="shared" ref="Q40:Q42" si="364">M40*P40</f>
        <v>4775.16</v>
      </c>
      <c r="R40" s="15">
        <v>1.9E-2</v>
      </c>
      <c r="S40" s="112">
        <v>0.28360000000000002</v>
      </c>
      <c r="T40" s="24">
        <f t="shared" ref="T40:T42" si="365">M40*R40</f>
        <v>290.79500000000002</v>
      </c>
      <c r="U40" s="25">
        <v>0.27700000000000002</v>
      </c>
      <c r="V40" s="24">
        <f t="shared" ref="V40:V42" si="366">M40*U40</f>
        <v>4239.4850000000006</v>
      </c>
      <c r="W40" s="15">
        <v>0.45400000000000001</v>
      </c>
      <c r="X40" s="24">
        <f t="shared" ref="X40:X42" si="367">M40*W40</f>
        <v>6948.47</v>
      </c>
      <c r="Y40" s="15">
        <v>0.45</v>
      </c>
      <c r="Z40" s="24">
        <f t="shared" ref="Z40:Z42" si="368">Y40*M40</f>
        <v>6887.25</v>
      </c>
      <c r="AA40" s="116">
        <v>2.8800000000000002E-3</v>
      </c>
      <c r="AB40" s="18">
        <f t="shared" ref="AB40" si="369">M40*AA40</f>
        <v>44.078400000000002</v>
      </c>
      <c r="AC40" s="16">
        <v>2.9299999999999999E-3</v>
      </c>
      <c r="AD40" s="17">
        <f t="shared" ref="AD40:AD42" si="370">M40*AC40</f>
        <v>44.843649999999997</v>
      </c>
      <c r="AE40" s="26">
        <f>IF(M40&gt;0,(AG40+AP40)/M40,0)</f>
        <v>2.9600721202221497E-3</v>
      </c>
      <c r="AF40" s="16">
        <v>2.7999999999999998E-4</v>
      </c>
      <c r="AG40" s="23">
        <f t="shared" ref="AG40:AG42" si="371">AF40*M40</f>
        <v>4.2853999999999992</v>
      </c>
      <c r="AH40" s="92">
        <v>0.2132</v>
      </c>
      <c r="AI40" s="29">
        <f t="shared" ref="AI40:AI42" si="372">AL40*(1-AM40)*AH40</f>
        <v>39.233490400000001</v>
      </c>
      <c r="AJ40" s="27">
        <f t="shared" ref="AJ40:AJ42" si="373">IF(AND(AH40&gt;0,AF40&gt;0,AC40&gt;0),((AC40-AF40)*AH40)/((AH40-AF40)*AC40),0)</f>
        <v>0.90562623786658325</v>
      </c>
      <c r="AK40" s="58">
        <f t="shared" si="6"/>
        <v>0.90654648544784244</v>
      </c>
      <c r="AL40" s="11">
        <v>202</v>
      </c>
      <c r="AM40" s="13">
        <v>8.8999999999999996E-2</v>
      </c>
      <c r="AN40" s="14">
        <v>0.22289999999999999</v>
      </c>
      <c r="AO40" s="101">
        <v>0.214</v>
      </c>
      <c r="AP40" s="29">
        <f>AL40*(1-AM40)*AN40</f>
        <v>41.018503800000005</v>
      </c>
      <c r="AQ40" s="102">
        <f t="shared" ref="AQ40" si="374">AL40*(1-AM40)*AO40</f>
        <v>39.380708000000006</v>
      </c>
      <c r="AR40" s="18">
        <v>1.55</v>
      </c>
      <c r="AS40" s="18"/>
      <c r="AT40" s="79">
        <f>AT38+AL40-AS40</f>
        <v>2599.8199999999993</v>
      </c>
      <c r="AU40" s="80"/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0" t="s">
        <v>53</v>
      </c>
      <c r="D41" s="33">
        <v>19500</v>
      </c>
      <c r="E41" s="33">
        <v>3</v>
      </c>
      <c r="F41" s="33">
        <v>19932</v>
      </c>
      <c r="G41" s="34">
        <v>0.3</v>
      </c>
      <c r="H41" s="34">
        <v>2.8</v>
      </c>
      <c r="I41" s="33">
        <v>19397</v>
      </c>
      <c r="J41" s="34">
        <v>0.9</v>
      </c>
      <c r="K41" s="33">
        <v>16957</v>
      </c>
      <c r="L41" s="35">
        <v>6.7000000000000004E-2</v>
      </c>
      <c r="M41" s="36">
        <f>ROUND(K41*(1-L41),0)</f>
        <v>15821</v>
      </c>
      <c r="N41" s="37">
        <v>0.67</v>
      </c>
      <c r="O41" s="24">
        <f t="shared" si="363"/>
        <v>10600.070000000002</v>
      </c>
      <c r="P41" s="35">
        <v>0.27900000000000003</v>
      </c>
      <c r="Q41" s="24">
        <f t="shared" si="364"/>
        <v>4414.0590000000002</v>
      </c>
      <c r="R41" s="38">
        <v>5.0999999999999997E-2</v>
      </c>
      <c r="S41" s="105">
        <v>0.2974</v>
      </c>
      <c r="T41" s="24">
        <f t="shared" si="365"/>
        <v>806.87099999999998</v>
      </c>
      <c r="U41" s="27">
        <v>0.28199999999999997</v>
      </c>
      <c r="V41" s="24">
        <f t="shared" si="366"/>
        <v>4461.5219999999999</v>
      </c>
      <c r="W41" s="38">
        <v>0.45500000000000002</v>
      </c>
      <c r="X41" s="24">
        <f t="shared" si="367"/>
        <v>7198.5550000000003</v>
      </c>
      <c r="Y41" s="38">
        <v>0.45</v>
      </c>
      <c r="Z41" s="24">
        <f t="shared" si="368"/>
        <v>7119.45</v>
      </c>
      <c r="AA41" s="117">
        <v>2.8900000000000002E-3</v>
      </c>
      <c r="AB41" s="18">
        <f t="shared" si="61"/>
        <v>45.72269</v>
      </c>
      <c r="AC41" s="39">
        <v>2.9199999999999999E-3</v>
      </c>
      <c r="AD41" s="17">
        <f t="shared" si="370"/>
        <v>46.197319999999998</v>
      </c>
      <c r="AE41" s="26">
        <f>IF(M41&gt;0,(AG41+AP41)/M41,0)</f>
        <v>3.113078389482334E-3</v>
      </c>
      <c r="AF41" s="39">
        <v>2.9E-4</v>
      </c>
      <c r="AG41" s="36">
        <f t="shared" si="371"/>
        <v>4.5880900000000002</v>
      </c>
      <c r="AH41" s="27">
        <v>0.21340000000000001</v>
      </c>
      <c r="AI41" s="40">
        <f t="shared" si="372"/>
        <v>43.011196800000008</v>
      </c>
      <c r="AJ41" s="27">
        <f t="shared" si="373"/>
        <v>0.90191058318972195</v>
      </c>
      <c r="AK41" s="28">
        <f t="shared" si="6"/>
        <v>0.90803293035265398</v>
      </c>
      <c r="AL41" s="33">
        <v>221</v>
      </c>
      <c r="AM41" s="35">
        <v>8.7999999999999995E-2</v>
      </c>
      <c r="AN41" s="37">
        <v>0.22159999999999999</v>
      </c>
      <c r="AO41" s="103">
        <v>0.21129999999999999</v>
      </c>
      <c r="AP41" s="40">
        <f>AL41*(1-AM41)*AN41</f>
        <v>44.663923200000006</v>
      </c>
      <c r="AQ41" s="104">
        <f t="shared" si="21"/>
        <v>42.587937600000004</v>
      </c>
      <c r="AR41" s="41">
        <v>1.68</v>
      </c>
      <c r="AS41" s="41"/>
      <c r="AT41" s="129">
        <f>AT40+AL41-AS41</f>
        <v>2820.8199999999993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54</v>
      </c>
      <c r="D42" s="42">
        <v>17690</v>
      </c>
      <c r="E42" s="42">
        <v>1</v>
      </c>
      <c r="F42" s="42">
        <v>14996</v>
      </c>
      <c r="G42" s="36">
        <v>0.5</v>
      </c>
      <c r="H42" s="36">
        <v>4.3</v>
      </c>
      <c r="I42" s="42">
        <v>15561</v>
      </c>
      <c r="J42" s="36">
        <v>2.8</v>
      </c>
      <c r="K42" s="42">
        <v>17018</v>
      </c>
      <c r="L42" s="38">
        <v>6.2E-2</v>
      </c>
      <c r="M42" s="36">
        <f>ROUND(K42*(1-L42),0)</f>
        <v>15963</v>
      </c>
      <c r="N42" s="27">
        <v>0.81499999999999995</v>
      </c>
      <c r="O42" s="24">
        <f t="shared" si="363"/>
        <v>13009.844999999999</v>
      </c>
      <c r="P42" s="38">
        <v>0.14799999999999999</v>
      </c>
      <c r="Q42" s="24">
        <f t="shared" si="364"/>
        <v>2362.5239999999999</v>
      </c>
      <c r="R42" s="38">
        <v>3.6999999999999998E-2</v>
      </c>
      <c r="S42" s="105">
        <v>0.28689999999999999</v>
      </c>
      <c r="T42" s="24">
        <f t="shared" si="365"/>
        <v>590.63099999999997</v>
      </c>
      <c r="U42" s="27">
        <v>0.28599999999999998</v>
      </c>
      <c r="V42" s="24">
        <f t="shared" si="366"/>
        <v>4565.4179999999997</v>
      </c>
      <c r="W42" s="38">
        <v>0.45600000000000002</v>
      </c>
      <c r="X42" s="24">
        <f t="shared" si="367"/>
        <v>7279.1280000000006</v>
      </c>
      <c r="Y42" s="38">
        <v>0.46</v>
      </c>
      <c r="Z42" s="24">
        <f t="shared" si="368"/>
        <v>7342.9800000000005</v>
      </c>
      <c r="AA42" s="118">
        <v>2.7100000000000002E-3</v>
      </c>
      <c r="AB42" s="121">
        <f t="shared" si="61"/>
        <v>43.259730000000005</v>
      </c>
      <c r="AC42" s="45">
        <v>2.65E-3</v>
      </c>
      <c r="AD42" s="17">
        <f t="shared" si="370"/>
        <v>42.301949999999998</v>
      </c>
      <c r="AE42" s="26">
        <f>IF(M42&gt;0,(AG42+AP42)/M42,0)</f>
        <v>2.8730554407066346E-3</v>
      </c>
      <c r="AF42" s="45">
        <v>2.7999999999999998E-4</v>
      </c>
      <c r="AG42" s="36">
        <f t="shared" si="371"/>
        <v>4.4696399999999992</v>
      </c>
      <c r="AH42" s="27">
        <v>0.2142</v>
      </c>
      <c r="AI42" s="40">
        <f t="shared" si="372"/>
        <v>40.046832000000002</v>
      </c>
      <c r="AJ42" s="27">
        <f t="shared" si="373"/>
        <v>0.89551022424182569</v>
      </c>
      <c r="AK42" s="28">
        <f t="shared" si="6"/>
        <v>0.90368565121140709</v>
      </c>
      <c r="AL42" s="42">
        <v>205</v>
      </c>
      <c r="AM42" s="38">
        <v>8.7999999999999995E-2</v>
      </c>
      <c r="AN42" s="27">
        <v>0.22140000000000001</v>
      </c>
      <c r="AO42" s="105">
        <v>0.2122</v>
      </c>
      <c r="AP42" s="40">
        <f>AL42*(1-AM42)*AN42</f>
        <v>41.392944000000007</v>
      </c>
      <c r="AQ42" s="106">
        <f t="shared" si="21"/>
        <v>39.672912000000004</v>
      </c>
      <c r="AR42" s="17">
        <v>1.6</v>
      </c>
      <c r="AS42" s="17"/>
      <c r="AT42" s="129">
        <f>AT41+AL42-AS42</f>
        <v>3025.8199999999993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5">SUM(D40:D42)</f>
        <v>48390</v>
      </c>
      <c r="E43" s="49"/>
      <c r="F43" s="49">
        <f t="shared" ref="F43" si="376">SUM(F40:F42)</f>
        <v>49268</v>
      </c>
      <c r="G43" s="50"/>
      <c r="H43" s="50"/>
      <c r="I43" s="49">
        <f t="shared" ref="I43:K43" si="377">SUM(I40:I42)</f>
        <v>49088</v>
      </c>
      <c r="J43" s="50"/>
      <c r="K43" s="49">
        <f t="shared" si="377"/>
        <v>50414</v>
      </c>
      <c r="L43" s="20">
        <f t="shared" ref="L43" si="378">IF(K43&gt;0,(K40*L40+K41*L41+K42*L42)/K43,0)</f>
        <v>6.5964335303685492E-2</v>
      </c>
      <c r="M43" s="50">
        <f t="shared" ref="M43" si="379">M40+M41+M42</f>
        <v>47089</v>
      </c>
      <c r="N43" s="51">
        <f t="shared" ref="N43" si="380">IF(M43&gt;0,O43/M43,0)</f>
        <v>0.7188294506147932</v>
      </c>
      <c r="O43" s="52">
        <f t="shared" ref="O43" si="381">O40+O41+O42</f>
        <v>33848.959999999999</v>
      </c>
      <c r="P43" s="20">
        <f t="shared" ref="P43" si="382">IF(M43&gt;0,Q43/M43,0)</f>
        <v>0.24531722907685446</v>
      </c>
      <c r="Q43" s="52">
        <f t="shared" ref="Q43" si="383">Q40+Q41+Q42</f>
        <v>11551.743</v>
      </c>
      <c r="R43" s="20">
        <f t="shared" ref="R43" si="384">IF(M43&gt;0,T43/M43,0)</f>
        <v>3.5853320308352268E-2</v>
      </c>
      <c r="S43" s="107"/>
      <c r="T43" s="52">
        <f t="shared" ref="T43" si="385">T40+T41+T42</f>
        <v>1688.297</v>
      </c>
      <c r="U43" s="20">
        <f t="shared" ref="U43" si="386">IF(M43&gt;0,V43/M43,0)</f>
        <v>0.28173087132876046</v>
      </c>
      <c r="V43" s="52">
        <f t="shared" ref="V43" si="387">V40+V41+V42</f>
        <v>13266.425000000001</v>
      </c>
      <c r="W43" s="20">
        <f t="shared" ref="W43" si="388">IF(M43&gt;0,X43/M43,0)</f>
        <v>0.45501397353946788</v>
      </c>
      <c r="X43" s="52">
        <f t="shared" ref="X43" si="389">X40+X41+X42</f>
        <v>21426.153000000002</v>
      </c>
      <c r="Y43" s="20">
        <f t="shared" ref="Y43" si="390">IF(M43&gt;0,Z43/M43,0)</f>
        <v>0.45338996368578649</v>
      </c>
      <c r="Z43" s="52">
        <f t="shared" ref="Z43" si="391">Z40+Z41+Z42</f>
        <v>21349.68</v>
      </c>
      <c r="AA43" s="119">
        <f t="shared" ref="AA43" si="392">IF(M43&gt;0,AB43/M43,0)</f>
        <v>2.825730425364735E-3</v>
      </c>
      <c r="AB43" s="54">
        <f t="shared" ref="AB43" si="393">SUM(AB40:AB42)</f>
        <v>133.06082000000001</v>
      </c>
      <c r="AC43" s="53">
        <f t="shared" ref="AC43" si="394">IF(M43&gt;0,AD43/M43,0)</f>
        <v>2.831721208774873E-3</v>
      </c>
      <c r="AD43" s="54">
        <f t="shared" ref="AD43" si="395">SUM(AD40:AD42)</f>
        <v>133.34291999999999</v>
      </c>
      <c r="AE43" s="53">
        <f t="shared" ref="AE43" si="396">IF(M43&gt;0,(AE40*M40+AE41*M41+AE42*M42)/M43,0)</f>
        <v>2.9819809509651941E-3</v>
      </c>
      <c r="AF43" s="53">
        <f t="shared" ref="AF43" si="397">IF(K43&gt;0,(K40*AF40+K41*AF41+K42*AF42)/K43,0)</f>
        <v>2.8336354980759313E-4</v>
      </c>
      <c r="AG43" s="50">
        <f t="shared" ref="AG43" si="398">SUM(AG40:AG42)</f>
        <v>13.343129999999999</v>
      </c>
      <c r="AH43" s="51">
        <f t="shared" ref="AH43" si="399">IF(K43&gt;0,(K40*AH40+K41*AH41+K42*AH42)/K43,0)</f>
        <v>0.2136048359582656</v>
      </c>
      <c r="AI43" s="56">
        <f t="shared" ref="AI43" si="400">SUM(AI40:AI42)</f>
        <v>122.29151920000001</v>
      </c>
      <c r="AJ43" s="51">
        <f t="shared" ref="AJ43" si="401">IF(AND(AD43&gt;0),((AD40*AJ40+AD41*AJ41+AD42*AJ42)/AD43),0)</f>
        <v>0.90112970823703664</v>
      </c>
      <c r="AK43" s="55">
        <f t="shared" si="6"/>
        <v>0.9061315531688664</v>
      </c>
      <c r="AL43" s="49">
        <f t="shared" ref="AL43" si="402">SUM(AL40:AL42)</f>
        <v>628</v>
      </c>
      <c r="AM43" s="20">
        <f t="shared" ref="AM43" si="403">IF(AL43&gt;0,(AM40*AL40+AM41*AL41+AM42*AL42)/AL43,0)</f>
        <v>8.8321656050955419E-2</v>
      </c>
      <c r="AN43" s="51">
        <f>IF(K43&gt;0,(AN40*K40+AN41*K41+AN42*K42)/K43,0)</f>
        <v>0.22195639108184237</v>
      </c>
      <c r="AO43" s="107">
        <f>IF(L43&gt;0,(AO40*K40+AO41*K41+AO42*K42)/K43,0)</f>
        <v>0.21248422462014521</v>
      </c>
      <c r="AP43" s="56">
        <f t="shared" ref="AP43:AQ55" si="404">SUM(AP40:AP42)</f>
        <v>127.07537100000002</v>
      </c>
      <c r="AQ43" s="108">
        <f t="shared" si="404"/>
        <v>121.6415576</v>
      </c>
      <c r="AR43" s="54"/>
      <c r="AS43" s="54">
        <f t="shared" ref="AS43" si="405">SUM(AS40:AS42)</f>
        <v>0</v>
      </c>
      <c r="AT43" s="83"/>
      <c r="AU43" s="84">
        <f>AT42</f>
        <v>3025.8199999999993</v>
      </c>
      <c r="AV43" s="49">
        <f t="shared" ref="AV43" si="406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2236</v>
      </c>
      <c r="E44" s="11">
        <v>0</v>
      </c>
      <c r="F44" s="11">
        <v>8720</v>
      </c>
      <c r="G44" s="12">
        <v>0.4</v>
      </c>
      <c r="H44" s="12">
        <v>3.9</v>
      </c>
      <c r="I44" s="11">
        <v>8463</v>
      </c>
      <c r="J44" s="12">
        <v>2.2999999999999998</v>
      </c>
      <c r="K44" s="11">
        <v>10877</v>
      </c>
      <c r="L44" s="13">
        <v>6.4000000000000001E-2</v>
      </c>
      <c r="M44" s="23">
        <f>ROUND(K44*(1-L44),0)</f>
        <v>10181</v>
      </c>
      <c r="N44" s="14">
        <v>0.72199999999999998</v>
      </c>
      <c r="O44" s="24">
        <f t="shared" ref="O44:O46" si="407">M44*N44</f>
        <v>7350.6819999999998</v>
      </c>
      <c r="P44" s="13">
        <v>0.23599999999999999</v>
      </c>
      <c r="Q44" s="24">
        <f t="shared" ref="Q44:Q46" si="408">M44*P44</f>
        <v>2402.7159999999999</v>
      </c>
      <c r="R44" s="15">
        <v>4.2000000000000003E-2</v>
      </c>
      <c r="S44" s="112">
        <v>0.25900000000000001</v>
      </c>
      <c r="T44" s="24">
        <f t="shared" ref="T44:T46" si="409">M44*R44</f>
        <v>427.60200000000003</v>
      </c>
      <c r="U44" s="25">
        <v>0.23100000000000001</v>
      </c>
      <c r="V44" s="24">
        <f t="shared" ref="V44:V46" si="410">M44*U44</f>
        <v>2351.8110000000001</v>
      </c>
      <c r="W44" s="15">
        <v>0.49299999999999999</v>
      </c>
      <c r="X44" s="24">
        <f t="shared" ref="X44:X46" si="411">M44*W44</f>
        <v>5019.2330000000002</v>
      </c>
      <c r="Y44" s="15">
        <v>0.48</v>
      </c>
      <c r="Z44" s="24">
        <f t="shared" ref="Z44:Z46" si="412">Y44*M44</f>
        <v>4886.88</v>
      </c>
      <c r="AA44" s="116">
        <v>2.6700000000000001E-3</v>
      </c>
      <c r="AB44" s="18">
        <f t="shared" ref="AB44" si="413">M44*AA44</f>
        <v>27.18327</v>
      </c>
      <c r="AC44" s="16">
        <v>2.4499999999999999E-3</v>
      </c>
      <c r="AD44" s="17">
        <f t="shared" ref="AD44:AD46" si="414">M44*AC44</f>
        <v>24.943449999999999</v>
      </c>
      <c r="AE44" s="26">
        <f>IF(M44&gt;0,(AG44+AP44)/M44,0)</f>
        <v>3.2058048128867501E-3</v>
      </c>
      <c r="AF44" s="16">
        <v>2.7E-4</v>
      </c>
      <c r="AG44" s="23">
        <f t="shared" ref="AG44:AG46" si="415">AF44*M44</f>
        <v>2.7488700000000001</v>
      </c>
      <c r="AH44" s="92">
        <v>0.21249999999999999</v>
      </c>
      <c r="AI44" s="29">
        <f t="shared" ref="AI44:AI46" si="416">AL44*(1-AM44)*AH44</f>
        <v>28.713849999999997</v>
      </c>
      <c r="AJ44" s="27">
        <f t="shared" ref="AJ44:AJ46" si="417">IF(AND(AH44&gt;0,AF44&gt;0,AC44&gt;0),((AC44-AF44)*AH44)/((AH44-AF44)*AC44),0)</f>
        <v>0.89092792090214035</v>
      </c>
      <c r="AK44" s="58">
        <f t="shared" si="6"/>
        <v>0.91689695746948252</v>
      </c>
      <c r="AL44" s="11">
        <v>148</v>
      </c>
      <c r="AM44" s="13">
        <v>8.6999999999999994E-2</v>
      </c>
      <c r="AN44" s="14">
        <v>0.22120000000000001</v>
      </c>
      <c r="AO44" s="101">
        <v>0.20899999999999999</v>
      </c>
      <c r="AP44" s="29">
        <f>AL44*(1-AM44)*AN44</f>
        <v>29.889428800000001</v>
      </c>
      <c r="AQ44" s="102">
        <f t="shared" ref="AQ44" si="418">AL44*(1-AM44)*AO44</f>
        <v>28.240915999999999</v>
      </c>
      <c r="AR44" s="18">
        <v>1.5</v>
      </c>
      <c r="AS44" s="18">
        <v>999.62</v>
      </c>
      <c r="AT44" s="79">
        <f>AT42+AL44-AS44</f>
        <v>2174.1999999999994</v>
      </c>
      <c r="AU44" s="80"/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53</v>
      </c>
      <c r="D45" s="33">
        <v>0</v>
      </c>
      <c r="E45" s="33">
        <v>15</v>
      </c>
      <c r="F45" s="33">
        <v>17682</v>
      </c>
      <c r="G45" s="34">
        <v>0.4</v>
      </c>
      <c r="H45" s="34">
        <v>3.2</v>
      </c>
      <c r="I45" s="33">
        <v>17622</v>
      </c>
      <c r="J45" s="34">
        <v>1.7</v>
      </c>
      <c r="K45" s="33">
        <v>16213</v>
      </c>
      <c r="L45" s="35">
        <v>6.9000000000000006E-2</v>
      </c>
      <c r="M45" s="36">
        <f>ROUND(K45*(1-L45),0)</f>
        <v>15094</v>
      </c>
      <c r="N45" s="37">
        <v>0.65800000000000003</v>
      </c>
      <c r="O45" s="24">
        <f t="shared" si="407"/>
        <v>9931.8520000000008</v>
      </c>
      <c r="P45" s="35">
        <v>0.245</v>
      </c>
      <c r="Q45" s="24">
        <f t="shared" si="408"/>
        <v>3698.0299999999997</v>
      </c>
      <c r="R45" s="38">
        <v>9.7000000000000003E-2</v>
      </c>
      <c r="S45" s="105">
        <v>0.27829999999999999</v>
      </c>
      <c r="T45" s="24">
        <f t="shared" si="409"/>
        <v>1464.1179999999999</v>
      </c>
      <c r="U45" s="27">
        <v>0.245</v>
      </c>
      <c r="V45" s="24">
        <f t="shared" si="410"/>
        <v>3698.0299999999997</v>
      </c>
      <c r="W45" s="38">
        <v>0.48799999999999999</v>
      </c>
      <c r="X45" s="24">
        <f t="shared" si="411"/>
        <v>7365.8719999999994</v>
      </c>
      <c r="Y45" s="38">
        <v>0.47</v>
      </c>
      <c r="Z45" s="24">
        <f t="shared" si="412"/>
        <v>7094.1799999999994</v>
      </c>
      <c r="AA45" s="117">
        <v>2.6099999999999999E-3</v>
      </c>
      <c r="AB45" s="18">
        <f t="shared" si="61"/>
        <v>39.395339999999997</v>
      </c>
      <c r="AC45" s="39">
        <v>2.47E-3</v>
      </c>
      <c r="AD45" s="17">
        <f t="shared" si="414"/>
        <v>37.282179999999997</v>
      </c>
      <c r="AE45" s="26">
        <f>IF(M45&gt;0,(AG45+AP45)/M45,0)</f>
        <v>2.5072997217437396E-3</v>
      </c>
      <c r="AF45" s="39">
        <v>2.7999999999999998E-4</v>
      </c>
      <c r="AG45" s="36">
        <f t="shared" si="415"/>
        <v>4.2263199999999994</v>
      </c>
      <c r="AH45" s="27">
        <v>0.21210000000000001</v>
      </c>
      <c r="AI45" s="40">
        <f t="shared" si="416"/>
        <v>33.088448400000004</v>
      </c>
      <c r="AJ45" s="27">
        <f t="shared" si="417"/>
        <v>0.88781170476651761</v>
      </c>
      <c r="AK45" s="28">
        <f t="shared" si="6"/>
        <v>0.8894817826187098</v>
      </c>
      <c r="AL45" s="33">
        <v>172</v>
      </c>
      <c r="AM45" s="35">
        <v>9.2999999999999999E-2</v>
      </c>
      <c r="AN45" s="37">
        <v>0.2155</v>
      </c>
      <c r="AO45" s="103">
        <v>0.1958</v>
      </c>
      <c r="AP45" s="40">
        <f>AL45*(1-AM45)*AN45</f>
        <v>33.618862000000007</v>
      </c>
      <c r="AQ45" s="104">
        <f t="shared" si="21"/>
        <v>30.545583200000003</v>
      </c>
      <c r="AR45" s="41">
        <v>1.55</v>
      </c>
      <c r="AS45" s="41"/>
      <c r="AT45" s="129">
        <f>AT44+AL45-AS45</f>
        <v>2346.1999999999994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54</v>
      </c>
      <c r="D46" s="42">
        <v>7500</v>
      </c>
      <c r="E46" s="42">
        <v>15</v>
      </c>
      <c r="F46" s="42">
        <v>15706</v>
      </c>
      <c r="G46" s="36">
        <v>0.7</v>
      </c>
      <c r="H46" s="36">
        <v>4.0999999999999996</v>
      </c>
      <c r="I46" s="42">
        <v>15759</v>
      </c>
      <c r="J46" s="36">
        <v>1.7</v>
      </c>
      <c r="K46" s="42">
        <v>14774</v>
      </c>
      <c r="L46" s="38">
        <v>6.8000000000000005E-2</v>
      </c>
      <c r="M46" s="36">
        <f>ROUND(K46*(1-L46),0)</f>
        <v>13769</v>
      </c>
      <c r="N46" s="27">
        <v>0.68200000000000005</v>
      </c>
      <c r="O46" s="24">
        <f t="shared" si="407"/>
        <v>9390.4580000000005</v>
      </c>
      <c r="P46" s="38">
        <v>0.27500000000000002</v>
      </c>
      <c r="Q46" s="24">
        <f t="shared" si="408"/>
        <v>3786.4750000000004</v>
      </c>
      <c r="R46" s="38">
        <v>4.2999999999999997E-2</v>
      </c>
      <c r="S46" s="105">
        <v>0.24540000000000001</v>
      </c>
      <c r="T46" s="24">
        <f t="shared" si="409"/>
        <v>592.06700000000001</v>
      </c>
      <c r="U46" s="27">
        <v>0.22</v>
      </c>
      <c r="V46" s="24">
        <f t="shared" si="410"/>
        <v>3029.18</v>
      </c>
      <c r="W46" s="38">
        <v>0.5</v>
      </c>
      <c r="X46" s="24">
        <f t="shared" si="411"/>
        <v>6884.5</v>
      </c>
      <c r="Y46" s="38">
        <v>0.42</v>
      </c>
      <c r="Z46" s="24">
        <f t="shared" si="412"/>
        <v>5782.98</v>
      </c>
      <c r="AA46" s="118">
        <v>2.6099999999999999E-3</v>
      </c>
      <c r="AB46" s="121">
        <f t="shared" si="61"/>
        <v>35.937089999999998</v>
      </c>
      <c r="AC46" s="45">
        <v>2.4599999999999999E-3</v>
      </c>
      <c r="AD46" s="17">
        <f t="shared" si="414"/>
        <v>33.871740000000003</v>
      </c>
      <c r="AE46" s="26">
        <f>IF(M46&gt;0,(AG46+AP46)/M46,0)</f>
        <v>2.8773360011620308E-3</v>
      </c>
      <c r="AF46" s="45">
        <v>2.4000000000000001E-4</v>
      </c>
      <c r="AG46" s="36">
        <f t="shared" si="415"/>
        <v>3.3045599999999999</v>
      </c>
      <c r="AH46" s="27">
        <v>0.21099999999999999</v>
      </c>
      <c r="AI46" s="40">
        <f t="shared" si="416"/>
        <v>34.483097000000001</v>
      </c>
      <c r="AJ46" s="27">
        <f t="shared" si="417"/>
        <v>0.90346666419786215</v>
      </c>
      <c r="AK46" s="28">
        <f t="shared" si="6"/>
        <v>0.91758059815354143</v>
      </c>
      <c r="AL46" s="42">
        <v>179</v>
      </c>
      <c r="AM46" s="38">
        <v>8.6999999999999994E-2</v>
      </c>
      <c r="AN46" s="27">
        <v>0.22220000000000001</v>
      </c>
      <c r="AO46" s="105">
        <v>0.20860000000000001</v>
      </c>
      <c r="AP46" s="40">
        <f>AL46*(1-AM46)*AN46</f>
        <v>36.313479399999999</v>
      </c>
      <c r="AQ46" s="106">
        <f t="shared" si="21"/>
        <v>34.0908722</v>
      </c>
      <c r="AR46" s="17">
        <v>1.55</v>
      </c>
      <c r="AS46" s="17"/>
      <c r="AT46" s="129">
        <f>AT45+AL46-AS46</f>
        <v>2525.1999999999994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9">SUM(D44:D46)</f>
        <v>9736</v>
      </c>
      <c r="E47" s="49"/>
      <c r="F47" s="49">
        <f t="shared" ref="F47" si="420">SUM(F44:F46)</f>
        <v>42108</v>
      </c>
      <c r="G47" s="50"/>
      <c r="H47" s="50"/>
      <c r="I47" s="49">
        <f t="shared" ref="I47:K47" si="421">SUM(I44:I46)</f>
        <v>41844</v>
      </c>
      <c r="J47" s="50"/>
      <c r="K47" s="49">
        <f t="shared" si="421"/>
        <v>41864</v>
      </c>
      <c r="L47" s="20">
        <f t="shared" ref="L47" si="422">IF(K47&gt;0,(K44*L44+K45*L45+K46*L46)/K47,0)</f>
        <v>6.7348007834893947E-2</v>
      </c>
      <c r="M47" s="50">
        <f t="shared" ref="M47" si="423">M44+M45+M46</f>
        <v>39044</v>
      </c>
      <c r="N47" s="51">
        <f t="shared" ref="N47" si="424">IF(M47&gt;0,O47/M47,0)</f>
        <v>0.68315213605163405</v>
      </c>
      <c r="O47" s="52">
        <f t="shared" ref="O47" si="425">O44+O45+O46</f>
        <v>26672.991999999998</v>
      </c>
      <c r="P47" s="20">
        <f t="shared" ref="P47" si="426">IF(M47&gt;0,Q47/M47,0)</f>
        <v>0.25323278864870402</v>
      </c>
      <c r="Q47" s="52">
        <f t="shared" ref="Q47" si="427">Q44+Q45+Q46</f>
        <v>9887.2209999999995</v>
      </c>
      <c r="R47" s="20">
        <f t="shared" ref="R47" si="428">IF(M47&gt;0,T47/M47,0)</f>
        <v>6.3615075299661927E-2</v>
      </c>
      <c r="S47" s="107"/>
      <c r="T47" s="52">
        <f t="shared" ref="T47" si="429">T44+T45+T46</f>
        <v>2483.7870000000003</v>
      </c>
      <c r="U47" s="20">
        <f t="shared" ref="U47" si="430">IF(M47&gt;0,V47/M47,0)</f>
        <v>0.23253306525970702</v>
      </c>
      <c r="V47" s="52">
        <f t="shared" ref="V47" si="431">V44+V45+V46</f>
        <v>9079.0210000000006</v>
      </c>
      <c r="W47" s="20">
        <f t="shared" ref="W47" si="432">IF(M47&gt;0,X47/M47,0)</f>
        <v>0.49353562647269744</v>
      </c>
      <c r="X47" s="52">
        <f t="shared" ref="X47" si="433">X44+X45+X46</f>
        <v>19269.605</v>
      </c>
      <c r="Y47" s="20">
        <f t="shared" ref="Y47" si="434">IF(M47&gt;0,Z47/M47,0)</f>
        <v>0.45497490011269337</v>
      </c>
      <c r="Z47" s="52">
        <f t="shared" ref="Z47" si="435">Z44+Z45+Z46</f>
        <v>17764.04</v>
      </c>
      <c r="AA47" s="119">
        <f t="shared" ref="AA47" si="436">IF(M47&gt;0,AB47/M47,0)</f>
        <v>2.625645425673599E-3</v>
      </c>
      <c r="AB47" s="54">
        <f t="shared" ref="AB47" si="437">SUM(AB44:AB46)</f>
        <v>102.5157</v>
      </c>
      <c r="AC47" s="53">
        <f t="shared" ref="AC47" si="438">IF(M47&gt;0,AD47/M47,0)</f>
        <v>2.461258323942219E-3</v>
      </c>
      <c r="AD47" s="54">
        <f t="shared" ref="AD47" si="439">SUM(AD44:AD46)</f>
        <v>96.097369999999998</v>
      </c>
      <c r="AE47" s="53">
        <f t="shared" ref="AE47" si="440">IF(M47&gt;0,(AE44*M44+AE45*M45+AE46*M46)/M47,0)</f>
        <v>2.8199344380698699E-3</v>
      </c>
      <c r="AF47" s="53">
        <f t="shared" ref="AF47" si="441">IF(K47&gt;0,(K44*AF44+K45*AF45+K46*AF46)/K47,0)</f>
        <v>2.6328563921268873E-4</v>
      </c>
      <c r="AG47" s="50">
        <f t="shared" ref="AG47" si="442">SUM(AG44:AG46)</f>
        <v>10.27975</v>
      </c>
      <c r="AH47" s="51">
        <f t="shared" ref="AH47" si="443">IF(K47&gt;0,(K44*AH44+K45*AH45+K46*AH46)/K47,0)</f>
        <v>0.21181573189375119</v>
      </c>
      <c r="AI47" s="56">
        <f t="shared" ref="AI47" si="444">SUM(AI44:AI46)</f>
        <v>96.285395399999999</v>
      </c>
      <c r="AJ47" s="51">
        <f t="shared" ref="AJ47" si="445">IF(AND(AD47&gt;0),((AD44*AJ44+AD45*AJ45+AD46*AJ46)/AD47),0)</f>
        <v>0.89413851575975445</v>
      </c>
      <c r="AK47" s="55">
        <f t="shared" si="6"/>
        <v>0.90772369030156053</v>
      </c>
      <c r="AL47" s="49">
        <f t="shared" ref="AL47" si="446">SUM(AL44:AL46)</f>
        <v>499</v>
      </c>
      <c r="AM47" s="20">
        <f t="shared" ref="AM47" si="447">IF(AL47&gt;0,(AM44*AL44+AM45*AL45+AM46*AL46)/AL47,0)</f>
        <v>8.906813627254509E-2</v>
      </c>
      <c r="AN47" s="51">
        <f>IF(K47&gt;0,(AN44*K44+AN45*K45+AN46*K46)/K47,0)</f>
        <v>0.21934542088668069</v>
      </c>
      <c r="AO47" s="107">
        <f>IF(L47&gt;0,(AO44*K44+AO45*K45+AO46*K46)/K47,0)</f>
        <v>0.203746770494936</v>
      </c>
      <c r="AP47" s="56">
        <f t="shared" ref="AP47" si="448">SUM(AP44:AP46)</f>
        <v>99.821770200000003</v>
      </c>
      <c r="AQ47" s="108">
        <f t="shared" si="404"/>
        <v>92.877371400000001</v>
      </c>
      <c r="AR47" s="54"/>
      <c r="AS47" s="54">
        <f t="shared" ref="AS47" si="449">SUM(AS44:AS46)</f>
        <v>999.62</v>
      </c>
      <c r="AT47" s="83"/>
      <c r="AU47" s="84">
        <f>AT46</f>
        <v>2525.1999999999994</v>
      </c>
      <c r="AV47" s="49">
        <f t="shared" ref="AV47" si="450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21384</v>
      </c>
      <c r="E48" s="11">
        <v>8</v>
      </c>
      <c r="F48" s="11">
        <v>10334</v>
      </c>
      <c r="G48" s="12">
        <v>0.3</v>
      </c>
      <c r="H48" s="12">
        <v>3.3</v>
      </c>
      <c r="I48" s="11">
        <v>10103</v>
      </c>
      <c r="J48" s="12">
        <v>3.5</v>
      </c>
      <c r="K48" s="11">
        <v>13913</v>
      </c>
      <c r="L48" s="13">
        <v>6.5000000000000002E-2</v>
      </c>
      <c r="M48" s="23">
        <f>ROUND(K48*(1-L48),0)</f>
        <v>13009</v>
      </c>
      <c r="N48" s="14">
        <v>0.74299999999999999</v>
      </c>
      <c r="O48" s="24">
        <f t="shared" ref="O48:O50" si="451">M48*N48</f>
        <v>9665.6869999999999</v>
      </c>
      <c r="P48" s="13">
        <v>0.22600000000000001</v>
      </c>
      <c r="Q48" s="24">
        <f t="shared" ref="Q48:Q50" si="452">M48*P48</f>
        <v>2940.0340000000001</v>
      </c>
      <c r="R48" s="15">
        <v>3.1E-2</v>
      </c>
      <c r="S48" s="112">
        <v>0.26379999999999998</v>
      </c>
      <c r="T48" s="24">
        <f t="shared" ref="T48:T50" si="453">M48*R48</f>
        <v>403.279</v>
      </c>
      <c r="U48" s="25">
        <v>0.23</v>
      </c>
      <c r="V48" s="24">
        <f t="shared" ref="V48:V50" si="454">M48*U48</f>
        <v>2992.07</v>
      </c>
      <c r="W48" s="15">
        <v>0.49199999999999999</v>
      </c>
      <c r="X48" s="24">
        <f t="shared" ref="X48:X50" si="455">M48*W48</f>
        <v>6400.4279999999999</v>
      </c>
      <c r="Y48" s="15">
        <v>0.45</v>
      </c>
      <c r="Z48" s="24">
        <f t="shared" ref="Z48:Z50" si="456">Y48*M48</f>
        <v>5854.05</v>
      </c>
      <c r="AA48" s="116">
        <v>2.5200000000000001E-3</v>
      </c>
      <c r="AB48" s="18">
        <f t="shared" ref="AB48" si="457">M48*AA48</f>
        <v>32.782679999999999</v>
      </c>
      <c r="AC48" s="16">
        <v>2.3800000000000002E-3</v>
      </c>
      <c r="AD48" s="17">
        <f t="shared" ref="AD48:AD50" si="458">M48*AC48</f>
        <v>30.961420000000004</v>
      </c>
      <c r="AE48" s="26">
        <f>IF(M48&gt;0,(AG48+AP48)/M48,0)</f>
        <v>2.7964743177799982E-3</v>
      </c>
      <c r="AF48" s="16">
        <v>2.4000000000000001E-4</v>
      </c>
      <c r="AG48" s="23">
        <f t="shared" ref="AG48:AG50" si="459">AF48*M48</f>
        <v>3.12216</v>
      </c>
      <c r="AH48" s="92">
        <v>0.21820000000000001</v>
      </c>
      <c r="AI48" s="29">
        <f t="shared" ref="AI48:AI50" si="460">AL48*(1-AM48)*AH48</f>
        <v>32.237740799999997</v>
      </c>
      <c r="AJ48" s="27">
        <f t="shared" ref="AJ48:AJ50" si="461">IF(AND(AH48&gt;0,AF48&gt;0,AC48&gt;0),((AC48-AF48)*AH48)/((AH48-AF48)*AC48),0)</f>
        <v>0.90014974607938225</v>
      </c>
      <c r="AK48" s="58">
        <f t="shared" si="6"/>
        <v>0.91515337911219785</v>
      </c>
      <c r="AL48" s="11">
        <v>162</v>
      </c>
      <c r="AM48" s="13">
        <v>8.7999999999999995E-2</v>
      </c>
      <c r="AN48" s="14">
        <v>0.22509999999999999</v>
      </c>
      <c r="AO48" s="101">
        <v>0.21149999999999999</v>
      </c>
      <c r="AP48" s="29">
        <f>AL48*(1-AM48)*AN48</f>
        <v>33.257174399999997</v>
      </c>
      <c r="AQ48" s="102">
        <f t="shared" ref="AQ48" si="462">AL48*(1-AM48)*AO48</f>
        <v>31.247855999999999</v>
      </c>
      <c r="AR48" s="18">
        <v>1.5</v>
      </c>
      <c r="AS48" s="18">
        <v>1002.04</v>
      </c>
      <c r="AT48" s="79">
        <f>AT46+AL48-AS48+AU48</f>
        <v>1779.4199999999994</v>
      </c>
      <c r="AU48" s="80">
        <v>94.26</v>
      </c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0" t="s">
        <v>57</v>
      </c>
      <c r="D49" s="33">
        <v>23535</v>
      </c>
      <c r="E49" s="33">
        <v>5</v>
      </c>
      <c r="F49" s="33">
        <v>18211</v>
      </c>
      <c r="G49" s="34">
        <v>0.7</v>
      </c>
      <c r="H49" s="34">
        <v>4.4000000000000004</v>
      </c>
      <c r="I49" s="33">
        <v>17809</v>
      </c>
      <c r="J49" s="34">
        <v>1.3</v>
      </c>
      <c r="K49" s="33">
        <v>13751</v>
      </c>
      <c r="L49" s="35">
        <v>6.2E-2</v>
      </c>
      <c r="M49" s="36">
        <f>ROUND(K49*(1-L49),0)</f>
        <v>12898</v>
      </c>
      <c r="N49" s="37">
        <v>0.69599999999999995</v>
      </c>
      <c r="O49" s="24">
        <f t="shared" si="451"/>
        <v>8977.0079999999998</v>
      </c>
      <c r="P49" s="35">
        <v>0.26600000000000001</v>
      </c>
      <c r="Q49" s="24">
        <f t="shared" si="452"/>
        <v>3430.8680000000004</v>
      </c>
      <c r="R49" s="38">
        <v>3.7999999999999999E-2</v>
      </c>
      <c r="S49" s="105">
        <v>0.25</v>
      </c>
      <c r="T49" s="24">
        <f t="shared" si="453"/>
        <v>490.12399999999997</v>
      </c>
      <c r="U49" s="27">
        <v>0.23499999999999999</v>
      </c>
      <c r="V49" s="24">
        <f t="shared" si="454"/>
        <v>3031.0299999999997</v>
      </c>
      <c r="W49" s="38">
        <v>0.48399999999999999</v>
      </c>
      <c r="X49" s="24">
        <f t="shared" si="455"/>
        <v>6242.6319999999996</v>
      </c>
      <c r="Y49" s="38">
        <v>0.45</v>
      </c>
      <c r="Z49" s="24">
        <f t="shared" si="456"/>
        <v>5804.1</v>
      </c>
      <c r="AA49" s="117">
        <v>2.63E-3</v>
      </c>
      <c r="AB49" s="18">
        <f t="shared" si="61"/>
        <v>33.92174</v>
      </c>
      <c r="AC49" s="39">
        <v>2.4599999999999999E-3</v>
      </c>
      <c r="AD49" s="17">
        <f t="shared" si="458"/>
        <v>31.72908</v>
      </c>
      <c r="AE49" s="26">
        <f>IF(M49&gt;0,(AG49+AP49)/M49,0)</f>
        <v>2.6835328423011318E-3</v>
      </c>
      <c r="AF49" s="39">
        <v>2.4000000000000001E-4</v>
      </c>
      <c r="AG49" s="36">
        <f t="shared" si="459"/>
        <v>3.09552</v>
      </c>
      <c r="AH49" s="27">
        <v>0.21390000000000001</v>
      </c>
      <c r="AI49" s="40">
        <f t="shared" si="460"/>
        <v>30.517968600000003</v>
      </c>
      <c r="AJ49" s="27">
        <f t="shared" si="461"/>
        <v>0.90345271607728705</v>
      </c>
      <c r="AK49" s="28">
        <f t="shared" si="6"/>
        <v>0.91155602899118571</v>
      </c>
      <c r="AL49" s="33">
        <v>158</v>
      </c>
      <c r="AM49" s="35">
        <v>9.7000000000000003E-2</v>
      </c>
      <c r="AN49" s="37">
        <v>0.22090000000000001</v>
      </c>
      <c r="AO49" s="103">
        <v>0.20399999999999999</v>
      </c>
      <c r="AP49" s="40">
        <f>AL49*(1-AM49)*AN49</f>
        <v>31.516686600000003</v>
      </c>
      <c r="AQ49" s="104">
        <f t="shared" si="21"/>
        <v>29.105495999999999</v>
      </c>
      <c r="AR49" s="41">
        <v>1.54</v>
      </c>
      <c r="AS49" s="41"/>
      <c r="AT49" s="129">
        <f>AT48+AL49-AS49</f>
        <v>1937.4199999999994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0" t="s">
        <v>54</v>
      </c>
      <c r="D50" s="42">
        <v>22700</v>
      </c>
      <c r="E50" s="42">
        <v>2</v>
      </c>
      <c r="F50" s="42">
        <v>15511</v>
      </c>
      <c r="G50" s="36">
        <v>0.4</v>
      </c>
      <c r="H50" s="36">
        <v>4.5</v>
      </c>
      <c r="I50" s="42">
        <v>15952</v>
      </c>
      <c r="J50" s="36">
        <v>1</v>
      </c>
      <c r="K50" s="42">
        <v>13608</v>
      </c>
      <c r="L50" s="38">
        <v>6.3E-2</v>
      </c>
      <c r="M50" s="36">
        <f>ROUND(K50*(1-L50),0)</f>
        <v>12751</v>
      </c>
      <c r="N50" s="27">
        <v>0.82599999999999996</v>
      </c>
      <c r="O50" s="24">
        <f t="shared" si="451"/>
        <v>10532.325999999999</v>
      </c>
      <c r="P50" s="38">
        <v>0.13700000000000001</v>
      </c>
      <c r="Q50" s="24">
        <f t="shared" si="452"/>
        <v>1746.8870000000002</v>
      </c>
      <c r="R50" s="38">
        <v>3.6999999999999998E-2</v>
      </c>
      <c r="S50" s="105">
        <v>0.24010000000000001</v>
      </c>
      <c r="T50" s="24">
        <f t="shared" si="453"/>
        <v>471.78699999999998</v>
      </c>
      <c r="U50" s="27">
        <v>0.21299999999999999</v>
      </c>
      <c r="V50" s="24">
        <f t="shared" si="454"/>
        <v>2715.9629999999997</v>
      </c>
      <c r="W50" s="38">
        <v>0.51300000000000001</v>
      </c>
      <c r="X50" s="24">
        <f t="shared" si="455"/>
        <v>6541.2629999999999</v>
      </c>
      <c r="Y50" s="38">
        <v>0.42</v>
      </c>
      <c r="Z50" s="24">
        <f t="shared" si="456"/>
        <v>5355.42</v>
      </c>
      <c r="AA50" s="118">
        <v>2.5000000000000001E-3</v>
      </c>
      <c r="AB50" s="121">
        <f t="shared" si="61"/>
        <v>31.877500000000001</v>
      </c>
      <c r="AC50" s="45">
        <v>2.3E-3</v>
      </c>
      <c r="AD50" s="17">
        <f t="shared" si="458"/>
        <v>29.327300000000001</v>
      </c>
      <c r="AE50" s="26">
        <f>IF(M50&gt;0,(AG50+AP50)/M50,0)</f>
        <v>2.8248101795937575E-3</v>
      </c>
      <c r="AF50" s="45">
        <v>2.5000000000000001E-4</v>
      </c>
      <c r="AG50" s="36">
        <f t="shared" si="459"/>
        <v>3.1877499999999999</v>
      </c>
      <c r="AH50" s="27">
        <v>0.2102</v>
      </c>
      <c r="AI50" s="40">
        <f t="shared" si="460"/>
        <v>30.1229212</v>
      </c>
      <c r="AJ50" s="27">
        <f t="shared" si="461"/>
        <v>0.89236567712809456</v>
      </c>
      <c r="AK50" s="28">
        <f t="shared" si="6"/>
        <v>0.91249421599516145</v>
      </c>
      <c r="AL50" s="42">
        <v>158</v>
      </c>
      <c r="AM50" s="38">
        <v>9.2999999999999999E-2</v>
      </c>
      <c r="AN50" s="27">
        <v>0.2291</v>
      </c>
      <c r="AO50" s="105">
        <v>0.2155</v>
      </c>
      <c r="AP50" s="40">
        <f>AL50*(1-AM50)*AN50</f>
        <v>32.831404599999999</v>
      </c>
      <c r="AQ50" s="106">
        <f t="shared" si="21"/>
        <v>30.882443000000002</v>
      </c>
      <c r="AR50" s="17">
        <v>1.54</v>
      </c>
      <c r="AS50" s="17"/>
      <c r="AT50" s="129">
        <f>AT49+AL50-AS50</f>
        <v>2095.4199999999992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3">SUM(D48:D50)</f>
        <v>67619</v>
      </c>
      <c r="E51" s="49"/>
      <c r="F51" s="49">
        <f t="shared" ref="F51" si="464">SUM(F48:F50)</f>
        <v>44056</v>
      </c>
      <c r="G51" s="50"/>
      <c r="H51" s="50"/>
      <c r="I51" s="49">
        <f t="shared" ref="I51:K51" si="465">SUM(I48:I50)</f>
        <v>43864</v>
      </c>
      <c r="J51" s="50"/>
      <c r="K51" s="49">
        <f t="shared" si="465"/>
        <v>41272</v>
      </c>
      <c r="L51" s="20">
        <f t="shared" ref="L51" si="466">IF(K51&gt;0,(K48*L48+K49*L49+K50*L50)/K51,0)</f>
        <v>6.3341030238418305E-2</v>
      </c>
      <c r="M51" s="50">
        <f t="shared" ref="M51" si="467">M48+M49+M50</f>
        <v>38658</v>
      </c>
      <c r="N51" s="51">
        <f t="shared" ref="N51" si="468">IF(M51&gt;0,O51/M51,0)</f>
        <v>0.7546955610740339</v>
      </c>
      <c r="O51" s="52">
        <f t="shared" ref="O51" si="469">O48+O49+O50</f>
        <v>29175.021000000001</v>
      </c>
      <c r="P51" s="20">
        <f t="shared" ref="P51" si="470">IF(M51&gt;0,Q51/M51,0)</f>
        <v>0.20998988566402815</v>
      </c>
      <c r="Q51" s="52">
        <f t="shared" ref="Q51" si="471">Q48+Q49+Q50</f>
        <v>8117.7890000000007</v>
      </c>
      <c r="R51" s="20">
        <f t="shared" ref="R51" si="472">IF(M51&gt;0,T51/M51,0)</f>
        <v>3.5314553261938025E-2</v>
      </c>
      <c r="S51" s="107"/>
      <c r="T51" s="52">
        <f t="shared" ref="T51" si="473">T48+T49+T50</f>
        <v>1365.19</v>
      </c>
      <c r="U51" s="20">
        <f t="shared" ref="U51" si="474">IF(M51&gt;0,V51/M51,0)</f>
        <v>0.22606091882663357</v>
      </c>
      <c r="V51" s="52">
        <f t="shared" ref="V51" si="475">V48+V49+V50</f>
        <v>8739.0630000000001</v>
      </c>
      <c r="W51" s="20">
        <f t="shared" ref="W51" si="476">IF(M51&gt;0,X51/M51,0)</f>
        <v>0.49625751461534484</v>
      </c>
      <c r="X51" s="52">
        <f t="shared" ref="X51" si="477">X48+X49+X50</f>
        <v>19184.323</v>
      </c>
      <c r="Y51" s="20">
        <f t="shared" ref="Y51" si="478">IF(M51&gt;0,Z51/M51,0)</f>
        <v>0.44010476486108957</v>
      </c>
      <c r="Z51" s="52">
        <f t="shared" ref="Z51" si="479">Z48+Z49+Z50</f>
        <v>17013.57</v>
      </c>
      <c r="AA51" s="119">
        <f t="shared" ref="AA51" si="480">IF(M51&gt;0,AB51/M51,0)</f>
        <v>2.5501039888250815E-3</v>
      </c>
      <c r="AB51" s="54">
        <f t="shared" ref="AB51" si="481">SUM(AB48:AB50)</f>
        <v>98.581919999999997</v>
      </c>
      <c r="AC51" s="53">
        <f t="shared" ref="AC51" si="482">IF(M51&gt;0,AD51/M51,0)</f>
        <v>2.3803042061151638E-3</v>
      </c>
      <c r="AD51" s="54">
        <f t="shared" ref="AD51" si="483">SUM(AD48:AD50)</f>
        <v>92.017799999999994</v>
      </c>
      <c r="AE51" s="53">
        <f t="shared" ref="AE51" si="484">IF(M51&gt;0,(AE48*M48+AE49*M49+AE50*M50)/M51,0)</f>
        <v>2.7681384344766928E-3</v>
      </c>
      <c r="AF51" s="53">
        <f t="shared" ref="AF51" si="485">IF(K51&gt;0,(K48*AF48+K49*AF49+K50*AF50)/K51,0)</f>
        <v>2.4329715061058348E-4</v>
      </c>
      <c r="AG51" s="50">
        <f t="shared" ref="AG51" si="486">SUM(AG48:AG50)</f>
        <v>9.4054299999999991</v>
      </c>
      <c r="AH51" s="51">
        <f t="shared" ref="AH51" si="487">IF(K51&gt;0,(K48*AH48+K49*AH49+K50*AH50)/K51,0)</f>
        <v>0.21412960602830011</v>
      </c>
      <c r="AI51" s="56">
        <f t="shared" ref="AI51" si="488">SUM(AI48:AI50)</f>
        <v>92.878630600000008</v>
      </c>
      <c r="AJ51" s="51">
        <f t="shared" ref="AJ51" si="489">IF(AND(AD51&gt;0),((AD48*AJ48+AD49*AJ49+AD50*AJ50)/AD51),0)</f>
        <v>0.89880777174339543</v>
      </c>
      <c r="AK51" s="55">
        <f t="shared" si="6"/>
        <v>0.91309528947915886</v>
      </c>
      <c r="AL51" s="49">
        <f t="shared" ref="AL51" si="490">SUM(AL48:AL50)</f>
        <v>478</v>
      </c>
      <c r="AM51" s="20">
        <f t="shared" ref="AM51" si="491">IF(AL51&gt;0,(AM48*AL48+AM49*AL49+AM50*AL50)/AL51,0)</f>
        <v>9.2627615062761501E-2</v>
      </c>
      <c r="AN51" s="51">
        <f>IF(K51&gt;0,(AN48*K48+AN49*K49+AN50*K50)/K51,0)</f>
        <v>0.22501950474898239</v>
      </c>
      <c r="AO51" s="107">
        <f>IF(L51&gt;0,(AO48*K48+AO49*K49+AO50*K50)/K51,0)</f>
        <v>0.21032001114557083</v>
      </c>
      <c r="AP51" s="56">
        <f t="shared" ref="AP51" si="492">SUM(AP48:AP50)</f>
        <v>97.605265599999996</v>
      </c>
      <c r="AQ51" s="108">
        <f t="shared" si="404"/>
        <v>91.235794999999996</v>
      </c>
      <c r="AR51" s="54"/>
      <c r="AS51" s="54">
        <f t="shared" ref="AS51" si="493">SUM(AS48:AS50)</f>
        <v>1002.04</v>
      </c>
      <c r="AT51" s="83"/>
      <c r="AU51" s="84">
        <f>AT50</f>
        <v>2095.4199999999992</v>
      </c>
      <c r="AV51" s="49">
        <f t="shared" ref="AV51" si="49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55</v>
      </c>
      <c r="D52" s="11">
        <v>7187</v>
      </c>
      <c r="E52" s="11">
        <v>0</v>
      </c>
      <c r="F52" s="11">
        <v>8182</v>
      </c>
      <c r="G52" s="12">
        <v>0.4</v>
      </c>
      <c r="H52" s="12">
        <v>3.7</v>
      </c>
      <c r="I52" s="11">
        <v>8947</v>
      </c>
      <c r="J52" s="12">
        <v>2.8</v>
      </c>
      <c r="K52" s="11">
        <v>13631</v>
      </c>
      <c r="L52" s="13">
        <v>7.3999999999999996E-2</v>
      </c>
      <c r="M52" s="23">
        <f>ROUND(K52*(1-L52),0)</f>
        <v>12622</v>
      </c>
      <c r="N52" s="14">
        <v>0.63500000000000001</v>
      </c>
      <c r="O52" s="24">
        <f t="shared" ref="O52:O54" si="495">M52*N52</f>
        <v>8014.97</v>
      </c>
      <c r="P52" s="13">
        <v>0.34399999999999997</v>
      </c>
      <c r="Q52" s="24">
        <f t="shared" ref="Q52:Q54" si="496">M52*P52</f>
        <v>4341.9679999999998</v>
      </c>
      <c r="R52" s="15">
        <v>2.1000000000000001E-2</v>
      </c>
      <c r="S52" s="112">
        <v>0.24160000000000001</v>
      </c>
      <c r="T52" s="24">
        <f t="shared" ref="T52:T54" si="497">M52*R52</f>
        <v>265.06200000000001</v>
      </c>
      <c r="U52" s="25">
        <v>0.216</v>
      </c>
      <c r="V52" s="24">
        <f t="shared" ref="V52:V54" si="498">M52*U52</f>
        <v>2726.3519999999999</v>
      </c>
      <c r="W52" s="15">
        <v>0.496</v>
      </c>
      <c r="X52" s="24">
        <f t="shared" ref="X52:X54" si="499">M52*W52</f>
        <v>6260.5119999999997</v>
      </c>
      <c r="Y52" s="15">
        <v>0.43</v>
      </c>
      <c r="Z52" s="24">
        <f t="shared" ref="Z52:Z54" si="500">Y52*M52</f>
        <v>5427.46</v>
      </c>
      <c r="AA52" s="116">
        <v>2.4299999999999999E-3</v>
      </c>
      <c r="AB52" s="18">
        <f t="shared" ref="AB52" si="501">M52*AA52</f>
        <v>30.67146</v>
      </c>
      <c r="AC52" s="16">
        <v>2.3700000000000001E-3</v>
      </c>
      <c r="AD52" s="17">
        <f t="shared" ref="AD52:AD54" si="502">M52*AC52</f>
        <v>29.914140000000003</v>
      </c>
      <c r="AE52" s="26">
        <f>IF(M52&gt;0,(AG52+AP52)/M52,0)</f>
        <v>2.642345016637617E-3</v>
      </c>
      <c r="AF52" s="16">
        <v>2.5999999999999998E-4</v>
      </c>
      <c r="AG52" s="23">
        <f t="shared" ref="AG52:AG54" si="503">AF52*M52</f>
        <v>3.2817199999999995</v>
      </c>
      <c r="AH52" s="92">
        <v>0.2034</v>
      </c>
      <c r="AI52" s="29">
        <f t="shared" ref="AI52:AI54" si="504">AL52*(1-AM52)*AH52</f>
        <v>27.826340400000003</v>
      </c>
      <c r="AJ52" s="27">
        <f t="shared" ref="AJ52:AJ54" si="505">IF(AND(AH52&gt;0,AF52&gt;0,AC52&gt;0),((AC52-AF52)*AH52)/((AH52-AF52)*AC52),0)</f>
        <v>0.89143485256161814</v>
      </c>
      <c r="AK52" s="58">
        <f t="shared" si="6"/>
        <v>0.90267031729844804</v>
      </c>
      <c r="AL52" s="11">
        <v>151</v>
      </c>
      <c r="AM52" s="13">
        <v>9.4E-2</v>
      </c>
      <c r="AN52" s="14">
        <v>0.2198</v>
      </c>
      <c r="AO52" s="101">
        <v>0.20810000000000001</v>
      </c>
      <c r="AP52" s="29">
        <f>AL52*(1-AM52)*AN52</f>
        <v>30.069958800000002</v>
      </c>
      <c r="AQ52" s="102">
        <f t="shared" ref="AQ52" si="506">AL52*(1-AM52)*AO52</f>
        <v>28.469328600000004</v>
      </c>
      <c r="AR52" s="18">
        <v>1.55</v>
      </c>
      <c r="AS52" s="18">
        <v>1001.9</v>
      </c>
      <c r="AT52" s="79">
        <f>AT50+AL52-AS52</f>
        <v>1244.5199999999991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0" t="s">
        <v>57</v>
      </c>
      <c r="D53" s="33">
        <v>21148</v>
      </c>
      <c r="E53" s="33">
        <v>2</v>
      </c>
      <c r="F53" s="33">
        <v>19480</v>
      </c>
      <c r="G53" s="34">
        <v>0.5</v>
      </c>
      <c r="H53" s="34">
        <v>3.3</v>
      </c>
      <c r="I53" s="33">
        <v>18452</v>
      </c>
      <c r="J53" s="34">
        <v>1.1000000000000001</v>
      </c>
      <c r="K53" s="33">
        <v>14658</v>
      </c>
      <c r="L53" s="35">
        <v>6.5000000000000002E-2</v>
      </c>
      <c r="M53" s="36">
        <f>ROUND(K53*(1-L53),0)</f>
        <v>13705</v>
      </c>
      <c r="N53" s="37">
        <v>0.66</v>
      </c>
      <c r="O53" s="24">
        <f t="shared" si="495"/>
        <v>9045.3000000000011</v>
      </c>
      <c r="P53" s="35">
        <v>0.308</v>
      </c>
      <c r="Q53" s="24">
        <f t="shared" si="496"/>
        <v>4221.1400000000003</v>
      </c>
      <c r="R53" s="38">
        <v>3.2000000000000001E-2</v>
      </c>
      <c r="S53" s="105">
        <v>0.2354</v>
      </c>
      <c r="T53" s="24">
        <f t="shared" si="497"/>
        <v>438.56</v>
      </c>
      <c r="U53" s="27">
        <v>0.21299999999999999</v>
      </c>
      <c r="V53" s="24">
        <f t="shared" si="498"/>
        <v>2919.165</v>
      </c>
      <c r="W53" s="38">
        <v>0.504</v>
      </c>
      <c r="X53" s="24">
        <f t="shared" si="499"/>
        <v>6907.32</v>
      </c>
      <c r="Y53" s="38">
        <v>0.42</v>
      </c>
      <c r="Z53" s="24">
        <f t="shared" si="500"/>
        <v>5756.0999999999995</v>
      </c>
      <c r="AA53" s="117">
        <v>2.5799999999999998E-3</v>
      </c>
      <c r="AB53" s="18">
        <f t="shared" si="61"/>
        <v>35.358899999999998</v>
      </c>
      <c r="AC53" s="39">
        <v>2.5300000000000001E-3</v>
      </c>
      <c r="AD53" s="17">
        <f t="shared" si="502"/>
        <v>34.673650000000002</v>
      </c>
      <c r="AE53" s="26">
        <f>IF(M53&gt;0,(AG53+AP53)/M53,0)</f>
        <v>2.5781768989419922E-3</v>
      </c>
      <c r="AF53" s="39">
        <v>2.5999999999999998E-4</v>
      </c>
      <c r="AG53" s="36">
        <f t="shared" si="503"/>
        <v>3.5632999999999995</v>
      </c>
      <c r="AH53" s="27">
        <v>0.2021</v>
      </c>
      <c r="AI53" s="40">
        <f t="shared" si="504"/>
        <v>30.780638400000001</v>
      </c>
      <c r="AJ53" s="27">
        <f t="shared" si="505"/>
        <v>0.8983889716583715</v>
      </c>
      <c r="AK53" s="28">
        <f t="shared" si="6"/>
        <v>0.90027565295795675</v>
      </c>
      <c r="AL53" s="33">
        <v>167</v>
      </c>
      <c r="AM53" s="35">
        <v>8.7999999999999995E-2</v>
      </c>
      <c r="AN53" s="37">
        <v>0.20860000000000001</v>
      </c>
      <c r="AO53" s="103">
        <v>0.20100000000000001</v>
      </c>
      <c r="AP53" s="40">
        <f>AL53*(1-AM53)*AN53</f>
        <v>31.770614400000003</v>
      </c>
      <c r="AQ53" s="104">
        <f t="shared" si="21"/>
        <v>30.613104000000003</v>
      </c>
      <c r="AR53" s="41">
        <v>1.5</v>
      </c>
      <c r="AS53" s="41"/>
      <c r="AT53" s="129">
        <f>AT52+AL53-AS53</f>
        <v>1411.5199999999991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0" t="s">
        <v>58</v>
      </c>
      <c r="D54" s="42">
        <v>18600</v>
      </c>
      <c r="E54" s="42">
        <v>1</v>
      </c>
      <c r="F54" s="42">
        <v>17908</v>
      </c>
      <c r="G54" s="36">
        <v>0.2</v>
      </c>
      <c r="H54" s="36">
        <v>3.1</v>
      </c>
      <c r="I54" s="42">
        <v>17340</v>
      </c>
      <c r="J54" s="36">
        <v>0.6</v>
      </c>
      <c r="K54" s="42">
        <v>14942</v>
      </c>
      <c r="L54" s="38">
        <v>6.9000000000000006E-2</v>
      </c>
      <c r="M54" s="36">
        <f>ROUND(K54*(1-L54),0)</f>
        <v>13911</v>
      </c>
      <c r="N54" s="27">
        <v>0.70799999999999996</v>
      </c>
      <c r="O54" s="24">
        <f t="shared" si="495"/>
        <v>9848.9879999999994</v>
      </c>
      <c r="P54" s="38">
        <v>0.27</v>
      </c>
      <c r="Q54" s="24">
        <f t="shared" si="496"/>
        <v>3755.9700000000003</v>
      </c>
      <c r="R54" s="38">
        <v>2.1999999999999999E-2</v>
      </c>
      <c r="S54" s="105">
        <v>0.23449999999999999</v>
      </c>
      <c r="T54" s="24">
        <f t="shared" si="497"/>
        <v>306.04199999999997</v>
      </c>
      <c r="U54" s="27">
        <v>0.224</v>
      </c>
      <c r="V54" s="24">
        <f t="shared" si="498"/>
        <v>3116.0639999999999</v>
      </c>
      <c r="W54" s="38">
        <v>0.497</v>
      </c>
      <c r="X54" s="24">
        <f t="shared" si="499"/>
        <v>6913.7669999999998</v>
      </c>
      <c r="Y54" s="38">
        <v>0.4</v>
      </c>
      <c r="Z54" s="24">
        <f t="shared" si="500"/>
        <v>5564.4000000000005</v>
      </c>
      <c r="AA54" s="118">
        <v>2.6199999999999999E-3</v>
      </c>
      <c r="AB54" s="121">
        <f t="shared" si="61"/>
        <v>36.446820000000002</v>
      </c>
      <c r="AC54" s="45">
        <v>2.5899999999999999E-3</v>
      </c>
      <c r="AD54" s="17">
        <f t="shared" si="502"/>
        <v>36.029489999999996</v>
      </c>
      <c r="AE54" s="26">
        <f>IF(M54&gt;0,(AG54+AP54)/M54,0)</f>
        <v>2.8919617856372655E-3</v>
      </c>
      <c r="AF54" s="45">
        <v>2.7E-4</v>
      </c>
      <c r="AG54" s="36">
        <f t="shared" si="503"/>
        <v>3.75597</v>
      </c>
      <c r="AH54" s="27">
        <v>0.20880000000000001</v>
      </c>
      <c r="AI54" s="40">
        <f t="shared" si="504"/>
        <v>34.429449599999998</v>
      </c>
      <c r="AJ54" s="27">
        <f t="shared" si="505"/>
        <v>0.89691269665374107</v>
      </c>
      <c r="AK54" s="28">
        <f t="shared" si="6"/>
        <v>0.90774577843523663</v>
      </c>
      <c r="AL54" s="42">
        <v>182</v>
      </c>
      <c r="AM54" s="38">
        <v>9.4E-2</v>
      </c>
      <c r="AN54" s="27">
        <v>0.22120000000000001</v>
      </c>
      <c r="AO54" s="105">
        <v>0.21609999999999999</v>
      </c>
      <c r="AP54" s="40">
        <f>AL54*(1-AM54)*AN54</f>
        <v>36.474110400000001</v>
      </c>
      <c r="AQ54" s="106">
        <f t="shared" si="21"/>
        <v>35.633161199999996</v>
      </c>
      <c r="AR54" s="17">
        <v>1.5</v>
      </c>
      <c r="AS54" s="17"/>
      <c r="AT54" s="129">
        <f>AT53+AL54-AS54</f>
        <v>1593.5199999999991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7">SUM(D52:D54)</f>
        <v>46935</v>
      </c>
      <c r="E55" s="49"/>
      <c r="F55" s="49">
        <f t="shared" ref="F55" si="508">SUM(F52:F54)</f>
        <v>45570</v>
      </c>
      <c r="G55" s="50"/>
      <c r="H55" s="50"/>
      <c r="I55" s="49">
        <f t="shared" ref="I55:K55" si="509">SUM(I52:I54)</f>
        <v>44739</v>
      </c>
      <c r="J55" s="50"/>
      <c r="K55" s="49">
        <f t="shared" si="509"/>
        <v>43231</v>
      </c>
      <c r="L55" s="20">
        <f t="shared" ref="L55" si="510">IF(K55&gt;0,(K52*L52+K53*L53+K54*L54)/K55,0)</f>
        <v>6.9220281742268283E-2</v>
      </c>
      <c r="M55" s="50">
        <f t="shared" ref="M55" si="511">M52+M53+M54</f>
        <v>40238</v>
      </c>
      <c r="N55" s="51">
        <v>0.70799999999999996</v>
      </c>
      <c r="O55" s="52">
        <f t="shared" ref="O55" si="512">O52+O53+O54</f>
        <v>26909.258000000002</v>
      </c>
      <c r="P55" s="20">
        <f t="shared" ref="P55" si="513">IF(M55&gt;0,Q55/M55,0)</f>
        <v>0.30615532581142207</v>
      </c>
      <c r="Q55" s="52">
        <f t="shared" ref="Q55" si="514">Q52+Q53+Q54</f>
        <v>12319.078000000001</v>
      </c>
      <c r="R55" s="20">
        <f t="shared" ref="R55" si="515">IF(M55&gt;0,T55/M55,0)</f>
        <v>2.5092300810179432E-2</v>
      </c>
      <c r="S55" s="107"/>
      <c r="T55" s="52">
        <f t="shared" ref="T55" si="516">T52+T53+T54</f>
        <v>1009.664</v>
      </c>
      <c r="U55" s="20">
        <f t="shared" ref="U55" si="517">IF(M55&gt;0,V55/M55,0)</f>
        <v>0.21774394850638701</v>
      </c>
      <c r="V55" s="52">
        <f t="shared" ref="V55" si="518">V52+V53+V54</f>
        <v>8761.5810000000001</v>
      </c>
      <c r="W55" s="20">
        <f t="shared" ref="W55" si="519">IF(M55&gt;0,X55/M55,0)</f>
        <v>0.49907050549232063</v>
      </c>
      <c r="X55" s="52">
        <f t="shared" ref="X55" si="520">X52+X53+X54</f>
        <v>20081.598999999998</v>
      </c>
      <c r="Y55" s="20"/>
      <c r="Z55" s="52">
        <f t="shared" ref="Z55" si="521">Z52+Z53+Z54</f>
        <v>16747.96</v>
      </c>
      <c r="AA55" s="119">
        <f t="shared" ref="AA55" si="522">IF(M55&gt;0,AB55/M55,0)</f>
        <v>2.5467761817187734E-3</v>
      </c>
      <c r="AB55" s="54">
        <f t="shared" ref="AB55" si="523">SUM(AB52:AB54)</f>
        <v>102.47718</v>
      </c>
      <c r="AC55" s="53">
        <f t="shared" ref="AC55" si="524">IF(M55&gt;0,AD55/M55,0)</f>
        <v>2.5005537054525575E-3</v>
      </c>
      <c r="AD55" s="54">
        <f t="shared" ref="AD55" si="525">SUM(AD52:AD54)</f>
        <v>100.61728000000001</v>
      </c>
      <c r="AE55" s="53">
        <f t="shared" ref="AE55" si="526">IF(M55&gt;0,(AE52*M52+AE53*M53+AE54*M54)/M55,0)</f>
        <v>2.7067864605596699E-3</v>
      </c>
      <c r="AF55" s="53">
        <f t="shared" ref="AF55" si="527">IF(K55&gt;0,(K52*AF52+K53*AF53+K54*AF54)/K55,0)</f>
        <v>2.6345631606948717E-4</v>
      </c>
      <c r="AG55" s="50">
        <f t="shared" ref="AG55" si="528">SUM(AG52:AG54)</f>
        <v>10.600989999999999</v>
      </c>
      <c r="AH55" s="51">
        <f t="shared" ref="AH55" si="529">IF(K55&gt;0,(K52*AH52+K53*AH53+K54*AH54)/K55,0)</f>
        <v>0.20482562975642479</v>
      </c>
      <c r="AI55" s="56">
        <f t="shared" ref="AI55" si="530">SUM(AI52:AI54)</f>
        <v>93.036428400000005</v>
      </c>
      <c r="AJ55" s="51">
        <f t="shared" ref="AJ55" si="531">IF(AND(AD55&gt;0),((AD52*AJ52+AD53*AJ53+AD54*AJ54)/AD55),0)</f>
        <v>0.8957928377959421</v>
      </c>
      <c r="AK55" s="55">
        <f t="shared" si="6"/>
        <v>0.90376808438429945</v>
      </c>
      <c r="AL55" s="49">
        <f t="shared" ref="AL55" si="532">SUM(AL52:AL54)</f>
        <v>500</v>
      </c>
      <c r="AM55" s="20">
        <f t="shared" ref="AM55" si="533">IF(AL55&gt;0,(AM52*AL52+AM53*AL53+AM54*AL54)/AL55,0)</f>
        <v>9.1996000000000008E-2</v>
      </c>
      <c r="AN55" s="51">
        <f>IF(K55&gt;0,(AN52*K52+AN53*K53+AN54*K54)/K55,0)</f>
        <v>0.21648638708334295</v>
      </c>
      <c r="AO55" s="107">
        <f>IF(L55&gt;0,(AO52*K52+AO53*K53+AO54*K54)/K55,0)</f>
        <v>0.20845771090189907</v>
      </c>
      <c r="AP55" s="56">
        <f t="shared" ref="AP55" si="534">SUM(AP52:AP54)</f>
        <v>98.314683600000009</v>
      </c>
      <c r="AQ55" s="108">
        <f t="shared" si="404"/>
        <v>94.715593799999994</v>
      </c>
      <c r="AR55" s="54"/>
      <c r="AS55" s="54">
        <f t="shared" ref="AS55" si="535">SUM(AS52:AS54)</f>
        <v>1001.9</v>
      </c>
      <c r="AT55" s="83"/>
      <c r="AU55" s="84">
        <f>AT54</f>
        <v>1593.5199999999991</v>
      </c>
      <c r="AV55" s="49">
        <f t="shared" ref="AV55" si="536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53</v>
      </c>
      <c r="D56" s="11">
        <v>4780</v>
      </c>
      <c r="E56" s="11">
        <v>0</v>
      </c>
      <c r="F56" s="11">
        <v>4439</v>
      </c>
      <c r="G56" s="12">
        <v>0.3</v>
      </c>
      <c r="H56" s="12">
        <v>3</v>
      </c>
      <c r="I56" s="11">
        <v>5210</v>
      </c>
      <c r="J56" s="12">
        <v>3.8</v>
      </c>
      <c r="K56" s="11">
        <v>9868</v>
      </c>
      <c r="L56" s="13">
        <v>6.6000000000000003E-2</v>
      </c>
      <c r="M56" s="23">
        <f>ROUND(K56*(1-L56),0)</f>
        <v>9217</v>
      </c>
      <c r="N56" s="14">
        <v>0.72599999999999998</v>
      </c>
      <c r="O56" s="24">
        <f t="shared" ref="O56:O58" si="537">M56*N56</f>
        <v>6691.5419999999995</v>
      </c>
      <c r="P56" s="13">
        <v>0.251</v>
      </c>
      <c r="Q56" s="24">
        <f t="shared" ref="Q56:Q58" si="538">M56*P56</f>
        <v>2313.4670000000001</v>
      </c>
      <c r="R56" s="15">
        <v>2.3E-2</v>
      </c>
      <c r="S56" s="112">
        <v>0.21429999999999999</v>
      </c>
      <c r="T56" s="24">
        <f t="shared" ref="T56:T58" si="539">M56*R56</f>
        <v>211.99099999999999</v>
      </c>
      <c r="U56" s="25">
        <v>0.193</v>
      </c>
      <c r="V56" s="24">
        <f t="shared" ref="V56:V58" si="540">M56*U56</f>
        <v>1778.8810000000001</v>
      </c>
      <c r="W56" s="15">
        <v>0.52800000000000002</v>
      </c>
      <c r="X56" s="24">
        <f t="shared" ref="X56:X58" si="541">M56*W56</f>
        <v>4866.576</v>
      </c>
      <c r="Y56" s="15">
        <v>0.42</v>
      </c>
      <c r="Z56" s="24">
        <f t="shared" ref="Z56:Z58" si="542">Y56*M56</f>
        <v>3871.14</v>
      </c>
      <c r="AA56" s="116">
        <v>2.6800000000000001E-3</v>
      </c>
      <c r="AB56" s="18">
        <f t="shared" ref="AB56" si="543">M56*AA56</f>
        <v>24.701560000000001</v>
      </c>
      <c r="AC56" s="16">
        <v>2.5400000000000002E-3</v>
      </c>
      <c r="AD56" s="17">
        <f t="shared" ref="AD56:AD58" si="544">M56*AC56</f>
        <v>23.411180000000002</v>
      </c>
      <c r="AE56" s="26">
        <f>IF(M56&gt;0,(AG56+AP56)/M56,0)</f>
        <v>3.1245710317890853E-3</v>
      </c>
      <c r="AF56" s="16">
        <v>2.5000000000000001E-4</v>
      </c>
      <c r="AG56" s="23">
        <f t="shared" ref="AG56:AG58" si="545">AF56*M56</f>
        <v>2.3042500000000001</v>
      </c>
      <c r="AH56" s="92">
        <v>0.20880000000000001</v>
      </c>
      <c r="AI56" s="29">
        <f t="shared" ref="AI56:AI58" si="546">AL56*(1-AM56)*AH56</f>
        <v>24.998371200000001</v>
      </c>
      <c r="AJ56" s="27">
        <f t="shared" ref="AJ56:AJ58" si="547">IF(AND(AH56&gt;0,AF56&gt;0,AC56&gt;0),((AC56-AF56)*AH56)/((AH56-AF56)*AC56),0)</f>
        <v>0.90265556891698784</v>
      </c>
      <c r="AK56" s="58">
        <f t="shared" si="6"/>
        <v>0.92102949306189419</v>
      </c>
      <c r="AL56" s="11">
        <v>132</v>
      </c>
      <c r="AM56" s="13">
        <v>9.2999999999999999E-2</v>
      </c>
      <c r="AN56" s="14">
        <v>0.2213</v>
      </c>
      <c r="AO56" s="101">
        <v>0.21079999999999999</v>
      </c>
      <c r="AP56" s="29">
        <f>AL56*(1-AM56)*AN56</f>
        <v>26.4949212</v>
      </c>
      <c r="AQ56" s="102">
        <f t="shared" ref="AQ56" si="548">AL56*(1-AM56)*AO56</f>
        <v>25.237819200000001</v>
      </c>
      <c r="AR56" s="18">
        <v>1.5</v>
      </c>
      <c r="AS56" s="18">
        <v>1021.38</v>
      </c>
      <c r="AT56" s="79">
        <f>AT54+AL56-AS56</f>
        <v>704.13999999999908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57</v>
      </c>
      <c r="D57" s="33">
        <v>16000</v>
      </c>
      <c r="E57" s="33">
        <v>2</v>
      </c>
      <c r="F57" s="33">
        <v>16170</v>
      </c>
      <c r="G57" s="34">
        <v>0.3</v>
      </c>
      <c r="H57" s="34">
        <v>3.5</v>
      </c>
      <c r="I57" s="33">
        <v>15448</v>
      </c>
      <c r="J57" s="34">
        <v>1.7</v>
      </c>
      <c r="K57" s="33">
        <v>11936</v>
      </c>
      <c r="L57" s="35">
        <v>6.4000000000000001E-2</v>
      </c>
      <c r="M57" s="36">
        <f>ROUND(K57*(1-L57),0)</f>
        <v>11172</v>
      </c>
      <c r="N57" s="37">
        <v>0.67600000000000005</v>
      </c>
      <c r="O57" s="24">
        <f t="shared" si="537"/>
        <v>7552.2720000000008</v>
      </c>
      <c r="P57" s="35">
        <v>0.25600000000000001</v>
      </c>
      <c r="Q57" s="24">
        <f t="shared" si="538"/>
        <v>2860.0320000000002</v>
      </c>
      <c r="R57" s="38">
        <v>6.8000000000000005E-2</v>
      </c>
      <c r="S57" s="105">
        <v>0.22489999999999999</v>
      </c>
      <c r="T57" s="24">
        <f t="shared" si="539"/>
        <v>759.69600000000003</v>
      </c>
      <c r="U57" s="27">
        <v>0.183</v>
      </c>
      <c r="V57" s="24">
        <f t="shared" si="540"/>
        <v>2044.4759999999999</v>
      </c>
      <c r="W57" s="38">
        <v>0.52800000000000002</v>
      </c>
      <c r="X57" s="24">
        <f t="shared" si="541"/>
        <v>5898.8160000000007</v>
      </c>
      <c r="Y57" s="38">
        <v>0.43</v>
      </c>
      <c r="Z57" s="24">
        <f t="shared" si="542"/>
        <v>4803.96</v>
      </c>
      <c r="AA57" s="117">
        <v>2.64E-3</v>
      </c>
      <c r="AB57" s="18">
        <f t="shared" si="61"/>
        <v>29.49408</v>
      </c>
      <c r="AC57" s="39">
        <v>2.6099999999999999E-3</v>
      </c>
      <c r="AD57" s="17">
        <f t="shared" si="544"/>
        <v>29.158919999999998</v>
      </c>
      <c r="AE57" s="26">
        <f>IF(M57&gt;0,(AG57+AP57)/M57,0)</f>
        <v>2.7898496240601504E-3</v>
      </c>
      <c r="AF57" s="39">
        <v>2.5000000000000001E-4</v>
      </c>
      <c r="AG57" s="36">
        <f t="shared" si="545"/>
        <v>2.7930000000000001</v>
      </c>
      <c r="AH57" s="27">
        <v>0.20730000000000001</v>
      </c>
      <c r="AI57" s="40">
        <f t="shared" si="546"/>
        <v>26.119800000000001</v>
      </c>
      <c r="AJ57" s="27">
        <f t="shared" si="547"/>
        <v>0.90530634224061624</v>
      </c>
      <c r="AK57" s="28">
        <f t="shared" si="6"/>
        <v>0.91140120404064084</v>
      </c>
      <c r="AL57" s="33">
        <v>140</v>
      </c>
      <c r="AM57" s="35">
        <v>0.1</v>
      </c>
      <c r="AN57" s="37">
        <v>0.22520000000000001</v>
      </c>
      <c r="AO57" s="103">
        <v>0.20580000000000001</v>
      </c>
      <c r="AP57" s="40">
        <f>AL57*(1-AM57)*AN57</f>
        <v>28.375200000000003</v>
      </c>
      <c r="AQ57" s="104">
        <f t="shared" si="21"/>
        <v>25.930800000000001</v>
      </c>
      <c r="AR57" s="41">
        <v>1.5</v>
      </c>
      <c r="AS57" s="41"/>
      <c r="AT57" s="129">
        <f>AT56+AL57-AS57</f>
        <v>844.13999999999908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0" t="s">
        <v>58</v>
      </c>
      <c r="D58" s="42">
        <v>10600</v>
      </c>
      <c r="E58" s="42">
        <v>3</v>
      </c>
      <c r="F58" s="42">
        <v>17305</v>
      </c>
      <c r="G58" s="36">
        <v>0.3</v>
      </c>
      <c r="H58" s="36">
        <v>2.8</v>
      </c>
      <c r="I58" s="42">
        <v>17093</v>
      </c>
      <c r="J58" s="36">
        <v>1</v>
      </c>
      <c r="K58" s="42">
        <v>15162</v>
      </c>
      <c r="L58" s="38">
        <v>6.6000000000000003E-2</v>
      </c>
      <c r="M58" s="36">
        <f>ROUND(K58*(1-L58),0)</f>
        <v>14161</v>
      </c>
      <c r="N58" s="27">
        <v>0.63900000000000001</v>
      </c>
      <c r="O58" s="24">
        <f t="shared" si="537"/>
        <v>9048.8790000000008</v>
      </c>
      <c r="P58" s="38">
        <v>0.33300000000000002</v>
      </c>
      <c r="Q58" s="24">
        <f t="shared" si="538"/>
        <v>4715.6130000000003</v>
      </c>
      <c r="R58" s="38">
        <v>2.8000000000000001E-2</v>
      </c>
      <c r="S58" s="105">
        <v>0.25369999999999998</v>
      </c>
      <c r="T58" s="24">
        <f t="shared" si="539"/>
        <v>396.50799999999998</v>
      </c>
      <c r="U58" s="27">
        <v>0.23499999999999999</v>
      </c>
      <c r="V58" s="24">
        <f t="shared" si="540"/>
        <v>3327.835</v>
      </c>
      <c r="W58" s="38">
        <v>0.48299999999999998</v>
      </c>
      <c r="X58" s="24">
        <f t="shared" si="541"/>
        <v>6839.7629999999999</v>
      </c>
      <c r="Y58" s="38">
        <v>0.43</v>
      </c>
      <c r="Z58" s="24">
        <f t="shared" si="542"/>
        <v>6089.23</v>
      </c>
      <c r="AA58" s="118">
        <v>2.7000000000000001E-3</v>
      </c>
      <c r="AB58" s="121">
        <f t="shared" si="61"/>
        <v>38.234700000000004</v>
      </c>
      <c r="AC58" s="45">
        <v>2.7699999999999999E-3</v>
      </c>
      <c r="AD58" s="17">
        <f t="shared" si="544"/>
        <v>39.225969999999997</v>
      </c>
      <c r="AE58" s="26">
        <f>IF(M58&gt;0,(AG58+AP58)/M58,0)</f>
        <v>3.0467279429418825E-3</v>
      </c>
      <c r="AF58" s="45">
        <v>2.5999999999999998E-4</v>
      </c>
      <c r="AG58" s="36">
        <f t="shared" si="545"/>
        <v>3.6818599999999995</v>
      </c>
      <c r="AH58" s="27">
        <v>0.20880000000000001</v>
      </c>
      <c r="AI58" s="40">
        <f t="shared" si="546"/>
        <v>35.485977600000005</v>
      </c>
      <c r="AJ58" s="27">
        <f t="shared" si="547"/>
        <v>0.90726692262070252</v>
      </c>
      <c r="AK58" s="28">
        <f t="shared" si="6"/>
        <v>0.91568786588854767</v>
      </c>
      <c r="AL58" s="42">
        <v>188</v>
      </c>
      <c r="AM58" s="38">
        <v>9.6000000000000002E-2</v>
      </c>
      <c r="AN58" s="27">
        <v>0.23219999999999999</v>
      </c>
      <c r="AO58" s="105">
        <v>0.2205</v>
      </c>
      <c r="AP58" s="40">
        <f>AL58*(1-AM58)*AN58</f>
        <v>39.462854399999998</v>
      </c>
      <c r="AQ58" s="106">
        <f t="shared" si="21"/>
        <v>37.474415999999998</v>
      </c>
      <c r="AR58" s="17">
        <v>1.5</v>
      </c>
      <c r="AS58" s="17"/>
      <c r="AT58" s="129">
        <f>AT57+AL58-AS58</f>
        <v>1032.139999999999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49">SUM(D56:D58)</f>
        <v>31380</v>
      </c>
      <c r="E59" s="49"/>
      <c r="F59" s="49">
        <f t="shared" ref="F59" si="550">SUM(F56:F58)</f>
        <v>37914</v>
      </c>
      <c r="G59" s="50"/>
      <c r="H59" s="50"/>
      <c r="I59" s="49">
        <f t="shared" ref="I59:K59" si="551">SUM(I56:I58)</f>
        <v>37751</v>
      </c>
      <c r="J59" s="50"/>
      <c r="K59" s="49">
        <f t="shared" si="551"/>
        <v>36966</v>
      </c>
      <c r="L59" s="20">
        <f t="shared" ref="L59" si="552">IF(K59&gt;0,(K56*L56+K57*L57+K58*L58)/K59,0)</f>
        <v>6.5354217388952016E-2</v>
      </c>
      <c r="M59" s="50">
        <f t="shared" ref="M59" si="553">M56+M57+M58</f>
        <v>34550</v>
      </c>
      <c r="N59" s="51">
        <f t="shared" ref="N59" si="554">IF(M59&gt;0,O59/M59,0)</f>
        <v>0.67417345875542689</v>
      </c>
      <c r="O59" s="52">
        <f t="shared" ref="O59" si="555">O56+O57+O58</f>
        <v>23292.692999999999</v>
      </c>
      <c r="P59" s="20">
        <f t="shared" ref="P59" si="556">IF(M59&gt;0,Q59/M59,0)</f>
        <v>0.28622610709117224</v>
      </c>
      <c r="Q59" s="52">
        <f t="shared" ref="Q59" si="557">Q56+Q57+Q58</f>
        <v>9889.112000000001</v>
      </c>
      <c r="R59" s="20">
        <f t="shared" ref="R59" si="558">IF(M59&gt;0,T59/M59,0)</f>
        <v>3.9600434153400865E-2</v>
      </c>
      <c r="S59" s="107"/>
      <c r="T59" s="52">
        <f t="shared" ref="T59" si="559">T56+T57+T58</f>
        <v>1368.1949999999999</v>
      </c>
      <c r="U59" s="20">
        <f t="shared" ref="U59" si="560">IF(M59&gt;0,V59/M59,0)</f>
        <v>0.20698095513748191</v>
      </c>
      <c r="V59" s="52">
        <f t="shared" ref="V59" si="561">V56+V57+V58</f>
        <v>7151.192</v>
      </c>
      <c r="W59" s="20">
        <f t="shared" ref="W59" si="562">IF(M59&gt;0,X59/M59,0)</f>
        <v>0.50955586107091166</v>
      </c>
      <c r="X59" s="52">
        <f t="shared" ref="X59" si="563">X56+X57+X58</f>
        <v>17605.154999999999</v>
      </c>
      <c r="Y59" s="20">
        <f t="shared" ref="Y59" si="564">IF(M59&gt;0,Z59/M59,0)</f>
        <v>0.42733227206946456</v>
      </c>
      <c r="Z59" s="52">
        <f t="shared" ref="Z59" si="565">Z56+Z57+Z58</f>
        <v>14764.33</v>
      </c>
      <c r="AA59" s="119">
        <f t="shared" ref="AA59" si="566">IF(M59&gt;0,AB59/M59,0)</f>
        <v>2.675263096960926E-3</v>
      </c>
      <c r="AB59" s="54">
        <f t="shared" ref="AB59" si="567">SUM(AB56:AB58)</f>
        <v>92.430340000000001</v>
      </c>
      <c r="AC59" s="53">
        <f t="shared" ref="AC59" si="568">IF(M59&gt;0,AD59/M59,0)</f>
        <v>2.6569050651230096E-3</v>
      </c>
      <c r="AD59" s="54">
        <f t="shared" ref="AD59" si="569">SUM(AD56:AD58)</f>
        <v>91.796069999999986</v>
      </c>
      <c r="AE59" s="53">
        <f t="shared" ref="AE59" si="570">IF(M59&gt;0,(AE56*M56+AE57*M57+AE58*M58)/M59,0)</f>
        <v>2.9844308422575976E-3</v>
      </c>
      <c r="AF59" s="53">
        <f t="shared" ref="AF59" si="571">IF(K59&gt;0,(K56*AF56+K57*AF57+K58*AF58)/K59,0)</f>
        <v>2.5410160688199969E-4</v>
      </c>
      <c r="AG59" s="50">
        <f t="shared" ref="AG59" si="572">SUM(AG56:AG58)</f>
        <v>8.7791099999999993</v>
      </c>
      <c r="AH59" s="51">
        <f t="shared" ref="AH59" si="573">IF(K59&gt;0,(K56*AH56+K57*AH57+K58*AH58)/K59,0)</f>
        <v>0.20831566304171401</v>
      </c>
      <c r="AI59" s="56">
        <f t="shared" ref="AI59" si="574">SUM(AI56:AI58)</f>
        <v>86.604148800000019</v>
      </c>
      <c r="AJ59" s="51">
        <f t="shared" ref="AJ59" si="575">IF(AND(AD59&gt;0),((AD56*AJ56+AD57*AJ57+AD58*AJ58)/AD59),0)</f>
        <v>0.90546809138470497</v>
      </c>
      <c r="AK59" s="55">
        <f t="shared" si="6"/>
        <v>0.91588269385575083</v>
      </c>
      <c r="AL59" s="49">
        <f t="shared" ref="AL59" si="576">SUM(AL56:AL58)</f>
        <v>460</v>
      </c>
      <c r="AM59" s="20">
        <f t="shared" ref="AM59" si="577">IF(AL59&gt;0,(AM56*AL56+AM57*AL57+AM58*AL58)/AL59,0)</f>
        <v>9.6356521739130424E-2</v>
      </c>
      <c r="AN59" s="51">
        <f>IF(K59&gt;0,(AN56*K56+AN57*K57+AN58*K58)/K59,0)</f>
        <v>0.22703002759292323</v>
      </c>
      <c r="AO59" s="107">
        <f>IF(L59&gt;0,(AO56*K56+AO57*K57+AO58*K58)/K59,0)</f>
        <v>0.2131641021479197</v>
      </c>
      <c r="AP59" s="56">
        <f t="shared" ref="AP59:AQ71" si="578">SUM(AP56:AP58)</f>
        <v>94.332975599999997</v>
      </c>
      <c r="AQ59" s="108">
        <f t="shared" si="578"/>
        <v>88.6430352</v>
      </c>
      <c r="AR59" s="54"/>
      <c r="AS59" s="54">
        <f t="shared" ref="AS59" si="579">SUM(AS56:AS58)</f>
        <v>1021.38</v>
      </c>
      <c r="AT59" s="83"/>
      <c r="AU59" s="84">
        <f>AT58</f>
        <v>1032.139999999999</v>
      </c>
      <c r="AV59" s="49">
        <f t="shared" ref="AV59" si="580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53</v>
      </c>
      <c r="D60" s="11">
        <v>5099</v>
      </c>
      <c r="E60" s="11">
        <v>4</v>
      </c>
      <c r="F60" s="11">
        <v>7367</v>
      </c>
      <c r="G60" s="12">
        <v>0.4</v>
      </c>
      <c r="H60" s="12">
        <v>3.3</v>
      </c>
      <c r="I60" s="11">
        <v>7416</v>
      </c>
      <c r="J60" s="12">
        <v>4.3</v>
      </c>
      <c r="K60" s="11">
        <v>15180</v>
      </c>
      <c r="L60" s="13">
        <v>6.8000000000000005E-2</v>
      </c>
      <c r="M60" s="23">
        <f>ROUND(K60*(1-L60),0)</f>
        <v>14148</v>
      </c>
      <c r="N60" s="14">
        <v>0.70199999999999996</v>
      </c>
      <c r="O60" s="24">
        <f t="shared" ref="O60:O62" si="581">M60*N60</f>
        <v>9931.8959999999988</v>
      </c>
      <c r="P60" s="13">
        <v>0.245</v>
      </c>
      <c r="Q60" s="24">
        <f t="shared" ref="Q60:Q62" si="582">M60*P60</f>
        <v>3466.2599999999998</v>
      </c>
      <c r="R60" s="15">
        <v>5.2999999999999999E-2</v>
      </c>
      <c r="S60" s="112">
        <v>0.2611</v>
      </c>
      <c r="T60" s="24">
        <f t="shared" ref="T60:T62" si="583">M60*R60</f>
        <v>749.84399999999994</v>
      </c>
      <c r="U60" s="25">
        <v>0.23799999999999999</v>
      </c>
      <c r="V60" s="24">
        <f t="shared" ref="V60:V62" si="584">M60*U60</f>
        <v>3367.2239999999997</v>
      </c>
      <c r="W60" s="15">
        <v>0.48499999999999999</v>
      </c>
      <c r="X60" s="24">
        <f t="shared" ref="X60:X62" si="585">M60*W60</f>
        <v>6861.78</v>
      </c>
      <c r="Y60" s="15">
        <v>0.43</v>
      </c>
      <c r="Z60" s="24">
        <f t="shared" ref="Z60:Z62" si="586">Y60*M60</f>
        <v>6083.64</v>
      </c>
      <c r="AA60" s="116">
        <v>2.7399999999999998E-3</v>
      </c>
      <c r="AB60" s="18">
        <f t="shared" ref="AB60" si="587">M60*AA60</f>
        <v>38.765519999999995</v>
      </c>
      <c r="AC60" s="16">
        <v>2.8600000000000001E-3</v>
      </c>
      <c r="AD60" s="17">
        <f t="shared" ref="AD60:AD62" si="588">M60*AC60</f>
        <v>40.463280000000005</v>
      </c>
      <c r="AE60" s="26">
        <f>IF(M60&gt;0,(AG60+AP60)/M60,0)</f>
        <v>2.9765139949109415E-3</v>
      </c>
      <c r="AF60" s="16">
        <v>2.5000000000000001E-4</v>
      </c>
      <c r="AG60" s="23">
        <f t="shared" ref="AG60:AG62" si="589">AF60*M60</f>
        <v>3.5369999999999999</v>
      </c>
      <c r="AH60" s="92">
        <v>0.2137</v>
      </c>
      <c r="AI60" s="29">
        <f t="shared" ref="AI60:AI62" si="590">AL60*(1-AM60)*AH60</f>
        <v>35.778722500000001</v>
      </c>
      <c r="AJ60" s="27">
        <f t="shared" ref="AJ60:AJ62" si="591">IF(AND(AH60&gt;0,AF60&gt;0,AC60&gt;0),((AC60-AF60)*AH60)/((AH60-AF60)*AC60),0)</f>
        <v>0.91365626643209219</v>
      </c>
      <c r="AK60" s="58">
        <f t="shared" si="6"/>
        <v>0.9170041431761039</v>
      </c>
      <c r="AL60" s="11">
        <v>185</v>
      </c>
      <c r="AM60" s="13">
        <v>9.5000000000000001E-2</v>
      </c>
      <c r="AN60" s="14">
        <v>0.23039999999999999</v>
      </c>
      <c r="AO60" s="101">
        <v>0.21659999999999999</v>
      </c>
      <c r="AP60" s="29">
        <f>AL60*(1-AM60)*AN60</f>
        <v>38.574719999999999</v>
      </c>
      <c r="AQ60" s="102">
        <f t="shared" ref="AQ60" si="592">AL60*(1-AM60)*AO60</f>
        <v>36.264254999999999</v>
      </c>
      <c r="AR60" s="18">
        <v>1.6</v>
      </c>
      <c r="AS60" s="18">
        <v>518.6</v>
      </c>
      <c r="AT60" s="79">
        <f>AT58+AL60-AS60+AU60</f>
        <v>711.4599999999989</v>
      </c>
      <c r="AU60" s="80">
        <v>12.92</v>
      </c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54</v>
      </c>
      <c r="D61" s="33">
        <v>19800</v>
      </c>
      <c r="E61" s="33">
        <v>4</v>
      </c>
      <c r="F61" s="33">
        <v>16405</v>
      </c>
      <c r="G61" s="34">
        <v>0.4</v>
      </c>
      <c r="H61" s="34">
        <v>4.0999999999999996</v>
      </c>
      <c r="I61" s="33">
        <v>15849</v>
      </c>
      <c r="J61" s="34">
        <v>3.3</v>
      </c>
      <c r="K61" s="33">
        <v>15754</v>
      </c>
      <c r="L61" s="35">
        <v>6.4000000000000001E-2</v>
      </c>
      <c r="M61" s="36">
        <f>ROUND(K61*(1-L61),0)</f>
        <v>14746</v>
      </c>
      <c r="N61" s="37">
        <v>0.65900000000000003</v>
      </c>
      <c r="O61" s="24">
        <f t="shared" si="581"/>
        <v>9717.6139999999996</v>
      </c>
      <c r="P61" s="35">
        <v>0.29199999999999998</v>
      </c>
      <c r="Q61" s="24">
        <f t="shared" si="582"/>
        <v>4305.8319999999994</v>
      </c>
      <c r="R61" s="38">
        <v>4.9000000000000002E-2</v>
      </c>
      <c r="S61" s="105">
        <v>0.27460000000000001</v>
      </c>
      <c r="T61" s="24">
        <f t="shared" si="583"/>
        <v>722.55399999999997</v>
      </c>
      <c r="U61" s="27">
        <v>0.24199999999999999</v>
      </c>
      <c r="V61" s="24">
        <f t="shared" si="584"/>
        <v>3568.5319999999997</v>
      </c>
      <c r="W61" s="38">
        <v>0.48399999999999999</v>
      </c>
      <c r="X61" s="24">
        <f t="shared" si="585"/>
        <v>7137.0639999999994</v>
      </c>
      <c r="Y61" s="38">
        <v>0.44</v>
      </c>
      <c r="Z61" s="24">
        <f t="shared" si="586"/>
        <v>6488.24</v>
      </c>
      <c r="AA61" s="117">
        <v>2.8300000000000001E-3</v>
      </c>
      <c r="AB61" s="18">
        <f t="shared" si="61"/>
        <v>41.731180000000002</v>
      </c>
      <c r="AC61" s="39">
        <v>2.98E-3</v>
      </c>
      <c r="AD61" s="17">
        <f t="shared" si="588"/>
        <v>43.943080000000002</v>
      </c>
      <c r="AE61" s="26">
        <f>IF(M61&gt;0,(AG61+AP61)/M61,0)</f>
        <v>3.2379505289570052E-3</v>
      </c>
      <c r="AF61" s="39">
        <v>2.5999999999999998E-4</v>
      </c>
      <c r="AG61" s="36">
        <f t="shared" si="589"/>
        <v>3.8339599999999998</v>
      </c>
      <c r="AH61" s="27">
        <v>0.21659999999999999</v>
      </c>
      <c r="AI61" s="40">
        <f t="shared" si="590"/>
        <v>39.880608600000002</v>
      </c>
      <c r="AJ61" s="27">
        <f t="shared" si="591"/>
        <v>0.91384863373772218</v>
      </c>
      <c r="AK61" s="28">
        <f t="shared" si="6"/>
        <v>0.92070599853412327</v>
      </c>
      <c r="AL61" s="33">
        <v>203</v>
      </c>
      <c r="AM61" s="35">
        <v>9.2999999999999999E-2</v>
      </c>
      <c r="AN61" s="37">
        <v>0.23849999999999999</v>
      </c>
      <c r="AO61" s="103">
        <v>0.21929999999999999</v>
      </c>
      <c r="AP61" s="40">
        <f>AL61*(1-AM61)*AN61</f>
        <v>43.912858499999999</v>
      </c>
      <c r="AQ61" s="104">
        <f t="shared" si="21"/>
        <v>40.377735299999998</v>
      </c>
      <c r="AR61" s="41">
        <v>1.55</v>
      </c>
      <c r="AS61" s="41"/>
      <c r="AT61" s="129">
        <f>AT60+AL61-AS61</f>
        <v>914.4599999999989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58</v>
      </c>
      <c r="D62" s="42">
        <v>17800</v>
      </c>
      <c r="E62" s="42">
        <v>1</v>
      </c>
      <c r="F62" s="42">
        <v>16825</v>
      </c>
      <c r="G62" s="36">
        <v>0.3</v>
      </c>
      <c r="H62" s="36">
        <v>3.8</v>
      </c>
      <c r="I62" s="42">
        <v>17065</v>
      </c>
      <c r="J62" s="36">
        <v>2.2999999999999998</v>
      </c>
      <c r="K62" s="42">
        <v>15633</v>
      </c>
      <c r="L62" s="38">
        <v>7.0999999999999994E-2</v>
      </c>
      <c r="M62" s="36">
        <f>ROUND(K62*(1-L62),0)</f>
        <v>14523</v>
      </c>
      <c r="N62" s="27">
        <v>0.68799999999999994</v>
      </c>
      <c r="O62" s="24">
        <f t="shared" si="581"/>
        <v>9991.8239999999987</v>
      </c>
      <c r="P62" s="38">
        <v>0.28999999999999998</v>
      </c>
      <c r="Q62" s="24">
        <f t="shared" si="582"/>
        <v>4211.67</v>
      </c>
      <c r="R62" s="38">
        <v>2.1999999999999999E-2</v>
      </c>
      <c r="S62" s="105">
        <v>0.25619999999999998</v>
      </c>
      <c r="T62" s="24">
        <f t="shared" si="583"/>
        <v>319.50599999999997</v>
      </c>
      <c r="U62" s="27">
        <v>0.222</v>
      </c>
      <c r="V62" s="24">
        <f t="shared" si="584"/>
        <v>3224.1060000000002</v>
      </c>
      <c r="W62" s="38">
        <v>0.495</v>
      </c>
      <c r="X62" s="24">
        <f t="shared" si="585"/>
        <v>7188.8850000000002</v>
      </c>
      <c r="Y62" s="38">
        <v>0.43</v>
      </c>
      <c r="Z62" s="24">
        <f t="shared" si="586"/>
        <v>6244.89</v>
      </c>
      <c r="AA62" s="118">
        <v>2.9199999999999999E-3</v>
      </c>
      <c r="AB62" s="121">
        <f t="shared" si="61"/>
        <v>42.407159999999998</v>
      </c>
      <c r="AC62" s="45">
        <v>3.0599999999999998E-3</v>
      </c>
      <c r="AD62" s="17">
        <f t="shared" si="588"/>
        <v>44.440379999999998</v>
      </c>
      <c r="AE62" s="26">
        <f>IF(M62&gt;0,(AG62+AP62)/M62,0)</f>
        <v>3.4545903945465816E-3</v>
      </c>
      <c r="AF62" s="45">
        <v>2.5000000000000001E-4</v>
      </c>
      <c r="AG62" s="36">
        <f t="shared" si="589"/>
        <v>3.6307499999999999</v>
      </c>
      <c r="AH62" s="27">
        <v>0.21640000000000001</v>
      </c>
      <c r="AI62" s="40">
        <f t="shared" si="590"/>
        <v>41.2927988</v>
      </c>
      <c r="AJ62" s="27">
        <f t="shared" si="591"/>
        <v>0.91936276399680095</v>
      </c>
      <c r="AK62" s="28">
        <f t="shared" si="6"/>
        <v>0.92858432882725817</v>
      </c>
      <c r="AL62" s="42">
        <v>209</v>
      </c>
      <c r="AM62" s="38">
        <v>8.6999999999999994E-2</v>
      </c>
      <c r="AN62" s="27">
        <v>0.24390000000000001</v>
      </c>
      <c r="AO62" s="105">
        <v>0.2319</v>
      </c>
      <c r="AP62" s="40">
        <f>AL62*(1-AM62)*AN62</f>
        <v>46.540266300000006</v>
      </c>
      <c r="AQ62" s="106">
        <f t="shared" si="21"/>
        <v>44.250462300000002</v>
      </c>
      <c r="AR62" s="17">
        <v>1.55</v>
      </c>
      <c r="AS62" s="17"/>
      <c r="AT62" s="129">
        <f>AT61+AL62-AS62</f>
        <v>1123.4599999999989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3">SUM(D60:D62)</f>
        <v>42699</v>
      </c>
      <c r="E63" s="49"/>
      <c r="F63" s="49">
        <f t="shared" ref="F63" si="594">SUM(F60:F62)</f>
        <v>40597</v>
      </c>
      <c r="G63" s="50"/>
      <c r="H63" s="50"/>
      <c r="I63" s="49">
        <f t="shared" ref="I63:K63" si="595">SUM(I60:I62)</f>
        <v>40330</v>
      </c>
      <c r="J63" s="50"/>
      <c r="K63" s="49">
        <f t="shared" si="595"/>
        <v>46567</v>
      </c>
      <c r="L63" s="20">
        <f t="shared" ref="L63" si="596">IF(K63&gt;0,(K60*L60+K61*L61+K62*L62)/K63,0)</f>
        <v>6.7653896536173694E-2</v>
      </c>
      <c r="M63" s="50">
        <f t="shared" ref="M63" si="597">M60+M61+M62</f>
        <v>43417</v>
      </c>
      <c r="N63" s="51">
        <f t="shared" ref="N63" si="598">IF(M63&gt;0,O63/M63,0)</f>
        <v>0.6827126240873389</v>
      </c>
      <c r="O63" s="52">
        <f t="shared" ref="O63" si="599">O60+O61+O62</f>
        <v>29641.333999999995</v>
      </c>
      <c r="P63" s="20">
        <f t="shared" ref="P63" si="600">IF(M63&gt;0,Q63/M63,0)</f>
        <v>0.27601543174332632</v>
      </c>
      <c r="Q63" s="52">
        <f t="shared" ref="Q63" si="601">Q60+Q61+Q62</f>
        <v>11983.761999999999</v>
      </c>
      <c r="R63" s="20">
        <f t="shared" ref="R63" si="602">IF(M63&gt;0,T63/M63,0)</f>
        <v>4.1271944169334593E-2</v>
      </c>
      <c r="S63" s="107"/>
      <c r="T63" s="52">
        <f t="shared" ref="T63" si="603">T60+T61+T62</f>
        <v>1791.904</v>
      </c>
      <c r="U63" s="20">
        <f t="shared" ref="U63" si="604">IF(M63&gt;0,V63/M63,0)</f>
        <v>0.23400654121657413</v>
      </c>
      <c r="V63" s="52">
        <f t="shared" ref="V63" si="605">V60+V61+V62</f>
        <v>10159.861999999999</v>
      </c>
      <c r="W63" s="20">
        <f t="shared" ref="W63" si="606">IF(M63&gt;0,X63/M63,0)</f>
        <v>0.48800536656148513</v>
      </c>
      <c r="X63" s="52">
        <f t="shared" ref="X63" si="607">X60+X61+X62</f>
        <v>21187.728999999999</v>
      </c>
      <c r="Y63" s="20">
        <f t="shared" ref="Y63" si="608">IF(M63&gt;0,Z63/M63,0)</f>
        <v>0.43339636547895988</v>
      </c>
      <c r="Z63" s="52">
        <f t="shared" ref="Z63" si="609">Z60+Z61+Z62</f>
        <v>18816.77</v>
      </c>
      <c r="AA63" s="119">
        <f t="shared" ref="AA63" si="610">IF(M63&gt;0,AB63/M63,0)</f>
        <v>2.830777345279499E-3</v>
      </c>
      <c r="AB63" s="54">
        <f t="shared" ref="AB63" si="611">SUM(AB60:AB62)</f>
        <v>122.90386000000001</v>
      </c>
      <c r="AC63" s="53">
        <f t="shared" ref="AC63" si="612">IF(M63&gt;0,AD63/M63,0)</f>
        <v>2.9676564479351407E-3</v>
      </c>
      <c r="AD63" s="54">
        <f t="shared" ref="AD63" si="613">SUM(AD60:AD62)</f>
        <v>128.84674000000001</v>
      </c>
      <c r="AE63" s="53">
        <f t="shared" ref="AE63" si="614">IF(M63&gt;0,(AE60*M60+AE61*M61+AE62*M62)/M63,0)</f>
        <v>3.2252241011585326E-3</v>
      </c>
      <c r="AF63" s="53">
        <f t="shared" ref="AF63" si="615">IF(K63&gt;0,(K60*AF60+K61*AF61+K62*AF62)/K63,0)</f>
        <v>2.5338308244035476E-4</v>
      </c>
      <c r="AG63" s="50">
        <f t="shared" ref="AG63" si="616">SUM(AG60:AG62)</f>
        <v>11.001709999999999</v>
      </c>
      <c r="AH63" s="51">
        <f t="shared" ref="AH63" si="617">IF(K63&gt;0,(K60*AH60+K61*AH61+K62*AH62)/K63,0)</f>
        <v>0.21558751046878691</v>
      </c>
      <c r="AI63" s="56">
        <f t="shared" ref="AI63" si="618">SUM(AI60:AI62)</f>
        <v>116.9521299</v>
      </c>
      <c r="AJ63" s="51">
        <f t="shared" ref="AJ63" si="619">IF(AND(AD63&gt;0),((AD60*AJ60+AD61*AJ61+AD62*AJ62)/AD63),0)</f>
        <v>0.91569009462320827</v>
      </c>
      <c r="AK63" s="55">
        <f t="shared" si="6"/>
        <v>0.92242045619918467</v>
      </c>
      <c r="AL63" s="49">
        <f t="shared" ref="AL63" si="620">SUM(AL60:AL62)</f>
        <v>597</v>
      </c>
      <c r="AM63" s="20">
        <f t="shared" ref="AM63" si="621">IF(AL63&gt;0,(AM60*AL60+AM61*AL61+AM62*AL62)/AL63,0)</f>
        <v>9.1519262981574534E-2</v>
      </c>
      <c r="AN63" s="51">
        <f>IF(K63&gt;0,(AN60*K60+AN61*K61+AN62*K62)/K63,0)</f>
        <v>0.23767237958210749</v>
      </c>
      <c r="AO63" s="107">
        <f>IF(L63&gt;0,(AO60*K60+AO61*K61+AO62*K62)/K63,0)</f>
        <v>0.2226497927717053</v>
      </c>
      <c r="AP63" s="56">
        <f t="shared" ref="AP63" si="622">SUM(AP60:AP62)</f>
        <v>129.0278448</v>
      </c>
      <c r="AQ63" s="108">
        <f t="shared" si="578"/>
        <v>120.89245260000001</v>
      </c>
      <c r="AR63" s="54"/>
      <c r="AS63" s="54">
        <f t="shared" ref="AS63" si="623">SUM(AS60:AS62)</f>
        <v>518.6</v>
      </c>
      <c r="AT63" s="83"/>
      <c r="AU63" s="84">
        <f>AT62</f>
        <v>1123.4599999999989</v>
      </c>
      <c r="AV63" s="49">
        <f t="shared" ref="AV63" si="624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53</v>
      </c>
      <c r="D64" s="11">
        <v>13500</v>
      </c>
      <c r="E64" s="11">
        <v>0</v>
      </c>
      <c r="F64" s="11">
        <v>16029</v>
      </c>
      <c r="G64" s="12">
        <v>1</v>
      </c>
      <c r="H64" s="12">
        <v>4.3</v>
      </c>
      <c r="I64" s="11">
        <v>16360</v>
      </c>
      <c r="J64" s="12">
        <v>2.2000000000000002</v>
      </c>
      <c r="K64" s="11">
        <v>15864</v>
      </c>
      <c r="L64" s="13">
        <v>6.7000000000000004E-2</v>
      </c>
      <c r="M64" s="23">
        <f>ROUND(K64*(1-L64),0)</f>
        <v>14801</v>
      </c>
      <c r="N64" s="14">
        <v>0.745</v>
      </c>
      <c r="O64" s="24">
        <f t="shared" ref="O64:O66" si="625">M64*N64</f>
        <v>11026.745000000001</v>
      </c>
      <c r="P64" s="13">
        <v>0.224</v>
      </c>
      <c r="Q64" s="24">
        <f t="shared" ref="Q64:Q66" si="626">M64*P64</f>
        <v>3315.424</v>
      </c>
      <c r="R64" s="15">
        <v>3.1E-2</v>
      </c>
      <c r="S64" s="112">
        <v>0.26869999999999999</v>
      </c>
      <c r="T64" s="24">
        <f t="shared" ref="T64:T66" si="627">M64*R64</f>
        <v>458.83100000000002</v>
      </c>
      <c r="U64" s="25">
        <v>0.24</v>
      </c>
      <c r="V64" s="24">
        <f t="shared" ref="V64:V66" si="628">M64*U64</f>
        <v>3552.24</v>
      </c>
      <c r="W64" s="15">
        <v>0.48299999999999998</v>
      </c>
      <c r="X64" s="24">
        <f t="shared" ref="X64:X66" si="629">M64*W64</f>
        <v>7148.8829999999998</v>
      </c>
      <c r="Y64" s="15">
        <v>0.43</v>
      </c>
      <c r="Z64" s="24">
        <f t="shared" ref="Z64:Z66" si="630">Y64*M64</f>
        <v>6364.43</v>
      </c>
      <c r="AA64" s="116">
        <v>2.8999999999999998E-3</v>
      </c>
      <c r="AB64" s="18">
        <f t="shared" ref="AB64" si="631">M64*AA64</f>
        <v>42.922899999999998</v>
      </c>
      <c r="AC64" s="16">
        <v>2.8500000000000001E-3</v>
      </c>
      <c r="AD64" s="17">
        <f t="shared" ref="AD64:AD66" si="632">M64*AC64</f>
        <v>42.182850000000002</v>
      </c>
      <c r="AE64" s="26">
        <f>IF(M64&gt;0,(AG64+AP64)/M64,0)</f>
        <v>2.8531475846226601E-3</v>
      </c>
      <c r="AF64" s="16">
        <v>2.3000000000000001E-4</v>
      </c>
      <c r="AG64" s="23">
        <f t="shared" ref="AG64:AG66" si="633">AF64*M64</f>
        <v>3.4042300000000001</v>
      </c>
      <c r="AH64" s="92">
        <v>0.2175</v>
      </c>
      <c r="AI64" s="29">
        <f t="shared" ref="AI64:AI66" si="634">AL64*(1-AM64)*AH64</f>
        <v>35.1560475</v>
      </c>
      <c r="AJ64" s="27">
        <f t="shared" ref="AJ64:AJ66" si="635">IF(AND(AH64&gt;0,AF64&gt;0,AC64&gt;0),((AC64-AF64)*AH64)/((AH64-AF64)*AC64),0)</f>
        <v>0.92027140618149139</v>
      </c>
      <c r="AK64" s="58">
        <f t="shared" si="6"/>
        <v>0.92026846519017891</v>
      </c>
      <c r="AL64" s="11">
        <v>179</v>
      </c>
      <c r="AM64" s="13">
        <v>9.7000000000000003E-2</v>
      </c>
      <c r="AN64" s="14">
        <v>0.2402</v>
      </c>
      <c r="AO64" s="101">
        <v>0.22919999999999999</v>
      </c>
      <c r="AP64" s="29">
        <f>AL64*(1-AM64)*AN64</f>
        <v>38.825207399999996</v>
      </c>
      <c r="AQ64" s="102">
        <f t="shared" ref="AQ64" si="636">AL64*(1-AM64)*AO64</f>
        <v>37.047200400000001</v>
      </c>
      <c r="AR64" s="18">
        <v>1.5</v>
      </c>
      <c r="AS64" s="18"/>
      <c r="AT64" s="79">
        <f>AT62+AL64-AS64</f>
        <v>1302.4599999999989</v>
      </c>
      <c r="AU64" s="80"/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54</v>
      </c>
      <c r="D65" s="33">
        <v>15531</v>
      </c>
      <c r="E65" s="33">
        <v>0</v>
      </c>
      <c r="F65" s="33">
        <v>13002</v>
      </c>
      <c r="G65" s="34">
        <v>0.3</v>
      </c>
      <c r="H65" s="34">
        <v>4</v>
      </c>
      <c r="I65" s="33">
        <v>12818</v>
      </c>
      <c r="J65" s="34">
        <v>3.4</v>
      </c>
      <c r="K65" s="33">
        <v>15965</v>
      </c>
      <c r="L65" s="35">
        <v>6.8000000000000005E-2</v>
      </c>
      <c r="M65" s="36">
        <f>ROUND(K65*(1-L65),0)</f>
        <v>14879</v>
      </c>
      <c r="N65" s="37">
        <v>0.73899999999999999</v>
      </c>
      <c r="O65" s="24">
        <f t="shared" si="625"/>
        <v>10995.581</v>
      </c>
      <c r="P65" s="35">
        <v>0.192</v>
      </c>
      <c r="Q65" s="24">
        <f t="shared" si="626"/>
        <v>2856.768</v>
      </c>
      <c r="R65" s="38">
        <v>6.9000000000000006E-2</v>
      </c>
      <c r="S65" s="105">
        <v>0.27139999999999997</v>
      </c>
      <c r="T65" s="24">
        <f t="shared" si="627"/>
        <v>1026.6510000000001</v>
      </c>
      <c r="U65" s="27">
        <v>0.246</v>
      </c>
      <c r="V65" s="24">
        <f t="shared" si="628"/>
        <v>3660.2339999999999</v>
      </c>
      <c r="W65" s="38">
        <v>0.48399999999999999</v>
      </c>
      <c r="X65" s="24">
        <f t="shared" si="629"/>
        <v>7201.4359999999997</v>
      </c>
      <c r="Y65" s="38">
        <v>0.44</v>
      </c>
      <c r="Z65" s="24">
        <f t="shared" si="630"/>
        <v>6546.76</v>
      </c>
      <c r="AA65" s="117">
        <v>2.8500000000000001E-3</v>
      </c>
      <c r="AB65" s="18">
        <f t="shared" si="61"/>
        <v>42.405149999999999</v>
      </c>
      <c r="AC65" s="39">
        <v>3.0400000000000002E-3</v>
      </c>
      <c r="AD65" s="17">
        <f t="shared" si="632"/>
        <v>45.23216</v>
      </c>
      <c r="AE65" s="26">
        <f>IF(M65&gt;0,(AG65+AP65)/M65,0)</f>
        <v>3.0353849721083404E-3</v>
      </c>
      <c r="AF65" s="39">
        <v>2.4000000000000001E-4</v>
      </c>
      <c r="AG65" s="36">
        <f t="shared" si="633"/>
        <v>3.5709599999999999</v>
      </c>
      <c r="AH65" s="27">
        <v>0.21329999999999999</v>
      </c>
      <c r="AI65" s="40">
        <f t="shared" si="634"/>
        <v>37.449081</v>
      </c>
      <c r="AJ65" s="27">
        <f t="shared" si="635"/>
        <v>0.92209014510367715</v>
      </c>
      <c r="AK65" s="28">
        <f t="shared" si="6"/>
        <v>0.92186652904547828</v>
      </c>
      <c r="AL65" s="33">
        <v>194</v>
      </c>
      <c r="AM65" s="35">
        <v>9.5000000000000001E-2</v>
      </c>
      <c r="AN65" s="37">
        <v>0.2369</v>
      </c>
      <c r="AO65" s="103">
        <v>0.2218</v>
      </c>
      <c r="AP65" s="40">
        <f>AL65*(1-AM65)*AN65</f>
        <v>41.592532999999996</v>
      </c>
      <c r="AQ65" s="104">
        <f t="shared" si="21"/>
        <v>38.941426</v>
      </c>
      <c r="AR65" s="41">
        <v>1.55</v>
      </c>
      <c r="AS65" s="41"/>
      <c r="AT65" s="129">
        <f>AT64+AL65-AS65</f>
        <v>1496.4599999999989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0" t="s">
        <v>55</v>
      </c>
      <c r="D66" s="42">
        <v>15700</v>
      </c>
      <c r="E66" s="42">
        <v>2</v>
      </c>
      <c r="F66" s="42">
        <v>17471</v>
      </c>
      <c r="G66" s="36">
        <v>0.4</v>
      </c>
      <c r="H66" s="36">
        <v>4.0999999999999996</v>
      </c>
      <c r="I66" s="42">
        <v>17164</v>
      </c>
      <c r="J66" s="36">
        <v>3</v>
      </c>
      <c r="K66" s="42">
        <v>15945</v>
      </c>
      <c r="L66" s="38">
        <v>6.9000000000000006E-2</v>
      </c>
      <c r="M66" s="36">
        <f>ROUND(K66*(1-L66),0)</f>
        <v>14845</v>
      </c>
      <c r="N66" s="27">
        <v>0.72099999999999997</v>
      </c>
      <c r="O66" s="24">
        <f t="shared" si="625"/>
        <v>10703.244999999999</v>
      </c>
      <c r="P66" s="38">
        <v>0.24</v>
      </c>
      <c r="Q66" s="24">
        <f t="shared" si="626"/>
        <v>3562.7999999999997</v>
      </c>
      <c r="R66" s="38">
        <v>3.9E-2</v>
      </c>
      <c r="S66" s="105">
        <v>0.25509999999999999</v>
      </c>
      <c r="T66" s="24">
        <f t="shared" si="627"/>
        <v>578.95500000000004</v>
      </c>
      <c r="U66" s="27">
        <v>0.24199999999999999</v>
      </c>
      <c r="V66" s="24">
        <f t="shared" si="628"/>
        <v>3592.49</v>
      </c>
      <c r="W66" s="38">
        <v>0.48</v>
      </c>
      <c r="X66" s="24">
        <f t="shared" si="629"/>
        <v>7125.5999999999995</v>
      </c>
      <c r="Y66" s="38">
        <v>0.44</v>
      </c>
      <c r="Z66" s="24">
        <f t="shared" si="630"/>
        <v>6531.8</v>
      </c>
      <c r="AA66" s="118">
        <v>2.81E-3</v>
      </c>
      <c r="AB66" s="121">
        <f t="shared" si="61"/>
        <v>41.714449999999999</v>
      </c>
      <c r="AC66" s="45">
        <v>2.9099999999999998E-3</v>
      </c>
      <c r="AD66" s="17">
        <f t="shared" si="632"/>
        <v>43.198949999999996</v>
      </c>
      <c r="AE66" s="26">
        <f>IF(M66&gt;0,(AG66+AP66)/M66,0)</f>
        <v>3.1821106096328734E-3</v>
      </c>
      <c r="AF66" s="45">
        <v>2.4000000000000001E-4</v>
      </c>
      <c r="AG66" s="36">
        <f t="shared" si="633"/>
        <v>3.5628000000000002</v>
      </c>
      <c r="AH66" s="27">
        <v>0.21429999999999999</v>
      </c>
      <c r="AI66" s="40">
        <f t="shared" si="634"/>
        <v>40.518129600000002</v>
      </c>
      <c r="AJ66" s="27">
        <f t="shared" si="635"/>
        <v>0.91855448563896225</v>
      </c>
      <c r="AK66" s="28">
        <f t="shared" si="6"/>
        <v>0.92553996022262064</v>
      </c>
      <c r="AL66" s="42">
        <v>208</v>
      </c>
      <c r="AM66" s="38">
        <v>9.0999999999999998E-2</v>
      </c>
      <c r="AN66" s="27">
        <v>0.23100000000000001</v>
      </c>
      <c r="AO66" s="105">
        <v>0.22</v>
      </c>
      <c r="AP66" s="40">
        <f>AL66*(1-AM66)*AN66</f>
        <v>43.675632</v>
      </c>
      <c r="AQ66" s="106">
        <f t="shared" si="21"/>
        <v>41.595840000000003</v>
      </c>
      <c r="AR66" s="17">
        <v>1.6</v>
      </c>
      <c r="AS66" s="17"/>
      <c r="AT66" s="129">
        <f>AT65+AL66-AS66</f>
        <v>1704.4599999999989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37">SUM(D64:D66)</f>
        <v>44731</v>
      </c>
      <c r="E67" s="49"/>
      <c r="F67" s="49">
        <f t="shared" ref="F67" si="638">SUM(F64:F66)</f>
        <v>46502</v>
      </c>
      <c r="G67" s="50"/>
      <c r="H67" s="50"/>
      <c r="I67" s="49">
        <f t="shared" ref="I67:K67" si="639">SUM(I64:I66)</f>
        <v>46342</v>
      </c>
      <c r="J67" s="50"/>
      <c r="K67" s="49">
        <f t="shared" si="639"/>
        <v>47774</v>
      </c>
      <c r="L67" s="20">
        <f t="shared" ref="L67" si="640">IF(K67&gt;0,(K64*L64+K65*L65+K66*L66)/K67,0)</f>
        <v>6.8001695482898666E-2</v>
      </c>
      <c r="M67" s="50">
        <f t="shared" ref="M67" si="641">M64+M65+M66</f>
        <v>44525</v>
      </c>
      <c r="N67" s="51">
        <f t="shared" ref="N67" si="642">IF(M67&gt;0,O67/M67,0)</f>
        <v>0.73499317237507023</v>
      </c>
      <c r="O67" s="52">
        <f t="shared" ref="O67" si="643">O64+O65+O66</f>
        <v>32725.571</v>
      </c>
      <c r="P67" s="20">
        <f t="shared" ref="P67" si="644">IF(M67&gt;0,Q67/M67,0)</f>
        <v>0.2186410331274565</v>
      </c>
      <c r="Q67" s="52">
        <f t="shared" ref="Q67" si="645">Q64+Q65+Q66</f>
        <v>9734.9920000000002</v>
      </c>
      <c r="R67" s="20">
        <f t="shared" ref="R67" si="646">IF(M67&gt;0,T67/M67,0)</f>
        <v>4.6365794497473328E-2</v>
      </c>
      <c r="S67" s="107"/>
      <c r="T67" s="52">
        <f t="shared" ref="T67" si="647">T64+T65+T66</f>
        <v>2064.4369999999999</v>
      </c>
      <c r="U67" s="20">
        <f t="shared" ref="U67" si="648">IF(M67&gt;0,V67/M67,0)</f>
        <v>0.24267184727681079</v>
      </c>
      <c r="V67" s="52">
        <f t="shared" ref="V67" si="649">V64+V65+V66</f>
        <v>10804.964</v>
      </c>
      <c r="W67" s="20">
        <f t="shared" ref="W67" si="650">IF(M67&gt;0,X67/M67,0)</f>
        <v>0.48233394722066253</v>
      </c>
      <c r="X67" s="52">
        <f t="shared" ref="X67" si="651">X64+X65+X66</f>
        <v>21475.918999999998</v>
      </c>
      <c r="Y67" s="20">
        <f t="shared" ref="Y67" si="652">IF(M67&gt;0,Z67/M67,0)</f>
        <v>0.43667580011229651</v>
      </c>
      <c r="Z67" s="52">
        <f t="shared" ref="Z67" si="653">Z64+Z65+Z66</f>
        <v>19442.990000000002</v>
      </c>
      <c r="AA67" s="119">
        <f t="shared" ref="AA67" si="654">IF(M67&gt;0,AB67/M67,0)</f>
        <v>2.8532846715328465E-3</v>
      </c>
      <c r="AB67" s="54">
        <f t="shared" ref="AB67" si="655">SUM(AB64:AB66)</f>
        <v>127.04249999999999</v>
      </c>
      <c r="AC67" s="53">
        <f t="shared" ref="AC67" si="656">IF(M67&gt;0,AD67/M67,0)</f>
        <v>2.9334971364402018E-3</v>
      </c>
      <c r="AD67" s="54">
        <f t="shared" ref="AD67" si="657">SUM(AD64:AD66)</f>
        <v>130.61395999999999</v>
      </c>
      <c r="AE67" s="53">
        <f t="shared" ref="AE67" si="658">IF(M67&gt;0,(AE64*M64+AE65*M65+AE66*M66)/M67,0)</f>
        <v>3.023725152161707E-3</v>
      </c>
      <c r="AF67" s="53">
        <f t="shared" ref="AF67" si="659">IF(K67&gt;0,(K64*AF64+K65*AF65+K66*AF66)/K67,0)</f>
        <v>2.3667936534516683E-4</v>
      </c>
      <c r="AG67" s="50">
        <f t="shared" ref="AG67" si="660">SUM(AG64:AG66)</f>
        <v>10.537990000000001</v>
      </c>
      <c r="AH67" s="51">
        <f t="shared" ref="AH67" si="661">IF(K67&gt;0,(K64*AH64+K65*AH65+K66*AH66)/K67,0)</f>
        <v>0.21502842550341189</v>
      </c>
      <c r="AI67" s="56">
        <f t="shared" ref="AI67" si="662">SUM(AI64:AI66)</f>
        <v>113.12325810000002</v>
      </c>
      <c r="AJ67" s="51">
        <f t="shared" ref="AJ67" si="663">IF(AND(AD67&gt;0),((AD64*AJ64+AD65*AJ65+AD66*AJ66)/AD67),0)</f>
        <v>0.92033339285776905</v>
      </c>
      <c r="AK67" s="55">
        <f t="shared" si="6"/>
        <v>0.92265110256585192</v>
      </c>
      <c r="AL67" s="49">
        <f t="shared" ref="AL67" si="664">SUM(AL64:AL66)</f>
        <v>581</v>
      </c>
      <c r="AM67" s="20">
        <f t="shared" ref="AM67" si="665">IF(AL67&gt;0,(AM64*AL64+AM65*AL65+AM66*AL66)/AL67,0)</f>
        <v>9.4184165232358008E-2</v>
      </c>
      <c r="AN67" s="51">
        <f>IF(K67&gt;0,(AN64*K64+AN65*K65+AN66*K66)/K67,0)</f>
        <v>0.23602663164064133</v>
      </c>
      <c r="AO67" s="107">
        <f>IF(L67&gt;0,(AO64*K64+AO65*K65+AO66*K66)/K67,0)</f>
        <v>0.223656503537489</v>
      </c>
      <c r="AP67" s="56">
        <f t="shared" ref="AP67" si="666">SUM(AP64:AP66)</f>
        <v>124.09337239999999</v>
      </c>
      <c r="AQ67" s="108">
        <f t="shared" si="578"/>
        <v>117.5844664</v>
      </c>
      <c r="AR67" s="54"/>
      <c r="AS67" s="54">
        <f t="shared" ref="AS67" si="667">SUM(AS64:AS66)</f>
        <v>0</v>
      </c>
      <c r="AT67" s="83"/>
      <c r="AU67" s="84">
        <f>AT66</f>
        <v>1704.4599999999989</v>
      </c>
      <c r="AV67" s="49">
        <f t="shared" ref="AV67" si="668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57</v>
      </c>
      <c r="D68" s="11">
        <v>12600</v>
      </c>
      <c r="E68" s="11">
        <v>0</v>
      </c>
      <c r="F68" s="11">
        <v>17073</v>
      </c>
      <c r="G68" s="12">
        <v>0.3</v>
      </c>
      <c r="H68" s="12">
        <v>3.9</v>
      </c>
      <c r="I68" s="11">
        <v>16724</v>
      </c>
      <c r="J68" s="12">
        <v>2.2999999999999998</v>
      </c>
      <c r="K68" s="11">
        <v>15994</v>
      </c>
      <c r="L68" s="13">
        <v>6.9000000000000006E-2</v>
      </c>
      <c r="M68" s="23">
        <f>ROUND(K68*(1-L68),0)</f>
        <v>14890</v>
      </c>
      <c r="N68" s="14">
        <v>0.66600000000000004</v>
      </c>
      <c r="O68" s="24">
        <f t="shared" ref="O68:O70" si="669">M68*N68</f>
        <v>9916.74</v>
      </c>
      <c r="P68" s="13">
        <v>0.30599999999999999</v>
      </c>
      <c r="Q68" s="24">
        <f t="shared" ref="Q68:Q70" si="670">M68*P68</f>
        <v>4556.34</v>
      </c>
      <c r="R68" s="15">
        <v>2.8000000000000001E-2</v>
      </c>
      <c r="S68" s="112">
        <v>0.255</v>
      </c>
      <c r="T68" s="24">
        <f t="shared" ref="T68:T70" si="671">M68*R68</f>
        <v>416.92</v>
      </c>
      <c r="U68" s="25">
        <v>0.248</v>
      </c>
      <c r="V68" s="24">
        <f t="shared" ref="V68:V70" si="672">M68*U68</f>
        <v>3692.72</v>
      </c>
      <c r="W68" s="15">
        <v>0.47499999999999998</v>
      </c>
      <c r="X68" s="24">
        <f t="shared" ref="X68:X70" si="673">M68*W68</f>
        <v>7072.75</v>
      </c>
      <c r="Y68" s="15">
        <v>0.45</v>
      </c>
      <c r="Z68" s="24">
        <f t="shared" ref="Z68:Z70" si="674">Y68*M68</f>
        <v>6700.5</v>
      </c>
      <c r="AA68" s="116">
        <v>2.7799999999999999E-3</v>
      </c>
      <c r="AB68" s="18">
        <f t="shared" ref="AB68" si="675">M68*AA68</f>
        <v>41.394199999999998</v>
      </c>
      <c r="AC68" s="16">
        <v>2.8800000000000002E-3</v>
      </c>
      <c r="AD68" s="17">
        <f t="shared" ref="AD68:AD70" si="676">M68*AC68</f>
        <v>42.883200000000002</v>
      </c>
      <c r="AE68" s="26">
        <f>IF(M68&gt;0,(AG68+AP68)/M68,0)</f>
        <v>2.9843012491605103E-3</v>
      </c>
      <c r="AF68" s="16">
        <v>2.3000000000000001E-4</v>
      </c>
      <c r="AG68" s="23">
        <f t="shared" ref="AG68:AG70" si="677">AF68*M68</f>
        <v>3.4247000000000001</v>
      </c>
      <c r="AH68" s="92">
        <v>0.21360000000000001</v>
      </c>
      <c r="AI68" s="29">
        <f t="shared" ref="AI68:AI70" si="678">AL68*(1-AM68)*AH68</f>
        <v>37.484236800000005</v>
      </c>
      <c r="AJ68" s="27">
        <f t="shared" ref="AJ68:AJ70" si="679">IF(AND(AH68&gt;0,AF68&gt;0,AC68&gt;0),((AC68-AF68)*AH68)/((AH68-AF68)*AC68),0)</f>
        <v>0.9211307431535205</v>
      </c>
      <c r="AK68" s="58">
        <f t="shared" ref="AK68:AK127" si="680">IF(AND(AE68&gt;0,AN68&gt;0,AF68&gt;0),((AN68*(AE68-AF68))/(AE68*(AN68-AF68))),0)</f>
        <v>0.92383924537376294</v>
      </c>
      <c r="AL68" s="11">
        <v>192</v>
      </c>
      <c r="AM68" s="13">
        <v>8.5999999999999993E-2</v>
      </c>
      <c r="AN68" s="14">
        <v>0.23369999999999999</v>
      </c>
      <c r="AO68" s="101">
        <v>0.2228</v>
      </c>
      <c r="AP68" s="29">
        <f>AL68*(1-AM68)*AN68</f>
        <v>41.011545599999998</v>
      </c>
      <c r="AQ68" s="102">
        <f t="shared" ref="AQ68" si="681">AL68*(1-AM68)*AO68</f>
        <v>39.098726399999997</v>
      </c>
      <c r="AR68" s="18">
        <v>1.55</v>
      </c>
      <c r="AS68" s="18"/>
      <c r="AT68" s="79">
        <f>AT66+AL68-AS68</f>
        <v>1896.4599999999989</v>
      </c>
      <c r="AU68" s="80"/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54</v>
      </c>
      <c r="D69" s="33">
        <v>20090</v>
      </c>
      <c r="E69" s="33">
        <v>1</v>
      </c>
      <c r="F69" s="33">
        <v>16019</v>
      </c>
      <c r="G69" s="34">
        <v>0.3</v>
      </c>
      <c r="H69" s="34">
        <v>4.2</v>
      </c>
      <c r="I69" s="33">
        <v>16121</v>
      </c>
      <c r="J69" s="34">
        <v>2.2999999999999998</v>
      </c>
      <c r="K69" s="33">
        <v>16036</v>
      </c>
      <c r="L69" s="35">
        <v>5.8000000000000003E-2</v>
      </c>
      <c r="M69" s="36">
        <f>ROUND(K69*(1-L69),0)</f>
        <v>15106</v>
      </c>
      <c r="N69" s="37">
        <v>0.73499999999999999</v>
      </c>
      <c r="O69" s="24">
        <f t="shared" si="669"/>
        <v>11102.91</v>
      </c>
      <c r="P69" s="35">
        <v>0.17799999999999999</v>
      </c>
      <c r="Q69" s="24">
        <f t="shared" si="670"/>
        <v>2688.8679999999999</v>
      </c>
      <c r="R69" s="38">
        <v>8.6999999999999994E-2</v>
      </c>
      <c r="S69" s="105">
        <v>0.253</v>
      </c>
      <c r="T69" s="24">
        <f t="shared" si="671"/>
        <v>1314.222</v>
      </c>
      <c r="U69" s="27">
        <v>0.254</v>
      </c>
      <c r="V69" s="24">
        <f t="shared" si="672"/>
        <v>3836.924</v>
      </c>
      <c r="W69" s="38">
        <v>0.46700000000000003</v>
      </c>
      <c r="X69" s="24">
        <f t="shared" si="673"/>
        <v>7054.5020000000004</v>
      </c>
      <c r="Y69" s="38">
        <v>0.45</v>
      </c>
      <c r="Z69" s="24">
        <f t="shared" si="674"/>
        <v>6797.7</v>
      </c>
      <c r="AA69" s="117">
        <v>2.8900000000000002E-3</v>
      </c>
      <c r="AB69" s="18">
        <f t="shared" si="61"/>
        <v>43.65634</v>
      </c>
      <c r="AC69" s="39">
        <v>2.9199999999999999E-3</v>
      </c>
      <c r="AD69" s="17">
        <f t="shared" si="676"/>
        <v>44.109519999999996</v>
      </c>
      <c r="AE69" s="26">
        <f>IF(M69&gt;0,(AG69+AP69)/M69,0)</f>
        <v>2.9503697868396668E-3</v>
      </c>
      <c r="AF69" s="39">
        <v>2.2000000000000001E-4</v>
      </c>
      <c r="AG69" s="36">
        <f t="shared" si="677"/>
        <v>3.3233200000000003</v>
      </c>
      <c r="AH69" s="27">
        <v>0.2069</v>
      </c>
      <c r="AI69" s="40">
        <f t="shared" si="678"/>
        <v>36.862131600000005</v>
      </c>
      <c r="AJ69" s="27">
        <f t="shared" si="679"/>
        <v>0.92564178360565341</v>
      </c>
      <c r="AK69" s="28">
        <f t="shared" si="680"/>
        <v>0.92631337369372424</v>
      </c>
      <c r="AL69" s="33">
        <v>196</v>
      </c>
      <c r="AM69" s="35">
        <v>9.0999999999999998E-2</v>
      </c>
      <c r="AN69" s="37">
        <v>0.23150000000000001</v>
      </c>
      <c r="AO69" s="103">
        <v>0.2218</v>
      </c>
      <c r="AP69" s="40">
        <f>AL69*(1-AM69)*AN69</f>
        <v>41.244966000000005</v>
      </c>
      <c r="AQ69" s="104">
        <f t="shared" si="21"/>
        <v>39.516775200000005</v>
      </c>
      <c r="AR69" s="41">
        <v>1.55</v>
      </c>
      <c r="AS69" s="41"/>
      <c r="AT69" s="129">
        <f>AT68+AL69-AS69</f>
        <v>2092.4599999999991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55</v>
      </c>
      <c r="D70" s="42">
        <v>16220</v>
      </c>
      <c r="E70" s="42">
        <v>3</v>
      </c>
      <c r="F70" s="42">
        <v>17692</v>
      </c>
      <c r="G70" s="36">
        <v>0.1</v>
      </c>
      <c r="H70" s="36">
        <v>3.6</v>
      </c>
      <c r="I70" s="42">
        <v>17124</v>
      </c>
      <c r="J70" s="36">
        <v>2</v>
      </c>
      <c r="K70" s="42">
        <v>16035</v>
      </c>
      <c r="L70" s="38">
        <v>7.0999999999999994E-2</v>
      </c>
      <c r="M70" s="36">
        <f>ROUND(K70*(1-L70),0)</f>
        <v>14897</v>
      </c>
      <c r="N70" s="27">
        <v>0.66500000000000004</v>
      </c>
      <c r="O70" s="24">
        <f t="shared" si="669"/>
        <v>9906.505000000001</v>
      </c>
      <c r="P70" s="38">
        <v>0.28699999999999998</v>
      </c>
      <c r="Q70" s="24">
        <f t="shared" si="670"/>
        <v>4275.4389999999994</v>
      </c>
      <c r="R70" s="38">
        <v>4.8000000000000001E-2</v>
      </c>
      <c r="S70" s="105">
        <v>0.25769999999999998</v>
      </c>
      <c r="T70" s="24">
        <f t="shared" si="671"/>
        <v>715.05600000000004</v>
      </c>
      <c r="U70" s="27">
        <v>0.26300000000000001</v>
      </c>
      <c r="V70" s="24">
        <f t="shared" si="672"/>
        <v>3917.9110000000001</v>
      </c>
      <c r="W70" s="38">
        <v>0.46400000000000002</v>
      </c>
      <c r="X70" s="24">
        <f t="shared" si="673"/>
        <v>6912.2080000000005</v>
      </c>
      <c r="Y70" s="38">
        <v>0.44</v>
      </c>
      <c r="Z70" s="24">
        <f t="shared" si="674"/>
        <v>6554.68</v>
      </c>
      <c r="AA70" s="118">
        <v>2.7299999999999998E-3</v>
      </c>
      <c r="AB70" s="121">
        <f t="shared" si="61"/>
        <v>40.668809999999993</v>
      </c>
      <c r="AC70" s="45">
        <v>2.8900000000000002E-3</v>
      </c>
      <c r="AD70" s="17">
        <f t="shared" si="676"/>
        <v>43.052330000000005</v>
      </c>
      <c r="AE70" s="26">
        <f>IF(M70&gt;0,(AG70+AP70)/M70,0)</f>
        <v>3.0764562663623549E-3</v>
      </c>
      <c r="AF70" s="45">
        <v>2.3000000000000001E-4</v>
      </c>
      <c r="AG70" s="36">
        <f t="shared" si="677"/>
        <v>3.42631</v>
      </c>
      <c r="AH70" s="27">
        <v>0.2089</v>
      </c>
      <c r="AI70" s="40">
        <f t="shared" si="678"/>
        <v>37.614116199999998</v>
      </c>
      <c r="AJ70" s="27">
        <f t="shared" si="679"/>
        <v>0.92142972389145095</v>
      </c>
      <c r="AK70" s="28">
        <f t="shared" si="680"/>
        <v>0.92614317120069689</v>
      </c>
      <c r="AL70" s="42">
        <v>197</v>
      </c>
      <c r="AM70" s="38">
        <v>8.5999999999999993E-2</v>
      </c>
      <c r="AN70" s="27">
        <v>0.23549999999999999</v>
      </c>
      <c r="AO70" s="105">
        <v>0.2273</v>
      </c>
      <c r="AP70" s="40">
        <f>AL70*(1-AM70)*AN70</f>
        <v>42.403658999999998</v>
      </c>
      <c r="AQ70" s="106">
        <f t="shared" si="21"/>
        <v>40.927183399999997</v>
      </c>
      <c r="AR70" s="17">
        <v>1.55</v>
      </c>
      <c r="AS70" s="17"/>
      <c r="AT70" s="129">
        <f>AT69+AL70-AS70</f>
        <v>2289.4599999999991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2">SUM(D68:D70)</f>
        <v>48910</v>
      </c>
      <c r="E71" s="49"/>
      <c r="F71" s="49">
        <f t="shared" ref="F71" si="683">SUM(F68:F70)</f>
        <v>50784</v>
      </c>
      <c r="G71" s="50"/>
      <c r="H71" s="50"/>
      <c r="I71" s="49">
        <f t="shared" ref="I71:K71" si="684">SUM(I68:I70)</f>
        <v>49969</v>
      </c>
      <c r="J71" s="50"/>
      <c r="K71" s="49">
        <f t="shared" si="684"/>
        <v>48065</v>
      </c>
      <c r="L71" s="20">
        <f t="shared" ref="L71" si="685">IF(K71&gt;0,(K68*L68+K69*L69+K70*L70)/K71,0)</f>
        <v>6.5997274524081967E-2</v>
      </c>
      <c r="M71" s="50">
        <f t="shared" ref="M71" si="686">M68+M69+M70</f>
        <v>44893</v>
      </c>
      <c r="N71" s="51">
        <f t="shared" ref="N71" si="687">IF(M71&gt;0,O71/M71,0)</f>
        <v>0.68888590648876225</v>
      </c>
      <c r="O71" s="52">
        <f t="shared" ref="O71" si="688">O68+O69+O70</f>
        <v>30926.155000000002</v>
      </c>
      <c r="P71" s="20">
        <f t="shared" ref="P71" si="689">IF(M71&gt;0,Q71/M71,0)</f>
        <v>0.25662457398703586</v>
      </c>
      <c r="Q71" s="52">
        <f t="shared" ref="Q71" si="690">Q68+Q69+Q70</f>
        <v>11520.647000000001</v>
      </c>
      <c r="R71" s="20">
        <f t="shared" ref="R71" si="691">IF(M71&gt;0,T71/M71,0)</f>
        <v>5.4489519524202001E-2</v>
      </c>
      <c r="S71" s="107"/>
      <c r="T71" s="52">
        <f t="shared" ref="T71" si="692">T68+T69+T70</f>
        <v>2446.1980000000003</v>
      </c>
      <c r="U71" s="20">
        <f t="shared" ref="U71" si="693">IF(M71&gt;0,V71/M71,0)</f>
        <v>0.25499643596997307</v>
      </c>
      <c r="V71" s="52">
        <f t="shared" ref="V71" si="694">V68+V69+V70</f>
        <v>11447.555</v>
      </c>
      <c r="W71" s="20">
        <f t="shared" ref="W71" si="695">IF(M71&gt;0,X71/M71,0)</f>
        <v>0.46865791994297551</v>
      </c>
      <c r="X71" s="52">
        <f t="shared" ref="X71" si="696">X68+X69+X70</f>
        <v>21039.46</v>
      </c>
      <c r="Y71" s="20">
        <f t="shared" ref="Y71" si="697">IF(M71&gt;0,Z71/M71,0)</f>
        <v>0.44668166529303011</v>
      </c>
      <c r="Z71" s="52">
        <f t="shared" ref="Z71" si="698">Z68+Z69+Z70</f>
        <v>20052.88</v>
      </c>
      <c r="AA71" s="119">
        <f t="shared" ref="AA71" si="699">IF(M71&gt;0,AB71/M71,0)</f>
        <v>2.8004221148063171E-3</v>
      </c>
      <c r="AB71" s="54">
        <f t="shared" ref="AB71" si="700">SUM(AB68:AB70)</f>
        <v>125.71934999999999</v>
      </c>
      <c r="AC71" s="53">
        <f t="shared" ref="AC71" si="701">IF(M71&gt;0,AD71/M71,0)</f>
        <v>2.8967778941037577E-3</v>
      </c>
      <c r="AD71" s="54">
        <f t="shared" ref="AD71" si="702">SUM(AD68:AD70)</f>
        <v>130.04505</v>
      </c>
      <c r="AE71" s="53">
        <f t="shared" ref="AE71" si="703">IF(M71&gt;0,(AE68*M68+AE69*M69+AE70*M70)/M71,0)</f>
        <v>3.0034638050475577E-3</v>
      </c>
      <c r="AF71" s="53">
        <f t="shared" ref="AF71" si="704">IF(K71&gt;0,(K68*AF68+K69*AF69+K70*AF70)/K71,0)</f>
        <v>2.2666368459377928E-4</v>
      </c>
      <c r="AG71" s="50">
        <f t="shared" ref="AG71" si="705">SUM(AG68:AG70)</f>
        <v>10.174330000000001</v>
      </c>
      <c r="AH71" s="51">
        <f t="shared" ref="AH71" si="706">IF(K71&gt;0,(K68*AH68+K69*AH69+K70*AH70)/K71,0)</f>
        <v>0.20979669822115884</v>
      </c>
      <c r="AI71" s="56">
        <f t="shared" ref="AI71" si="707">SUM(AI68:AI70)</f>
        <v>111.96048460000002</v>
      </c>
      <c r="AJ71" s="51">
        <f t="shared" ref="AJ71" si="708">IF(AND(AD71&gt;0),((AD68*AJ68+AD69*AJ69+AD70*AJ70)/AD71),0)</f>
        <v>0.92275980666987267</v>
      </c>
      <c r="AK71" s="55">
        <f t="shared" si="680"/>
        <v>0.92543065376002009</v>
      </c>
      <c r="AL71" s="49">
        <f t="shared" ref="AL71" si="709">SUM(AL68:AL70)</f>
        <v>585</v>
      </c>
      <c r="AM71" s="20">
        <f t="shared" ref="AM71" si="710">IF(AL71&gt;0,(AM68*AL68+AM69*AL69+AM70*AL70)/AL71,0)</f>
        <v>8.7675213675213678E-2</v>
      </c>
      <c r="AN71" s="51">
        <f>IF(K71&gt;0,(AN68*K68+AN69*K69+AN70*K70)/K71,0)</f>
        <v>0.23356650993446373</v>
      </c>
      <c r="AO71" s="107">
        <f>IF(L71&gt;0,(AO68*K68+AO69*K69+AO70*K70)/K71,0)</f>
        <v>0.22396761676895868</v>
      </c>
      <c r="AP71" s="56">
        <f t="shared" ref="AP71" si="711">SUM(AP68:AP70)</f>
        <v>124.66017060000001</v>
      </c>
      <c r="AQ71" s="108">
        <f t="shared" si="578"/>
        <v>119.54268500000001</v>
      </c>
      <c r="AR71" s="54"/>
      <c r="AS71" s="54">
        <f t="shared" ref="AS71" si="712">SUM(AS68:AS70)</f>
        <v>0</v>
      </c>
      <c r="AT71" s="83"/>
      <c r="AU71" s="84">
        <f>AT70</f>
        <v>2289.4599999999991</v>
      </c>
      <c r="AV71" s="49">
        <f t="shared" ref="AV71" si="713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57</v>
      </c>
      <c r="D72" s="11">
        <v>5661</v>
      </c>
      <c r="E72" s="11">
        <v>0</v>
      </c>
      <c r="F72" s="11">
        <v>11604</v>
      </c>
      <c r="G72" s="12">
        <v>0.6</v>
      </c>
      <c r="H72" s="12">
        <v>3</v>
      </c>
      <c r="I72" s="11">
        <v>11972</v>
      </c>
      <c r="J72" s="131">
        <v>3.2</v>
      </c>
      <c r="K72" s="11">
        <v>15535</v>
      </c>
      <c r="L72" s="13">
        <v>6.9000000000000006E-2</v>
      </c>
      <c r="M72" s="23">
        <f>ROUND(K72*(1-L72),0)</f>
        <v>14463</v>
      </c>
      <c r="N72" s="14">
        <v>0.61899999999999999</v>
      </c>
      <c r="O72" s="24">
        <f t="shared" ref="O72:O74" si="714">M72*N72</f>
        <v>8952.5969999999998</v>
      </c>
      <c r="P72" s="13">
        <v>0.317</v>
      </c>
      <c r="Q72" s="24">
        <f t="shared" ref="Q72:Q74" si="715">M72*P72</f>
        <v>4584.7709999999997</v>
      </c>
      <c r="R72" s="15">
        <v>6.4000000000000001E-2</v>
      </c>
      <c r="S72" s="112">
        <v>0.25669999999999998</v>
      </c>
      <c r="T72" s="24">
        <f t="shared" ref="T72:T74" si="716">M72*R72</f>
        <v>925.63200000000006</v>
      </c>
      <c r="U72" s="25">
        <v>0.25600000000000001</v>
      </c>
      <c r="V72" s="24">
        <f t="shared" ref="V72:V74" si="717">M72*U72</f>
        <v>3702.5280000000002</v>
      </c>
      <c r="W72" s="15">
        <v>0.46400000000000002</v>
      </c>
      <c r="X72" s="24">
        <f t="shared" ref="X72:X74" si="718">M72*W72</f>
        <v>6710.8320000000003</v>
      </c>
      <c r="Y72" s="15">
        <v>0.46</v>
      </c>
      <c r="Z72" s="24">
        <f t="shared" ref="Z72:Z74" si="719">Y72*M72</f>
        <v>6652.9800000000005</v>
      </c>
      <c r="AA72" s="116">
        <v>2.7799999999999999E-3</v>
      </c>
      <c r="AB72" s="18">
        <f t="shared" ref="AB72" si="720">M72*AA72</f>
        <v>40.207139999999995</v>
      </c>
      <c r="AC72" s="16">
        <v>2.8600000000000001E-3</v>
      </c>
      <c r="AD72" s="17">
        <f t="shared" ref="AD72:AD74" si="721">M72*AC72</f>
        <v>41.364180000000005</v>
      </c>
      <c r="AE72" s="26">
        <f>IF(M72&gt;0,(AG72+AP72)/M72,0)</f>
        <v>3.0069377031044734E-3</v>
      </c>
      <c r="AF72" s="16">
        <v>2.3000000000000001E-4</v>
      </c>
      <c r="AG72" s="23">
        <f t="shared" ref="AG72:AG74" si="722">AF72*M72</f>
        <v>3.3264900000000002</v>
      </c>
      <c r="AH72" s="92">
        <v>0.2094</v>
      </c>
      <c r="AI72" s="29">
        <f t="shared" ref="AI72:AI74" si="723">AL72*(1-AM72)*AH72</f>
        <v>36.967475999999998</v>
      </c>
      <c r="AJ72" s="27">
        <f t="shared" ref="AJ72:AJ74" si="724">IF(AND(AH72&gt;0,AF72&gt;0,AC72&gt;0),((AC72-AF72)*AH72)/((AH72-AF72)*AC72),0)</f>
        <v>0.9205915755612174</v>
      </c>
      <c r="AK72" s="58">
        <f t="shared" si="680"/>
        <v>0.92444482468447453</v>
      </c>
      <c r="AL72" s="11">
        <v>194</v>
      </c>
      <c r="AM72" s="13">
        <v>0.09</v>
      </c>
      <c r="AN72" s="14">
        <v>0.22750000000000001</v>
      </c>
      <c r="AO72" s="101">
        <v>0.2205</v>
      </c>
      <c r="AP72" s="29">
        <f>AL72*(1-AM72)*AN72</f>
        <v>40.162849999999999</v>
      </c>
      <c r="AQ72" s="102">
        <f t="shared" ref="AQ72:AQ126" si="725">AL72*(1-AM72)*AO72</f>
        <v>38.927070000000001</v>
      </c>
      <c r="AR72" s="18">
        <v>1.55</v>
      </c>
      <c r="AS72" s="18">
        <v>1064.1400000000001</v>
      </c>
      <c r="AT72" s="79">
        <f>AT70+AL72-AS72</f>
        <v>1419.319999999999</v>
      </c>
      <c r="AU72" s="80"/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58</v>
      </c>
      <c r="D73" s="33">
        <v>19700</v>
      </c>
      <c r="E73" s="33">
        <v>5</v>
      </c>
      <c r="F73" s="33">
        <v>17794</v>
      </c>
      <c r="G73" s="34">
        <v>0.1</v>
      </c>
      <c r="H73" s="34">
        <v>2.8</v>
      </c>
      <c r="I73" s="33">
        <v>17160</v>
      </c>
      <c r="J73" s="132">
        <v>1.8</v>
      </c>
      <c r="K73" s="33">
        <v>15074</v>
      </c>
      <c r="L73" s="35">
        <v>6.7000000000000004E-2</v>
      </c>
      <c r="M73" s="36">
        <f>ROUND(K73*(1-L73),0)</f>
        <v>14064</v>
      </c>
      <c r="N73" s="37">
        <v>0.74399999999999999</v>
      </c>
      <c r="O73" s="24">
        <f t="shared" si="714"/>
        <v>10463.616</v>
      </c>
      <c r="P73" s="35">
        <v>0.24099999999999999</v>
      </c>
      <c r="Q73" s="24">
        <f t="shared" si="715"/>
        <v>3389.424</v>
      </c>
      <c r="R73" s="38">
        <v>1.4999999999999999E-2</v>
      </c>
      <c r="S73" s="105">
        <v>0.26079999999999998</v>
      </c>
      <c r="T73" s="24">
        <f t="shared" si="716"/>
        <v>210.95999999999998</v>
      </c>
      <c r="U73" s="27">
        <v>0.249</v>
      </c>
      <c r="V73" s="24">
        <f t="shared" si="717"/>
        <v>3501.9360000000001</v>
      </c>
      <c r="W73" s="38">
        <v>0.47599999999999998</v>
      </c>
      <c r="X73" s="24">
        <f t="shared" si="718"/>
        <v>6694.4639999999999</v>
      </c>
      <c r="Y73" s="38">
        <v>0.44</v>
      </c>
      <c r="Z73" s="24">
        <f t="shared" si="719"/>
        <v>6188.16</v>
      </c>
      <c r="AA73" s="117">
        <v>2.8900000000000002E-3</v>
      </c>
      <c r="AB73" s="18">
        <f t="shared" si="61"/>
        <v>40.644960000000005</v>
      </c>
      <c r="AC73" s="39">
        <v>2.8600000000000001E-3</v>
      </c>
      <c r="AD73" s="17">
        <f t="shared" si="721"/>
        <v>40.223040000000005</v>
      </c>
      <c r="AE73" s="26">
        <f>IF(M73&gt;0,(AG73+AP73)/M73,0)</f>
        <v>2.8847490045506266E-3</v>
      </c>
      <c r="AF73" s="39">
        <v>2.3000000000000001E-4</v>
      </c>
      <c r="AG73" s="36">
        <f t="shared" si="722"/>
        <v>3.2347200000000003</v>
      </c>
      <c r="AH73" s="27">
        <v>0.20799999999999999</v>
      </c>
      <c r="AI73" s="40">
        <f t="shared" si="723"/>
        <v>33.691839999999999</v>
      </c>
      <c r="AJ73" s="27">
        <f t="shared" si="724"/>
        <v>0.9205983889528192</v>
      </c>
      <c r="AK73" s="28">
        <f t="shared" si="680"/>
        <v>0.92118955117857693</v>
      </c>
      <c r="AL73" s="33">
        <v>178</v>
      </c>
      <c r="AM73" s="35">
        <v>0.09</v>
      </c>
      <c r="AN73" s="37">
        <v>0.23050000000000001</v>
      </c>
      <c r="AO73" s="103">
        <v>0.22889999999999999</v>
      </c>
      <c r="AP73" s="40">
        <f>AL73*(1-AM73)*AN73</f>
        <v>37.336390000000009</v>
      </c>
      <c r="AQ73" s="104">
        <f t="shared" si="725"/>
        <v>37.077222000000006</v>
      </c>
      <c r="AR73" s="41">
        <v>1.55</v>
      </c>
      <c r="AS73" s="41"/>
      <c r="AT73" s="129">
        <f>AT72+AL73-AS73</f>
        <v>1597.319999999999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55</v>
      </c>
      <c r="D74" s="42">
        <v>20944</v>
      </c>
      <c r="E74" s="42">
        <v>2</v>
      </c>
      <c r="F74" s="42">
        <v>17056</v>
      </c>
      <c r="G74" s="36">
        <v>0.3</v>
      </c>
      <c r="H74" s="36">
        <v>4</v>
      </c>
      <c r="I74" s="42">
        <v>16990</v>
      </c>
      <c r="J74" s="36">
        <v>1.5</v>
      </c>
      <c r="K74" s="42">
        <v>15072</v>
      </c>
      <c r="L74" s="38">
        <v>7.2999999999999995E-2</v>
      </c>
      <c r="M74" s="36">
        <f>ROUND(K74*(1-L74),0)</f>
        <v>13972</v>
      </c>
      <c r="N74" s="27">
        <v>0.63800000000000001</v>
      </c>
      <c r="O74" s="24">
        <f t="shared" si="714"/>
        <v>8914.1360000000004</v>
      </c>
      <c r="P74" s="38">
        <v>0.33300000000000002</v>
      </c>
      <c r="Q74" s="24">
        <f t="shared" si="715"/>
        <v>4652.6760000000004</v>
      </c>
      <c r="R74" s="38">
        <v>2.9000000000000001E-2</v>
      </c>
      <c r="S74" s="105">
        <v>0.251</v>
      </c>
      <c r="T74" s="24">
        <f t="shared" si="716"/>
        <v>405.18800000000005</v>
      </c>
      <c r="U74" s="27">
        <v>0.254</v>
      </c>
      <c r="V74" s="24">
        <f t="shared" si="717"/>
        <v>3548.8879999999999</v>
      </c>
      <c r="W74" s="38">
        <v>0.47299999999999998</v>
      </c>
      <c r="X74" s="24">
        <f t="shared" si="718"/>
        <v>6608.7559999999994</v>
      </c>
      <c r="Y74" s="38">
        <v>0.44</v>
      </c>
      <c r="Z74" s="24">
        <f t="shared" si="719"/>
        <v>6147.68</v>
      </c>
      <c r="AA74" s="118">
        <v>2.8400000000000001E-3</v>
      </c>
      <c r="AB74" s="121">
        <f t="shared" si="61"/>
        <v>39.680480000000003</v>
      </c>
      <c r="AC74" s="45">
        <v>2.8500000000000001E-3</v>
      </c>
      <c r="AD74" s="17">
        <f t="shared" si="721"/>
        <v>39.8202</v>
      </c>
      <c r="AE74" s="26">
        <f>IF(M74&gt;0,(AG74+AP74)/M74,0)</f>
        <v>3.0440572573718866E-3</v>
      </c>
      <c r="AF74" s="45">
        <v>2.2000000000000001E-4</v>
      </c>
      <c r="AG74" s="36">
        <f t="shared" si="722"/>
        <v>3.0738400000000001</v>
      </c>
      <c r="AH74" s="27">
        <v>0.2069</v>
      </c>
      <c r="AI74" s="40">
        <f t="shared" si="723"/>
        <v>36.348192000000004</v>
      </c>
      <c r="AJ74" s="27">
        <f t="shared" si="724"/>
        <v>0.92378929712514302</v>
      </c>
      <c r="AK74" s="28">
        <f t="shared" si="680"/>
        <v>0.92863765321659808</v>
      </c>
      <c r="AL74" s="42">
        <v>192</v>
      </c>
      <c r="AM74" s="38">
        <v>8.5000000000000006E-2</v>
      </c>
      <c r="AN74" s="27">
        <v>0.22459999999999999</v>
      </c>
      <c r="AO74" s="105">
        <v>0.22320000000000001</v>
      </c>
      <c r="AP74" s="40">
        <f>AL74*(1-AM74)*AN74</f>
        <v>39.457728000000003</v>
      </c>
      <c r="AQ74" s="106">
        <f t="shared" si="725"/>
        <v>39.211776</v>
      </c>
      <c r="AR74" s="17">
        <v>1.55</v>
      </c>
      <c r="AS74" s="17"/>
      <c r="AT74" s="129">
        <f>AT73+AL74-AS74</f>
        <v>1789.319999999999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6">SUM(D72:D74)</f>
        <v>46305</v>
      </c>
      <c r="E75" s="49"/>
      <c r="F75" s="49">
        <f t="shared" ref="F75" si="727">SUM(F72:F74)</f>
        <v>46454</v>
      </c>
      <c r="G75" s="50"/>
      <c r="H75" s="50"/>
      <c r="I75" s="49">
        <f t="shared" ref="I75:K75" si="728">SUM(I72:I74)</f>
        <v>46122</v>
      </c>
      <c r="J75" s="50"/>
      <c r="K75" s="49">
        <f t="shared" si="728"/>
        <v>45681</v>
      </c>
      <c r="L75" s="20">
        <f t="shared" ref="L75" si="729">IF(K75&gt;0,(K72*L72+K73*L73+K74*L74)/K75,0)</f>
        <v>6.9659792911713855E-2</v>
      </c>
      <c r="M75" s="50">
        <f t="shared" ref="M75" si="730">M72+M73+M74</f>
        <v>42499</v>
      </c>
      <c r="N75" s="51">
        <f t="shared" ref="N75" si="731">IF(M75&gt;0,O75/M75,0)</f>
        <v>0.6666121320501659</v>
      </c>
      <c r="O75" s="52">
        <f t="shared" ref="O75" si="732">O72+O73+O74</f>
        <v>28330.349000000002</v>
      </c>
      <c r="P75" s="20">
        <f t="shared" ref="P75" si="733">IF(M75&gt;0,Q75/M75,0)</f>
        <v>0.29710983787853829</v>
      </c>
      <c r="Q75" s="52">
        <f t="shared" ref="Q75" si="734">Q72+Q73+Q74</f>
        <v>12626.870999999999</v>
      </c>
      <c r="R75" s="20">
        <f t="shared" ref="R75" si="735">IF(M75&gt;0,T75/M75,0)</f>
        <v>3.6278030071295798E-2</v>
      </c>
      <c r="S75" s="107"/>
      <c r="T75" s="52">
        <f t="shared" ref="T75" si="736">T72+T73+T74</f>
        <v>1541.7800000000002</v>
      </c>
      <c r="U75" s="20">
        <f t="shared" ref="U75" si="737">IF(M75&gt;0,V75/M75,0)</f>
        <v>0.2530260006117791</v>
      </c>
      <c r="V75" s="52">
        <f t="shared" ref="V75" si="738">V72+V73+V74</f>
        <v>10753.351999999999</v>
      </c>
      <c r="W75" s="20">
        <f t="shared" ref="W75" si="739">IF(M75&gt;0,X75/M75,0)</f>
        <v>0.4709299512929716</v>
      </c>
      <c r="X75" s="52">
        <f t="shared" ref="X75" si="740">X72+X73+X74</f>
        <v>20014.052</v>
      </c>
      <c r="Y75" s="20">
        <f t="shared" ref="Y75" si="741">IF(M75&gt;0,Z75/M75,0)</f>
        <v>0.44680627779477161</v>
      </c>
      <c r="Z75" s="52">
        <f t="shared" ref="Z75" si="742">Z72+Z73+Z74</f>
        <v>18988.82</v>
      </c>
      <c r="AA75" s="119">
        <f t="shared" ref="AA75" si="743">IF(M75&gt;0,AB75/M75,0)</f>
        <v>2.836127438292666E-3</v>
      </c>
      <c r="AB75" s="54">
        <f t="shared" ref="AB75" si="744">SUM(AB72:AB74)</f>
        <v>120.53258000000001</v>
      </c>
      <c r="AC75" s="53">
        <f t="shared" ref="AC75" si="745">IF(M75&gt;0,AD75/M75,0)</f>
        <v>2.8567123932327818E-3</v>
      </c>
      <c r="AD75" s="54">
        <f t="shared" ref="AD75" si="746">SUM(AD72:AD74)</f>
        <v>121.40742</v>
      </c>
      <c r="AE75" s="53">
        <f t="shared" ref="AE75" si="747">IF(M75&gt;0,(AE72*M72+AE73*M73+AE74*M74)/M75,0)</f>
        <v>2.9787058048424669E-3</v>
      </c>
      <c r="AF75" s="53">
        <f t="shared" ref="AF75" si="748">IF(K75&gt;0,(K72*AF72+K73*AF73+K74*AF74)/K75,0)</f>
        <v>2.2670059762264398E-4</v>
      </c>
      <c r="AG75" s="50">
        <f t="shared" ref="AG75" si="749">SUM(AG72:AG74)</f>
        <v>9.6350500000000014</v>
      </c>
      <c r="AH75" s="51">
        <f t="shared" ref="AH75" si="750">IF(K75&gt;0,(K72*AH72+K73*AH73+K74*AH74)/K75,0)</f>
        <v>0.20811317177820102</v>
      </c>
      <c r="AI75" s="56">
        <f t="shared" ref="AI75" si="751">SUM(AI72:AI74)</f>
        <v>107.007508</v>
      </c>
      <c r="AJ75" s="51">
        <f t="shared" ref="AJ75" si="752">IF(AND(AD75&gt;0),((AD72*AJ72+AD73*AJ73+AD74*AJ74)/AD75),0)</f>
        <v>0.92164264779010396</v>
      </c>
      <c r="AK75" s="55">
        <f t="shared" si="680"/>
        <v>0.92481435164980519</v>
      </c>
      <c r="AL75" s="49">
        <f t="shared" ref="AL75" si="753">SUM(AL72:AL74)</f>
        <v>564</v>
      </c>
      <c r="AM75" s="20">
        <f t="shared" ref="AM75" si="754">IF(AL75&gt;0,(AM72*AL72+AM73*AL73+AM74*AL74)/AL75,0)</f>
        <v>8.8297872340425534E-2</v>
      </c>
      <c r="AN75" s="51">
        <f>IF(K75&gt;0,(AN72*K72+AN73*K73+AN74*K74)/K75,0)</f>
        <v>0.22753312536940959</v>
      </c>
      <c r="AO75" s="107">
        <f>IF(L75&gt;0,(AO72*K72+AO73*K73+AO74*K74)/K75,0)</f>
        <v>0.2241627044066461</v>
      </c>
      <c r="AP75" s="56">
        <f t="shared" ref="AP75:AQ87" si="755">SUM(AP72:AP74)</f>
        <v>116.95696800000002</v>
      </c>
      <c r="AQ75" s="108">
        <f t="shared" si="755"/>
        <v>115.21606800000001</v>
      </c>
      <c r="AR75" s="54"/>
      <c r="AS75" s="54">
        <f t="shared" ref="AS75" si="756">SUM(AS72:AS74)</f>
        <v>1064.1400000000001</v>
      </c>
      <c r="AT75" s="83"/>
      <c r="AU75" s="84">
        <f>AT74</f>
        <v>1789.319999999999</v>
      </c>
      <c r="AV75" s="49">
        <f t="shared" ref="AV75" si="757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57</v>
      </c>
      <c r="D76" s="11">
        <v>2356</v>
      </c>
      <c r="E76" s="11">
        <v>3</v>
      </c>
      <c r="F76" s="11">
        <v>9657</v>
      </c>
      <c r="G76" s="12">
        <v>0.5</v>
      </c>
      <c r="H76" s="12">
        <v>3.8</v>
      </c>
      <c r="I76" s="11">
        <v>9567</v>
      </c>
      <c r="J76" s="12">
        <v>4</v>
      </c>
      <c r="K76" s="11">
        <v>15642</v>
      </c>
      <c r="L76" s="13">
        <v>7.0000000000000007E-2</v>
      </c>
      <c r="M76" s="23">
        <f>ROUND(K76*(1-L76),0)</f>
        <v>14547</v>
      </c>
      <c r="N76" s="14">
        <v>0.66600000000000004</v>
      </c>
      <c r="O76" s="24">
        <f t="shared" ref="O76:O78" si="758">M76*N76</f>
        <v>9688.3019999999997</v>
      </c>
      <c r="P76" s="13">
        <v>0.29499999999999998</v>
      </c>
      <c r="Q76" s="24">
        <f t="shared" ref="Q76:Q78" si="759">M76*P76</f>
        <v>4291.3649999999998</v>
      </c>
      <c r="R76" s="15">
        <v>3.9E-2</v>
      </c>
      <c r="S76" s="112">
        <v>0.25469999999999998</v>
      </c>
      <c r="T76" s="24">
        <f t="shared" ref="T76:T78" si="760">M76*R76</f>
        <v>567.33299999999997</v>
      </c>
      <c r="U76" s="25">
        <v>0.254</v>
      </c>
      <c r="V76" s="24">
        <f t="shared" ref="V76:V78" si="761">M76*U76</f>
        <v>3694.9380000000001</v>
      </c>
      <c r="W76" s="15">
        <v>0.47599999999999998</v>
      </c>
      <c r="X76" s="24">
        <f t="shared" ref="X76:X78" si="762">M76*W76</f>
        <v>6924.3719999999994</v>
      </c>
      <c r="Y76" s="15">
        <v>0.46</v>
      </c>
      <c r="Z76" s="24">
        <f t="shared" ref="Z76:Z78" si="763">Y76*M76</f>
        <v>6691.62</v>
      </c>
      <c r="AA76" s="116">
        <v>2.8700000000000002E-3</v>
      </c>
      <c r="AB76" s="18">
        <f t="shared" ref="AB76:AB126" si="764">M76*AA76</f>
        <v>41.749890000000001</v>
      </c>
      <c r="AC76" s="16">
        <v>2.9199999999999999E-3</v>
      </c>
      <c r="AD76" s="17">
        <f t="shared" ref="AD76:AD78" si="765">M76*AC76</f>
        <v>42.477239999999995</v>
      </c>
      <c r="AE76" s="26">
        <f>IF(M76&gt;0,(AG76+AP76)/M76,0)</f>
        <v>2.9943878462913315E-3</v>
      </c>
      <c r="AF76" s="16">
        <v>2.5000000000000001E-4</v>
      </c>
      <c r="AG76" s="23">
        <f t="shared" ref="AG76:AG78" si="766">AF76*M76</f>
        <v>3.6367500000000001</v>
      </c>
      <c r="AH76" s="92">
        <v>0.21079999999999999</v>
      </c>
      <c r="AI76" s="29">
        <f t="shared" ref="AI76:AI78" si="767">AL76*(1-AM76)*AH76</f>
        <v>36.447319999999998</v>
      </c>
      <c r="AJ76" s="27">
        <f t="shared" ref="AJ76:AJ78" si="768">IF(AND(AH76&gt;0,AF76&gt;0,AC76&gt;0),((AC76-AF76)*AH76)/((AH76-AF76)*AC76),0)</f>
        <v>0.91546926998109968</v>
      </c>
      <c r="AK76" s="58">
        <f t="shared" si="680"/>
        <v>0.91750388094062518</v>
      </c>
      <c r="AL76" s="11">
        <v>190</v>
      </c>
      <c r="AM76" s="13">
        <v>0.09</v>
      </c>
      <c r="AN76" s="14">
        <v>0.23089999999999999</v>
      </c>
      <c r="AO76" s="101">
        <v>0.22320000000000001</v>
      </c>
      <c r="AP76" s="29">
        <f>AL76*(1-AM76)*AN76</f>
        <v>39.922609999999999</v>
      </c>
      <c r="AQ76" s="102">
        <f t="shared" ref="AQ76" si="769">AL76*(1-AM76)*AO76</f>
        <v>38.591280000000005</v>
      </c>
      <c r="AR76" s="18">
        <v>1.55</v>
      </c>
      <c r="AS76" s="18">
        <v>1065.52</v>
      </c>
      <c r="AT76" s="79">
        <f>AT74+AL76-AS76+AU76</f>
        <v>952.83999999999901</v>
      </c>
      <c r="AU76" s="80">
        <v>39.04</v>
      </c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0" t="s">
        <v>58</v>
      </c>
      <c r="D77" s="33">
        <v>20500</v>
      </c>
      <c r="E77" s="33">
        <v>4</v>
      </c>
      <c r="F77" s="33">
        <v>17033</v>
      </c>
      <c r="G77" s="34">
        <v>0.3</v>
      </c>
      <c r="H77" s="34">
        <v>3.5</v>
      </c>
      <c r="I77" s="33">
        <v>16732</v>
      </c>
      <c r="J77" s="34">
        <v>3.2</v>
      </c>
      <c r="K77" s="33">
        <v>15794</v>
      </c>
      <c r="L77" s="35">
        <v>5.8999999999999997E-2</v>
      </c>
      <c r="M77" s="36">
        <f>ROUND(K77*(1-L77),0)</f>
        <v>14862</v>
      </c>
      <c r="N77" s="37">
        <v>0.66100000000000003</v>
      </c>
      <c r="O77" s="24">
        <f t="shared" si="758"/>
        <v>9823.7820000000011</v>
      </c>
      <c r="P77" s="35">
        <v>0.30199999999999999</v>
      </c>
      <c r="Q77" s="24">
        <f t="shared" si="759"/>
        <v>4488.3239999999996</v>
      </c>
      <c r="R77" s="38">
        <v>3.6999999999999998E-2</v>
      </c>
      <c r="S77" s="105">
        <v>0.2681</v>
      </c>
      <c r="T77" s="24">
        <f t="shared" si="760"/>
        <v>549.89400000000001</v>
      </c>
      <c r="U77" s="27">
        <v>0.254</v>
      </c>
      <c r="V77" s="24">
        <f t="shared" si="761"/>
        <v>3774.9479999999999</v>
      </c>
      <c r="W77" s="38">
        <v>0.45700000000000002</v>
      </c>
      <c r="X77" s="24">
        <f t="shared" si="762"/>
        <v>6791.9340000000002</v>
      </c>
      <c r="Y77" s="38">
        <v>0.46</v>
      </c>
      <c r="Z77" s="24">
        <f t="shared" si="763"/>
        <v>6836.52</v>
      </c>
      <c r="AA77" s="117">
        <v>2.8300000000000001E-3</v>
      </c>
      <c r="AB77" s="18">
        <f t="shared" si="764"/>
        <v>42.059460000000001</v>
      </c>
      <c r="AC77" s="39">
        <v>2.9399999999999999E-3</v>
      </c>
      <c r="AD77" s="17">
        <f t="shared" si="765"/>
        <v>43.694279999999999</v>
      </c>
      <c r="AE77" s="26">
        <f>IF(M77&gt;0,(AG77+AP77)/M77,0)</f>
        <v>2.9369169156237382E-3</v>
      </c>
      <c r="AF77" s="39">
        <v>2.4000000000000001E-4</v>
      </c>
      <c r="AG77" s="36">
        <f t="shared" si="766"/>
        <v>3.5668800000000003</v>
      </c>
      <c r="AH77" s="27">
        <v>0.20549999999999999</v>
      </c>
      <c r="AI77" s="40">
        <f t="shared" si="767"/>
        <v>35.796455999999999</v>
      </c>
      <c r="AJ77" s="27">
        <f t="shared" si="768"/>
        <v>0.91944114681827127</v>
      </c>
      <c r="AK77" s="28">
        <f t="shared" si="680"/>
        <v>0.91924044206136368</v>
      </c>
      <c r="AL77" s="33">
        <v>191</v>
      </c>
      <c r="AM77" s="35">
        <v>8.7999999999999995E-2</v>
      </c>
      <c r="AN77" s="37">
        <v>0.2301</v>
      </c>
      <c r="AO77" s="103">
        <v>0.2228</v>
      </c>
      <c r="AP77" s="40">
        <f>AL77*(1-AM77)*AN77</f>
        <v>40.0815792</v>
      </c>
      <c r="AQ77" s="104">
        <f t="shared" si="725"/>
        <v>38.809977600000003</v>
      </c>
      <c r="AR77" s="41">
        <v>1.55</v>
      </c>
      <c r="AS77" s="41"/>
      <c r="AT77" s="129">
        <f>AT76+AL77-AS77</f>
        <v>1143.839999999999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53</v>
      </c>
      <c r="D78" s="42">
        <v>19349</v>
      </c>
      <c r="E78" s="42">
        <v>1</v>
      </c>
      <c r="F78" s="42">
        <v>16620</v>
      </c>
      <c r="G78" s="36">
        <v>0.6</v>
      </c>
      <c r="H78" s="36">
        <v>3.2</v>
      </c>
      <c r="I78" s="42">
        <v>16539</v>
      </c>
      <c r="J78" s="133">
        <v>2.1</v>
      </c>
      <c r="K78" s="42">
        <v>15517</v>
      </c>
      <c r="L78" s="38">
        <v>6.5000000000000002E-2</v>
      </c>
      <c r="M78" s="36">
        <f>ROUND(K78*(1-L78),0)</f>
        <v>14508</v>
      </c>
      <c r="N78" s="27">
        <v>0.753</v>
      </c>
      <c r="O78" s="24">
        <f t="shared" si="758"/>
        <v>10924.523999999999</v>
      </c>
      <c r="P78" s="38">
        <v>0.218</v>
      </c>
      <c r="Q78" s="24">
        <f t="shared" si="759"/>
        <v>3162.7440000000001</v>
      </c>
      <c r="R78" s="38">
        <v>2.9000000000000001E-2</v>
      </c>
      <c r="S78" s="105">
        <v>0.25679999999999997</v>
      </c>
      <c r="T78" s="24">
        <f t="shared" si="760"/>
        <v>420.73200000000003</v>
      </c>
      <c r="U78" s="27">
        <v>0.24</v>
      </c>
      <c r="V78" s="24">
        <f t="shared" si="761"/>
        <v>3481.92</v>
      </c>
      <c r="W78" s="38">
        <v>0.48599999999999999</v>
      </c>
      <c r="X78" s="24">
        <f t="shared" si="762"/>
        <v>7050.8879999999999</v>
      </c>
      <c r="Y78" s="38">
        <v>0.45</v>
      </c>
      <c r="Z78" s="24">
        <f t="shared" si="763"/>
        <v>6528.6</v>
      </c>
      <c r="AA78" s="118">
        <v>2.9299999999999999E-3</v>
      </c>
      <c r="AB78" s="121">
        <f t="shared" si="764"/>
        <v>42.50844</v>
      </c>
      <c r="AC78" s="45">
        <v>3.0400000000000002E-3</v>
      </c>
      <c r="AD78" s="17">
        <f t="shared" si="765"/>
        <v>44.104320000000001</v>
      </c>
      <c r="AE78" s="26">
        <f>IF(M78&gt;0,(AG78+AP78)/M78,0)</f>
        <v>3.0727007030603806E-3</v>
      </c>
      <c r="AF78" s="45">
        <v>2.4000000000000001E-4</v>
      </c>
      <c r="AG78" s="36">
        <f t="shared" si="766"/>
        <v>3.4819200000000001</v>
      </c>
      <c r="AH78" s="27">
        <v>0.20979999999999999</v>
      </c>
      <c r="AI78" s="40">
        <f t="shared" si="767"/>
        <v>38.543197199999994</v>
      </c>
      <c r="AJ78" s="27">
        <f t="shared" si="768"/>
        <v>0.92210747330245824</v>
      </c>
      <c r="AK78" s="28">
        <f t="shared" si="680"/>
        <v>0.92288294495790335</v>
      </c>
      <c r="AL78" s="42">
        <v>201</v>
      </c>
      <c r="AM78" s="38">
        <v>8.5999999999999993E-2</v>
      </c>
      <c r="AN78" s="27">
        <v>0.22370000000000001</v>
      </c>
      <c r="AO78" s="105">
        <v>0.21779999999999999</v>
      </c>
      <c r="AP78" s="40">
        <f>AL78*(1-AM78)*AN78</f>
        <v>41.096821800000001</v>
      </c>
      <c r="AQ78" s="106">
        <f t="shared" si="725"/>
        <v>40.012909199999996</v>
      </c>
      <c r="AR78" s="17">
        <v>1.6</v>
      </c>
      <c r="AS78" s="17"/>
      <c r="AT78" s="129">
        <f>AT77+AL78-AS78</f>
        <v>1344.839999999999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0">SUM(D76:D78)</f>
        <v>42205</v>
      </c>
      <c r="E79" s="49"/>
      <c r="F79" s="49">
        <f t="shared" ref="F79" si="771">SUM(F76:F78)</f>
        <v>43310</v>
      </c>
      <c r="G79" s="50"/>
      <c r="H79" s="50"/>
      <c r="I79" s="49">
        <f t="shared" ref="I79:K79" si="772">SUM(I76:I78)</f>
        <v>42838</v>
      </c>
      <c r="J79" s="50"/>
      <c r="K79" s="49">
        <f t="shared" si="772"/>
        <v>46953</v>
      </c>
      <c r="L79" s="20">
        <f t="shared" ref="L79" si="773">IF(K79&gt;0,(K76*L76+K77*L77+K78*L78)/K79,0)</f>
        <v>6.4647434668711271E-2</v>
      </c>
      <c r="M79" s="50">
        <f t="shared" ref="M79" si="774">M76+M77+M78</f>
        <v>43917</v>
      </c>
      <c r="N79" s="51">
        <f t="shared" ref="N79" si="775">IF(M79&gt;0,O79/M79,0)</f>
        <v>0.69304843226996382</v>
      </c>
      <c r="O79" s="52">
        <f t="shared" ref="O79" si="776">O76+O77+O78</f>
        <v>30436.608</v>
      </c>
      <c r="P79" s="20">
        <f t="shared" ref="P79" si="777">IF(M79&gt;0,Q79/M79,0)</f>
        <v>0.27193189425507203</v>
      </c>
      <c r="Q79" s="52">
        <f t="shared" ref="Q79" si="778">Q76+Q77+Q78</f>
        <v>11942.432999999999</v>
      </c>
      <c r="R79" s="20">
        <f t="shared" ref="R79" si="779">IF(M79&gt;0,T79/M79,0)</f>
        <v>3.5019673474964132E-2</v>
      </c>
      <c r="S79" s="107"/>
      <c r="T79" s="52">
        <f t="shared" ref="T79" si="780">T76+T77+T78</f>
        <v>1537.9589999999998</v>
      </c>
      <c r="U79" s="20">
        <f t="shared" ref="U79" si="781">IF(M79&gt;0,V79/M79,0)</f>
        <v>0.24937509392718082</v>
      </c>
      <c r="V79" s="52">
        <f t="shared" ref="V79" si="782">V76+V77+V78</f>
        <v>10951.806</v>
      </c>
      <c r="W79" s="20">
        <f t="shared" ref="W79" si="783">IF(M79&gt;0,X79/M79,0)</f>
        <v>0.47287369355830317</v>
      </c>
      <c r="X79" s="52">
        <f t="shared" ref="X79" si="784">X76+X77+X78</f>
        <v>20767.194</v>
      </c>
      <c r="Y79" s="20">
        <f t="shared" ref="Y79" si="785">IF(M79&gt;0,Z79/M79,0)</f>
        <v>0.45669649566227194</v>
      </c>
      <c r="Z79" s="52">
        <f t="shared" ref="Z79" si="786">Z76+Z77+Z78</f>
        <v>20056.739999999998</v>
      </c>
      <c r="AA79" s="119">
        <f t="shared" ref="AA79" si="787">IF(M79&gt;0,AB79/M79,0)</f>
        <v>2.8762845822802104E-3</v>
      </c>
      <c r="AB79" s="54">
        <f t="shared" ref="AB79" si="788">SUM(AB76:AB78)</f>
        <v>126.31779</v>
      </c>
      <c r="AC79" s="53">
        <f t="shared" ref="AC79" si="789">IF(M79&gt;0,AD79/M79,0)</f>
        <v>2.9664102739258144E-3</v>
      </c>
      <c r="AD79" s="54">
        <f t="shared" ref="AD79" si="790">SUM(AD76:AD78)</f>
        <v>130.27583999999999</v>
      </c>
      <c r="AE79" s="53">
        <f t="shared" ref="AE79" si="791">IF(M79&gt;0,(AE76*M76+AE77*M77+AE78*M78)/M79,0)</f>
        <v>3.0008097319944443E-3</v>
      </c>
      <c r="AF79" s="53">
        <f t="shared" ref="AF79" si="792">IF(K79&gt;0,(K76*AF76+K77*AF77+K78*AF78)/K79,0)</f>
        <v>2.4333141652290591E-4</v>
      </c>
      <c r="AG79" s="50">
        <f t="shared" ref="AG79" si="793">SUM(AG76:AG78)</f>
        <v>10.685550000000001</v>
      </c>
      <c r="AH79" s="51">
        <f t="shared" ref="AH79" si="794">IF(K79&gt;0,(K76*AH76+K77*AH77+K78*AH78)/K79,0)</f>
        <v>0.20868671224415902</v>
      </c>
      <c r="AI79" s="56">
        <f t="shared" ref="AI79" si="795">SUM(AI76:AI78)</f>
        <v>110.78697319999999</v>
      </c>
      <c r="AJ79" s="51">
        <f t="shared" ref="AJ79" si="796">IF(AND(AD79&gt;0),((AD76*AJ76+AD77*AJ77+AD78*AJ78)/AD79),0)</f>
        <v>0.91904876516730727</v>
      </c>
      <c r="AK79" s="55">
        <f t="shared" si="680"/>
        <v>0.91989208142676071</v>
      </c>
      <c r="AL79" s="49">
        <f t="shared" ref="AL79" si="797">SUM(AL76:AL78)</f>
        <v>582</v>
      </c>
      <c r="AM79" s="20">
        <f t="shared" ref="AM79" si="798">IF(AL79&gt;0,(AM76*AL76+AM77*AL77+AM78*AL78)/AL79,0)</f>
        <v>8.7962199312714776E-2</v>
      </c>
      <c r="AN79" s="51">
        <f>IF(K79&gt;0,(AN76*K76+AN77*K77+AN78*K78)/K79,0)</f>
        <v>0.22825144506208339</v>
      </c>
      <c r="AO79" s="107">
        <f>IF(L79&gt;0,(AO76*K76+AO77*K77+AO78*K78)/K79,0)</f>
        <v>0.22128085958298724</v>
      </c>
      <c r="AP79" s="56">
        <f t="shared" ref="AP79" si="799">SUM(AP76:AP78)</f>
        <v>121.101011</v>
      </c>
      <c r="AQ79" s="108">
        <f t="shared" si="755"/>
        <v>117.4141668</v>
      </c>
      <c r="AR79" s="54"/>
      <c r="AS79" s="54">
        <f t="shared" ref="AS79" si="800">SUM(AS76:AS78)</f>
        <v>1065.52</v>
      </c>
      <c r="AT79" s="83"/>
      <c r="AU79" s="84">
        <f>AT78</f>
        <v>1344.839999999999</v>
      </c>
      <c r="AV79" s="49">
        <f t="shared" ref="AV79" si="801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0" t="s">
        <v>54</v>
      </c>
      <c r="D80" s="11">
        <v>2900</v>
      </c>
      <c r="E80" s="11">
        <v>1</v>
      </c>
      <c r="F80" s="11">
        <v>10689</v>
      </c>
      <c r="G80" s="12">
        <v>0.5</v>
      </c>
      <c r="H80" s="12">
        <v>4.0999999999999996</v>
      </c>
      <c r="I80" s="11">
        <v>10503</v>
      </c>
      <c r="J80" s="131">
        <v>4.7</v>
      </c>
      <c r="K80" s="11">
        <v>15781</v>
      </c>
      <c r="L80" s="13">
        <v>6.6000000000000003E-2</v>
      </c>
      <c r="M80" s="23">
        <f>ROUND(K80*(1-L80),0)</f>
        <v>14739</v>
      </c>
      <c r="N80" s="14">
        <v>0.70099999999999996</v>
      </c>
      <c r="O80" s="24">
        <f t="shared" ref="O80:O82" si="802">M80*N80</f>
        <v>10332.038999999999</v>
      </c>
      <c r="P80" s="13">
        <v>0.27100000000000002</v>
      </c>
      <c r="Q80" s="24">
        <f t="shared" ref="Q80:Q82" si="803">M80*P80</f>
        <v>3994.2690000000002</v>
      </c>
      <c r="R80" s="15">
        <v>2.8000000000000001E-2</v>
      </c>
      <c r="S80" s="112">
        <v>0.25530000000000003</v>
      </c>
      <c r="T80" s="24">
        <f t="shared" ref="T80:T82" si="804">M80*R80</f>
        <v>412.69200000000001</v>
      </c>
      <c r="U80" s="25">
        <v>0.253</v>
      </c>
      <c r="V80" s="24">
        <f t="shared" ref="V80:V82" si="805">M80*U80</f>
        <v>3728.9670000000001</v>
      </c>
      <c r="W80" s="15">
        <v>0.47099999999999997</v>
      </c>
      <c r="X80" s="24">
        <f t="shared" ref="X80:X82" si="806">M80*W80</f>
        <v>6942.0689999999995</v>
      </c>
      <c r="Y80" s="15">
        <v>0.46</v>
      </c>
      <c r="Z80" s="24">
        <f t="shared" ref="Z80:Z82" si="807">Y80*M80</f>
        <v>6779.9400000000005</v>
      </c>
      <c r="AA80" s="116">
        <v>3.0599999999999998E-3</v>
      </c>
      <c r="AB80" s="18">
        <f t="shared" ref="AB80" si="808">M80*AA80</f>
        <v>45.101339999999993</v>
      </c>
      <c r="AC80" s="16">
        <v>3.15E-3</v>
      </c>
      <c r="AD80" s="17">
        <f t="shared" ref="AD80:AD82" si="809">M80*AC80</f>
        <v>46.427849999999999</v>
      </c>
      <c r="AE80" s="26">
        <f>IF(M80&gt;0,(AG80+AP80)/M80,0)</f>
        <v>2.862683058552141E-3</v>
      </c>
      <c r="AF80" s="16">
        <v>2.5999999999999998E-4</v>
      </c>
      <c r="AG80" s="23">
        <f t="shared" ref="AG80:AG82" si="810">AF80*M80</f>
        <v>3.8321399999999999</v>
      </c>
      <c r="AH80" s="92">
        <v>0.215</v>
      </c>
      <c r="AI80" s="29">
        <f t="shared" ref="AI80:AI82" si="811">AL80*(1-AM80)*AH80</f>
        <v>36.15784</v>
      </c>
      <c r="AJ80" s="27">
        <f t="shared" ref="AJ80:AJ82" si="812">IF(AND(AH80&gt;0,AF80&gt;0,AC80&gt;0),((AC80-AF80)*AH80)/((AH80-AF80)*AC80),0)</f>
        <v>0.91857114768542536</v>
      </c>
      <c r="AK80" s="58">
        <f t="shared" si="680"/>
        <v>0.91021362177230114</v>
      </c>
      <c r="AL80" s="11">
        <v>184</v>
      </c>
      <c r="AM80" s="13">
        <v>8.5999999999999993E-2</v>
      </c>
      <c r="AN80" s="14">
        <v>0.2281</v>
      </c>
      <c r="AO80" s="101">
        <v>0.21729999999999999</v>
      </c>
      <c r="AP80" s="29">
        <f>AL80*(1-AM80)*AN80</f>
        <v>38.360945600000001</v>
      </c>
      <c r="AQ80" s="102">
        <f t="shared" ref="AQ80" si="813">AL80*(1-AM80)*AO80</f>
        <v>36.5446448</v>
      </c>
      <c r="AR80" s="18">
        <v>1.55</v>
      </c>
      <c r="AS80" s="18">
        <v>1067.82</v>
      </c>
      <c r="AT80" s="79">
        <f>AT78+AL80-AS80</f>
        <v>461.01999999999907</v>
      </c>
      <c r="AU80" s="80"/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43" t="s">
        <v>59</v>
      </c>
      <c r="D81" s="33">
        <v>22100</v>
      </c>
      <c r="E81" s="33">
        <v>1</v>
      </c>
      <c r="F81" s="33">
        <v>14866</v>
      </c>
      <c r="G81" s="34">
        <v>0.3</v>
      </c>
      <c r="H81" s="34">
        <v>4.7</v>
      </c>
      <c r="I81" s="33">
        <v>15151</v>
      </c>
      <c r="J81" s="34">
        <v>4.4000000000000004</v>
      </c>
      <c r="K81" s="33">
        <v>15569</v>
      </c>
      <c r="L81" s="35">
        <v>7.0000000000000007E-2</v>
      </c>
      <c r="M81" s="36">
        <f>ROUND(K81*(1-L81),0)</f>
        <v>14479</v>
      </c>
      <c r="N81" s="37">
        <v>0.71799999999999997</v>
      </c>
      <c r="O81" s="24">
        <f t="shared" si="802"/>
        <v>10395.922</v>
      </c>
      <c r="P81" s="35">
        <v>0.24199999999999999</v>
      </c>
      <c r="Q81" s="24">
        <f t="shared" si="803"/>
        <v>3503.9180000000001</v>
      </c>
      <c r="R81" s="38">
        <v>0.04</v>
      </c>
      <c r="S81" s="105">
        <v>0.25190000000000001</v>
      </c>
      <c r="T81" s="24">
        <f t="shared" si="804"/>
        <v>579.16</v>
      </c>
      <c r="U81" s="27">
        <v>0.254</v>
      </c>
      <c r="V81" s="24">
        <f t="shared" si="805"/>
        <v>3677.6660000000002</v>
      </c>
      <c r="W81" s="38">
        <v>0.46100000000000002</v>
      </c>
      <c r="X81" s="24">
        <f t="shared" si="806"/>
        <v>6674.8190000000004</v>
      </c>
      <c r="Y81" s="38">
        <v>0.46</v>
      </c>
      <c r="Z81" s="24">
        <f t="shared" si="807"/>
        <v>6660.34</v>
      </c>
      <c r="AA81" s="117">
        <v>2.8800000000000002E-3</v>
      </c>
      <c r="AB81" s="18">
        <f t="shared" si="764"/>
        <v>41.69952</v>
      </c>
      <c r="AC81" s="39">
        <v>3.0999999999999999E-3</v>
      </c>
      <c r="AD81" s="17">
        <f t="shared" si="809"/>
        <v>44.884900000000002</v>
      </c>
      <c r="AE81" s="26">
        <f>IF(M81&gt;0,(AG81+AP81)/M81,0)</f>
        <v>3.5393198079977897E-3</v>
      </c>
      <c r="AF81" s="39">
        <v>2.5999999999999998E-4</v>
      </c>
      <c r="AG81" s="36">
        <f t="shared" si="810"/>
        <v>3.7645399999999998</v>
      </c>
      <c r="AH81" s="27">
        <v>0.20549999999999999</v>
      </c>
      <c r="AI81" s="40">
        <f t="shared" si="811"/>
        <v>41.931247499999998</v>
      </c>
      <c r="AJ81" s="27">
        <f t="shared" si="812"/>
        <v>0.91728959330068349</v>
      </c>
      <c r="AK81" s="28">
        <f t="shared" si="680"/>
        <v>0.92757595500163581</v>
      </c>
      <c r="AL81" s="33">
        <v>223</v>
      </c>
      <c r="AM81" s="35">
        <v>8.5000000000000006E-2</v>
      </c>
      <c r="AN81" s="37">
        <v>0.23269999999999999</v>
      </c>
      <c r="AO81" s="103">
        <v>0.2195</v>
      </c>
      <c r="AP81" s="40">
        <f>AL81*(1-AM81)*AN81</f>
        <v>47.481271499999998</v>
      </c>
      <c r="AQ81" s="104">
        <f t="shared" si="725"/>
        <v>44.7878775</v>
      </c>
      <c r="AR81" s="41">
        <v>1.6</v>
      </c>
      <c r="AS81" s="41"/>
      <c r="AT81" s="129">
        <f>AT80+AL81-AS81</f>
        <v>684.01999999999907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53</v>
      </c>
      <c r="D82" s="42">
        <v>13620</v>
      </c>
      <c r="E82" s="42">
        <v>1</v>
      </c>
      <c r="F82" s="42">
        <v>16045</v>
      </c>
      <c r="G82" s="36">
        <v>0.7</v>
      </c>
      <c r="H82" s="36">
        <v>4.2</v>
      </c>
      <c r="I82" s="42">
        <v>16037</v>
      </c>
      <c r="J82" s="36">
        <v>2.8</v>
      </c>
      <c r="K82" s="42">
        <v>14181</v>
      </c>
      <c r="L82" s="38">
        <v>7.2999999999999995E-2</v>
      </c>
      <c r="M82" s="36">
        <f>ROUND(K82*(1-L82),0)</f>
        <v>13146</v>
      </c>
      <c r="N82" s="27">
        <v>0.64100000000000001</v>
      </c>
      <c r="O82" s="24">
        <f t="shared" si="802"/>
        <v>8426.5859999999993</v>
      </c>
      <c r="P82" s="38">
        <v>0.29099999999999998</v>
      </c>
      <c r="Q82" s="24">
        <f t="shared" si="803"/>
        <v>3825.4859999999999</v>
      </c>
      <c r="R82" s="38">
        <v>6.8000000000000005E-2</v>
      </c>
      <c r="S82" s="105">
        <v>0.23549999999999999</v>
      </c>
      <c r="T82" s="24">
        <f t="shared" si="804"/>
        <v>893.92800000000011</v>
      </c>
      <c r="U82" s="27">
        <v>0.23</v>
      </c>
      <c r="V82" s="24">
        <f t="shared" si="805"/>
        <v>3023.58</v>
      </c>
      <c r="W82" s="38">
        <v>0.48</v>
      </c>
      <c r="X82" s="24">
        <f t="shared" si="806"/>
        <v>6310.08</v>
      </c>
      <c r="Y82" s="38">
        <v>0.46</v>
      </c>
      <c r="Z82" s="24">
        <f t="shared" si="807"/>
        <v>6047.16</v>
      </c>
      <c r="AA82" s="118">
        <v>2.7699999999999999E-3</v>
      </c>
      <c r="AB82" s="121">
        <f t="shared" si="764"/>
        <v>36.41442</v>
      </c>
      <c r="AC82" s="45">
        <v>2.9199999999999999E-3</v>
      </c>
      <c r="AD82" s="17">
        <f t="shared" si="809"/>
        <v>38.386319999999998</v>
      </c>
      <c r="AE82" s="26">
        <f>IF(M82&gt;0,(AG82+AP82)/M82,0)</f>
        <v>2.7927816141792182E-3</v>
      </c>
      <c r="AF82" s="45">
        <v>2.4000000000000001E-4</v>
      </c>
      <c r="AG82" s="36">
        <f t="shared" si="810"/>
        <v>3.1550400000000001</v>
      </c>
      <c r="AH82" s="27">
        <v>0.21210000000000001</v>
      </c>
      <c r="AI82" s="40">
        <f t="shared" si="811"/>
        <v>32.339099100000006</v>
      </c>
      <c r="AJ82" s="27">
        <f t="shared" si="812"/>
        <v>0.91884793395483444</v>
      </c>
      <c r="AK82" s="28">
        <f t="shared" si="680"/>
        <v>0.91506196803280593</v>
      </c>
      <c r="AL82" s="42">
        <v>167</v>
      </c>
      <c r="AM82" s="38">
        <v>8.6999999999999994E-2</v>
      </c>
      <c r="AN82" s="27">
        <v>0.22009999999999999</v>
      </c>
      <c r="AO82" s="105">
        <v>0.20810000000000001</v>
      </c>
      <c r="AP82" s="40">
        <f>AL82*(1-AM82)*AN82</f>
        <v>33.558867100000001</v>
      </c>
      <c r="AQ82" s="106">
        <f t="shared" si="725"/>
        <v>31.729215100000001</v>
      </c>
      <c r="AR82" s="17">
        <v>1.55</v>
      </c>
      <c r="AS82" s="17"/>
      <c r="AT82" s="129">
        <f>AT81+AL82-AS82</f>
        <v>851.01999999999907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4">SUM(D80:D82)</f>
        <v>38620</v>
      </c>
      <c r="E83" s="49"/>
      <c r="F83" s="49">
        <f t="shared" ref="F83" si="815">SUM(F80:F82)</f>
        <v>41600</v>
      </c>
      <c r="G83" s="50"/>
      <c r="H83" s="50"/>
      <c r="I83" s="49">
        <f t="shared" ref="I83:K83" si="816">SUM(I80:I82)</f>
        <v>41691</v>
      </c>
      <c r="J83" s="50"/>
      <c r="K83" s="49">
        <f t="shared" si="816"/>
        <v>45531</v>
      </c>
      <c r="L83" s="20">
        <f t="shared" ref="L83" si="817">IF(K83&gt;0,(K80*L80+K81*L81+K82*L82)/K83,0)</f>
        <v>6.9547978300498567E-2</v>
      </c>
      <c r="M83" s="50">
        <f t="shared" ref="M83" si="818">M80+M81+M82</f>
        <v>42364</v>
      </c>
      <c r="N83" s="51">
        <f t="shared" ref="N83" si="819">IF(M83&gt;0,O83/M83,0)</f>
        <v>0.68819155414974975</v>
      </c>
      <c r="O83" s="52">
        <f t="shared" ref="O83" si="820">O80+O81+O82</f>
        <v>29154.546999999999</v>
      </c>
      <c r="P83" s="20">
        <f t="shared" ref="P83" si="821">IF(M83&gt;0,Q83/M83,0)</f>
        <v>0.26729470777074871</v>
      </c>
      <c r="Q83" s="52">
        <f t="shared" ref="Q83" si="822">Q80+Q81+Q82</f>
        <v>11323.672999999999</v>
      </c>
      <c r="R83" s="20">
        <f t="shared" ref="R83" si="823">IF(M83&gt;0,T83/M83,0)</f>
        <v>4.4513738079501465E-2</v>
      </c>
      <c r="S83" s="107"/>
      <c r="T83" s="52">
        <f t="shared" ref="T83" si="824">T80+T81+T82</f>
        <v>1885.7800000000002</v>
      </c>
      <c r="U83" s="20">
        <f t="shared" ref="U83" si="825">IF(M83&gt;0,V83/M83,0)</f>
        <v>0.24620463129071854</v>
      </c>
      <c r="V83" s="52">
        <f t="shared" ref="V83" si="826">V80+V81+V82</f>
        <v>10430.213</v>
      </c>
      <c r="W83" s="20">
        <f t="shared" ref="W83" si="827">IF(M83&gt;0,X83/M83,0)</f>
        <v>0.47037503540742143</v>
      </c>
      <c r="X83" s="52">
        <f t="shared" ref="X83" si="828">X80+X81+X82</f>
        <v>19926.968000000001</v>
      </c>
      <c r="Y83" s="20">
        <f t="shared" ref="Y83" si="829">IF(M83&gt;0,Z83/M83,0)</f>
        <v>0.46000000000000008</v>
      </c>
      <c r="Z83" s="52">
        <f t="shared" ref="Z83" si="830">Z80+Z81+Z82</f>
        <v>19487.440000000002</v>
      </c>
      <c r="AA83" s="119">
        <f t="shared" ref="AA83" si="831">IF(M83&gt;0,AB83/M83,0)</f>
        <v>2.9084902275516951E-3</v>
      </c>
      <c r="AB83" s="54">
        <f t="shared" ref="AB83" si="832">SUM(AB80:AB82)</f>
        <v>123.21528000000001</v>
      </c>
      <c r="AC83" s="53">
        <f t="shared" ref="AC83" si="833">IF(M83&gt;0,AD83/M83,0)</f>
        <v>3.0615397507317535E-3</v>
      </c>
      <c r="AD83" s="54">
        <f t="shared" ref="AD83" si="834">SUM(AD80:AD82)</f>
        <v>129.69907000000001</v>
      </c>
      <c r="AE83" s="53">
        <f t="shared" ref="AE83" si="835">IF(M83&gt;0,(AE80*M80+AE81*M81+AE82*M82)/M83,0)</f>
        <v>3.0722501227457271E-3</v>
      </c>
      <c r="AF83" s="53">
        <f t="shared" ref="AF83" si="836">IF(K83&gt;0,(K80*AF80+K81*AF81+K82*AF82)/K83,0)</f>
        <v>2.5377083745140673E-4</v>
      </c>
      <c r="AG83" s="50">
        <f t="shared" ref="AG83" si="837">SUM(AG80:AG82)</f>
        <v>10.751719999999999</v>
      </c>
      <c r="AH83" s="51">
        <f t="shared" ref="AH83" si="838">IF(K83&gt;0,(K80*AH80+K81*AH81+K82*AH82)/K83,0)</f>
        <v>0.21084831433528803</v>
      </c>
      <c r="AI83" s="56">
        <f t="shared" ref="AI83" si="839">SUM(AI80:AI82)</f>
        <v>110.4281866</v>
      </c>
      <c r="AJ83" s="51">
        <f t="shared" ref="AJ83" si="840">IF(AND(AD83&gt;0),((AD80*AJ80+AD81*AJ81+AD82*AJ82)/AD83),0)</f>
        <v>0.91820955963321682</v>
      </c>
      <c r="AK83" s="55">
        <f t="shared" si="680"/>
        <v>0.91842494939564978</v>
      </c>
      <c r="AL83" s="49">
        <f t="shared" ref="AL83" si="841">SUM(AL80:AL82)</f>
        <v>574</v>
      </c>
      <c r="AM83" s="20">
        <f t="shared" ref="AM83" si="842">IF(AL83&gt;0,(AM80*AL80+AM81*AL81+AM82*AL82)/AL83,0)</f>
        <v>8.5902439024390237E-2</v>
      </c>
      <c r="AN83" s="51">
        <f>IF(K83&gt;0,(AN80*K80+AN81*K81+AN82*K82)/K83,0)</f>
        <v>0.22718127210032724</v>
      </c>
      <c r="AO83" s="107">
        <f>IF(L83&gt;0,(AO80*K80+AO81*K81+AO82*K82)/K83,0)</f>
        <v>0.21518685950231708</v>
      </c>
      <c r="AP83" s="56">
        <f t="shared" ref="AP83" si="843">SUM(AP80:AP82)</f>
        <v>119.4010842</v>
      </c>
      <c r="AQ83" s="108">
        <f t="shared" si="755"/>
        <v>113.0617374</v>
      </c>
      <c r="AR83" s="54"/>
      <c r="AS83" s="54">
        <f t="shared" ref="AS83" si="844">SUM(AS80:AS82)</f>
        <v>1067.82</v>
      </c>
      <c r="AT83" s="83"/>
      <c r="AU83" s="84">
        <f>AT82</f>
        <v>851.01999999999907</v>
      </c>
      <c r="AV83" s="49">
        <f t="shared" ref="AV83" si="845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54</v>
      </c>
      <c r="D84" s="11">
        <v>5700</v>
      </c>
      <c r="E84" s="11">
        <v>0</v>
      </c>
      <c r="F84" s="11">
        <v>16425</v>
      </c>
      <c r="G84" s="12">
        <v>0.4</v>
      </c>
      <c r="H84" s="12">
        <v>3.9</v>
      </c>
      <c r="I84" s="11">
        <v>16345</v>
      </c>
      <c r="J84" s="12">
        <v>2.4</v>
      </c>
      <c r="K84" s="11">
        <v>15447</v>
      </c>
      <c r="L84" s="13">
        <v>7.0999999999999994E-2</v>
      </c>
      <c r="M84" s="23">
        <f>ROUND(K84*(1-L84),0)</f>
        <v>14350</v>
      </c>
      <c r="N84" s="14">
        <v>0.83099999999999996</v>
      </c>
      <c r="O84" s="24">
        <f t="shared" ref="O84:O86" si="846">M84*N84</f>
        <v>11924.849999999999</v>
      </c>
      <c r="P84" s="13">
        <v>0.13800000000000001</v>
      </c>
      <c r="Q84" s="24">
        <f t="shared" ref="Q84:Q86" si="847">M84*P84</f>
        <v>1980.3000000000002</v>
      </c>
      <c r="R84" s="15">
        <v>3.1E-2</v>
      </c>
      <c r="S84" s="112">
        <v>0.26250000000000001</v>
      </c>
      <c r="T84" s="24">
        <f t="shared" ref="T84:T86" si="848">M84*R84</f>
        <v>444.85</v>
      </c>
      <c r="U84" s="25">
        <v>0.255</v>
      </c>
      <c r="V84" s="24">
        <f t="shared" ref="V84:V86" si="849">M84*U84</f>
        <v>3659.25</v>
      </c>
      <c r="W84" s="15">
        <v>0.47699999999999998</v>
      </c>
      <c r="X84" s="24">
        <f t="shared" ref="X84:X86" si="850">M84*W84</f>
        <v>6844.95</v>
      </c>
      <c r="Y84" s="15">
        <v>0.46</v>
      </c>
      <c r="Z84" s="24">
        <f t="shared" ref="Z84:Z86" si="851">Y84*M84</f>
        <v>6601</v>
      </c>
      <c r="AA84" s="116">
        <v>2.6700000000000001E-3</v>
      </c>
      <c r="AB84" s="18">
        <f t="shared" ref="AB84" si="852">M84*AA84</f>
        <v>38.314500000000002</v>
      </c>
      <c r="AC84" s="16">
        <v>2.82E-3</v>
      </c>
      <c r="AD84" s="17">
        <f t="shared" ref="AD84:AD86" si="853">M84*AC84</f>
        <v>40.466999999999999</v>
      </c>
      <c r="AE84" s="26">
        <f>IF(M84&gt;0,(AG84+AP84)/M84,0)</f>
        <v>2.7717743414634147E-3</v>
      </c>
      <c r="AF84" s="16">
        <v>2.5999999999999998E-4</v>
      </c>
      <c r="AG84" s="23">
        <f t="shared" ref="AG84:AG86" si="854">AF84*M84</f>
        <v>3.7309999999999999</v>
      </c>
      <c r="AH84" s="92">
        <v>0.21049999999999999</v>
      </c>
      <c r="AI84" s="29">
        <f t="shared" ref="AI84:AI86" si="855">AL84*(1-AM84)*AH84</f>
        <v>33.248264500000005</v>
      </c>
      <c r="AJ84" s="27">
        <f t="shared" ref="AJ84:AJ86" si="856">IF(AND(AH84&gt;0,AF84&gt;0,AC84&gt;0),((AC84-AF84)*AH84)/((AH84-AF84)*AC84),0)</f>
        <v>0.90892408001122682</v>
      </c>
      <c r="AK84" s="58">
        <f t="shared" si="680"/>
        <v>0.90723092492875879</v>
      </c>
      <c r="AL84" s="11">
        <v>173</v>
      </c>
      <c r="AM84" s="13">
        <v>8.6999999999999994E-2</v>
      </c>
      <c r="AN84" s="14">
        <v>0.22819999999999999</v>
      </c>
      <c r="AO84" s="101">
        <v>0.21729999999999999</v>
      </c>
      <c r="AP84" s="29">
        <f>AL84*(1-AM84)*AN84</f>
        <v>36.043961799999998</v>
      </c>
      <c r="AQ84" s="102">
        <f t="shared" ref="AQ84" si="857">AL84*(1-AM84)*AO84</f>
        <v>34.322317699999999</v>
      </c>
      <c r="AR84" s="18">
        <v>1.55</v>
      </c>
      <c r="AS84" s="18">
        <v>501.8</v>
      </c>
      <c r="AT84" s="79">
        <f>AT82+AL84-AS84</f>
        <v>522.21999999999912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55</v>
      </c>
      <c r="D85" s="33">
        <v>20700</v>
      </c>
      <c r="E85" s="33">
        <v>5</v>
      </c>
      <c r="F85" s="33">
        <v>16397</v>
      </c>
      <c r="G85" s="34">
        <v>0.1</v>
      </c>
      <c r="H85" s="34">
        <v>3.9</v>
      </c>
      <c r="I85" s="33">
        <v>15557</v>
      </c>
      <c r="J85" s="34">
        <v>2.6</v>
      </c>
      <c r="K85" s="33">
        <v>15856</v>
      </c>
      <c r="L85" s="35">
        <v>6.4000000000000001E-2</v>
      </c>
      <c r="M85" s="36">
        <f>ROUND(K85*(1-L85),0)</f>
        <v>14841</v>
      </c>
      <c r="N85" s="37">
        <v>0.75</v>
      </c>
      <c r="O85" s="24">
        <f t="shared" si="846"/>
        <v>11130.75</v>
      </c>
      <c r="P85" s="35">
        <v>0.20699999999999999</v>
      </c>
      <c r="Q85" s="24">
        <f t="shared" si="847"/>
        <v>3072.087</v>
      </c>
      <c r="R85" s="38">
        <v>4.2999999999999997E-2</v>
      </c>
      <c r="S85" s="105">
        <v>0.27800000000000002</v>
      </c>
      <c r="T85" s="24">
        <f t="shared" si="848"/>
        <v>638.1629999999999</v>
      </c>
      <c r="U85" s="27">
        <v>0.25800000000000001</v>
      </c>
      <c r="V85" s="24">
        <f t="shared" si="849"/>
        <v>3828.9780000000001</v>
      </c>
      <c r="W85" s="38">
        <v>0.45400000000000001</v>
      </c>
      <c r="X85" s="24">
        <f t="shared" si="850"/>
        <v>6737.8140000000003</v>
      </c>
      <c r="Y85" s="38">
        <v>0.48</v>
      </c>
      <c r="Z85" s="24">
        <f t="shared" si="851"/>
        <v>7123.6799999999994</v>
      </c>
      <c r="AA85" s="117">
        <v>2.5699999999999998E-3</v>
      </c>
      <c r="AB85" s="18">
        <f t="shared" si="764"/>
        <v>38.141369999999995</v>
      </c>
      <c r="AC85" s="39">
        <v>2.6800000000000001E-3</v>
      </c>
      <c r="AD85" s="17">
        <f t="shared" si="853"/>
        <v>39.773879999999998</v>
      </c>
      <c r="AE85" s="26">
        <f>IF(M85&gt;0,(AG85+AP85)/M85,0)</f>
        <v>2.6730298497405838E-3</v>
      </c>
      <c r="AF85" s="39">
        <v>2.5999999999999998E-4</v>
      </c>
      <c r="AG85" s="36">
        <f t="shared" si="854"/>
        <v>3.8586599999999995</v>
      </c>
      <c r="AH85" s="27">
        <v>0.2102</v>
      </c>
      <c r="AI85" s="40">
        <f t="shared" si="855"/>
        <v>32.900504000000005</v>
      </c>
      <c r="AJ85" s="27">
        <f t="shared" si="856"/>
        <v>0.90410337566241394</v>
      </c>
      <c r="AK85" s="28">
        <f t="shared" si="680"/>
        <v>0.90375909902164597</v>
      </c>
      <c r="AL85" s="33">
        <v>172</v>
      </c>
      <c r="AM85" s="35">
        <v>0.09</v>
      </c>
      <c r="AN85" s="37">
        <v>0.2288</v>
      </c>
      <c r="AO85" s="103">
        <v>0.2205</v>
      </c>
      <c r="AP85" s="40">
        <f>AL85*(1-AM85)*AN85</f>
        <v>35.811776000000002</v>
      </c>
      <c r="AQ85" s="104">
        <f t="shared" si="725"/>
        <v>34.512660000000004</v>
      </c>
      <c r="AR85" s="41">
        <v>1.58</v>
      </c>
      <c r="AS85" s="41"/>
      <c r="AT85" s="129">
        <f>AT84+AL85-AS85</f>
        <v>694.21999999999912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53</v>
      </c>
      <c r="D86" s="42">
        <v>20300</v>
      </c>
      <c r="E86" s="42">
        <v>0</v>
      </c>
      <c r="F86" s="42">
        <v>17478</v>
      </c>
      <c r="G86" s="36">
        <v>0.4</v>
      </c>
      <c r="H86" s="36">
        <v>3.6</v>
      </c>
      <c r="I86" s="42">
        <v>17400</v>
      </c>
      <c r="J86" s="133">
        <v>1.7</v>
      </c>
      <c r="K86" s="42">
        <v>15806</v>
      </c>
      <c r="L86" s="38">
        <v>6.7000000000000004E-2</v>
      </c>
      <c r="M86" s="36">
        <f>ROUND(K86*(1-L86),0)</f>
        <v>14747</v>
      </c>
      <c r="N86" s="27">
        <v>0.745</v>
      </c>
      <c r="O86" s="24">
        <f t="shared" si="846"/>
        <v>10986.514999999999</v>
      </c>
      <c r="P86" s="38">
        <v>0.21</v>
      </c>
      <c r="Q86" s="24">
        <f t="shared" si="847"/>
        <v>3096.87</v>
      </c>
      <c r="R86" s="38">
        <v>4.4999999999999998E-2</v>
      </c>
      <c r="S86" s="105">
        <v>0.28249999999999997</v>
      </c>
      <c r="T86" s="24">
        <f t="shared" si="848"/>
        <v>663.61500000000001</v>
      </c>
      <c r="U86" s="27">
        <v>0.26900000000000002</v>
      </c>
      <c r="V86" s="24">
        <f t="shared" si="849"/>
        <v>3966.9430000000002</v>
      </c>
      <c r="W86" s="38">
        <v>0.45700000000000002</v>
      </c>
      <c r="X86" s="24">
        <f t="shared" si="850"/>
        <v>6739.3789999999999</v>
      </c>
      <c r="Y86" s="38">
        <v>0.46</v>
      </c>
      <c r="Z86" s="24">
        <f t="shared" si="851"/>
        <v>6783.62</v>
      </c>
      <c r="AA86" s="118">
        <v>2.5100000000000001E-3</v>
      </c>
      <c r="AB86" s="121">
        <f t="shared" si="764"/>
        <v>37.014969999999998</v>
      </c>
      <c r="AC86" s="45">
        <v>2.5699999999999998E-3</v>
      </c>
      <c r="AD86" s="17">
        <f t="shared" si="853"/>
        <v>37.899789999999996</v>
      </c>
      <c r="AE86" s="26">
        <f>IF(M86&gt;0,(AG86+AP86)/M86,0)</f>
        <v>2.667016410117312E-3</v>
      </c>
      <c r="AF86" s="45">
        <v>2.7999999999999998E-4</v>
      </c>
      <c r="AG86" s="36">
        <f t="shared" si="854"/>
        <v>4.1291599999999997</v>
      </c>
      <c r="AH86" s="27">
        <v>0.2089</v>
      </c>
      <c r="AI86" s="40">
        <f t="shared" si="855"/>
        <v>33.258969</v>
      </c>
      <c r="AJ86" s="27">
        <f t="shared" si="856"/>
        <v>0.89224651004731115</v>
      </c>
      <c r="AK86" s="28">
        <f t="shared" si="680"/>
        <v>0.89614864777474701</v>
      </c>
      <c r="AL86" s="42">
        <v>174</v>
      </c>
      <c r="AM86" s="38">
        <v>8.5000000000000006E-2</v>
      </c>
      <c r="AN86" s="27">
        <v>0.22109999999999999</v>
      </c>
      <c r="AO86" s="105">
        <v>0.21010000000000001</v>
      </c>
      <c r="AP86" s="40">
        <f>AL86*(1-AM86)*AN86</f>
        <v>35.201331000000003</v>
      </c>
      <c r="AQ86" s="106">
        <f t="shared" si="725"/>
        <v>33.450021</v>
      </c>
      <c r="AR86" s="17">
        <v>1.55</v>
      </c>
      <c r="AS86" s="17"/>
      <c r="AT86" s="129">
        <f>AT85+AL86-AS86</f>
        <v>868.21999999999912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58">SUM(D84:D86)</f>
        <v>46700</v>
      </c>
      <c r="E87" s="49"/>
      <c r="F87" s="49">
        <f t="shared" ref="F87" si="859">SUM(F84:F86)</f>
        <v>50300</v>
      </c>
      <c r="G87" s="50"/>
      <c r="H87" s="50"/>
      <c r="I87" s="49">
        <f t="shared" ref="I87:K87" si="860">SUM(I84:I86)</f>
        <v>49302</v>
      </c>
      <c r="J87" s="50"/>
      <c r="K87" s="49">
        <f t="shared" si="860"/>
        <v>47109</v>
      </c>
      <c r="L87" s="20">
        <f t="shared" ref="L87" si="861">IF(K87&gt;0,(K84*L84+K85*L85+K86*L86)/K87,0)</f>
        <v>6.7301853149079785E-2</v>
      </c>
      <c r="M87" s="50">
        <f t="shared" ref="M87" si="862">M84+M85+M86</f>
        <v>43938</v>
      </c>
      <c r="N87" s="51">
        <f t="shared" ref="N87" si="863">IF(M87&gt;0,O87/M87,0)</f>
        <v>0.77477616186444531</v>
      </c>
      <c r="O87" s="52">
        <f t="shared" ref="O87" si="864">O84+O85+O86</f>
        <v>34042.114999999998</v>
      </c>
      <c r="P87" s="20">
        <f t="shared" ref="P87" si="865">IF(M87&gt;0,Q87/M87,0)</f>
        <v>0.18547173289635396</v>
      </c>
      <c r="Q87" s="52">
        <f t="shared" ref="Q87" si="866">Q84+Q85+Q86</f>
        <v>8149.2570000000005</v>
      </c>
      <c r="R87" s="20">
        <f t="shared" ref="R87" si="867">IF(M87&gt;0,T87/M87,0)</f>
        <v>3.975210523920069E-2</v>
      </c>
      <c r="S87" s="107"/>
      <c r="T87" s="52">
        <f t="shared" ref="T87" si="868">T84+T85+T86</f>
        <v>1746.6279999999999</v>
      </c>
      <c r="U87" s="20">
        <f t="shared" ref="U87" si="869">IF(M87&gt;0,V87/M87,0)</f>
        <v>0.26071216259274432</v>
      </c>
      <c r="V87" s="52">
        <f t="shared" ref="V87" si="870">V84+V85+V86</f>
        <v>11455.171</v>
      </c>
      <c r="W87" s="20">
        <f t="shared" ref="W87" si="871">IF(M87&gt;0,X87/M87,0)</f>
        <v>0.46251861714233694</v>
      </c>
      <c r="X87" s="52">
        <f t="shared" ref="X87" si="872">X84+X85+X86</f>
        <v>20322.143</v>
      </c>
      <c r="Y87" s="20">
        <f t="shared" ref="Y87" si="873">IF(M87&gt;0,Z87/M87,0)</f>
        <v>0.46675542810323634</v>
      </c>
      <c r="Z87" s="52">
        <f t="shared" ref="Z87" si="874">Z84+Z85+Z86</f>
        <v>20508.3</v>
      </c>
      <c r="AA87" s="119">
        <f t="shared" ref="AA87" si="875">IF(M87&gt;0,AB87/M87,0)</f>
        <v>2.5825217351722884E-3</v>
      </c>
      <c r="AB87" s="54">
        <f t="shared" ref="AB87" si="876">SUM(AB84:AB86)</f>
        <v>113.47084000000001</v>
      </c>
      <c r="AC87" s="53">
        <f t="shared" ref="AC87" si="877">IF(M87&gt;0,AD87/M87,0)</f>
        <v>2.6888039965405801E-3</v>
      </c>
      <c r="AD87" s="54">
        <f t="shared" ref="AD87" si="878">SUM(AD84:AD86)</f>
        <v>118.14067</v>
      </c>
      <c r="AE87" s="53">
        <f t="shared" ref="AE87" si="879">IF(M87&gt;0,(AE84*M84+AE85*M85+AE86*M86)/M87,0)</f>
        <v>2.7032611589057304E-3</v>
      </c>
      <c r="AF87" s="53">
        <f t="shared" ref="AF87" si="880">IF(K87&gt;0,(K84*AF84+K85*AF85+K86*AF86)/K87,0)</f>
        <v>2.6671039504128725E-4</v>
      </c>
      <c r="AG87" s="50">
        <f t="shared" ref="AG87" si="881">SUM(AG84:AG86)</f>
        <v>11.718819999999999</v>
      </c>
      <c r="AH87" s="51">
        <f t="shared" ref="AH87" si="882">IF(K87&gt;0,(K84*AH84+K85*AH85+K86*AH86)/K87,0)</f>
        <v>0.2098621940605829</v>
      </c>
      <c r="AI87" s="56">
        <f t="shared" ref="AI87" si="883">SUM(AI84:AI86)</f>
        <v>99.407737500000025</v>
      </c>
      <c r="AJ87" s="51">
        <f t="shared" ref="AJ87" si="884">IF(AND(AD87&gt;0),((AD84*AJ84+AD85*AJ85+AD86*AJ86)/AD87),0)</f>
        <v>0.90195091390654936</v>
      </c>
      <c r="AK87" s="55">
        <f t="shared" si="680"/>
        <v>0.9024024034437933</v>
      </c>
      <c r="AL87" s="49">
        <f t="shared" ref="AL87" si="885">SUM(AL84:AL86)</f>
        <v>519</v>
      </c>
      <c r="AM87" s="20">
        <f t="shared" ref="AM87" si="886">IF(AL87&gt;0,(AM84*AL84+AM85*AL85+AM86*AL86)/AL87,0)</f>
        <v>8.7323699421965315E-2</v>
      </c>
      <c r="AN87" s="51">
        <f>IF(K87&gt;0,(AN84*K84+AN85*K85+AN86*K86)/K87,0)</f>
        <v>0.22601975843257127</v>
      </c>
      <c r="AO87" s="107">
        <f>IF(L87&gt;0,(AO84*K84+AO85*K85+AO86*K86)/K87,0)</f>
        <v>0.21596131737035387</v>
      </c>
      <c r="AP87" s="56">
        <f t="shared" ref="AP87" si="887">SUM(AP84:AP86)</f>
        <v>107.0570688</v>
      </c>
      <c r="AQ87" s="108">
        <f t="shared" si="755"/>
        <v>102.28499869999999</v>
      </c>
      <c r="AR87" s="54"/>
      <c r="AS87" s="54">
        <f t="shared" ref="AS87" si="888">SUM(AS84:AS86)</f>
        <v>501.8</v>
      </c>
      <c r="AT87" s="83"/>
      <c r="AU87" s="84">
        <f>AT86</f>
        <v>868.21999999999912</v>
      </c>
      <c r="AV87" s="49">
        <f t="shared" ref="AV87" si="889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54</v>
      </c>
      <c r="D88" s="11">
        <v>5500</v>
      </c>
      <c r="E88" s="11">
        <v>0</v>
      </c>
      <c r="F88" s="11">
        <v>9502</v>
      </c>
      <c r="G88" s="12">
        <v>0.3</v>
      </c>
      <c r="H88" s="12">
        <v>4.9000000000000004</v>
      </c>
      <c r="I88" s="11">
        <v>9633</v>
      </c>
      <c r="J88" s="131">
        <v>4.0999999999999996</v>
      </c>
      <c r="K88" s="11">
        <v>15921</v>
      </c>
      <c r="L88" s="13">
        <v>6.6000000000000003E-2</v>
      </c>
      <c r="M88" s="23">
        <f>ROUND(K88*(1-L88),0)</f>
        <v>14870</v>
      </c>
      <c r="N88" s="14">
        <v>0.7</v>
      </c>
      <c r="O88" s="24">
        <f t="shared" ref="O88:O90" si="890">M88*N88</f>
        <v>10409</v>
      </c>
      <c r="P88" s="13">
        <v>0.24</v>
      </c>
      <c r="Q88" s="24">
        <f t="shared" ref="Q88:Q90" si="891">M88*P88</f>
        <v>3568.7999999999997</v>
      </c>
      <c r="R88" s="15">
        <v>0.06</v>
      </c>
      <c r="S88" s="112">
        <v>0.2742</v>
      </c>
      <c r="T88" s="24">
        <f t="shared" ref="T88:T90" si="892">M88*R88</f>
        <v>892.19999999999993</v>
      </c>
      <c r="U88" s="25">
        <v>0.26400000000000001</v>
      </c>
      <c r="V88" s="24">
        <f t="shared" ref="V88:V90" si="893">M88*U88</f>
        <v>3925.6800000000003</v>
      </c>
      <c r="W88" s="15">
        <v>0.46500000000000002</v>
      </c>
      <c r="X88" s="24">
        <f t="shared" ref="X88:X90" si="894">M88*W88</f>
        <v>6914.55</v>
      </c>
      <c r="Y88" s="15">
        <v>0.45</v>
      </c>
      <c r="Z88" s="24">
        <f t="shared" ref="Z88:Z90" si="895">Y88*M88</f>
        <v>6691.5</v>
      </c>
      <c r="AA88" s="116">
        <v>2.65E-3</v>
      </c>
      <c r="AB88" s="18">
        <f t="shared" ref="AB88" si="896">M88*AA88</f>
        <v>39.405500000000004</v>
      </c>
      <c r="AC88" s="16">
        <v>2.5699999999999998E-3</v>
      </c>
      <c r="AD88" s="17">
        <f t="shared" ref="AD88:AD90" si="897">M88*AC88</f>
        <v>38.215899999999998</v>
      </c>
      <c r="AE88" s="26">
        <f>IF(M88&gt;0,(AG88+AP88)/M88,0)</f>
        <v>2.670292562205784E-3</v>
      </c>
      <c r="AF88" s="16">
        <v>3.1E-4</v>
      </c>
      <c r="AG88" s="23">
        <f t="shared" ref="AG88:AG90" si="898">AF88*M88</f>
        <v>4.6097000000000001</v>
      </c>
      <c r="AH88" s="92">
        <v>0.21329999999999999</v>
      </c>
      <c r="AI88" s="29">
        <f t="shared" ref="AI88:AI90" si="899">AL88*(1-AM88)*AH88</f>
        <v>34.199668799999998</v>
      </c>
      <c r="AJ88" s="27">
        <f t="shared" ref="AJ88:AJ90" si="900">IF(AND(AH88&gt;0,AF88&gt;0,AC88&gt;0),((AC88-AF88)*AH88)/((AH88-AF88)*AC88),0)</f>
        <v>0.88065733708475014</v>
      </c>
      <c r="AK88" s="58">
        <f t="shared" si="680"/>
        <v>0.88516139232479596</v>
      </c>
      <c r="AL88" s="11">
        <v>176</v>
      </c>
      <c r="AM88" s="13">
        <v>8.8999999999999996E-2</v>
      </c>
      <c r="AN88" s="14">
        <v>0.21890000000000001</v>
      </c>
      <c r="AO88" s="101">
        <v>0.20530000000000001</v>
      </c>
      <c r="AP88" s="29">
        <f>AL88*(1-AM88)*AN88</f>
        <v>35.097550400000003</v>
      </c>
      <c r="AQ88" s="102">
        <f t="shared" ref="AQ88" si="901">AL88*(1-AM88)*AO88</f>
        <v>32.916980800000005</v>
      </c>
      <c r="AR88" s="18">
        <v>1.55</v>
      </c>
      <c r="AS88" s="18">
        <v>501.62</v>
      </c>
      <c r="AT88" s="79">
        <f>AT86+AL88-AS88+AU88</f>
        <v>570.59999999999911</v>
      </c>
      <c r="AU88" s="80">
        <v>28</v>
      </c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55</v>
      </c>
      <c r="D89" s="33">
        <v>18280</v>
      </c>
      <c r="E89" s="33">
        <v>2</v>
      </c>
      <c r="F89" s="33">
        <v>16436</v>
      </c>
      <c r="G89" s="34">
        <v>0.5</v>
      </c>
      <c r="H89" s="34">
        <v>5.2</v>
      </c>
      <c r="I89" s="33">
        <v>15684</v>
      </c>
      <c r="J89" s="34">
        <v>3.9</v>
      </c>
      <c r="K89" s="33">
        <v>15725</v>
      </c>
      <c r="L89" s="35">
        <v>6.6000000000000003E-2</v>
      </c>
      <c r="M89" s="36">
        <f>ROUND(K89*(1-L89),0)</f>
        <v>14687</v>
      </c>
      <c r="N89" s="37">
        <v>0.68700000000000006</v>
      </c>
      <c r="O89" s="24">
        <f t="shared" si="890"/>
        <v>10089.969000000001</v>
      </c>
      <c r="P89" s="35">
        <v>0.27100000000000002</v>
      </c>
      <c r="Q89" s="24">
        <f t="shared" si="891"/>
        <v>3980.1770000000001</v>
      </c>
      <c r="R89" s="38">
        <v>4.2000000000000003E-2</v>
      </c>
      <c r="S89" s="105">
        <v>0.26960000000000001</v>
      </c>
      <c r="T89" s="24">
        <f t="shared" si="892"/>
        <v>616.85400000000004</v>
      </c>
      <c r="U89" s="27">
        <v>0.246</v>
      </c>
      <c r="V89" s="24">
        <f t="shared" si="893"/>
        <v>3613.002</v>
      </c>
      <c r="W89" s="38">
        <v>0.47899999999999998</v>
      </c>
      <c r="X89" s="24">
        <f t="shared" si="894"/>
        <v>7035.0729999999994</v>
      </c>
      <c r="Y89" s="38">
        <v>0.45</v>
      </c>
      <c r="Z89" s="24">
        <f t="shared" si="895"/>
        <v>6609.1500000000005</v>
      </c>
      <c r="AA89" s="117">
        <v>2.6700000000000001E-3</v>
      </c>
      <c r="AB89" s="18">
        <f t="shared" si="764"/>
        <v>39.214289999999998</v>
      </c>
      <c r="AC89" s="39">
        <v>2.5699999999999998E-3</v>
      </c>
      <c r="AD89" s="17">
        <f t="shared" si="897"/>
        <v>37.74559</v>
      </c>
      <c r="AE89" s="26">
        <f>IF(M89&gt;0,(AG89+AP89)/M89,0)</f>
        <v>2.7351443998093559E-3</v>
      </c>
      <c r="AF89" s="39">
        <v>3.1E-4</v>
      </c>
      <c r="AG89" s="36">
        <f t="shared" si="898"/>
        <v>4.5529700000000002</v>
      </c>
      <c r="AH89" s="27">
        <v>0.21210000000000001</v>
      </c>
      <c r="AI89" s="40">
        <f t="shared" si="899"/>
        <v>33.620819400000002</v>
      </c>
      <c r="AJ89" s="27">
        <f t="shared" si="900"/>
        <v>0.88066458901455702</v>
      </c>
      <c r="AK89" s="28">
        <f t="shared" si="680"/>
        <v>0.88788540500063728</v>
      </c>
      <c r="AL89" s="33">
        <v>174</v>
      </c>
      <c r="AM89" s="35">
        <v>8.8999999999999996E-2</v>
      </c>
      <c r="AN89" s="37">
        <v>0.22470000000000001</v>
      </c>
      <c r="AO89" s="103">
        <v>0.21540000000000001</v>
      </c>
      <c r="AP89" s="40">
        <f>AL89*(1-AM89)*AN89</f>
        <v>35.618095800000006</v>
      </c>
      <c r="AQ89" s="104">
        <f t="shared" si="725"/>
        <v>34.143915600000007</v>
      </c>
      <c r="AR89" s="41">
        <v>1.55</v>
      </c>
      <c r="AS89" s="41"/>
      <c r="AT89" s="129">
        <f>AT88+AL89-AS89</f>
        <v>744.59999999999911</v>
      </c>
      <c r="AU89" s="87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43" t="s">
        <v>59</v>
      </c>
      <c r="D90" s="42">
        <v>16800</v>
      </c>
      <c r="E90" s="42">
        <v>0</v>
      </c>
      <c r="F90" s="42">
        <v>16088</v>
      </c>
      <c r="G90" s="36">
        <v>0.3</v>
      </c>
      <c r="H90" s="36">
        <v>4.2</v>
      </c>
      <c r="I90" s="42">
        <v>16079</v>
      </c>
      <c r="J90" s="133">
        <v>3.5</v>
      </c>
      <c r="K90" s="42">
        <v>15358</v>
      </c>
      <c r="L90" s="38">
        <v>6.5000000000000002E-2</v>
      </c>
      <c r="M90" s="36">
        <f>ROUND(K90*(1-L90),0)</f>
        <v>14360</v>
      </c>
      <c r="N90" s="27">
        <v>0.63800000000000001</v>
      </c>
      <c r="O90" s="24">
        <f t="shared" si="890"/>
        <v>9161.68</v>
      </c>
      <c r="P90" s="38">
        <v>0.3</v>
      </c>
      <c r="Q90" s="24">
        <f t="shared" si="891"/>
        <v>4308</v>
      </c>
      <c r="R90" s="38">
        <v>6.2E-2</v>
      </c>
      <c r="S90" s="105">
        <v>0.27789999999999998</v>
      </c>
      <c r="T90" s="24">
        <f t="shared" si="892"/>
        <v>890.32</v>
      </c>
      <c r="U90" s="27">
        <v>0.24299999999999999</v>
      </c>
      <c r="V90" s="24">
        <f t="shared" si="893"/>
        <v>3489.48</v>
      </c>
      <c r="W90" s="38">
        <v>0.48899999999999999</v>
      </c>
      <c r="X90" s="24">
        <f t="shared" si="894"/>
        <v>7022.04</v>
      </c>
      <c r="Y90" s="38">
        <v>0.46</v>
      </c>
      <c r="Z90" s="24">
        <f t="shared" si="895"/>
        <v>6605.6</v>
      </c>
      <c r="AA90" s="118">
        <v>2.64E-3</v>
      </c>
      <c r="AB90" s="121">
        <f t="shared" si="764"/>
        <v>37.910400000000003</v>
      </c>
      <c r="AC90" s="45">
        <v>2.5200000000000001E-3</v>
      </c>
      <c r="AD90" s="17">
        <f t="shared" si="897"/>
        <v>36.187200000000004</v>
      </c>
      <c r="AE90" s="26">
        <f>IF(M90&gt;0,(AG90+AP90)/M90,0)</f>
        <v>2.7147783844011144E-3</v>
      </c>
      <c r="AF90" s="45">
        <v>3.3E-4</v>
      </c>
      <c r="AG90" s="36">
        <f t="shared" si="898"/>
        <v>4.7388000000000003</v>
      </c>
      <c r="AH90" s="27">
        <v>0.20910000000000001</v>
      </c>
      <c r="AI90" s="40">
        <f t="shared" si="899"/>
        <v>32.430782700000002</v>
      </c>
      <c r="AJ90" s="27">
        <f t="shared" si="900"/>
        <v>0.87042131121740252</v>
      </c>
      <c r="AK90" s="28">
        <f t="shared" si="680"/>
        <v>0.87975797209149509</v>
      </c>
      <c r="AL90" s="42">
        <v>171</v>
      </c>
      <c r="AM90" s="38">
        <v>9.2999999999999999E-2</v>
      </c>
      <c r="AN90" s="27">
        <v>0.2208</v>
      </c>
      <c r="AO90" s="105">
        <v>0.2097</v>
      </c>
      <c r="AP90" s="40">
        <f>AL90*(1-AM90)*AN90</f>
        <v>34.245417600000003</v>
      </c>
      <c r="AQ90" s="106">
        <f t="shared" si="725"/>
        <v>32.523840900000003</v>
      </c>
      <c r="AR90" s="17">
        <v>1.55</v>
      </c>
      <c r="AS90" s="17"/>
      <c r="AT90" s="129">
        <f>AT89+AL90-AS90</f>
        <v>915.59999999999911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2">SUM(D88:D90)</f>
        <v>40580</v>
      </c>
      <c r="E91" s="49"/>
      <c r="F91" s="49">
        <f t="shared" ref="F91" si="903">SUM(F88:F90)</f>
        <v>42026</v>
      </c>
      <c r="G91" s="50"/>
      <c r="H91" s="50"/>
      <c r="I91" s="49">
        <f t="shared" ref="I91:K91" si="904">SUM(I88:I90)</f>
        <v>41396</v>
      </c>
      <c r="J91" s="50"/>
      <c r="K91" s="49">
        <f t="shared" si="904"/>
        <v>47004</v>
      </c>
      <c r="L91" s="20">
        <f t="shared" ref="L91" si="905">IF(K91&gt;0,(K88*L88+K89*L89+K90*L90)/K91,0)</f>
        <v>6.5673261850055328E-2</v>
      </c>
      <c r="M91" s="50">
        <f t="shared" ref="M91" si="906">M88+M89+M90</f>
        <v>43917</v>
      </c>
      <c r="N91" s="51">
        <f t="shared" ref="N91" si="907">IF(M91&gt;0,O91/M91,0)</f>
        <v>0.67537967074253713</v>
      </c>
      <c r="O91" s="52">
        <f t="shared" ref="O91" si="908">O88+O89+O90</f>
        <v>29660.649000000001</v>
      </c>
      <c r="P91" s="20">
        <f t="shared" ref="P91" si="909">IF(M91&gt;0,Q91/M91,0)</f>
        <v>0.26998604185167474</v>
      </c>
      <c r="Q91" s="52">
        <f t="shared" ref="Q91" si="910">Q88+Q89+Q90</f>
        <v>11856.976999999999</v>
      </c>
      <c r="R91" s="20">
        <f t="shared" ref="R91" si="911">IF(M91&gt;0,T91/M91,0)</f>
        <v>5.4634287405788198E-2</v>
      </c>
      <c r="S91" s="107"/>
      <c r="T91" s="52">
        <f t="shared" ref="T91" si="912">T88+T89+T90</f>
        <v>2399.3740000000003</v>
      </c>
      <c r="U91" s="20">
        <f t="shared" ref="U91" si="913">IF(M91&gt;0,V91/M91,0)</f>
        <v>0.25111373727713643</v>
      </c>
      <c r="V91" s="52">
        <f t="shared" ref="V91" si="914">V88+V89+V90</f>
        <v>11028.162</v>
      </c>
      <c r="W91" s="20">
        <f t="shared" ref="W91" si="915">IF(M91&gt;0,X91/M91,0)</f>
        <v>0.47752949882733337</v>
      </c>
      <c r="X91" s="52">
        <f t="shared" ref="X91" si="916">X88+X89+X90</f>
        <v>20971.663</v>
      </c>
      <c r="Y91" s="20">
        <f t="shared" ref="Y91" si="917">IF(M91&gt;0,Z91/M91,0)</f>
        <v>0.45326980440376163</v>
      </c>
      <c r="Z91" s="52">
        <f t="shared" ref="Z91" si="918">Z88+Z89+Z90</f>
        <v>19906.25</v>
      </c>
      <c r="AA91" s="119">
        <f t="shared" ref="AA91" si="919">IF(M91&gt;0,AB91/M91,0)</f>
        <v>2.6534187216795319E-3</v>
      </c>
      <c r="AB91" s="54">
        <f t="shared" ref="AB91" si="920">SUM(AB88:AB90)</f>
        <v>116.53019</v>
      </c>
      <c r="AC91" s="53">
        <f t="shared" ref="AC91" si="921">IF(M91&gt;0,AD91/M91,0)</f>
        <v>2.5536509779811919E-3</v>
      </c>
      <c r="AD91" s="54">
        <f t="shared" ref="AD91" si="922">SUM(AD88:AD90)</f>
        <v>112.14869</v>
      </c>
      <c r="AE91" s="53">
        <f t="shared" ref="AE91" si="923">IF(M91&gt;0,(AE88*M88+AE89*M89+AE90*M90)/M91,0)</f>
        <v>2.706526716305759E-3</v>
      </c>
      <c r="AF91" s="53">
        <f t="shared" ref="AF91" si="924">IF(K91&gt;0,(K88*AF88+K89*AF89+K90*AF90)/K91,0)</f>
        <v>3.1653476299889371E-4</v>
      </c>
      <c r="AG91" s="50">
        <f t="shared" ref="AG91" si="925">SUM(AG88:AG90)</f>
        <v>13.90147</v>
      </c>
      <c r="AH91" s="51">
        <f t="shared" ref="AH91" si="926">IF(K91&gt;0,(K88*AH88+K89*AH89+K90*AH90)/K91,0)</f>
        <v>0.21152624457492977</v>
      </c>
      <c r="AI91" s="56">
        <f t="shared" ref="AI91" si="927">SUM(AI88:AI90)</f>
        <v>100.25127090000001</v>
      </c>
      <c r="AJ91" s="51">
        <f t="shared" ref="AJ91" si="928">IF(AND(AD91&gt;0),((AD88*AJ88+AD89*AJ89+AD90*AJ90)/AD91),0)</f>
        <v>0.87735690275156542</v>
      </c>
      <c r="AK91" s="55">
        <f t="shared" si="680"/>
        <v>0.88431155963906738</v>
      </c>
      <c r="AL91" s="49">
        <f t="shared" ref="AL91" si="929">SUM(AL88:AL90)</f>
        <v>521</v>
      </c>
      <c r="AM91" s="20">
        <f t="shared" ref="AM91" si="930">IF(AL91&gt;0,(AM88*AL88+AM89*AL89+AM90*AL90)/AL91,0)</f>
        <v>9.0312859884836852E-2</v>
      </c>
      <c r="AN91" s="51">
        <f>IF(K91&gt;0,(AN88*K88+AN89*K89+AN90*K90)/K91,0)</f>
        <v>0.22146116926219045</v>
      </c>
      <c r="AO91" s="107">
        <f>IF(L91&gt;0,(AO88*K88+AO89*K89+AO90*K90)/K91,0)</f>
        <v>0.21011656242021956</v>
      </c>
      <c r="AP91" s="56">
        <f t="shared" ref="AP91:AQ103" si="931">SUM(AP88:AP90)</f>
        <v>104.96106380000001</v>
      </c>
      <c r="AQ91" s="108">
        <f t="shared" si="931"/>
        <v>99.584737300000029</v>
      </c>
      <c r="AR91" s="54"/>
      <c r="AS91" s="54">
        <f t="shared" ref="AS91" si="932">SUM(AS88:AS90)</f>
        <v>501.62</v>
      </c>
      <c r="AT91" s="83"/>
      <c r="AU91" s="84">
        <f>AT90</f>
        <v>915.59999999999911</v>
      </c>
      <c r="AV91" s="49">
        <f t="shared" ref="AV91" si="933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58</v>
      </c>
      <c r="D92" s="11">
        <v>12963</v>
      </c>
      <c r="E92" s="11">
        <v>0</v>
      </c>
      <c r="F92" s="11">
        <v>16046</v>
      </c>
      <c r="G92" s="12">
        <v>0.3</v>
      </c>
      <c r="H92" s="12">
        <v>3.3</v>
      </c>
      <c r="I92" s="11">
        <v>15453</v>
      </c>
      <c r="J92" s="12">
        <v>3.3</v>
      </c>
      <c r="K92" s="11">
        <v>15113</v>
      </c>
      <c r="L92" s="13">
        <v>7.0999999999999994E-2</v>
      </c>
      <c r="M92" s="23">
        <f>ROUND(K92*(1-L92),0)</f>
        <v>14040</v>
      </c>
      <c r="N92" s="14">
        <v>0.63600000000000001</v>
      </c>
      <c r="O92" s="24">
        <f t="shared" ref="O92:O94" si="934">M92*N92</f>
        <v>8929.44</v>
      </c>
      <c r="P92" s="13">
        <v>0.32100000000000001</v>
      </c>
      <c r="Q92" s="24">
        <f t="shared" ref="Q92:Q94" si="935">M92*P92</f>
        <v>4506.84</v>
      </c>
      <c r="R92" s="15">
        <v>4.2999999999999997E-2</v>
      </c>
      <c r="S92" s="112">
        <v>0.26200000000000001</v>
      </c>
      <c r="T92" s="24">
        <f t="shared" ref="T92:T94" si="936">M92*R92</f>
        <v>603.71999999999991</v>
      </c>
      <c r="U92" s="25">
        <v>0.23300000000000001</v>
      </c>
      <c r="V92" s="24">
        <f t="shared" ref="V92:V94" si="937">M92*U92</f>
        <v>3271.32</v>
      </c>
      <c r="W92" s="15">
        <v>0.50800000000000001</v>
      </c>
      <c r="X92" s="24">
        <f t="shared" ref="X92:X94" si="938">M92*W92</f>
        <v>7132.32</v>
      </c>
      <c r="Y92" s="15">
        <v>0.46</v>
      </c>
      <c r="Z92" s="24">
        <f t="shared" ref="Z92:Z94" si="939">Y92*M92</f>
        <v>6458.4000000000005</v>
      </c>
      <c r="AA92" s="116">
        <v>2.5600000000000002E-3</v>
      </c>
      <c r="AB92" s="18">
        <f t="shared" ref="AB92" si="940">M92*AA92</f>
        <v>35.942400000000006</v>
      </c>
      <c r="AC92" s="16">
        <v>2.4199999999999998E-3</v>
      </c>
      <c r="AD92" s="17">
        <f t="shared" ref="AD92:AD94" si="941">M92*AC92</f>
        <v>33.976799999999997</v>
      </c>
      <c r="AE92" s="26">
        <f>IF(M92&gt;0,(AG92+AP92)/M92,0)</f>
        <v>2.7221282051282055E-3</v>
      </c>
      <c r="AF92" s="16">
        <v>3.1E-4</v>
      </c>
      <c r="AG92" s="23">
        <f t="shared" ref="AG92:AG94" si="942">AF92*M92</f>
        <v>4.3524000000000003</v>
      </c>
      <c r="AH92" s="92">
        <v>0.21579999999999999</v>
      </c>
      <c r="AI92" s="29">
        <f t="shared" ref="AI92:AI94" si="943">AL92*(1-AM92)*AH92</f>
        <v>32.846486399999996</v>
      </c>
      <c r="AJ92" s="27">
        <f t="shared" ref="AJ92:AJ94" si="944">IF(AND(AH92&gt;0,AF92&gt;0,AC92&gt;0),((AC92-AF92)*AH92)/((AH92-AF92)*AC92),0)</f>
        <v>0.87315512713864885</v>
      </c>
      <c r="AK92" s="58">
        <f t="shared" si="680"/>
        <v>0.88735483046236097</v>
      </c>
      <c r="AL92" s="11">
        <v>168</v>
      </c>
      <c r="AM92" s="13">
        <v>9.4E-2</v>
      </c>
      <c r="AN92" s="14">
        <v>0.2225</v>
      </c>
      <c r="AO92" s="101">
        <v>0.21129999999999999</v>
      </c>
      <c r="AP92" s="29">
        <f>AL92*(1-AM92)*AN92</f>
        <v>33.866280000000003</v>
      </c>
      <c r="AQ92" s="102">
        <f t="shared" ref="AQ92" si="945">AL92*(1-AM92)*AO92</f>
        <v>32.161550399999996</v>
      </c>
      <c r="AR92" s="18">
        <v>1.55</v>
      </c>
      <c r="AS92" s="18"/>
      <c r="AT92" s="79">
        <f>AT90+AL92-AS92</f>
        <v>1083.599999999999</v>
      </c>
      <c r="AU92" s="80"/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55</v>
      </c>
      <c r="D93" s="33">
        <v>18712</v>
      </c>
      <c r="E93" s="33">
        <v>1</v>
      </c>
      <c r="F93" s="33">
        <v>15084</v>
      </c>
      <c r="G93" s="34">
        <v>0.3</v>
      </c>
      <c r="H93" s="34">
        <v>4.0999999999999996</v>
      </c>
      <c r="I93" s="33">
        <v>14814</v>
      </c>
      <c r="J93" s="34">
        <v>3.5</v>
      </c>
      <c r="K93" s="33">
        <v>15170</v>
      </c>
      <c r="L93" s="35">
        <v>7.8E-2</v>
      </c>
      <c r="M93" s="36">
        <f>ROUND(K93*(1-L93),0)</f>
        <v>13987</v>
      </c>
      <c r="N93" s="37">
        <v>0.73299999999999998</v>
      </c>
      <c r="O93" s="24">
        <f t="shared" si="934"/>
        <v>10252.471</v>
      </c>
      <c r="P93" s="35">
        <v>0.248</v>
      </c>
      <c r="Q93" s="24">
        <f t="shared" si="935"/>
        <v>3468.7759999999998</v>
      </c>
      <c r="R93" s="38">
        <v>1.9E-2</v>
      </c>
      <c r="S93" s="105">
        <v>0.26669999999999999</v>
      </c>
      <c r="T93" s="24">
        <f t="shared" si="936"/>
        <v>265.75299999999999</v>
      </c>
      <c r="U93" s="27">
        <v>0.23799999999999999</v>
      </c>
      <c r="V93" s="24">
        <f t="shared" si="937"/>
        <v>3328.9059999999999</v>
      </c>
      <c r="W93" s="38">
        <v>0.49399999999999999</v>
      </c>
      <c r="X93" s="24">
        <f t="shared" si="938"/>
        <v>6909.5779999999995</v>
      </c>
      <c r="Y93" s="38">
        <v>0.43</v>
      </c>
      <c r="Z93" s="24">
        <f t="shared" si="939"/>
        <v>6014.41</v>
      </c>
      <c r="AA93" s="117">
        <v>2.5799999999999998E-3</v>
      </c>
      <c r="AB93" s="18">
        <f t="shared" si="764"/>
        <v>36.086459999999995</v>
      </c>
      <c r="AC93" s="39">
        <v>2.47E-3</v>
      </c>
      <c r="AD93" s="17">
        <f t="shared" si="941"/>
        <v>34.547890000000002</v>
      </c>
      <c r="AE93" s="26">
        <f>IF(M93&gt;0,(AG93+AP93)/M93,0)</f>
        <v>2.6116050475441478E-3</v>
      </c>
      <c r="AF93" s="39">
        <v>2.7999999999999998E-4</v>
      </c>
      <c r="AG93" s="36">
        <f t="shared" si="942"/>
        <v>3.9163599999999996</v>
      </c>
      <c r="AH93" s="27">
        <v>0.2142</v>
      </c>
      <c r="AI93" s="40">
        <f t="shared" si="943"/>
        <v>31.911944399999999</v>
      </c>
      <c r="AJ93" s="27">
        <f t="shared" si="944"/>
        <v>0.88780019924963438</v>
      </c>
      <c r="AK93" s="28">
        <f t="shared" si="680"/>
        <v>0.8939296846870769</v>
      </c>
      <c r="AL93" s="33">
        <v>163</v>
      </c>
      <c r="AM93" s="35">
        <v>8.5999999999999993E-2</v>
      </c>
      <c r="AN93" s="37">
        <v>0.21890000000000001</v>
      </c>
      <c r="AO93" s="103">
        <v>0.2127</v>
      </c>
      <c r="AP93" s="40">
        <f>AL93*(1-AM93)*AN93</f>
        <v>32.612159800000001</v>
      </c>
      <c r="AQ93" s="104">
        <f t="shared" si="725"/>
        <v>31.688471400000001</v>
      </c>
      <c r="AR93" s="41">
        <v>1.5</v>
      </c>
      <c r="AS93" s="41"/>
      <c r="AT93" s="129">
        <f>AT92+AL93-AS93</f>
        <v>1246.599999999999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43" t="s">
        <v>59</v>
      </c>
      <c r="D94" s="42">
        <v>14000</v>
      </c>
      <c r="E94" s="42">
        <v>0</v>
      </c>
      <c r="F94" s="42">
        <v>15356</v>
      </c>
      <c r="G94" s="36">
        <v>0.5</v>
      </c>
      <c r="H94" s="36">
        <v>3.4</v>
      </c>
      <c r="I94" s="42">
        <v>15043</v>
      </c>
      <c r="J94" s="36">
        <v>2.6</v>
      </c>
      <c r="K94" s="42">
        <v>14547</v>
      </c>
      <c r="L94" s="38">
        <v>7.5999999999999998E-2</v>
      </c>
      <c r="M94" s="36">
        <f>ROUND(K94*(1-L94),0)</f>
        <v>13441</v>
      </c>
      <c r="N94" s="27">
        <v>0.70899999999999996</v>
      </c>
      <c r="O94" s="24">
        <f t="shared" si="934"/>
        <v>9529.6689999999999</v>
      </c>
      <c r="P94" s="38">
        <v>0.27700000000000002</v>
      </c>
      <c r="Q94" s="24">
        <f t="shared" si="935"/>
        <v>3723.1570000000002</v>
      </c>
      <c r="R94" s="38">
        <v>1.4E-2</v>
      </c>
      <c r="S94" s="105">
        <v>0.25719999999999998</v>
      </c>
      <c r="T94" s="24">
        <f t="shared" si="936"/>
        <v>188.17400000000001</v>
      </c>
      <c r="U94" s="27">
        <v>0.23799999999999999</v>
      </c>
      <c r="V94" s="24">
        <f t="shared" si="937"/>
        <v>3198.9580000000001</v>
      </c>
      <c r="W94" s="38">
        <v>0.47199999999999998</v>
      </c>
      <c r="X94" s="24">
        <f t="shared" si="938"/>
        <v>6344.152</v>
      </c>
      <c r="Y94" s="38">
        <v>0.47</v>
      </c>
      <c r="Z94" s="24">
        <f t="shared" si="939"/>
        <v>6317.2699999999995</v>
      </c>
      <c r="AA94" s="118">
        <v>2.5699999999999998E-3</v>
      </c>
      <c r="AB94" s="121">
        <f t="shared" si="764"/>
        <v>34.543369999999996</v>
      </c>
      <c r="AC94" s="45">
        <v>2.48E-3</v>
      </c>
      <c r="AD94" s="17">
        <f t="shared" si="941"/>
        <v>33.333680000000001</v>
      </c>
      <c r="AE94" s="26">
        <f>IF(M94&gt;0,(AG94+AP94)/M94,0)</f>
        <v>2.7455062867346178E-3</v>
      </c>
      <c r="AF94" s="45">
        <v>2.5000000000000001E-4</v>
      </c>
      <c r="AG94" s="36">
        <f t="shared" si="942"/>
        <v>3.3602500000000002</v>
      </c>
      <c r="AH94" s="27">
        <v>0.21410000000000001</v>
      </c>
      <c r="AI94" s="40">
        <f t="shared" si="943"/>
        <v>31.9171716</v>
      </c>
      <c r="AJ94" s="27">
        <f t="shared" si="944"/>
        <v>0.90024474495991325</v>
      </c>
      <c r="AK94" s="28">
        <f t="shared" si="680"/>
        <v>0.90995317252322117</v>
      </c>
      <c r="AL94" s="42">
        <v>164</v>
      </c>
      <c r="AM94" s="38">
        <v>9.0999999999999998E-2</v>
      </c>
      <c r="AN94" s="27">
        <v>0.22500000000000001</v>
      </c>
      <c r="AO94" s="105">
        <v>0.2127</v>
      </c>
      <c r="AP94" s="40">
        <f>AL94*(1-AM94)*AN94</f>
        <v>33.542099999999998</v>
      </c>
      <c r="AQ94" s="106">
        <f t="shared" si="725"/>
        <v>31.708465199999999</v>
      </c>
      <c r="AR94" s="17">
        <v>1.5</v>
      </c>
      <c r="AS94" s="17"/>
      <c r="AT94" s="129">
        <f>AT93+AL94-AS94</f>
        <v>1410.599999999999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46">SUM(D92:D94)</f>
        <v>45675</v>
      </c>
      <c r="E95" s="49"/>
      <c r="F95" s="49">
        <f t="shared" ref="F95" si="947">SUM(F92:F94)</f>
        <v>46486</v>
      </c>
      <c r="G95" s="50"/>
      <c r="H95" s="50"/>
      <c r="I95" s="49">
        <f t="shared" ref="I95:K95" si="948">SUM(I92:I94)</f>
        <v>45310</v>
      </c>
      <c r="J95" s="50"/>
      <c r="K95" s="49">
        <f t="shared" si="948"/>
        <v>44830</v>
      </c>
      <c r="L95" s="20">
        <f t="shared" ref="L95" si="949">IF(K95&gt;0,(K92*L92+K93*L93+K94*L94)/K95,0)</f>
        <v>7.4991188935980363E-2</v>
      </c>
      <c r="M95" s="50">
        <f t="shared" ref="M95" si="950">M92+M93+M94</f>
        <v>41468</v>
      </c>
      <c r="N95" s="51">
        <f t="shared" ref="N95" si="951">IF(M95&gt;0,O95/M95,0)</f>
        <v>0.69237918394906917</v>
      </c>
      <c r="O95" s="52">
        <f t="shared" ref="O95" si="952">O92+O93+O94</f>
        <v>28711.58</v>
      </c>
      <c r="P95" s="20">
        <f t="shared" ref="P95" si="953">IF(M95&gt;0,Q95/M95,0)</f>
        <v>0.28211567956014277</v>
      </c>
      <c r="Q95" s="52">
        <f t="shared" ref="Q95" si="954">Q92+Q93+Q94</f>
        <v>11698.773000000001</v>
      </c>
      <c r="R95" s="20">
        <f t="shared" ref="R95" si="955">IF(M95&gt;0,T95/M95,0)</f>
        <v>2.5505136490788075E-2</v>
      </c>
      <c r="S95" s="107"/>
      <c r="T95" s="52">
        <f t="shared" ref="T95" si="956">T92+T93+T94</f>
        <v>1057.6469999999999</v>
      </c>
      <c r="U95" s="20">
        <f t="shared" ref="U95" si="957">IF(M95&gt;0,V95/M95,0)</f>
        <v>0.23630712838815474</v>
      </c>
      <c r="V95" s="52">
        <f t="shared" ref="V95" si="958">V92+V93+V94</f>
        <v>9799.1840000000011</v>
      </c>
      <c r="W95" s="20">
        <f t="shared" ref="W95" si="959">IF(M95&gt;0,X95/M95,0)</f>
        <v>0.49160919263046204</v>
      </c>
      <c r="X95" s="52">
        <f t="shared" ref="X95" si="960">X92+X93+X94</f>
        <v>20386.05</v>
      </c>
      <c r="Y95" s="20">
        <f t="shared" ref="Y95" si="961">IF(M95&gt;0,Z95/M95,0)</f>
        <v>0.4531224076396258</v>
      </c>
      <c r="Z95" s="52">
        <f t="shared" ref="Z95" si="962">Z92+Z93+Z94</f>
        <v>18790.080000000002</v>
      </c>
      <c r="AA95" s="119">
        <f t="shared" ref="AA95" si="963">IF(M95&gt;0,AB95/M95,0)</f>
        <v>2.5699872190604804E-3</v>
      </c>
      <c r="AB95" s="54">
        <f t="shared" ref="AB95" si="964">SUM(AB92:AB94)</f>
        <v>106.57223</v>
      </c>
      <c r="AC95" s="53">
        <f t="shared" ref="AC95" si="965">IF(M95&gt;0,AD95/M95,0)</f>
        <v>2.4563125783736857E-3</v>
      </c>
      <c r="AD95" s="54">
        <f t="shared" ref="AD95" si="966">SUM(AD92:AD94)</f>
        <v>101.85836999999999</v>
      </c>
      <c r="AE95" s="53">
        <f t="shared" ref="AE95" si="967">IF(M95&gt;0,(AE92*M92+AE93*M93+AE94*M94)/M95,0)</f>
        <v>2.6924266856371178E-3</v>
      </c>
      <c r="AF95" s="53">
        <f t="shared" ref="AF95" si="968">IF(K95&gt;0,(K92*AF92+K93*AF93+K94*AF94)/K95,0)</f>
        <v>2.8037876422038811E-4</v>
      </c>
      <c r="AG95" s="50">
        <f t="shared" ref="AG95" si="969">SUM(AG92:AG94)</f>
        <v>11.629010000000001</v>
      </c>
      <c r="AH95" s="51">
        <f t="shared" ref="AH95" si="970">IF(K95&gt;0,(K92*AH92+K93*AH93+K94*AH94)/K95,0)</f>
        <v>0.21470693954940887</v>
      </c>
      <c r="AI95" s="56">
        <f t="shared" ref="AI95" si="971">SUM(AI92:AI94)</f>
        <v>96.675602400000002</v>
      </c>
      <c r="AJ95" s="51">
        <f t="shared" ref="AJ95" si="972">IF(AND(AD95&gt;0),((AD92*AJ92+AD93*AJ93+AD94*AJ94)/AD95),0)</f>
        <v>0.88698759856057263</v>
      </c>
      <c r="AK95" s="55">
        <f t="shared" si="680"/>
        <v>0.89699632128701645</v>
      </c>
      <c r="AL95" s="49">
        <f t="shared" ref="AL95" si="973">SUM(AL92:AL94)</f>
        <v>495</v>
      </c>
      <c r="AM95" s="20">
        <f t="shared" ref="AM95" si="974">IF(AL95&gt;0,(AM92*AL92+AM93*AL93+AM94*AL94)/AL95,0)</f>
        <v>9.0371717171717159E-2</v>
      </c>
      <c r="AN95" s="51">
        <f>IF(K95&gt;0,(AN92*K92+AN93*K93+AN94*K94)/K95,0)</f>
        <v>0.22209302922150348</v>
      </c>
      <c r="AO95" s="107">
        <f>IF(L95&gt;0,(AO92*K92+AO93*K93+AO94*K94)/K95,0)</f>
        <v>0.21222803479812627</v>
      </c>
      <c r="AP95" s="56">
        <f t="shared" ref="AP95" si="975">SUM(AP92:AP94)</f>
        <v>100.02053979999999</v>
      </c>
      <c r="AQ95" s="108">
        <f t="shared" si="931"/>
        <v>95.558486999999985</v>
      </c>
      <c r="AR95" s="54"/>
      <c r="AS95" s="54">
        <f t="shared" ref="AS95" si="976">SUM(AS92:AS94)</f>
        <v>0</v>
      </c>
      <c r="AT95" s="83"/>
      <c r="AU95" s="84">
        <f>AT94</f>
        <v>1410.599999999999</v>
      </c>
      <c r="AV95" s="49">
        <f t="shared" ref="AV95" si="977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58</v>
      </c>
      <c r="D96" s="11">
        <v>12361</v>
      </c>
      <c r="E96" s="11">
        <v>0</v>
      </c>
      <c r="F96" s="33">
        <v>16746</v>
      </c>
      <c r="G96" s="12">
        <v>0.4</v>
      </c>
      <c r="H96" s="12">
        <v>3</v>
      </c>
      <c r="I96" s="11">
        <v>16393</v>
      </c>
      <c r="J96" s="12">
        <v>2.2999999999999998</v>
      </c>
      <c r="K96" s="33">
        <v>13854</v>
      </c>
      <c r="L96" s="13">
        <v>7.8E-2</v>
      </c>
      <c r="M96" s="23">
        <f>ROUND(K96*(1-L96),0)</f>
        <v>12773</v>
      </c>
      <c r="N96" s="14">
        <v>0.71</v>
      </c>
      <c r="O96" s="24">
        <f t="shared" ref="O96:O98" si="978">M96*N96</f>
        <v>9068.83</v>
      </c>
      <c r="P96" s="13">
        <v>0.24</v>
      </c>
      <c r="Q96" s="24">
        <f t="shared" ref="Q96:Q98" si="979">M96*P96</f>
        <v>3065.52</v>
      </c>
      <c r="R96" s="15">
        <v>0.05</v>
      </c>
      <c r="S96" s="112">
        <v>0.25480000000000003</v>
      </c>
      <c r="T96" s="24">
        <f t="shared" ref="T96:T98" si="980">M96*R96</f>
        <v>638.65000000000009</v>
      </c>
      <c r="U96" s="25">
        <v>0.22900000000000001</v>
      </c>
      <c r="V96" s="24">
        <f t="shared" ref="V96:V98" si="981">M96*U96</f>
        <v>2925.0170000000003</v>
      </c>
      <c r="W96" s="15">
        <v>0.47899999999999998</v>
      </c>
      <c r="X96" s="24">
        <f t="shared" ref="X96:X98" si="982">M96*W96</f>
        <v>6118.2669999999998</v>
      </c>
      <c r="Y96" s="15">
        <v>0.45</v>
      </c>
      <c r="Z96" s="24">
        <f t="shared" ref="Z96:Z98" si="983">Y96*M96</f>
        <v>5747.85</v>
      </c>
      <c r="AA96" s="116">
        <v>2.5899999999999999E-3</v>
      </c>
      <c r="AB96" s="18">
        <f t="shared" ref="AB96" si="984">M96*AA96</f>
        <v>33.082070000000002</v>
      </c>
      <c r="AC96" s="16">
        <v>2.4299999999999999E-3</v>
      </c>
      <c r="AD96" s="17">
        <f t="shared" ref="AD96:AD98" si="985">M96*AC96</f>
        <v>31.03839</v>
      </c>
      <c r="AE96" s="26">
        <f>IF(M96&gt;0,(AG96+AP96)/M96,0)</f>
        <v>2.7831908713692949E-3</v>
      </c>
      <c r="AF96" s="16">
        <v>2.4000000000000001E-4</v>
      </c>
      <c r="AG96" s="23">
        <f t="shared" ref="AG96:AG98" si="986">AF96*M96</f>
        <v>3.0655200000000002</v>
      </c>
      <c r="AH96" s="92">
        <v>0.21410000000000001</v>
      </c>
      <c r="AI96" s="29">
        <f t="shared" ref="AI96:AI98" si="987">AL96*(1-AM96)*AH96</f>
        <v>30.841961400000002</v>
      </c>
      <c r="AJ96" s="27">
        <f t="shared" ref="AJ96:AJ98" si="988">IF(AND(AH96&gt;0,AF96&gt;0,AC96&gt;0),((AC96-AF96)*AH96)/((AH96-AF96)*AC96),0)</f>
        <v>0.90224595991608658</v>
      </c>
      <c r="AK96" s="58">
        <f t="shared" si="680"/>
        <v>0.91474160230560642</v>
      </c>
      <c r="AL96" s="11">
        <v>159</v>
      </c>
      <c r="AM96" s="13">
        <v>9.4E-2</v>
      </c>
      <c r="AN96" s="14">
        <v>0.22550000000000001</v>
      </c>
      <c r="AO96" s="101">
        <v>0.2155</v>
      </c>
      <c r="AP96" s="29">
        <f>AL96*(1-AM96)*AN96</f>
        <v>32.484177000000003</v>
      </c>
      <c r="AQ96" s="102">
        <f t="shared" ref="AQ96" si="989">AL96*(1-AM96)*AO96</f>
        <v>31.043637</v>
      </c>
      <c r="AR96" s="18">
        <v>1.5</v>
      </c>
      <c r="AS96" s="18"/>
      <c r="AT96" s="79">
        <f>AT94+AL96-AS96</f>
        <v>1569.599999999999</v>
      </c>
      <c r="AU96" s="80"/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53</v>
      </c>
      <c r="D97" s="33">
        <v>15994</v>
      </c>
      <c r="E97" s="33">
        <v>0</v>
      </c>
      <c r="F97" s="33">
        <v>11137</v>
      </c>
      <c r="G97" s="34">
        <v>0.2</v>
      </c>
      <c r="H97" s="34">
        <v>3.2</v>
      </c>
      <c r="I97" s="33">
        <v>11092</v>
      </c>
      <c r="J97" s="34">
        <v>3.3</v>
      </c>
      <c r="K97" s="33">
        <v>13675</v>
      </c>
      <c r="L97" s="35">
        <v>7.5999999999999998E-2</v>
      </c>
      <c r="M97" s="36">
        <f>ROUND(K97*(1-L97),0)</f>
        <v>12636</v>
      </c>
      <c r="N97" s="37">
        <v>0.74</v>
      </c>
      <c r="O97" s="24">
        <f t="shared" si="978"/>
        <v>9350.64</v>
      </c>
      <c r="P97" s="35">
        <v>0.255</v>
      </c>
      <c r="Q97" s="24">
        <f t="shared" si="979"/>
        <v>3222.18</v>
      </c>
      <c r="R97" s="38">
        <v>5.0000000000000001E-3</v>
      </c>
      <c r="S97" s="105">
        <v>0.25729999999999997</v>
      </c>
      <c r="T97" s="24">
        <f t="shared" si="980"/>
        <v>63.18</v>
      </c>
      <c r="U97" s="27">
        <v>0.223</v>
      </c>
      <c r="V97" s="24">
        <f t="shared" si="981"/>
        <v>2817.828</v>
      </c>
      <c r="W97" s="38">
        <v>0.47899999999999998</v>
      </c>
      <c r="X97" s="24">
        <f t="shared" si="982"/>
        <v>6052.6439999999993</v>
      </c>
      <c r="Y97" s="38">
        <v>0.47</v>
      </c>
      <c r="Z97" s="24">
        <f t="shared" si="983"/>
        <v>5938.92</v>
      </c>
      <c r="AA97" s="117">
        <v>2.5400000000000002E-3</v>
      </c>
      <c r="AB97" s="18">
        <f t="shared" si="764"/>
        <v>32.095440000000004</v>
      </c>
      <c r="AC97" s="39">
        <v>2.3500000000000001E-3</v>
      </c>
      <c r="AD97" s="17">
        <f t="shared" si="985"/>
        <v>29.694600000000001</v>
      </c>
      <c r="AE97" s="26">
        <f>IF(M97&gt;0,(AG97+AP97)/M97,0)</f>
        <v>2.3020268755935421E-3</v>
      </c>
      <c r="AF97" s="39">
        <v>2.3000000000000001E-4</v>
      </c>
      <c r="AG97" s="36">
        <f t="shared" si="986"/>
        <v>2.9062800000000002</v>
      </c>
      <c r="AH97" s="27">
        <v>0.2072</v>
      </c>
      <c r="AI97" s="40">
        <f t="shared" si="987"/>
        <v>24.591739199999999</v>
      </c>
      <c r="AJ97" s="27">
        <f t="shared" si="988"/>
        <v>0.90313016893187303</v>
      </c>
      <c r="AK97" s="28">
        <f t="shared" si="680"/>
        <v>0.90102746863881877</v>
      </c>
      <c r="AL97" s="33">
        <v>131</v>
      </c>
      <c r="AM97" s="35">
        <v>9.4E-2</v>
      </c>
      <c r="AN97" s="37">
        <v>0.22059999999999999</v>
      </c>
      <c r="AO97" s="103">
        <v>0.2077</v>
      </c>
      <c r="AP97" s="40">
        <f>AL97*(1-AM97)*AN97</f>
        <v>26.182131600000002</v>
      </c>
      <c r="AQ97" s="104">
        <f t="shared" si="725"/>
        <v>24.651082200000001</v>
      </c>
      <c r="AR97" s="41">
        <v>1.5</v>
      </c>
      <c r="AS97" s="41"/>
      <c r="AT97" s="129">
        <f>AT96+AL97-AS97</f>
        <v>1700.599999999999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43" t="s">
        <v>59</v>
      </c>
      <c r="D98" s="42">
        <v>13500</v>
      </c>
      <c r="E98" s="42">
        <v>1</v>
      </c>
      <c r="F98" s="42">
        <v>15021</v>
      </c>
      <c r="G98" s="36">
        <v>0.5</v>
      </c>
      <c r="H98" s="36">
        <v>3.5</v>
      </c>
      <c r="I98" s="42">
        <v>14415</v>
      </c>
      <c r="J98" s="36">
        <v>1.1000000000000001</v>
      </c>
      <c r="K98" s="42">
        <v>11810</v>
      </c>
      <c r="L98" s="38">
        <v>7.2999999999999995E-2</v>
      </c>
      <c r="M98" s="36">
        <f>ROUND(K98*(1-L98),0)</f>
        <v>10948</v>
      </c>
      <c r="N98" s="27">
        <v>0.65300000000000002</v>
      </c>
      <c r="O98" s="24">
        <f t="shared" si="978"/>
        <v>7149.0439999999999</v>
      </c>
      <c r="P98" s="38">
        <v>0.30499999999999999</v>
      </c>
      <c r="Q98" s="24">
        <f t="shared" si="979"/>
        <v>3339.14</v>
      </c>
      <c r="R98" s="38">
        <v>4.2000000000000003E-2</v>
      </c>
      <c r="S98" s="105">
        <v>0.22559999999999999</v>
      </c>
      <c r="T98" s="24">
        <f t="shared" si="980"/>
        <v>459.81600000000003</v>
      </c>
      <c r="U98" s="27">
        <v>0.192</v>
      </c>
      <c r="V98" s="24">
        <f t="shared" si="981"/>
        <v>2102.0160000000001</v>
      </c>
      <c r="W98" s="38">
        <v>0.51100000000000001</v>
      </c>
      <c r="X98" s="24">
        <f t="shared" si="982"/>
        <v>5594.4279999999999</v>
      </c>
      <c r="Y98" s="38">
        <v>0.46</v>
      </c>
      <c r="Z98" s="24">
        <f t="shared" si="983"/>
        <v>5036.08</v>
      </c>
      <c r="AA98" s="118">
        <v>2.48E-3</v>
      </c>
      <c r="AB98" s="121">
        <f t="shared" si="764"/>
        <v>27.151039999999998</v>
      </c>
      <c r="AC98" s="45">
        <v>2.3500000000000001E-3</v>
      </c>
      <c r="AD98" s="17">
        <f t="shared" si="985"/>
        <v>25.727800000000002</v>
      </c>
      <c r="AE98" s="26">
        <f>IF(M98&gt;0,(AG98+AP98)/M98,0)</f>
        <v>2.7854415601023018E-3</v>
      </c>
      <c r="AF98" s="45">
        <v>1.9000000000000001E-4</v>
      </c>
      <c r="AG98" s="36">
        <f t="shared" si="986"/>
        <v>2.08012</v>
      </c>
      <c r="AH98" s="27">
        <v>0.2112</v>
      </c>
      <c r="AI98" s="40">
        <f t="shared" si="987"/>
        <v>28.003852799999997</v>
      </c>
      <c r="AJ98" s="27">
        <f t="shared" si="988"/>
        <v>0.91997656660418425</v>
      </c>
      <c r="AK98" s="28">
        <f t="shared" si="680"/>
        <v>0.93261505731652083</v>
      </c>
      <c r="AL98" s="42">
        <v>147</v>
      </c>
      <c r="AM98" s="38">
        <v>9.8000000000000004E-2</v>
      </c>
      <c r="AN98" s="27">
        <v>0.21429999999999999</v>
      </c>
      <c r="AO98" s="105">
        <v>0.20300000000000001</v>
      </c>
      <c r="AP98" s="40">
        <f>AL98*(1-AM98)*AN98</f>
        <v>28.414894199999999</v>
      </c>
      <c r="AQ98" s="106">
        <f t="shared" si="725"/>
        <v>26.916582000000002</v>
      </c>
      <c r="AR98" s="17">
        <v>1.5</v>
      </c>
      <c r="AS98" s="17"/>
      <c r="AT98" s="129">
        <f>AT97+AL98-AS98</f>
        <v>1847.599999999999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90">SUM(D96:D98)</f>
        <v>41855</v>
      </c>
      <c r="E99" s="49"/>
      <c r="F99" s="49">
        <f t="shared" ref="F99" si="991">SUM(F96:F98)</f>
        <v>42904</v>
      </c>
      <c r="G99" s="50"/>
      <c r="H99" s="50"/>
      <c r="I99" s="49">
        <f t="shared" ref="I99" si="992">SUM(I96:I98)</f>
        <v>41900</v>
      </c>
      <c r="J99" s="50"/>
      <c r="K99" s="49">
        <f t="shared" ref="K99" si="993">SUM(K96:K98)</f>
        <v>39339</v>
      </c>
      <c r="L99" s="20">
        <f t="shared" ref="L99" si="994">IF(K99&gt;0,(K96*L96+K97*L97+K98*L98)/K99,0)</f>
        <v>7.5803706245710367E-2</v>
      </c>
      <c r="M99" s="50">
        <f t="shared" ref="M99" si="995">M96+M97+M98</f>
        <v>36357</v>
      </c>
      <c r="N99" s="51">
        <f t="shared" ref="N99" si="996">IF(M99&gt;0,O99/M99,0)</f>
        <v>0.70326248040267358</v>
      </c>
      <c r="O99" s="52">
        <f t="shared" ref="O99" si="997">O96+O97+O98</f>
        <v>25568.514000000003</v>
      </c>
      <c r="P99" s="20">
        <f t="shared" ref="P99" si="998">IF(M99&gt;0,Q99/M99,0)</f>
        <v>0.26478642352229281</v>
      </c>
      <c r="Q99" s="52">
        <f t="shared" ref="Q99" si="999">Q96+Q97+Q98</f>
        <v>9626.84</v>
      </c>
      <c r="R99" s="20">
        <f t="shared" ref="R99" si="1000">IF(M99&gt;0,T99/M99,0)</f>
        <v>3.19510960750337E-2</v>
      </c>
      <c r="S99" s="107"/>
      <c r="T99" s="52">
        <f t="shared" ref="T99" si="1001">T96+T97+T98</f>
        <v>1161.6460000000002</v>
      </c>
      <c r="U99" s="20">
        <f t="shared" ref="U99" si="1002">IF(M99&gt;0,V99/M99,0)</f>
        <v>0.21577305608273512</v>
      </c>
      <c r="V99" s="52">
        <f t="shared" ref="V99" si="1003">V96+V97+V98</f>
        <v>7844.8610000000008</v>
      </c>
      <c r="W99" s="20">
        <f t="shared" ref="W99" si="1004">IF(M99&gt;0,X99/M99,0)</f>
        <v>0.48863599856973899</v>
      </c>
      <c r="X99" s="52">
        <f t="shared" ref="X99" si="1005">X96+X97+X98</f>
        <v>17765.339</v>
      </c>
      <c r="Y99" s="20">
        <f t="shared" ref="Y99" si="1006">IF(M99&gt;0,Z99/M99,0)</f>
        <v>0.45996231812305743</v>
      </c>
      <c r="Z99" s="52">
        <f t="shared" ref="Z99" si="1007">Z96+Z97+Z98</f>
        <v>16722.849999999999</v>
      </c>
      <c r="AA99" s="119">
        <f t="shared" ref="AA99" si="1008">IF(M99&gt;0,AB99/M99,0)</f>
        <v>2.5394985834914872E-3</v>
      </c>
      <c r="AB99" s="54">
        <f t="shared" ref="AB99" si="1009">SUM(AB96:AB98)</f>
        <v>92.328550000000007</v>
      </c>
      <c r="AC99" s="53">
        <f t="shared" ref="AC99" si="1010">IF(M99&gt;0,AD99/M99,0)</f>
        <v>2.3781057292955967E-3</v>
      </c>
      <c r="AD99" s="54">
        <f t="shared" ref="AD99" si="1011">SUM(AD96:AD98)</f>
        <v>86.460790000000003</v>
      </c>
      <c r="AE99" s="53">
        <f t="shared" ref="AE99" si="1012">IF(M99&gt;0,(AE96*M96+AE97*M97+AE98*M98)/M99,0)</f>
        <v>2.6166384135104656E-3</v>
      </c>
      <c r="AF99" s="53">
        <f t="shared" ref="AF99" si="1013">IF(K99&gt;0,(K96*AF96+K97*AF97+K98*AF98)/K99,0)</f>
        <v>2.2151325656473219E-4</v>
      </c>
      <c r="AG99" s="50">
        <f t="shared" ref="AG99" si="1014">SUM(AG96:AG98)</f>
        <v>8.0519199999999991</v>
      </c>
      <c r="AH99" s="51">
        <f t="shared" ref="AH99" si="1015">IF(K99&gt;0,(K96*AH96+K97*AH97+K98*AH98)/K99,0)</f>
        <v>0.21083081420473324</v>
      </c>
      <c r="AI99" s="56">
        <f t="shared" ref="AI99" si="1016">SUM(AI96:AI98)</f>
        <v>83.437553399999999</v>
      </c>
      <c r="AJ99" s="51">
        <f t="shared" ref="AJ99" si="1017">IF(AND(AD99&gt;0),((AD96*AJ96+AD97*AJ97+AD98*AJ98)/AD99),0)</f>
        <v>0.90782566530381459</v>
      </c>
      <c r="AK99" s="55">
        <f t="shared" si="680"/>
        <v>0.91626508811837459</v>
      </c>
      <c r="AL99" s="49">
        <f t="shared" ref="AL99" si="1018">SUM(AL96:AL98)</f>
        <v>437</v>
      </c>
      <c r="AM99" s="20">
        <f t="shared" ref="AM99" si="1019">IF(AL99&gt;0,(AM96*AL96+AM97*AL97+AM98*AL98)/AL99,0)</f>
        <v>9.5345537757437065E-2</v>
      </c>
      <c r="AN99" s="51">
        <f>IF(K99&gt;0,(AN96*K96+AN97*K97+AN98*K98)/K99,0)</f>
        <v>0.22043430183787083</v>
      </c>
      <c r="AO99" s="107">
        <f>IF(L99&gt;0,(AO96*K96+AO97*K97+AO98*K98)/K99,0)</f>
        <v>0.20903593126413994</v>
      </c>
      <c r="AP99" s="56">
        <f t="shared" ref="AP99" si="1020">SUM(AP96:AP98)</f>
        <v>87.0812028</v>
      </c>
      <c r="AQ99" s="108">
        <f t="shared" si="931"/>
        <v>82.6113012</v>
      </c>
      <c r="AR99" s="54"/>
      <c r="AS99" s="54">
        <f t="shared" ref="AS99" si="1021">SUM(AS96:AS98)</f>
        <v>0</v>
      </c>
      <c r="AT99" s="83"/>
      <c r="AU99" s="84">
        <f>AT98</f>
        <v>1847.599999999999</v>
      </c>
      <c r="AV99" s="49">
        <f t="shared" ref="AV99" si="1022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58</v>
      </c>
      <c r="D100" s="11">
        <v>6569</v>
      </c>
      <c r="E100" s="11">
        <v>0</v>
      </c>
      <c r="F100" s="11">
        <v>10810</v>
      </c>
      <c r="G100" s="12">
        <v>0.4</v>
      </c>
      <c r="H100" s="12">
        <v>3.5</v>
      </c>
      <c r="I100" s="11">
        <v>10752</v>
      </c>
      <c r="J100" s="12">
        <v>1.6</v>
      </c>
      <c r="K100" s="11">
        <v>13068</v>
      </c>
      <c r="L100" s="13">
        <v>6.9000000000000006E-2</v>
      </c>
      <c r="M100" s="23">
        <f>ROUND(K100*(1-L100),0)</f>
        <v>12166</v>
      </c>
      <c r="N100" s="14">
        <v>0.68799999999999994</v>
      </c>
      <c r="O100" s="24">
        <f t="shared" ref="O100:O102" si="1023">M100*N100</f>
        <v>8370.2079999999987</v>
      </c>
      <c r="P100" s="13">
        <v>0.26500000000000001</v>
      </c>
      <c r="Q100" s="24">
        <f t="shared" ref="Q100:Q102" si="1024">M100*P100</f>
        <v>3223.9900000000002</v>
      </c>
      <c r="R100" s="15">
        <v>4.7E-2</v>
      </c>
      <c r="S100" s="112">
        <v>0.25269999999999998</v>
      </c>
      <c r="T100" s="24">
        <f t="shared" ref="T100:T102" si="1025">M100*R100</f>
        <v>571.80200000000002</v>
      </c>
      <c r="U100" s="25">
        <v>0.20399999999999999</v>
      </c>
      <c r="V100" s="24">
        <f t="shared" ref="V100:V102" si="1026">M100*U100</f>
        <v>2481.864</v>
      </c>
      <c r="W100" s="15">
        <v>0.48799999999999999</v>
      </c>
      <c r="X100" s="24">
        <f t="shared" ref="X100:X102" si="1027">M100*W100</f>
        <v>5937.0079999999998</v>
      </c>
      <c r="Y100" s="15">
        <v>0.43</v>
      </c>
      <c r="Z100" s="24">
        <f t="shared" ref="Z100:Z102" si="1028">Y100*M100</f>
        <v>5231.38</v>
      </c>
      <c r="AA100" s="116">
        <v>2.5899999999999999E-3</v>
      </c>
      <c r="AB100" s="18">
        <f t="shared" ref="AB100" si="1029">M100*AA100</f>
        <v>31.509939999999997</v>
      </c>
      <c r="AC100" s="16">
        <v>2.3800000000000002E-3</v>
      </c>
      <c r="AD100" s="17">
        <f t="shared" ref="AD100:AD102" si="1030">M100*AC100</f>
        <v>28.955080000000002</v>
      </c>
      <c r="AE100" s="26">
        <f>IF(M100&gt;0,(AG100+AP100)/M100,0)</f>
        <v>2.6598130856485291E-3</v>
      </c>
      <c r="AF100" s="16">
        <v>2.0000000000000001E-4</v>
      </c>
      <c r="AG100" s="23">
        <f t="shared" ref="AG100:AG102" si="1031">AF100*M100</f>
        <v>2.4332000000000003</v>
      </c>
      <c r="AH100" s="92">
        <v>0.2064</v>
      </c>
      <c r="AI100" s="29">
        <f t="shared" ref="AI100:AI102" si="1032">AL100*(1-AM100)*AH100</f>
        <v>27.114768000000002</v>
      </c>
      <c r="AJ100" s="27">
        <f t="shared" ref="AJ100:AJ102" si="1033">IF(AND(AH100&gt;0,AF100&gt;0,AC100&gt;0),((AC100-AF100)*AH100)/((AH100-AF100)*AC100),0)</f>
        <v>0.91685481175981531</v>
      </c>
      <c r="AK100" s="58">
        <f t="shared" si="680"/>
        <v>0.9256194060608588</v>
      </c>
      <c r="AL100" s="11">
        <v>145</v>
      </c>
      <c r="AM100" s="13">
        <v>9.4E-2</v>
      </c>
      <c r="AN100" s="14">
        <v>0.2278</v>
      </c>
      <c r="AO100" s="101">
        <v>0.21820000000000001</v>
      </c>
      <c r="AP100" s="29">
        <f>AL100*(1-AM100)*AN100</f>
        <v>29.926086000000002</v>
      </c>
      <c r="AQ100" s="102">
        <f t="shared" ref="AQ100" si="1034">AL100*(1-AM100)*AO100</f>
        <v>28.664934000000002</v>
      </c>
      <c r="AR100" s="18">
        <v>1.5</v>
      </c>
      <c r="AS100" s="18"/>
      <c r="AT100" s="79">
        <f>AT98+AL100-AS100</f>
        <v>1992.599999999999</v>
      </c>
      <c r="AU100" s="134"/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53</v>
      </c>
      <c r="D101" s="33">
        <v>13665</v>
      </c>
      <c r="E101" s="33">
        <v>0</v>
      </c>
      <c r="F101" s="33">
        <v>11208</v>
      </c>
      <c r="G101" s="34">
        <v>0.4</v>
      </c>
      <c r="H101" s="34">
        <v>3.9</v>
      </c>
      <c r="I101" s="33">
        <v>10841</v>
      </c>
      <c r="J101" s="34">
        <v>2.7</v>
      </c>
      <c r="K101" s="33">
        <v>12360</v>
      </c>
      <c r="L101" s="35">
        <v>7.2999999999999995E-2</v>
      </c>
      <c r="M101" s="36">
        <f>ROUND(K101*(1-L101),0)</f>
        <v>11458</v>
      </c>
      <c r="N101" s="37">
        <v>0.74399999999999999</v>
      </c>
      <c r="O101" s="24">
        <f t="shared" si="1023"/>
        <v>8524.7520000000004</v>
      </c>
      <c r="P101" s="35">
        <v>0.20599999999999999</v>
      </c>
      <c r="Q101" s="24">
        <f t="shared" si="1024"/>
        <v>2360.348</v>
      </c>
      <c r="R101" s="38">
        <v>0.05</v>
      </c>
      <c r="S101" s="105">
        <v>0.27779999999999999</v>
      </c>
      <c r="T101" s="24">
        <f t="shared" si="1025"/>
        <v>572.9</v>
      </c>
      <c r="U101" s="27">
        <v>0.245</v>
      </c>
      <c r="V101" s="24">
        <f t="shared" si="1026"/>
        <v>2807.21</v>
      </c>
      <c r="W101" s="38">
        <v>0.45700000000000002</v>
      </c>
      <c r="X101" s="24">
        <f t="shared" si="1027"/>
        <v>5236.3060000000005</v>
      </c>
      <c r="Y101" s="38">
        <v>0.48</v>
      </c>
      <c r="Z101" s="24">
        <f t="shared" si="1028"/>
        <v>5499.84</v>
      </c>
      <c r="AA101" s="117">
        <v>2.2200000000000002E-3</v>
      </c>
      <c r="AB101" s="18">
        <f t="shared" si="764"/>
        <v>25.436760000000003</v>
      </c>
      <c r="AC101" s="39">
        <v>2.0799999999999998E-3</v>
      </c>
      <c r="AD101" s="17">
        <f t="shared" si="1030"/>
        <v>23.832639999999998</v>
      </c>
      <c r="AE101" s="26">
        <f>IF(M101&gt;0,(AG101+AP101)/M101,0)</f>
        <v>2.1979912986559609E-3</v>
      </c>
      <c r="AF101" s="39">
        <v>2.2000000000000001E-4</v>
      </c>
      <c r="AG101" s="36">
        <f t="shared" si="1031"/>
        <v>2.5207600000000001</v>
      </c>
      <c r="AH101" s="27">
        <v>0.19670000000000001</v>
      </c>
      <c r="AI101" s="40">
        <f t="shared" si="1032"/>
        <v>20.919635100000004</v>
      </c>
      <c r="AJ101" s="27">
        <f t="shared" si="1033"/>
        <v>0.89523204553996483</v>
      </c>
      <c r="AK101" s="28">
        <f t="shared" si="680"/>
        <v>0.90083861897295003</v>
      </c>
      <c r="AL101" s="33">
        <v>117</v>
      </c>
      <c r="AM101" s="35">
        <v>9.0999999999999998E-2</v>
      </c>
      <c r="AN101" s="37">
        <v>0.21310000000000001</v>
      </c>
      <c r="AO101" s="103">
        <v>0.20250000000000001</v>
      </c>
      <c r="AP101" s="40">
        <f>AL101*(1-AM101)*AN101</f>
        <v>22.663824300000002</v>
      </c>
      <c r="AQ101" s="104">
        <f t="shared" si="725"/>
        <v>21.536482500000002</v>
      </c>
      <c r="AR101" s="41">
        <v>1.5</v>
      </c>
      <c r="AS101" s="41"/>
      <c r="AT101" s="129">
        <f>AT100+AL101-AS101</f>
        <v>2109.599999999999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0" t="s">
        <v>54</v>
      </c>
      <c r="D102" s="42">
        <v>14700</v>
      </c>
      <c r="E102" s="42">
        <v>1</v>
      </c>
      <c r="F102" s="42">
        <v>11755</v>
      </c>
      <c r="G102" s="36">
        <v>0.4</v>
      </c>
      <c r="H102" s="36">
        <v>4.8</v>
      </c>
      <c r="I102" s="42">
        <v>11744</v>
      </c>
      <c r="J102" s="36">
        <v>0.8</v>
      </c>
      <c r="K102" s="42">
        <v>9804</v>
      </c>
      <c r="L102" s="38">
        <v>6.0999999999999999E-2</v>
      </c>
      <c r="M102" s="36">
        <f>ROUND(K102*(1-L102),0)</f>
        <v>9206</v>
      </c>
      <c r="N102" s="27">
        <v>0.60099999999999998</v>
      </c>
      <c r="O102" s="24">
        <f t="shared" si="1023"/>
        <v>5532.8059999999996</v>
      </c>
      <c r="P102" s="38">
        <v>0.36099999999999999</v>
      </c>
      <c r="Q102" s="24">
        <f t="shared" si="1024"/>
        <v>3323.366</v>
      </c>
      <c r="R102" s="38">
        <v>3.7999999999999999E-2</v>
      </c>
      <c r="S102" s="105">
        <v>0.24579999999999999</v>
      </c>
      <c r="T102" s="24">
        <f t="shared" si="1025"/>
        <v>349.82799999999997</v>
      </c>
      <c r="U102" s="27">
        <v>0.21</v>
      </c>
      <c r="V102" s="24">
        <f t="shared" si="1026"/>
        <v>1933.26</v>
      </c>
      <c r="W102" s="38">
        <v>0.51800000000000002</v>
      </c>
      <c r="X102" s="24">
        <f t="shared" si="1027"/>
        <v>4768.7080000000005</v>
      </c>
      <c r="Y102" s="38">
        <v>0.46</v>
      </c>
      <c r="Z102" s="24">
        <f t="shared" si="1028"/>
        <v>4234.76</v>
      </c>
      <c r="AA102" s="118">
        <v>2.1199999999999999E-3</v>
      </c>
      <c r="AB102" s="121">
        <f t="shared" si="764"/>
        <v>19.516719999999999</v>
      </c>
      <c r="AC102" s="45">
        <v>2.0200000000000001E-3</v>
      </c>
      <c r="AD102" s="17">
        <f t="shared" si="1030"/>
        <v>18.596119999999999</v>
      </c>
      <c r="AE102" s="26">
        <f>IF(M102&gt;0,(AG102+AP102)/M102,0)</f>
        <v>2.7471253313056704E-3</v>
      </c>
      <c r="AF102" s="45">
        <v>2.0000000000000001E-4</v>
      </c>
      <c r="AG102" s="36">
        <f t="shared" si="1031"/>
        <v>1.8412000000000002</v>
      </c>
      <c r="AH102" s="27">
        <v>0.18970000000000001</v>
      </c>
      <c r="AI102" s="40">
        <f t="shared" si="1032"/>
        <v>23.992686900000002</v>
      </c>
      <c r="AJ102" s="27">
        <f t="shared" si="1033"/>
        <v>0.9019410120431568</v>
      </c>
      <c r="AK102" s="28">
        <f t="shared" si="680"/>
        <v>0.92819791567264809</v>
      </c>
      <c r="AL102" s="42">
        <v>141</v>
      </c>
      <c r="AM102" s="38">
        <v>0.10299999999999999</v>
      </c>
      <c r="AN102" s="27">
        <v>0.18540000000000001</v>
      </c>
      <c r="AO102" s="105">
        <v>0.17169999999999999</v>
      </c>
      <c r="AP102" s="40">
        <f>AL102*(1-AM102)*AN102</f>
        <v>23.448835800000001</v>
      </c>
      <c r="AQ102" s="106">
        <f t="shared" si="725"/>
        <v>21.716100900000001</v>
      </c>
      <c r="AR102" s="17">
        <v>1.55</v>
      </c>
      <c r="AS102" s="17"/>
      <c r="AT102" s="129">
        <f>AT101+AL102-AS102</f>
        <v>2250.599999999999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35">SUM(D100:D102)</f>
        <v>34934</v>
      </c>
      <c r="E103" s="49"/>
      <c r="F103" s="49">
        <f t="shared" ref="F103" si="1036">SUM(F100:F102)</f>
        <v>33773</v>
      </c>
      <c r="G103" s="50"/>
      <c r="H103" s="50"/>
      <c r="I103" s="49">
        <f t="shared" ref="I103:K103" si="1037">SUM(I100:I102)</f>
        <v>33337</v>
      </c>
      <c r="J103" s="50"/>
      <c r="K103" s="49">
        <f t="shared" si="1037"/>
        <v>35232</v>
      </c>
      <c r="L103" s="20">
        <f t="shared" ref="L103" si="1038">IF(K103&gt;0,(K100*L100+K101*L101+K102*L102)/K103,0)</f>
        <v>6.8177111716621261E-2</v>
      </c>
      <c r="M103" s="50">
        <f t="shared" ref="M103" si="1039">M100+M101+M102</f>
        <v>32830</v>
      </c>
      <c r="N103" s="51">
        <f t="shared" ref="N103" si="1040">IF(M103&gt;0,O103/M103,0)</f>
        <v>0.68314852269265913</v>
      </c>
      <c r="O103" s="52">
        <f t="shared" ref="O103" si="1041">O100+O101+O102</f>
        <v>22427.766</v>
      </c>
      <c r="P103" s="20">
        <f t="shared" ref="P103" si="1042">IF(M103&gt;0,Q103/M103,0)</f>
        <v>0.27132817544928417</v>
      </c>
      <c r="Q103" s="52">
        <f t="shared" ref="Q103" si="1043">Q100+Q101+Q102</f>
        <v>8907.7039999999997</v>
      </c>
      <c r="R103" s="20">
        <f t="shared" ref="R103" si="1044">IF(M103&gt;0,T103/M103,0)</f>
        <v>4.5523301858056656E-2</v>
      </c>
      <c r="S103" s="107"/>
      <c r="T103" s="52">
        <f t="shared" ref="T103" si="1045">T100+T101+T102</f>
        <v>1494.53</v>
      </c>
      <c r="U103" s="20">
        <f t="shared" ref="U103" si="1046">IF(M103&gt;0,V103/M103,0)</f>
        <v>0.21999189765458424</v>
      </c>
      <c r="V103" s="52">
        <f t="shared" ref="V103" si="1047">V100+V101+V102</f>
        <v>7222.3340000000007</v>
      </c>
      <c r="W103" s="20">
        <f t="shared" ref="W103" si="1048">IF(M103&gt;0,X103/M103,0)</f>
        <v>0.48559311605239114</v>
      </c>
      <c r="X103" s="52">
        <f t="shared" ref="X103" si="1049">X100+X101+X102</f>
        <v>15942.022000000001</v>
      </c>
      <c r="Y103" s="20">
        <f t="shared" ref="Y103" si="1050">IF(M103&gt;0,Z103/M103,0)</f>
        <v>0.45586293024672558</v>
      </c>
      <c r="Z103" s="52">
        <f t="shared" ref="Z103" si="1051">Z100+Z101+Z102</f>
        <v>14965.980000000001</v>
      </c>
      <c r="AA103" s="119">
        <f t="shared" ref="AA103" si="1052">IF(M103&gt;0,AB103/M103,0)</f>
        <v>2.3290715808711544E-3</v>
      </c>
      <c r="AB103" s="54">
        <f t="shared" ref="AB103" si="1053">SUM(AB100:AB102)</f>
        <v>76.463419999999999</v>
      </c>
      <c r="AC103" s="53">
        <f t="shared" ref="AC103" si="1054">IF(M103&gt;0,AD103/M103,0)</f>
        <v>2.1743478525738653E-3</v>
      </c>
      <c r="AD103" s="54">
        <f t="shared" ref="AD103" si="1055">SUM(AD100:AD102)</f>
        <v>71.383839999999992</v>
      </c>
      <c r="AE103" s="53">
        <f t="shared" ref="AE103" si="1056">IF(M103&gt;0,(AE100*M100+AE101*M101+AE102*M102)/M103,0)</f>
        <v>2.5231162381967715E-3</v>
      </c>
      <c r="AF103" s="53">
        <f t="shared" ref="AF103" si="1057">IF(K103&gt;0,(K100*AF100+K101*AF101+K102*AF102)/K103,0)</f>
        <v>2.0701634877384197E-4</v>
      </c>
      <c r="AG103" s="50">
        <f t="shared" ref="AG103" si="1058">SUM(AG100:AG102)</f>
        <v>6.795160000000001</v>
      </c>
      <c r="AH103" s="51">
        <f t="shared" ref="AH103" si="1059">IF(K103&gt;0,(K100*AH100+K101*AH101+K102*AH102)/K103,0)</f>
        <v>0.19834996594005452</v>
      </c>
      <c r="AI103" s="56">
        <f t="shared" ref="AI103" si="1060">SUM(AI100:AI102)</f>
        <v>72.027090000000015</v>
      </c>
      <c r="AJ103" s="51">
        <f t="shared" ref="AJ103" si="1061">IF(AND(AD103&gt;0),((AD100*AJ100+AD101*AJ101+AD102*AJ102)/AD103),0)</f>
        <v>0.90575052804085598</v>
      </c>
      <c r="AK103" s="55">
        <f t="shared" si="680"/>
        <v>0.91885428783700485</v>
      </c>
      <c r="AL103" s="49">
        <f t="shared" ref="AL103" si="1062">SUM(AL100:AL102)</f>
        <v>403</v>
      </c>
      <c r="AM103" s="20">
        <f t="shared" ref="AM103" si="1063">IF(AL103&gt;0,(AM100*AL100+AM101*AL101+AM102*AL102)/AL103,0)</f>
        <v>9.6277915632754341E-2</v>
      </c>
      <c r="AN103" s="51">
        <f>IF(K103&gt;0,(AN100*K100+AN101*K101+AN102*K102)/K103,0)</f>
        <v>0.21084434604904634</v>
      </c>
      <c r="AO103" s="107">
        <f>IF(L103&gt;0,(AO100*K100+AO101*K101+AO102*K102)/K103,0)</f>
        <v>0.19975262261580384</v>
      </c>
      <c r="AP103" s="56">
        <f t="shared" ref="AP103" si="1064">SUM(AP100:AP102)</f>
        <v>76.038746099999997</v>
      </c>
      <c r="AQ103" s="108">
        <f t="shared" si="931"/>
        <v>71.917517400000008</v>
      </c>
      <c r="AR103" s="54"/>
      <c r="AS103" s="54">
        <f t="shared" ref="AS103" si="1065">SUM(AS100:AS102)</f>
        <v>0</v>
      </c>
      <c r="AT103" s="136"/>
      <c r="AU103" s="84">
        <f>AT102</f>
        <v>2250.599999999999</v>
      </c>
      <c r="AV103" s="49">
        <f t="shared" ref="AV103" si="1066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43" t="s">
        <v>59</v>
      </c>
      <c r="D104" s="11">
        <v>1106</v>
      </c>
      <c r="E104" s="11">
        <v>0</v>
      </c>
      <c r="F104" s="11">
        <v>3160</v>
      </c>
      <c r="G104" s="12">
        <v>0.3</v>
      </c>
      <c r="H104" s="12">
        <v>3.9</v>
      </c>
      <c r="I104" s="11">
        <v>3280</v>
      </c>
      <c r="J104" s="12">
        <v>4.4000000000000004</v>
      </c>
      <c r="K104" s="11">
        <v>8601</v>
      </c>
      <c r="L104" s="13">
        <v>7.0999999999999994E-2</v>
      </c>
      <c r="M104" s="23">
        <f>ROUND(K104*(1-L104),0)</f>
        <v>7990</v>
      </c>
      <c r="N104" s="14">
        <v>0.81100000000000005</v>
      </c>
      <c r="O104" s="24">
        <f t="shared" ref="O104:O106" si="1067">M104*N104</f>
        <v>6479.89</v>
      </c>
      <c r="P104" s="13">
        <v>0.153</v>
      </c>
      <c r="Q104" s="24">
        <f t="shared" ref="Q104:Q106" si="1068">M104*P104</f>
        <v>1222.47</v>
      </c>
      <c r="R104" s="15">
        <v>3.5999999999999997E-2</v>
      </c>
      <c r="S104" s="112">
        <v>0.20899999999999999</v>
      </c>
      <c r="T104" s="24">
        <f t="shared" ref="T104:T106" si="1069">M104*R104</f>
        <v>287.64</v>
      </c>
      <c r="U104" s="25">
        <v>0.217</v>
      </c>
      <c r="V104" s="24">
        <f t="shared" ref="V104:V106" si="1070">M104*U104</f>
        <v>1733.83</v>
      </c>
      <c r="W104" s="15">
        <v>0.51400000000000001</v>
      </c>
      <c r="X104" s="24">
        <f t="shared" ref="X104:X106" si="1071">M104*W104</f>
        <v>4106.8599999999997</v>
      </c>
      <c r="Y104" s="15">
        <v>0.49</v>
      </c>
      <c r="Z104" s="24">
        <f t="shared" ref="Z104:Z106" si="1072">Y104*M104</f>
        <v>3915.1</v>
      </c>
      <c r="AA104" s="116">
        <v>2.2499999999999998E-3</v>
      </c>
      <c r="AB104" s="18">
        <f t="shared" ref="AB104" si="1073">M104*AA104</f>
        <v>17.977499999999999</v>
      </c>
      <c r="AC104" s="16">
        <v>2.14E-3</v>
      </c>
      <c r="AD104" s="17">
        <f t="shared" ref="AD104:AD106" si="1074">M104*AC104</f>
        <v>17.098600000000001</v>
      </c>
      <c r="AE104" s="26">
        <f>IF(M104&gt;0,(AG104+AP104)/M104,0)</f>
        <v>2.213912090112641E-3</v>
      </c>
      <c r="AF104" s="16">
        <v>2.3000000000000001E-4</v>
      </c>
      <c r="AG104" s="23">
        <f t="shared" ref="AG104:AG106" si="1075">AF104*M104</f>
        <v>1.8377000000000001</v>
      </c>
      <c r="AH104" s="92">
        <v>0.20369999999999999</v>
      </c>
      <c r="AI104" s="29">
        <f t="shared" ref="AI104:AI106" si="1076">AL104*(1-AM104)*AH104</f>
        <v>16.258519199999999</v>
      </c>
      <c r="AJ104" s="27">
        <f t="shared" ref="AJ104:AJ106" si="1077">IF(AND(AH104&gt;0,AF104&gt;0,AC104&gt;0),((AC104-AF104)*AH104)/((AH104-AF104)*AC104),0)</f>
        <v>0.89353226198355729</v>
      </c>
      <c r="AK104" s="58">
        <f t="shared" si="680"/>
        <v>0.89715049883455988</v>
      </c>
      <c r="AL104" s="11">
        <v>88</v>
      </c>
      <c r="AM104" s="13">
        <v>9.2999999999999999E-2</v>
      </c>
      <c r="AN104" s="14">
        <v>0.1986</v>
      </c>
      <c r="AO104" s="101">
        <v>0.184</v>
      </c>
      <c r="AP104" s="29">
        <f>AL104*(1-AM104)*AN104</f>
        <v>15.8514576</v>
      </c>
      <c r="AQ104" s="102">
        <f t="shared" ref="AQ104" si="1078">AL104*(1-AM104)*AO104</f>
        <v>14.686144000000001</v>
      </c>
      <c r="AR104" s="18">
        <v>1.5</v>
      </c>
      <c r="AS104" s="18">
        <v>1004.1</v>
      </c>
      <c r="AT104" s="79">
        <f>AT102+AL104-AS104</f>
        <v>1334.4999999999991</v>
      </c>
      <c r="AU104" s="80"/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0" t="s">
        <v>53</v>
      </c>
      <c r="D105" s="33">
        <v>10000</v>
      </c>
      <c r="E105" s="33">
        <v>2</v>
      </c>
      <c r="F105" s="33">
        <v>8377</v>
      </c>
      <c r="G105" s="34">
        <v>0.5</v>
      </c>
      <c r="H105" s="34">
        <v>4</v>
      </c>
      <c r="I105" s="33">
        <v>7981</v>
      </c>
      <c r="J105" s="34">
        <v>2.5</v>
      </c>
      <c r="K105" s="33">
        <v>6738</v>
      </c>
      <c r="L105" s="35">
        <v>7.0000000000000007E-2</v>
      </c>
      <c r="M105" s="36">
        <f>ROUND(K105*(1-L105),0)</f>
        <v>6266</v>
      </c>
      <c r="N105" s="37">
        <v>0.70299999999999996</v>
      </c>
      <c r="O105" s="24">
        <f t="shared" si="1067"/>
        <v>4404.9979999999996</v>
      </c>
      <c r="P105" s="35">
        <v>0.28499999999999998</v>
      </c>
      <c r="Q105" s="24">
        <f t="shared" si="1068"/>
        <v>1785.81</v>
      </c>
      <c r="R105" s="38">
        <v>1.2E-2</v>
      </c>
      <c r="S105" s="105">
        <v>0.23200000000000001</v>
      </c>
      <c r="T105" s="24">
        <f t="shared" si="1069"/>
        <v>75.192000000000007</v>
      </c>
      <c r="U105" s="27">
        <v>0.20200000000000001</v>
      </c>
      <c r="V105" s="24">
        <f t="shared" si="1070"/>
        <v>1265.732</v>
      </c>
      <c r="W105" s="38">
        <v>0.50700000000000001</v>
      </c>
      <c r="X105" s="24">
        <f t="shared" si="1071"/>
        <v>3176.8620000000001</v>
      </c>
      <c r="Y105" s="38">
        <v>0.48</v>
      </c>
      <c r="Z105" s="24">
        <f t="shared" si="1072"/>
        <v>3007.68</v>
      </c>
      <c r="AA105" s="117">
        <v>2.2699999999999999E-3</v>
      </c>
      <c r="AB105" s="18">
        <f t="shared" si="764"/>
        <v>14.22382</v>
      </c>
      <c r="AC105" s="39">
        <v>2.14E-3</v>
      </c>
      <c r="AD105" s="17">
        <f t="shared" si="1074"/>
        <v>13.40924</v>
      </c>
      <c r="AE105" s="26">
        <f>IF(M105&gt;0,(AG105+AP105)/M105,0)</f>
        <v>3.0854534950526657E-3</v>
      </c>
      <c r="AF105" s="39">
        <v>2.2000000000000001E-4</v>
      </c>
      <c r="AG105" s="36">
        <f t="shared" si="1075"/>
        <v>1.37852</v>
      </c>
      <c r="AH105" s="27">
        <v>0.2014</v>
      </c>
      <c r="AI105" s="40">
        <f t="shared" si="1076"/>
        <v>16.842679199999999</v>
      </c>
      <c r="AJ105" s="27">
        <f t="shared" si="1077"/>
        <v>0.89817738891939436</v>
      </c>
      <c r="AK105" s="28">
        <f t="shared" si="680"/>
        <v>0.92965027681178714</v>
      </c>
      <c r="AL105" s="33">
        <v>92</v>
      </c>
      <c r="AM105" s="35">
        <v>9.0999999999999998E-2</v>
      </c>
      <c r="AN105" s="37">
        <v>0.2147</v>
      </c>
      <c r="AO105" s="103">
        <v>0.19389999999999999</v>
      </c>
      <c r="AP105" s="40">
        <f>AL105*(1-AM105)*AN105</f>
        <v>17.954931600000002</v>
      </c>
      <c r="AQ105" s="104">
        <f t="shared" si="725"/>
        <v>16.215469199999998</v>
      </c>
      <c r="AR105" s="41">
        <v>1.5</v>
      </c>
      <c r="AS105" s="41"/>
      <c r="AT105" s="129">
        <f>AT104+AL105-AS105</f>
        <v>1426.4999999999991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0" t="s">
        <v>54</v>
      </c>
      <c r="D106" s="42">
        <v>8400</v>
      </c>
      <c r="E106" s="42">
        <v>0</v>
      </c>
      <c r="F106" s="42">
        <v>12379</v>
      </c>
      <c r="G106" s="36">
        <v>0.4</v>
      </c>
      <c r="H106" s="36">
        <v>3.6</v>
      </c>
      <c r="I106" s="42">
        <v>12095</v>
      </c>
      <c r="J106" s="36">
        <v>1</v>
      </c>
      <c r="K106" s="42">
        <v>8746</v>
      </c>
      <c r="L106" s="38">
        <v>7.8E-2</v>
      </c>
      <c r="M106" s="36">
        <f>ROUND(K106*(1-L106),0)</f>
        <v>8064</v>
      </c>
      <c r="N106" s="27">
        <v>0.67100000000000004</v>
      </c>
      <c r="O106" s="24">
        <f t="shared" si="1067"/>
        <v>5410.9440000000004</v>
      </c>
      <c r="P106" s="38">
        <v>0.26400000000000001</v>
      </c>
      <c r="Q106" s="24">
        <f t="shared" si="1068"/>
        <v>2128.8960000000002</v>
      </c>
      <c r="R106" s="38">
        <v>6.5000000000000002E-2</v>
      </c>
      <c r="S106" s="105">
        <v>0.23949999999999999</v>
      </c>
      <c r="T106" s="24">
        <f t="shared" si="1069"/>
        <v>524.16</v>
      </c>
      <c r="U106" s="27">
        <v>0.21</v>
      </c>
      <c r="V106" s="24">
        <f t="shared" si="1070"/>
        <v>1693.4399999999998</v>
      </c>
      <c r="W106" s="38">
        <v>0.50700000000000001</v>
      </c>
      <c r="X106" s="24">
        <f t="shared" si="1071"/>
        <v>4088.4479999999999</v>
      </c>
      <c r="Y106" s="38">
        <v>0.46</v>
      </c>
      <c r="Z106" s="24">
        <f t="shared" si="1072"/>
        <v>3709.44</v>
      </c>
      <c r="AA106" s="118">
        <v>2.3400000000000001E-3</v>
      </c>
      <c r="AB106" s="121">
        <f t="shared" si="764"/>
        <v>18.869759999999999</v>
      </c>
      <c r="AC106" s="45">
        <v>2.2899999999999999E-3</v>
      </c>
      <c r="AD106" s="17">
        <f t="shared" si="1074"/>
        <v>18.466560000000001</v>
      </c>
      <c r="AE106" s="26">
        <f>IF(M106&gt;0,(AG106+AP106)/M106,0)</f>
        <v>2.6326510416666664E-3</v>
      </c>
      <c r="AF106" s="45">
        <v>2.4000000000000001E-4</v>
      </c>
      <c r="AG106" s="36">
        <f t="shared" si="1075"/>
        <v>1.93536</v>
      </c>
      <c r="AH106" s="27">
        <v>0.21049999999999999</v>
      </c>
      <c r="AI106" s="40">
        <f t="shared" si="1076"/>
        <v>19.870147499999998</v>
      </c>
      <c r="AJ106" s="27">
        <f t="shared" si="1077"/>
        <v>0.89621832316570404</v>
      </c>
      <c r="AK106" s="28">
        <f t="shared" si="680"/>
        <v>0.90990552158670279</v>
      </c>
      <c r="AL106" s="42">
        <v>105</v>
      </c>
      <c r="AM106" s="38">
        <v>0.10100000000000001</v>
      </c>
      <c r="AN106" s="27">
        <v>0.2044</v>
      </c>
      <c r="AO106" s="105">
        <v>0.18609999999999999</v>
      </c>
      <c r="AP106" s="40">
        <f>AL106*(1-AM106)*AN106</f>
        <v>19.294338</v>
      </c>
      <c r="AQ106" s="106">
        <f t="shared" si="725"/>
        <v>17.566909499999998</v>
      </c>
      <c r="AR106" s="17">
        <v>1.5</v>
      </c>
      <c r="AS106" s="17"/>
      <c r="AT106" s="129">
        <f>AT105+AL106-AS106</f>
        <v>1531.4999999999991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79">SUM(D104:D106)</f>
        <v>19506</v>
      </c>
      <c r="E107" s="49"/>
      <c r="F107" s="49">
        <f t="shared" ref="F107" si="1080">SUM(F104:F106)</f>
        <v>23916</v>
      </c>
      <c r="G107" s="50"/>
      <c r="H107" s="50"/>
      <c r="I107" s="49">
        <f t="shared" ref="I107:K107" si="1081">SUM(I104:I106)</f>
        <v>23356</v>
      </c>
      <c r="J107" s="50"/>
      <c r="K107" s="49">
        <f t="shared" si="1081"/>
        <v>24085</v>
      </c>
      <c r="L107" s="20">
        <f t="shared" ref="L107" si="1082">IF(K107&gt;0,(K104*L104+K105*L105+K106*L106)/K107,0)</f>
        <v>7.3262154868175208E-2</v>
      </c>
      <c r="M107" s="50">
        <f t="shared" ref="M107" si="1083">M104+M105+M106</f>
        <v>22320</v>
      </c>
      <c r="N107" s="51">
        <f t="shared" ref="N107" si="1084">IF(M107&gt;0,O107/M107,0)</f>
        <v>0.73009999999999997</v>
      </c>
      <c r="O107" s="52">
        <f t="shared" ref="O107" si="1085">O104+O105+O106</f>
        <v>16295.831999999999</v>
      </c>
      <c r="P107" s="20">
        <f t="shared" ref="P107" si="1086">IF(M107&gt;0,Q107/M107,0)</f>
        <v>0.23016021505376341</v>
      </c>
      <c r="Q107" s="52">
        <f t="shared" ref="Q107" si="1087">Q104+Q105+Q106</f>
        <v>5137.1759999999995</v>
      </c>
      <c r="R107" s="20">
        <f t="shared" ref="R107" si="1088">IF(M107&gt;0,T107/M107,0)</f>
        <v>3.9739784946236555E-2</v>
      </c>
      <c r="S107" s="107"/>
      <c r="T107" s="52">
        <f t="shared" ref="T107" si="1089">T104+T105+T106</f>
        <v>886.99199999999996</v>
      </c>
      <c r="U107" s="20">
        <f t="shared" ref="U107" si="1090">IF(M107&gt;0,V107/M107,0)</f>
        <v>0.21025994623655911</v>
      </c>
      <c r="V107" s="52">
        <f t="shared" ref="V107" si="1091">V104+V105+V106</f>
        <v>4693.0019999999995</v>
      </c>
      <c r="W107" s="20">
        <f t="shared" ref="W107" si="1092">IF(M107&gt;0,X107/M107,0)</f>
        <v>0.50950582437275982</v>
      </c>
      <c r="X107" s="52">
        <f t="shared" ref="X107" si="1093">X104+X105+X106</f>
        <v>11372.17</v>
      </c>
      <c r="Y107" s="20">
        <f t="shared" ref="Y107" si="1094">IF(M107&gt;0,Z107/M107,0)</f>
        <v>0.47635394265232972</v>
      </c>
      <c r="Z107" s="52">
        <f t="shared" ref="Z107" si="1095">Z104+Z105+Z106</f>
        <v>10632.22</v>
      </c>
      <c r="AA107" s="119">
        <f t="shared" ref="AA107" si="1096">IF(M107&gt;0,AB107/M107,0)</f>
        <v>2.2881308243727595E-3</v>
      </c>
      <c r="AB107" s="54">
        <f t="shared" ref="AB107" si="1097">SUM(AB104:AB106)</f>
        <v>51.071079999999995</v>
      </c>
      <c r="AC107" s="53">
        <f t="shared" ref="AC107" si="1098">IF(M107&gt;0,AD107/M107,0)</f>
        <v>2.1941935483870971E-3</v>
      </c>
      <c r="AD107" s="54">
        <f t="shared" ref="AD107" si="1099">SUM(AD104:AD106)</f>
        <v>48.974400000000003</v>
      </c>
      <c r="AE107" s="53">
        <f t="shared" ref="AE107" si="1100">IF(M107&gt;0,(AE104*M104+AE105*M105+AE106*M106)/M107,0)</f>
        <v>2.6098703942652331E-3</v>
      </c>
      <c r="AF107" s="53">
        <f t="shared" ref="AF107" si="1101">IF(K107&gt;0,(K104*AF104+K105*AF105+K106*AF106)/K107,0)</f>
        <v>2.3083371392983187E-4</v>
      </c>
      <c r="AG107" s="50">
        <f t="shared" ref="AG107" si="1102">SUM(AG104:AG106)</f>
        <v>5.15158</v>
      </c>
      <c r="AH107" s="51">
        <f t="shared" ref="AH107" si="1103">IF(K107&gt;0,(K104*AH104+K105*AH105+K106*AH106)/K107,0)</f>
        <v>0.20552584181025535</v>
      </c>
      <c r="AI107" s="56">
        <f t="shared" ref="AI107" si="1104">SUM(AI104:AI106)</f>
        <v>52.971345900000003</v>
      </c>
      <c r="AJ107" s="51">
        <f t="shared" ref="AJ107" si="1105">IF(AND(AD107&gt;0),((AD104*AJ104+AD105*AJ105+AD106*AJ106)/AD107),0)</f>
        <v>0.8958169236005834</v>
      </c>
      <c r="AK107" s="55">
        <f t="shared" si="680"/>
        <v>0.91258010075158325</v>
      </c>
      <c r="AL107" s="49">
        <f t="shared" ref="AL107" si="1106">SUM(AL104:AL106)</f>
        <v>285</v>
      </c>
      <c r="AM107" s="20">
        <f t="shared" ref="AM107" si="1107">IF(AL107&gt;0,(AM104*AL104+AM105*AL105+AM106*AL106)/AL107,0)</f>
        <v>9.5301754385964901E-2</v>
      </c>
      <c r="AN107" s="51">
        <f>IF(K107&gt;0,(AN104*K104+AN105*K105+AN106*K106)/K107,0)</f>
        <v>0.20521028025742163</v>
      </c>
      <c r="AO107" s="107">
        <f>IF(L107&gt;0,(AO104*K104+AO105*K105+AO106*K106)/K107,0)</f>
        <v>0.18753219015985051</v>
      </c>
      <c r="AP107" s="56">
        <f t="shared" ref="AP107:AQ119" si="1108">SUM(AP104:AP106)</f>
        <v>53.100727199999994</v>
      </c>
      <c r="AQ107" s="108">
        <f t="shared" si="1108"/>
        <v>48.468522699999994</v>
      </c>
      <c r="AR107" s="54"/>
      <c r="AS107" s="54">
        <f t="shared" ref="AS107" si="1109">SUM(AS104:AS106)</f>
        <v>1004.1</v>
      </c>
      <c r="AT107" s="83"/>
      <c r="AU107" s="84">
        <f>AT106</f>
        <v>1531.4999999999991</v>
      </c>
      <c r="AV107" s="49">
        <f t="shared" ref="AV107" si="1110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59</v>
      </c>
      <c r="D108" s="11">
        <v>6492</v>
      </c>
      <c r="E108" s="11">
        <v>0</v>
      </c>
      <c r="F108" s="11">
        <v>5414</v>
      </c>
      <c r="G108" s="12">
        <v>0.2</v>
      </c>
      <c r="H108" s="12">
        <v>4.4000000000000004</v>
      </c>
      <c r="I108" s="11">
        <v>4448</v>
      </c>
      <c r="J108" s="12">
        <v>4</v>
      </c>
      <c r="K108" s="11">
        <v>8810</v>
      </c>
      <c r="L108" s="13">
        <v>6.7000000000000004E-2</v>
      </c>
      <c r="M108" s="23">
        <f>ROUND(K108*(1-L108),0)</f>
        <v>8220</v>
      </c>
      <c r="N108" s="14">
        <v>0.68600000000000005</v>
      </c>
      <c r="O108" s="24">
        <f t="shared" ref="O108:O110" si="1111">M108*N108</f>
        <v>5638.92</v>
      </c>
      <c r="P108" s="13">
        <v>0.252</v>
      </c>
      <c r="Q108" s="24">
        <f t="shared" ref="Q108:Q110" si="1112">M108*P108</f>
        <v>2071.44</v>
      </c>
      <c r="R108" s="15">
        <v>6.2E-2</v>
      </c>
      <c r="S108" s="112">
        <v>0.2591</v>
      </c>
      <c r="T108" s="24">
        <f t="shared" ref="T108:T110" si="1113">M108*R108</f>
        <v>509.64</v>
      </c>
      <c r="U108" s="25">
        <v>0.245</v>
      </c>
      <c r="V108" s="24">
        <f t="shared" ref="V108:V110" si="1114">M108*U108</f>
        <v>2013.8999999999999</v>
      </c>
      <c r="W108" s="15">
        <v>0.495</v>
      </c>
      <c r="X108" s="24">
        <f t="shared" ref="X108:X110" si="1115">M108*W108</f>
        <v>4068.9</v>
      </c>
      <c r="Y108" s="15">
        <v>0.49</v>
      </c>
      <c r="Z108" s="24">
        <f t="shared" ref="Z108:Z110" si="1116">Y108*M108</f>
        <v>4027.7999999999997</v>
      </c>
      <c r="AA108" s="116">
        <v>2.4299999999999999E-3</v>
      </c>
      <c r="AB108" s="18">
        <f t="shared" ref="AB108" si="1117">M108*AA108</f>
        <v>19.974599999999999</v>
      </c>
      <c r="AC108" s="16">
        <v>2.3800000000000002E-3</v>
      </c>
      <c r="AD108" s="17">
        <f t="shared" ref="AD108:AD110" si="1118">M108*AC108</f>
        <v>19.563600000000001</v>
      </c>
      <c r="AE108" s="26">
        <f>IF(M108&gt;0,(AG108+AP108)/M108,0)</f>
        <v>2.9557430291970803E-3</v>
      </c>
      <c r="AF108" s="16">
        <v>2.5999999999999998E-4</v>
      </c>
      <c r="AG108" s="23">
        <f t="shared" ref="AG108:AG110" si="1119">AF108*M108</f>
        <v>2.1372</v>
      </c>
      <c r="AH108" s="92">
        <v>0.20910000000000001</v>
      </c>
      <c r="AI108" s="29">
        <f t="shared" ref="AI108:AI110" si="1120">AL108*(1-AM108)*AH108</f>
        <v>21.051560700000003</v>
      </c>
      <c r="AJ108" s="27">
        <f t="shared" ref="AJ108:AJ110" si="1121">IF(AND(AH108&gt;0,AF108&gt;0,AC108&gt;0),((AC108-AF108)*AH108)/((AH108-AF108)*AC108),0)</f>
        <v>0.89186526937915567</v>
      </c>
      <c r="AK108" s="58">
        <f t="shared" si="680"/>
        <v>0.91311429963661117</v>
      </c>
      <c r="AL108" s="11">
        <v>111</v>
      </c>
      <c r="AM108" s="13">
        <v>9.2999999999999999E-2</v>
      </c>
      <c r="AN108" s="14">
        <v>0.22009999999999999</v>
      </c>
      <c r="AO108" s="101">
        <v>0.19639999999999999</v>
      </c>
      <c r="AP108" s="29">
        <f>AL108*(1-AM108)*AN108</f>
        <v>22.1590077</v>
      </c>
      <c r="AQ108" s="102">
        <f t="shared" ref="AQ108" si="1122">AL108*(1-AM108)*AO108</f>
        <v>19.772962800000002</v>
      </c>
      <c r="AR108" s="18">
        <v>1.5</v>
      </c>
      <c r="AS108" s="18">
        <v>1007.4</v>
      </c>
      <c r="AT108" s="79">
        <f>AT106+AL108-AS108</f>
        <v>635.09999999999911</v>
      </c>
      <c r="AU108" s="80"/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0" t="s">
        <v>57</v>
      </c>
      <c r="D109" s="33">
        <v>13000</v>
      </c>
      <c r="E109" s="33">
        <v>0</v>
      </c>
      <c r="F109" s="33">
        <v>11425</v>
      </c>
      <c r="G109" s="34">
        <v>0.2</v>
      </c>
      <c r="H109" s="34">
        <v>3.7</v>
      </c>
      <c r="I109" s="33">
        <v>11491</v>
      </c>
      <c r="J109" s="34">
        <v>1.2</v>
      </c>
      <c r="K109" s="33">
        <v>6899</v>
      </c>
      <c r="L109" s="35">
        <v>7.2999999999999995E-2</v>
      </c>
      <c r="M109" s="36">
        <f>ROUND(K109*(1-L109),0)</f>
        <v>6395</v>
      </c>
      <c r="N109" s="37">
        <v>0.623</v>
      </c>
      <c r="O109" s="24">
        <f t="shared" si="1111"/>
        <v>3984.085</v>
      </c>
      <c r="P109" s="35">
        <v>0.30499999999999999</v>
      </c>
      <c r="Q109" s="24">
        <f t="shared" si="1112"/>
        <v>1950.4749999999999</v>
      </c>
      <c r="R109" s="38">
        <v>7.1999999999999995E-2</v>
      </c>
      <c r="S109" s="105">
        <v>0.22090000000000001</v>
      </c>
      <c r="T109" s="24">
        <f t="shared" si="1113"/>
        <v>460.43999999999994</v>
      </c>
      <c r="U109" s="27">
        <v>0.17599999999999999</v>
      </c>
      <c r="V109" s="24">
        <f t="shared" si="1114"/>
        <v>1125.52</v>
      </c>
      <c r="W109" s="38">
        <v>0.52</v>
      </c>
      <c r="X109" s="24">
        <f t="shared" si="1115"/>
        <v>3325.4</v>
      </c>
      <c r="Y109" s="38">
        <v>0.45</v>
      </c>
      <c r="Z109" s="24">
        <f t="shared" si="1116"/>
        <v>2877.75</v>
      </c>
      <c r="AA109" s="117">
        <v>2.5000000000000001E-3</v>
      </c>
      <c r="AB109" s="18">
        <f t="shared" si="764"/>
        <v>15.987500000000001</v>
      </c>
      <c r="AC109" s="39">
        <v>2.4099999999999998E-3</v>
      </c>
      <c r="AD109" s="17">
        <f t="shared" si="1118"/>
        <v>15.411949999999999</v>
      </c>
      <c r="AE109" s="26">
        <f>IF(M109&gt;0,(AG109+AP109)/M109,0)</f>
        <v>3.101195777951525E-3</v>
      </c>
      <c r="AF109" s="39">
        <v>2.5000000000000001E-4</v>
      </c>
      <c r="AG109" s="36">
        <f t="shared" si="1119"/>
        <v>1.5987500000000001</v>
      </c>
      <c r="AH109" s="27">
        <v>0.1883</v>
      </c>
      <c r="AI109" s="40">
        <f t="shared" si="1120"/>
        <v>15.5074465</v>
      </c>
      <c r="AJ109" s="27">
        <f t="shared" si="1121"/>
        <v>0.89745708577108796</v>
      </c>
      <c r="AK109" s="28">
        <f t="shared" si="680"/>
        <v>0.92042525827606614</v>
      </c>
      <c r="AL109" s="33">
        <v>91</v>
      </c>
      <c r="AM109" s="35">
        <v>9.5000000000000001E-2</v>
      </c>
      <c r="AN109" s="37">
        <v>0.22140000000000001</v>
      </c>
      <c r="AO109" s="103">
        <v>0.20369999999999999</v>
      </c>
      <c r="AP109" s="40">
        <f>AL109*(1-AM109)*AN109</f>
        <v>18.233397000000004</v>
      </c>
      <c r="AQ109" s="104">
        <f t="shared" si="725"/>
        <v>16.775713500000002</v>
      </c>
      <c r="AR109" s="41">
        <v>1.5</v>
      </c>
      <c r="AS109" s="41"/>
      <c r="AT109" s="129">
        <f>AT108+AL109-AS109</f>
        <v>726.09999999999911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0" t="s">
        <v>54</v>
      </c>
      <c r="D110" s="42">
        <v>7000</v>
      </c>
      <c r="E110" s="42">
        <v>0</v>
      </c>
      <c r="F110" s="42">
        <v>8363</v>
      </c>
      <c r="G110" s="36">
        <v>0.3</v>
      </c>
      <c r="H110" s="36">
        <v>4.2</v>
      </c>
      <c r="I110" s="42">
        <v>8059</v>
      </c>
      <c r="J110" s="36">
        <v>1.3</v>
      </c>
      <c r="K110" s="42">
        <v>7646</v>
      </c>
      <c r="L110" s="38">
        <v>7.2999999999999995E-2</v>
      </c>
      <c r="M110" s="36">
        <f>ROUND(K110*(1-L110),0)</f>
        <v>7088</v>
      </c>
      <c r="N110" s="27">
        <v>0.628</v>
      </c>
      <c r="O110" s="24">
        <f t="shared" si="1111"/>
        <v>4451.2640000000001</v>
      </c>
      <c r="P110" s="38">
        <v>0.254</v>
      </c>
      <c r="Q110" s="24">
        <f t="shared" si="1112"/>
        <v>1800.3520000000001</v>
      </c>
      <c r="R110" s="38">
        <v>0.11799999999999999</v>
      </c>
      <c r="S110" s="105">
        <v>0.2341</v>
      </c>
      <c r="T110" s="24">
        <f t="shared" si="1113"/>
        <v>836.3839999999999</v>
      </c>
      <c r="U110" s="27">
        <v>0.19</v>
      </c>
      <c r="V110" s="24">
        <f t="shared" si="1114"/>
        <v>1346.72</v>
      </c>
      <c r="W110" s="38">
        <v>0.53900000000000003</v>
      </c>
      <c r="X110" s="24">
        <f t="shared" si="1115"/>
        <v>3820.4320000000002</v>
      </c>
      <c r="Y110" s="38">
        <v>0.46</v>
      </c>
      <c r="Z110" s="24">
        <f t="shared" si="1116"/>
        <v>3260.48</v>
      </c>
      <c r="AA110" s="118">
        <v>2.4099999999999998E-3</v>
      </c>
      <c r="AB110" s="121">
        <f t="shared" si="764"/>
        <v>17.082079999999998</v>
      </c>
      <c r="AC110" s="45">
        <v>2.3400000000000001E-3</v>
      </c>
      <c r="AD110" s="17">
        <f t="shared" si="1118"/>
        <v>16.585920000000002</v>
      </c>
      <c r="AE110" s="26">
        <f>IF(M110&gt;0,(AG110+AP110)/M110,0)</f>
        <v>3.0109266930022573E-3</v>
      </c>
      <c r="AF110" s="45">
        <v>2.4000000000000001E-4</v>
      </c>
      <c r="AG110" s="36">
        <f t="shared" si="1119"/>
        <v>1.70112</v>
      </c>
      <c r="AH110" s="27">
        <v>0.1905</v>
      </c>
      <c r="AI110" s="40">
        <f t="shared" si="1120"/>
        <v>17.698593000000002</v>
      </c>
      <c r="AJ110" s="27">
        <f t="shared" si="1121"/>
        <v>0.89856795154808389</v>
      </c>
      <c r="AK110" s="28">
        <f t="shared" si="680"/>
        <v>0.92133630362219321</v>
      </c>
      <c r="AL110" s="42">
        <v>103</v>
      </c>
      <c r="AM110" s="38">
        <v>9.8000000000000004E-2</v>
      </c>
      <c r="AN110" s="27">
        <v>0.2114</v>
      </c>
      <c r="AO110" s="105">
        <v>0.19339999999999999</v>
      </c>
      <c r="AP110" s="40">
        <f>AL110*(1-AM110)*AN110</f>
        <v>19.640328400000001</v>
      </c>
      <c r="AQ110" s="106">
        <f t="shared" si="725"/>
        <v>17.9680204</v>
      </c>
      <c r="AR110" s="17">
        <v>1.5</v>
      </c>
      <c r="AS110" s="17"/>
      <c r="AT110" s="129">
        <f>AT109+AL110-AS110</f>
        <v>829.09999999999911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23">SUM(D108:D110)</f>
        <v>26492</v>
      </c>
      <c r="E111" s="49"/>
      <c r="F111" s="49">
        <f t="shared" ref="F111" si="1124">SUM(F108:F110)</f>
        <v>25202</v>
      </c>
      <c r="G111" s="50"/>
      <c r="H111" s="50"/>
      <c r="I111" s="49">
        <f t="shared" ref="I111:K111" si="1125">SUM(I108:I110)</f>
        <v>23998</v>
      </c>
      <c r="J111" s="50"/>
      <c r="K111" s="49">
        <f t="shared" si="1125"/>
        <v>23355</v>
      </c>
      <c r="L111" s="20">
        <f t="shared" ref="L111" si="1126">IF(K111&gt;0,(K108*L108+K109*L109+K110*L110)/K111,0)</f>
        <v>7.0736673089274241E-2</v>
      </c>
      <c r="M111" s="50">
        <f t="shared" ref="M111" si="1127">M108+M109+M110</f>
        <v>21703</v>
      </c>
      <c r="N111" s="51">
        <f t="shared" ref="N111" si="1128">IF(M111&gt;0,O111/M111,0)</f>
        <v>0.6484941713127218</v>
      </c>
      <c r="O111" s="52">
        <f t="shared" ref="O111" si="1129">O108+O109+O110</f>
        <v>14074.269</v>
      </c>
      <c r="P111" s="20">
        <f t="shared" ref="P111" si="1130">IF(M111&gt;0,Q111/M111,0)</f>
        <v>0.26827014698428786</v>
      </c>
      <c r="Q111" s="52">
        <f t="shared" ref="Q111" si="1131">Q108+Q109+Q110</f>
        <v>5822.2669999999998</v>
      </c>
      <c r="R111" s="20">
        <f t="shared" ref="R111" si="1132">IF(M111&gt;0,T111/M111,0)</f>
        <v>8.3235681702990366E-2</v>
      </c>
      <c r="S111" s="107"/>
      <c r="T111" s="52">
        <f t="shared" ref="T111" si="1133">T108+T109+T110</f>
        <v>1806.4639999999999</v>
      </c>
      <c r="U111" s="20">
        <f t="shared" ref="U111" si="1134">IF(M111&gt;0,V111/M111,0)</f>
        <v>0.20670598534764781</v>
      </c>
      <c r="V111" s="52">
        <f t="shared" ref="V111" si="1135">V108+V109+V110</f>
        <v>4486.1400000000003</v>
      </c>
      <c r="W111" s="20">
        <f t="shared" ref="W111" si="1136">IF(M111&gt;0,X111/M111,0)</f>
        <v>0.51673648804312766</v>
      </c>
      <c r="X111" s="52">
        <f t="shared" ref="X111" si="1137">X108+X109+X110</f>
        <v>11214.732</v>
      </c>
      <c r="Y111" s="20">
        <f t="shared" ref="Y111" si="1138">IF(M111&gt;0,Z111/M111,0)</f>
        <v>0.46841588720453387</v>
      </c>
      <c r="Z111" s="52">
        <f t="shared" ref="Z111" si="1139">Z108+Z109+Z110</f>
        <v>10166.029999999999</v>
      </c>
      <c r="AA111" s="119">
        <f t="shared" ref="AA111" si="1140">IF(M111&gt;0,AB111/M111,0)</f>
        <v>2.4440943648343545E-3</v>
      </c>
      <c r="AB111" s="54">
        <f t="shared" ref="AB111" si="1141">SUM(AB108:AB110)</f>
        <v>53.044179999999997</v>
      </c>
      <c r="AC111" s="53">
        <f t="shared" ref="AC111" si="1142">IF(M111&gt;0,AD111/M111,0)</f>
        <v>2.3757761599778834E-3</v>
      </c>
      <c r="AD111" s="54">
        <f t="shared" ref="AD111" si="1143">SUM(AD108:AD110)</f>
        <v>51.56147</v>
      </c>
      <c r="AE111" s="53">
        <f t="shared" ref="AE111" si="1144">IF(M111&gt;0,(AE108*M108+AE109*M109+AE110*M110)/M111,0)</f>
        <v>3.0166245726397276E-3</v>
      </c>
      <c r="AF111" s="53">
        <f t="shared" ref="AF111" si="1145">IF(K111&gt;0,(K108*AF108+K109*AF109+K110*AF110)/K111,0)</f>
        <v>2.5049839434810532E-4</v>
      </c>
      <c r="AG111" s="50">
        <f t="shared" ref="AG111" si="1146">SUM(AG108:AG110)</f>
        <v>5.4370700000000003</v>
      </c>
      <c r="AH111" s="51">
        <f t="shared" ref="AH111" si="1147">IF(K111&gt;0,(K108*AH108+K109*AH109+K110*AH110)/K111,0)</f>
        <v>0.19686643973453222</v>
      </c>
      <c r="AI111" s="56">
        <f t="shared" ref="AI111" si="1148">SUM(AI108:AI110)</f>
        <v>54.257600200000006</v>
      </c>
      <c r="AJ111" s="51">
        <f t="shared" ref="AJ111" si="1149">IF(AND(AD111&gt;0),((AD108*AJ108+AD109*AJ109+AD110*AJ110)/AD111),0)</f>
        <v>0.89569275810049953</v>
      </c>
      <c r="AK111" s="55">
        <f t="shared" si="680"/>
        <v>0.91801733575215516</v>
      </c>
      <c r="AL111" s="49">
        <f t="shared" ref="AL111" si="1150">SUM(AL108:AL110)</f>
        <v>305</v>
      </c>
      <c r="AM111" s="20">
        <f t="shared" ref="AM111" si="1151">IF(AL111&gt;0,(AM108*AL108+AM109*AL109+AM110*AL110)/AL111,0)</f>
        <v>9.5285245901639351E-2</v>
      </c>
      <c r="AN111" s="51">
        <f>IF(K111&gt;0,(AN108*K108+AN109*K109+AN110*K110)/K111,0)</f>
        <v>0.21763579533290517</v>
      </c>
      <c r="AO111" s="107">
        <f>IF(L111&gt;0,(AO108*K108+AO109*K109+AO110*K110)/K111,0)</f>
        <v>0.19757425390708627</v>
      </c>
      <c r="AP111" s="56">
        <f t="shared" ref="AP111" si="1152">SUM(AP108:AP110)</f>
        <v>60.032733100000002</v>
      </c>
      <c r="AQ111" s="108">
        <f t="shared" si="1108"/>
        <v>54.516696700000004</v>
      </c>
      <c r="AR111" s="54"/>
      <c r="AS111" s="54">
        <f t="shared" ref="AS111" si="1153">SUM(AS108:AS110)</f>
        <v>1007.4</v>
      </c>
      <c r="AT111" s="83"/>
      <c r="AU111" s="84">
        <f>AT110</f>
        <v>829.09999999999911</v>
      </c>
      <c r="AV111" s="49">
        <f t="shared" ref="AV111" si="1154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59</v>
      </c>
      <c r="D112" s="11">
        <v>3089</v>
      </c>
      <c r="E112" s="11">
        <v>0</v>
      </c>
      <c r="F112" s="11">
        <v>4534</v>
      </c>
      <c r="G112" s="12">
        <v>0.4</v>
      </c>
      <c r="H112" s="12">
        <v>4.2</v>
      </c>
      <c r="I112" s="11">
        <v>4397</v>
      </c>
      <c r="J112" s="12">
        <v>4.5</v>
      </c>
      <c r="K112" s="11">
        <v>8924</v>
      </c>
      <c r="L112" s="13">
        <v>7.4999999999999997E-2</v>
      </c>
      <c r="M112" s="23">
        <f>ROUND(K112*(1-L112),0)</f>
        <v>8255</v>
      </c>
      <c r="N112" s="14">
        <v>0.54700000000000004</v>
      </c>
      <c r="O112" s="24">
        <f t="shared" ref="O112:O114" si="1155">M112*N112</f>
        <v>4515.4850000000006</v>
      </c>
      <c r="P112" s="13">
        <v>0.40699999999999997</v>
      </c>
      <c r="Q112" s="24">
        <f t="shared" ref="Q112:Q114" si="1156">M112*P112</f>
        <v>3359.7849999999999</v>
      </c>
      <c r="R112" s="15">
        <v>4.5999999999999999E-2</v>
      </c>
      <c r="S112" s="112">
        <v>0.2407</v>
      </c>
      <c r="T112" s="24">
        <f t="shared" ref="T112:T114" si="1157">M112*R112</f>
        <v>379.73</v>
      </c>
      <c r="U112" s="25">
        <v>0.20300000000000001</v>
      </c>
      <c r="V112" s="24">
        <f t="shared" ref="V112:V114" si="1158">M112*U112</f>
        <v>1675.7650000000001</v>
      </c>
      <c r="W112" s="15">
        <v>0.52</v>
      </c>
      <c r="X112" s="24">
        <f t="shared" ref="X112:X114" si="1159">M112*W112</f>
        <v>4292.6000000000004</v>
      </c>
      <c r="Y112" s="15">
        <v>0.45</v>
      </c>
      <c r="Z112" s="24">
        <f t="shared" ref="Z112:Z114" si="1160">Y112*M112</f>
        <v>3714.75</v>
      </c>
      <c r="AA112" s="116">
        <v>2.5300000000000001E-3</v>
      </c>
      <c r="AB112" s="18">
        <f t="shared" ref="AB112" si="1161">M112*AA112</f>
        <v>20.885149999999999</v>
      </c>
      <c r="AC112" s="16">
        <v>2.4499999999999999E-3</v>
      </c>
      <c r="AD112" s="17">
        <f t="shared" ref="AD112:AD114" si="1162">M112*AC112</f>
        <v>20.22475</v>
      </c>
      <c r="AE112" s="26">
        <f>IF(M112&gt;0,(AG112+AP112)/M112,0)</f>
        <v>2.796295917625681E-3</v>
      </c>
      <c r="AF112" s="16">
        <v>2.5000000000000001E-4</v>
      </c>
      <c r="AG112" s="23">
        <f t="shared" ref="AG112:AG114" si="1163">AF112*M112</f>
        <v>2.0637500000000002</v>
      </c>
      <c r="AH112" s="92">
        <v>0.21640000000000001</v>
      </c>
      <c r="AI112" s="29">
        <f t="shared" ref="AI112:AI114" si="1164">AL112*(1-AM112)*AH112</f>
        <v>20.713375200000002</v>
      </c>
      <c r="AJ112" s="27">
        <f t="shared" ref="AJ112:AJ114" si="1165">IF(AND(AH112&gt;0,AF112&gt;0,AC112&gt;0),((AC112-AF112)*AH112)/((AH112-AF112)*AC112),0)</f>
        <v>0.89899776704574941</v>
      </c>
      <c r="AK112" s="58">
        <f t="shared" si="680"/>
        <v>0.91163384891054899</v>
      </c>
      <c r="AL112" s="11">
        <v>106</v>
      </c>
      <c r="AM112" s="13">
        <v>9.7000000000000003E-2</v>
      </c>
      <c r="AN112" s="14">
        <v>0.21959999999999999</v>
      </c>
      <c r="AO112" s="101">
        <v>0.20030000000000001</v>
      </c>
      <c r="AP112" s="29">
        <f>AL112*(1-AM112)*AN112</f>
        <v>21.019672799999999</v>
      </c>
      <c r="AQ112" s="102">
        <f t="shared" ref="AQ112" si="1166">AL112*(1-AM112)*AO112</f>
        <v>19.172315400000002</v>
      </c>
      <c r="AR112" s="18">
        <v>1.5</v>
      </c>
      <c r="AS112" s="18">
        <v>1003.04</v>
      </c>
      <c r="AT112" s="79">
        <f>AT110+AL112-AS112-AU112</f>
        <v>-50.520000000000849</v>
      </c>
      <c r="AU112" s="130">
        <v>-17.420000000000002</v>
      </c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0" t="s">
        <v>57</v>
      </c>
      <c r="D113" s="33">
        <v>14200</v>
      </c>
      <c r="E113" s="33">
        <v>2</v>
      </c>
      <c r="F113" s="33">
        <v>12392</v>
      </c>
      <c r="G113" s="34">
        <v>0.7</v>
      </c>
      <c r="H113" s="34">
        <v>4.5999999999999996</v>
      </c>
      <c r="I113" s="33">
        <v>11384</v>
      </c>
      <c r="J113" s="34">
        <v>1.4</v>
      </c>
      <c r="K113" s="33">
        <v>6892</v>
      </c>
      <c r="L113" s="35">
        <v>7.0000000000000007E-2</v>
      </c>
      <c r="M113" s="36">
        <f>ROUND(K113*(1-L113),0)</f>
        <v>6410</v>
      </c>
      <c r="N113" s="37">
        <v>0.61</v>
      </c>
      <c r="O113" s="24">
        <f t="shared" si="1155"/>
        <v>3910.1</v>
      </c>
      <c r="P113" s="35">
        <v>0.32800000000000001</v>
      </c>
      <c r="Q113" s="24">
        <f t="shared" si="1156"/>
        <v>2102.48</v>
      </c>
      <c r="R113" s="38">
        <v>6.2E-2</v>
      </c>
      <c r="S113" s="105">
        <v>0.2059</v>
      </c>
      <c r="T113" s="24">
        <f t="shared" si="1157"/>
        <v>397.42</v>
      </c>
      <c r="U113" s="27">
        <v>0.17</v>
      </c>
      <c r="V113" s="24">
        <f t="shared" si="1158"/>
        <v>1089.7</v>
      </c>
      <c r="W113" s="38">
        <v>0.54800000000000004</v>
      </c>
      <c r="X113" s="24">
        <f t="shared" si="1159"/>
        <v>3512.6800000000003</v>
      </c>
      <c r="Y113" s="38">
        <v>0.45</v>
      </c>
      <c r="Z113" s="24">
        <f t="shared" si="1160"/>
        <v>2884.5</v>
      </c>
      <c r="AA113" s="117">
        <v>2.5999999999999999E-3</v>
      </c>
      <c r="AB113" s="18">
        <f t="shared" si="764"/>
        <v>16.666</v>
      </c>
      <c r="AC113" s="39">
        <v>2.5999999999999999E-3</v>
      </c>
      <c r="AD113" s="17">
        <f t="shared" si="1162"/>
        <v>16.666</v>
      </c>
      <c r="AE113" s="26">
        <f>IF(M113&gt;0,(AG113+AP113)/M113,0)</f>
        <v>3.515357004680187E-3</v>
      </c>
      <c r="AF113" s="39">
        <v>2.4000000000000001E-4</v>
      </c>
      <c r="AG113" s="36">
        <f t="shared" si="1163"/>
        <v>1.5384</v>
      </c>
      <c r="AH113" s="27">
        <v>0.21410000000000001</v>
      </c>
      <c r="AI113" s="40">
        <f t="shared" si="1164"/>
        <v>20.5159184</v>
      </c>
      <c r="AJ113" s="27">
        <f t="shared" si="1165"/>
        <v>0.90871094677323039</v>
      </c>
      <c r="AK113" s="28">
        <f t="shared" si="680"/>
        <v>0.93274985406339428</v>
      </c>
      <c r="AL113" s="33">
        <v>106</v>
      </c>
      <c r="AM113" s="35">
        <v>9.6000000000000002E-2</v>
      </c>
      <c r="AN113" s="37">
        <v>0.21909999999999999</v>
      </c>
      <c r="AO113" s="103">
        <v>0.1978</v>
      </c>
      <c r="AP113" s="40">
        <f>AL113*(1-AM113)*AN113</f>
        <v>20.995038399999999</v>
      </c>
      <c r="AQ113" s="104">
        <f t="shared" si="725"/>
        <v>18.9539872</v>
      </c>
      <c r="AR113" s="41">
        <v>1.5</v>
      </c>
      <c r="AS113" s="41"/>
      <c r="AT113" s="129">
        <f>AT112+AL113-AS113</f>
        <v>55.479999999999151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0" t="s">
        <v>58</v>
      </c>
      <c r="D114" s="42">
        <v>8400</v>
      </c>
      <c r="E114" s="42">
        <v>4</v>
      </c>
      <c r="F114" s="42">
        <v>10491</v>
      </c>
      <c r="G114" s="36">
        <v>0.3</v>
      </c>
      <c r="H114" s="36">
        <v>3.3</v>
      </c>
      <c r="I114" s="42">
        <v>10360</v>
      </c>
      <c r="J114" s="36">
        <v>0.7</v>
      </c>
      <c r="K114" s="42">
        <v>6212</v>
      </c>
      <c r="L114" s="38">
        <v>7.2999999999999995E-2</v>
      </c>
      <c r="M114" s="36">
        <f>ROUND(K114*(1-L114),0)</f>
        <v>5759</v>
      </c>
      <c r="N114" s="27">
        <v>0.66800000000000004</v>
      </c>
      <c r="O114" s="24">
        <f t="shared" si="1155"/>
        <v>3847.0120000000002</v>
      </c>
      <c r="P114" s="38">
        <v>0.28999999999999998</v>
      </c>
      <c r="Q114" s="24">
        <f t="shared" si="1156"/>
        <v>1670.11</v>
      </c>
      <c r="R114" s="38">
        <v>4.2000000000000003E-2</v>
      </c>
      <c r="S114" s="105">
        <v>0.1648</v>
      </c>
      <c r="T114" s="24">
        <f t="shared" si="1157"/>
        <v>241.87800000000001</v>
      </c>
      <c r="U114" s="27">
        <v>0.122</v>
      </c>
      <c r="V114" s="24">
        <f t="shared" si="1158"/>
        <v>702.59799999999996</v>
      </c>
      <c r="W114" s="38">
        <v>0.57799999999999996</v>
      </c>
      <c r="X114" s="24">
        <f t="shared" si="1159"/>
        <v>3328.7019999999998</v>
      </c>
      <c r="Y114" s="38">
        <v>0.4</v>
      </c>
      <c r="Z114" s="24">
        <f t="shared" si="1160"/>
        <v>2303.6</v>
      </c>
      <c r="AA114" s="118">
        <v>2.7599999999999999E-3</v>
      </c>
      <c r="AB114" s="121">
        <f t="shared" si="764"/>
        <v>15.894839999999999</v>
      </c>
      <c r="AC114" s="45">
        <v>2.82E-3</v>
      </c>
      <c r="AD114" s="17">
        <f t="shared" si="1162"/>
        <v>16.240380000000002</v>
      </c>
      <c r="AE114" s="26">
        <f>IF(M114&gt;0,(AG114+AP114)/M114,0)</f>
        <v>3.543814464316722E-3</v>
      </c>
      <c r="AF114" s="45">
        <v>2.5000000000000001E-4</v>
      </c>
      <c r="AG114" s="36">
        <f t="shared" si="1163"/>
        <v>1.4397500000000001</v>
      </c>
      <c r="AH114" s="27">
        <v>0.20680000000000001</v>
      </c>
      <c r="AI114" s="40">
        <f t="shared" si="1164"/>
        <v>17.583170000000003</v>
      </c>
      <c r="AJ114" s="27">
        <f t="shared" si="1165"/>
        <v>0.91245057693859466</v>
      </c>
      <c r="AK114" s="28">
        <f t="shared" si="680"/>
        <v>0.9304972368410942</v>
      </c>
      <c r="AL114" s="42">
        <v>95</v>
      </c>
      <c r="AM114" s="38">
        <v>0.105</v>
      </c>
      <c r="AN114" s="27">
        <v>0.22309999999999999</v>
      </c>
      <c r="AO114" s="105">
        <v>0.20599999999999999</v>
      </c>
      <c r="AP114" s="40">
        <f>AL114*(1-AM114)*AN114</f>
        <v>18.969077500000001</v>
      </c>
      <c r="AQ114" s="106">
        <f t="shared" si="725"/>
        <v>17.515149999999998</v>
      </c>
      <c r="AR114" s="17">
        <v>1.5</v>
      </c>
      <c r="AS114" s="17"/>
      <c r="AT114" s="129">
        <f>AT113+AL114-AS114</f>
        <v>150.47999999999917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67">SUM(D112:D114)</f>
        <v>25689</v>
      </c>
      <c r="E115" s="49"/>
      <c r="F115" s="49">
        <f t="shared" ref="F115" si="1168">SUM(F112:F114)</f>
        <v>27417</v>
      </c>
      <c r="G115" s="50"/>
      <c r="H115" s="50"/>
      <c r="I115" s="49">
        <f t="shared" ref="I115:K115" si="1169">SUM(I112:I114)</f>
        <v>26141</v>
      </c>
      <c r="J115" s="50"/>
      <c r="K115" s="49">
        <f t="shared" si="1169"/>
        <v>22028</v>
      </c>
      <c r="L115" s="20">
        <f t="shared" ref="L115" si="1170">IF(K115&gt;0,(K112*L112+K113*L113+K114*L114)/K115,0)</f>
        <v>7.2871617940802616E-2</v>
      </c>
      <c r="M115" s="50">
        <f t="shared" ref="M115" si="1171">M112+M113+M114</f>
        <v>20424</v>
      </c>
      <c r="N115" s="51">
        <f t="shared" ref="N115" si="1172">IF(M115&gt;0,O115/M115,0)</f>
        <v>0.60089096161378774</v>
      </c>
      <c r="O115" s="52">
        <f t="shared" ref="O115" si="1173">O112+O113+O114</f>
        <v>12272.597000000002</v>
      </c>
      <c r="P115" s="20">
        <f t="shared" ref="P115" si="1174">IF(M115&gt;0,Q115/M115,0)</f>
        <v>0.34921538386212297</v>
      </c>
      <c r="Q115" s="52">
        <f t="shared" ref="Q115" si="1175">Q112+Q113+Q114</f>
        <v>7132.3749999999991</v>
      </c>
      <c r="R115" s="20">
        <f t="shared" ref="R115" si="1176">IF(M115&gt;0,T115/M115,0)</f>
        <v>4.9893654524089316E-2</v>
      </c>
      <c r="S115" s="107"/>
      <c r="T115" s="52">
        <f t="shared" ref="T115" si="1177">T112+T113+T114</f>
        <v>1019.0280000000001</v>
      </c>
      <c r="U115" s="20">
        <f t="shared" ref="U115" si="1178">IF(M115&gt;0,V115/M115,0)</f>
        <v>0.1698033196239718</v>
      </c>
      <c r="V115" s="52">
        <f t="shared" ref="V115" si="1179">V112+V113+V114</f>
        <v>3468.0630000000001</v>
      </c>
      <c r="W115" s="20">
        <f t="shared" ref="W115" si="1180">IF(M115&gt;0,X115/M115,0)</f>
        <v>0.54514208773991379</v>
      </c>
      <c r="X115" s="52">
        <f t="shared" ref="X115" si="1181">X112+X113+X114</f>
        <v>11133.982</v>
      </c>
      <c r="Y115" s="20">
        <f t="shared" ref="Y115" si="1182">IF(M115&gt;0,Z115/M115,0)</f>
        <v>0.43590139052095578</v>
      </c>
      <c r="Z115" s="52">
        <f t="shared" ref="Z115" si="1183">Z112+Z113+Z114</f>
        <v>8902.85</v>
      </c>
      <c r="AA115" s="119">
        <f t="shared" ref="AA115" si="1184">IF(M115&gt;0,AB115/M115,0)</f>
        <v>2.6168228554641596E-3</v>
      </c>
      <c r="AB115" s="54">
        <f t="shared" ref="AB115" si="1185">SUM(AB112:AB114)</f>
        <v>53.445989999999995</v>
      </c>
      <c r="AC115" s="53">
        <f t="shared" ref="AC115" si="1186">IF(M115&gt;0,AD115/M115,0)</f>
        <v>2.601406678417548E-3</v>
      </c>
      <c r="AD115" s="54">
        <f t="shared" ref="AD115" si="1187">SUM(AD112:AD114)</f>
        <v>53.131129999999999</v>
      </c>
      <c r="AE115" s="53">
        <f t="shared" ref="AE115" si="1188">IF(M115&gt;0,(AE112*M112+AE113*M113+AE114*M114)/M115,0)</f>
        <v>3.2327501321974144E-3</v>
      </c>
      <c r="AF115" s="53">
        <f t="shared" ref="AF115" si="1189">IF(K115&gt;0,(K112*AF112+K113*AF113+K114*AF114)/K115,0)</f>
        <v>2.4687125476666058E-4</v>
      </c>
      <c r="AG115" s="50">
        <f t="shared" ref="AG115" si="1190">SUM(AG112:AG114)</f>
        <v>5.0419</v>
      </c>
      <c r="AH115" s="51">
        <f t="shared" ref="AH115" si="1191">IF(K115&gt;0,(K112*AH112+K113*AH113+K114*AH114)/K115,0)</f>
        <v>0.21297314327219902</v>
      </c>
      <c r="AI115" s="56">
        <f t="shared" ref="AI115" si="1192">SUM(AI112:AI114)</f>
        <v>58.812463600000008</v>
      </c>
      <c r="AJ115" s="51">
        <f t="shared" ref="AJ115" si="1193">IF(AND(AD115&gt;0),((AD112*AJ112+AD113*AJ113+AD114*AJ114)/AD115),0)</f>
        <v>0.90615663225463472</v>
      </c>
      <c r="AK115" s="55">
        <f t="shared" si="680"/>
        <v>0.92466987548227841</v>
      </c>
      <c r="AL115" s="49">
        <f t="shared" ref="AL115" si="1194">SUM(AL112:AL114)</f>
        <v>307</v>
      </c>
      <c r="AM115" s="20">
        <f t="shared" ref="AM115" si="1195">IF(AL115&gt;0,(AM112*AL112+AM113*AL113+AM114*AL114)/AL115,0)</f>
        <v>9.9130293159609126E-2</v>
      </c>
      <c r="AN115" s="51">
        <f>IF(K115&gt;0,(AN112*K112+AN113*K113+AN114*K114)/K115,0)</f>
        <v>0.2204305792627565</v>
      </c>
      <c r="AO115" s="107">
        <f>IF(L115&gt;0,(AO112*K112+AO113*K113+AO114*K114)/K115,0)</f>
        <v>0.2011252406028691</v>
      </c>
      <c r="AP115" s="56">
        <f t="shared" ref="AP115" si="1196">SUM(AP112:AP114)</f>
        <v>60.983788699999991</v>
      </c>
      <c r="AQ115" s="108">
        <f t="shared" si="1108"/>
        <v>55.641452600000001</v>
      </c>
      <c r="AR115" s="54"/>
      <c r="AS115" s="54">
        <f t="shared" ref="AS115" si="1197">SUM(AS112:AS114)</f>
        <v>1003.04</v>
      </c>
      <c r="AT115" s="83"/>
      <c r="AU115" s="84">
        <f>AT114</f>
        <v>150.47999999999917</v>
      </c>
      <c r="AV115" s="49">
        <f t="shared" ref="AV115" si="1198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53</v>
      </c>
      <c r="D116" s="11">
        <v>4952</v>
      </c>
      <c r="E116" s="11">
        <v>1</v>
      </c>
      <c r="F116" s="11">
        <v>7237</v>
      </c>
      <c r="G116" s="12">
        <v>0.5</v>
      </c>
      <c r="H116" s="12">
        <v>3.2</v>
      </c>
      <c r="I116" s="11">
        <v>6735</v>
      </c>
      <c r="J116" s="12">
        <v>4</v>
      </c>
      <c r="K116" s="11">
        <v>15775</v>
      </c>
      <c r="L116" s="13">
        <v>7.6999999999999999E-2</v>
      </c>
      <c r="M116" s="23">
        <f>ROUND(K116*(1-L116),0)</f>
        <v>14560</v>
      </c>
      <c r="N116" s="14">
        <v>0.70899999999999996</v>
      </c>
      <c r="O116" s="24">
        <f t="shared" ref="O116:O118" si="1199">M116*N116</f>
        <v>10323.039999999999</v>
      </c>
      <c r="P116" s="13">
        <v>0.22900000000000001</v>
      </c>
      <c r="Q116" s="24">
        <f t="shared" ref="Q116:Q118" si="1200">M116*P116</f>
        <v>3334.2400000000002</v>
      </c>
      <c r="R116" s="15">
        <v>6.2E-2</v>
      </c>
      <c r="S116" s="112">
        <v>0.26019999999999999</v>
      </c>
      <c r="T116" s="24">
        <f t="shared" ref="T116:T118" si="1201">M116*R116</f>
        <v>902.72</v>
      </c>
      <c r="U116" s="25">
        <v>0.23200000000000001</v>
      </c>
      <c r="V116" s="24">
        <f t="shared" ref="V116:V118" si="1202">M116*U116</f>
        <v>3377.92</v>
      </c>
      <c r="W116" s="15">
        <v>0.46899999999999997</v>
      </c>
      <c r="X116" s="24">
        <f t="shared" ref="X116:X118" si="1203">M116*W116</f>
        <v>6828.6399999999994</v>
      </c>
      <c r="Y116" s="15">
        <v>0.46</v>
      </c>
      <c r="Z116" s="24">
        <f t="shared" ref="Z116:Z118" si="1204">Y116*M116</f>
        <v>6697.6</v>
      </c>
      <c r="AA116" s="116">
        <v>2.96E-3</v>
      </c>
      <c r="AB116" s="18">
        <f t="shared" ref="AB116" si="1205">M116*AA116</f>
        <v>43.0976</v>
      </c>
      <c r="AC116" s="16">
        <v>2.97E-3</v>
      </c>
      <c r="AD116" s="17">
        <f t="shared" ref="AD116:AD118" si="1206">M116*AC116</f>
        <v>43.243200000000002</v>
      </c>
      <c r="AE116" s="26">
        <f>IF(M116&gt;0,(AG116+AP116)/M116,0)</f>
        <v>2.5509690041208796E-3</v>
      </c>
      <c r="AF116" s="16">
        <v>3.1E-4</v>
      </c>
      <c r="AG116" s="23">
        <f t="shared" ref="AG116:AG118" si="1207">AF116*M116</f>
        <v>4.5136000000000003</v>
      </c>
      <c r="AH116" s="92">
        <v>0.20930000000000001</v>
      </c>
      <c r="AI116" s="29">
        <f t="shared" ref="AI116:AI118" si="1208">AL116*(1-AM116)*AH116</f>
        <v>30.943121300000005</v>
      </c>
      <c r="AJ116" s="27">
        <f t="shared" ref="AJ116:AJ118" si="1209">IF(AND(AH116&gt;0,AF116&gt;0,AC116&gt;0),((AC116-AF116)*AH116)/((AH116-AF116)*AC116),0)</f>
        <v>0.89695139506135257</v>
      </c>
      <c r="AK116" s="58">
        <f t="shared" si="680"/>
        <v>0.87971321551157167</v>
      </c>
      <c r="AL116" s="11">
        <v>163</v>
      </c>
      <c r="AM116" s="13">
        <v>9.2999999999999999E-2</v>
      </c>
      <c r="AN116" s="14">
        <v>0.22070000000000001</v>
      </c>
      <c r="AO116" s="101">
        <v>0.21049999999999999</v>
      </c>
      <c r="AP116" s="29">
        <f>AL116*(1-AM116)*AN116</f>
        <v>32.628508700000005</v>
      </c>
      <c r="AQ116" s="102">
        <f t="shared" ref="AQ116" si="1210">AL116*(1-AM116)*AO116</f>
        <v>31.120530500000001</v>
      </c>
      <c r="AR116" s="18">
        <v>1.65</v>
      </c>
      <c r="AS116" s="18">
        <v>415.88</v>
      </c>
      <c r="AT116" s="79">
        <f>AT114+AL116-AS116-AU116</f>
        <v>-50.520000000000827</v>
      </c>
      <c r="AU116" s="145">
        <v>-51.88</v>
      </c>
      <c r="AV116" s="11"/>
      <c r="AW116" s="30"/>
      <c r="AX116" s="19"/>
      <c r="AY116" s="19"/>
      <c r="AZ116" s="19"/>
      <c r="BA116" s="19"/>
      <c r="BB116" s="31"/>
    </row>
    <row r="117" spans="1:54">
      <c r="A117" s="147"/>
      <c r="B117" s="32">
        <v>2</v>
      </c>
      <c r="C117" s="10" t="s">
        <v>57</v>
      </c>
      <c r="D117" s="33">
        <v>20097</v>
      </c>
      <c r="E117" s="33">
        <v>2</v>
      </c>
      <c r="F117" s="33">
        <v>17692</v>
      </c>
      <c r="G117" s="34">
        <v>0.7</v>
      </c>
      <c r="H117" s="34">
        <v>4.0999999999999996</v>
      </c>
      <c r="I117" s="33">
        <v>16671</v>
      </c>
      <c r="J117" s="34">
        <v>3.8</v>
      </c>
      <c r="K117" s="33">
        <v>17080</v>
      </c>
      <c r="L117" s="35">
        <v>6.4000000000000001E-2</v>
      </c>
      <c r="M117" s="36">
        <f>ROUND(K117*(1-L117),0)</f>
        <v>15987</v>
      </c>
      <c r="N117" s="37">
        <v>0.64200000000000002</v>
      </c>
      <c r="O117" s="24">
        <f t="shared" si="1199"/>
        <v>10263.654</v>
      </c>
      <c r="P117" s="35">
        <v>0.30399999999999999</v>
      </c>
      <c r="Q117" s="24">
        <f t="shared" si="1200"/>
        <v>4860.0479999999998</v>
      </c>
      <c r="R117" s="38">
        <v>5.3999999999999999E-2</v>
      </c>
      <c r="S117" s="105">
        <v>0.2487</v>
      </c>
      <c r="T117" s="24">
        <f t="shared" si="1201"/>
        <v>863.298</v>
      </c>
      <c r="U117" s="27">
        <v>0.26200000000000001</v>
      </c>
      <c r="V117" s="24">
        <f t="shared" si="1202"/>
        <v>4188.5940000000001</v>
      </c>
      <c r="W117" s="38">
        <v>0.48099999999999998</v>
      </c>
      <c r="X117" s="24">
        <f t="shared" si="1203"/>
        <v>7689.7469999999994</v>
      </c>
      <c r="Y117" s="38">
        <v>0.44</v>
      </c>
      <c r="Z117" s="24">
        <f t="shared" si="1204"/>
        <v>7034.28</v>
      </c>
      <c r="AA117" s="117">
        <v>2.82E-3</v>
      </c>
      <c r="AB117" s="18">
        <f t="shared" si="764"/>
        <v>45.08334</v>
      </c>
      <c r="AC117" s="39">
        <v>2.9299999999999999E-3</v>
      </c>
      <c r="AD117" s="17">
        <f t="shared" si="1206"/>
        <v>46.841909999999999</v>
      </c>
      <c r="AE117" s="26">
        <f>IF(M117&gt;0,(AG117+AP117)/M117,0)</f>
        <v>3.1730227810095701E-3</v>
      </c>
      <c r="AF117" s="39">
        <v>2.7999999999999998E-4</v>
      </c>
      <c r="AG117" s="36">
        <f t="shared" si="1207"/>
        <v>4.4763599999999997</v>
      </c>
      <c r="AH117" s="27">
        <v>0.21129999999999999</v>
      </c>
      <c r="AI117" s="40">
        <f t="shared" si="1208"/>
        <v>46.625880600000002</v>
      </c>
      <c r="AJ117" s="27">
        <f t="shared" si="1209"/>
        <v>0.90563694688855656</v>
      </c>
      <c r="AK117" s="28">
        <f t="shared" si="680"/>
        <v>0.91297569407421042</v>
      </c>
      <c r="AL117" s="33">
        <v>246</v>
      </c>
      <c r="AM117" s="35">
        <v>0.10299999999999999</v>
      </c>
      <c r="AN117" s="37">
        <v>0.20960000000000001</v>
      </c>
      <c r="AO117" s="103">
        <v>0.2064</v>
      </c>
      <c r="AP117" s="40">
        <f>AL117*(1-AM117)*AN117</f>
        <v>46.2507552</v>
      </c>
      <c r="AQ117" s="104">
        <f t="shared" si="725"/>
        <v>45.544636799999999</v>
      </c>
      <c r="AR117" s="41">
        <v>1.65</v>
      </c>
      <c r="AS117" s="41"/>
      <c r="AT117" s="129">
        <f>AT116+AL117-AS117</f>
        <v>195.47999999999917</v>
      </c>
      <c r="AU117" s="82"/>
      <c r="AV117" s="42"/>
      <c r="AW117" s="43"/>
      <c r="AX117" s="44"/>
      <c r="AY117" s="44"/>
      <c r="AZ117" s="44"/>
      <c r="BA117" s="44"/>
      <c r="BB117" s="31"/>
    </row>
    <row r="118" spans="1:54">
      <c r="A118" s="147"/>
      <c r="B118" s="32">
        <v>3</v>
      </c>
      <c r="C118" s="10" t="s">
        <v>58</v>
      </c>
      <c r="D118" s="42">
        <v>12300</v>
      </c>
      <c r="E118" s="42">
        <v>0</v>
      </c>
      <c r="F118" s="42">
        <v>17060</v>
      </c>
      <c r="G118" s="36">
        <v>0.5</v>
      </c>
      <c r="H118" s="36">
        <v>4</v>
      </c>
      <c r="I118" s="42">
        <v>16698</v>
      </c>
      <c r="J118" s="36">
        <v>3.8</v>
      </c>
      <c r="K118" s="42">
        <v>17108</v>
      </c>
      <c r="L118" s="38">
        <v>7.0000000000000007E-2</v>
      </c>
      <c r="M118" s="36">
        <f>ROUND(K118*(1-L118),0)</f>
        <v>15910</v>
      </c>
      <c r="N118" s="27">
        <v>0.69199999999999995</v>
      </c>
      <c r="O118" s="24">
        <f t="shared" si="1199"/>
        <v>11009.72</v>
      </c>
      <c r="P118" s="38">
        <v>0.23</v>
      </c>
      <c r="Q118" s="24">
        <f t="shared" si="1200"/>
        <v>3659.3</v>
      </c>
      <c r="R118" s="38">
        <v>7.8E-2</v>
      </c>
      <c r="S118" s="105">
        <v>0.25740000000000002</v>
      </c>
      <c r="T118" s="24">
        <f t="shared" si="1201"/>
        <v>1240.98</v>
      </c>
      <c r="U118" s="27">
        <v>0.25800000000000001</v>
      </c>
      <c r="V118" s="24">
        <f t="shared" si="1202"/>
        <v>4104.78</v>
      </c>
      <c r="W118" s="38">
        <v>0.45900000000000002</v>
      </c>
      <c r="X118" s="24">
        <f t="shared" si="1203"/>
        <v>7302.6900000000005</v>
      </c>
      <c r="Y118" s="38">
        <v>0.43</v>
      </c>
      <c r="Z118" s="24">
        <f t="shared" si="1204"/>
        <v>6841.3</v>
      </c>
      <c r="AA118" s="118">
        <v>2.7299999999999998E-3</v>
      </c>
      <c r="AB118" s="121">
        <f t="shared" si="764"/>
        <v>43.434299999999993</v>
      </c>
      <c r="AC118" s="45">
        <v>2.8400000000000001E-3</v>
      </c>
      <c r="AD118" s="17">
        <f t="shared" si="1206"/>
        <v>45.184400000000004</v>
      </c>
      <c r="AE118" s="26">
        <f>IF(M118&gt;0,(AG118+AP118)/M118,0)</f>
        <v>2.9393379195474544E-3</v>
      </c>
      <c r="AF118" s="45">
        <v>2.9E-4</v>
      </c>
      <c r="AG118" s="36">
        <f t="shared" si="1207"/>
        <v>4.6139000000000001</v>
      </c>
      <c r="AH118" s="27">
        <v>0.20960000000000001</v>
      </c>
      <c r="AI118" s="40">
        <f t="shared" si="1208"/>
        <v>38.295806400000004</v>
      </c>
      <c r="AJ118" s="27">
        <f t="shared" si="1209"/>
        <v>0.89913135109928599</v>
      </c>
      <c r="AK118" s="28">
        <f t="shared" si="680"/>
        <v>0.90247277364850598</v>
      </c>
      <c r="AL118" s="42">
        <v>201</v>
      </c>
      <c r="AM118" s="38">
        <v>9.0999999999999998E-2</v>
      </c>
      <c r="AN118" s="27">
        <v>0.23069999999999999</v>
      </c>
      <c r="AO118" s="105">
        <v>0.22470000000000001</v>
      </c>
      <c r="AP118" s="40">
        <f>AL118*(1-AM118)*AN118</f>
        <v>42.1509663</v>
      </c>
      <c r="AQ118" s="106">
        <f t="shared" si="725"/>
        <v>41.054712300000006</v>
      </c>
      <c r="AR118" s="17">
        <v>1.5</v>
      </c>
      <c r="AS118" s="17"/>
      <c r="AT118" s="129">
        <f>AT117+AL118-AS118</f>
        <v>396.47999999999917</v>
      </c>
      <c r="AU118" s="82"/>
      <c r="AV118" s="42"/>
      <c r="AW118" s="46"/>
      <c r="AX118" s="40"/>
      <c r="AY118" s="40"/>
      <c r="AZ118" s="40"/>
      <c r="BA118" s="40"/>
      <c r="BB118" s="31"/>
    </row>
    <row r="119" spans="1:54">
      <c r="A119" s="148"/>
      <c r="B119" s="47" t="s">
        <v>56</v>
      </c>
      <c r="C119" s="48"/>
      <c r="D119" s="49">
        <f t="shared" ref="D119" si="1211">SUM(D116:D118)</f>
        <v>37349</v>
      </c>
      <c r="E119" s="49"/>
      <c r="F119" s="49">
        <f t="shared" ref="F119" si="1212">SUM(F116:F118)</f>
        <v>41989</v>
      </c>
      <c r="G119" s="50"/>
      <c r="H119" s="50"/>
      <c r="I119" s="49">
        <f t="shared" ref="I119:K119" si="1213">SUM(I116:I118)</f>
        <v>40104</v>
      </c>
      <c r="J119" s="50"/>
      <c r="K119" s="49">
        <f t="shared" si="1213"/>
        <v>49963</v>
      </c>
      <c r="L119" s="20">
        <f t="shared" ref="L119" si="1214">IF(K119&gt;0,(K116*L116+K117*L117+K118*L118)/K119,0)</f>
        <v>7.0159017673078083E-2</v>
      </c>
      <c r="M119" s="50">
        <f t="shared" ref="M119" si="1215">M116+M117+M118</f>
        <v>46457</v>
      </c>
      <c r="N119" s="51">
        <f t="shared" ref="N119" si="1216">IF(M119&gt;0,O119/M119,0)</f>
        <v>0.68012170394127902</v>
      </c>
      <c r="O119" s="52">
        <f t="shared" ref="O119" si="1217">O116+O117+O118</f>
        <v>31596.413999999997</v>
      </c>
      <c r="P119" s="20">
        <f t="shared" ref="P119" si="1218">IF(M119&gt;0,Q119/M119,0)</f>
        <v>0.25515181781001783</v>
      </c>
      <c r="Q119" s="52">
        <f t="shared" ref="Q119" si="1219">Q116+Q117+Q118</f>
        <v>11853.588</v>
      </c>
      <c r="R119" s="20">
        <f t="shared" ref="R119" si="1220">IF(M119&gt;0,T119/M119,0)</f>
        <v>6.4726478248703104E-2</v>
      </c>
      <c r="S119" s="107"/>
      <c r="T119" s="52">
        <f t="shared" ref="T119" si="1221">T116+T117+T118</f>
        <v>3006.998</v>
      </c>
      <c r="U119" s="20">
        <f t="shared" ref="U119" si="1222">IF(M119&gt;0,V119/M119,0)</f>
        <v>0.25122788815463765</v>
      </c>
      <c r="V119" s="52">
        <f t="shared" ref="V119" si="1223">V116+V117+V118</f>
        <v>11671.294</v>
      </c>
      <c r="W119" s="20">
        <f t="shared" ref="W119" si="1224">IF(M119&gt;0,X119/M119,0)</f>
        <v>0.46970482381557133</v>
      </c>
      <c r="X119" s="52">
        <f t="shared" ref="X119" si="1225">X116+X117+X118</f>
        <v>21821.076999999997</v>
      </c>
      <c r="Y119" s="20">
        <f t="shared" ref="Y119" si="1226">IF(M119&gt;0,Z119/M119,0)</f>
        <v>0.44284348967862758</v>
      </c>
      <c r="Z119" s="52">
        <f t="shared" ref="Z119" si="1227">Z116+Z117+Z118</f>
        <v>20573.18</v>
      </c>
      <c r="AA119" s="119">
        <f t="shared" ref="AA119" si="1228">IF(M119&gt;0,AB119/M119,0)</f>
        <v>2.8330550831952121E-3</v>
      </c>
      <c r="AB119" s="54">
        <f t="shared" ref="AB119" si="1229">SUM(AB116:AB118)</f>
        <v>131.61523999999997</v>
      </c>
      <c r="AC119" s="53">
        <f t="shared" ref="AC119" si="1230">IF(M119&gt;0,AD119/M119,0)</f>
        <v>2.9117142734141248E-3</v>
      </c>
      <c r="AD119" s="54">
        <f t="shared" ref="AD119" si="1231">SUM(AD116:AD118)</f>
        <v>135.26951</v>
      </c>
      <c r="AE119" s="53">
        <f t="shared" ref="AE119" si="1232">IF(M119&gt;0,(AE116*M116+AE117*M117+AE118*M118)/M119,0)</f>
        <v>2.8980366833846354E-3</v>
      </c>
      <c r="AF119" s="53">
        <f t="shared" ref="AF119" si="1233">IF(K119&gt;0,(K116*AF116+K117*AF117+K118*AF118)/K119,0)</f>
        <v>2.9289614314592801E-4</v>
      </c>
      <c r="AG119" s="50">
        <f t="shared" ref="AG119" si="1234">SUM(AG116:AG118)</f>
        <v>13.603860000000001</v>
      </c>
      <c r="AH119" s="51">
        <f t="shared" ref="AH119" si="1235">IF(K119&gt;0,(K116*AH116+K117*AH117+K118*AH118)/K119,0)</f>
        <v>0.21008642995816906</v>
      </c>
      <c r="AI119" s="56">
        <f t="shared" ref="AI119" si="1236">SUM(AI116:AI118)</f>
        <v>115.86480830000001</v>
      </c>
      <c r="AJ119" s="51">
        <f t="shared" ref="AJ119" si="1237">IF(AND(AD119&gt;0),((AD116*AJ116+AD117*AJ117+AD118*AJ118)/AD119),0)</f>
        <v>0.90068725425527318</v>
      </c>
      <c r="AK119" s="55">
        <f t="shared" si="680"/>
        <v>0.9001294983245488</v>
      </c>
      <c r="AL119" s="49">
        <f t="shared" ref="AL119" si="1238">SUM(AL116:AL118)</f>
        <v>610</v>
      </c>
      <c r="AM119" s="20">
        <f t="shared" ref="AM119" si="1239">IF(AL119&gt;0,(AM116*AL116+AM117*AL117+AM118*AL118)/AL119,0)</f>
        <v>9.6373770491803276E-2</v>
      </c>
      <c r="AN119" s="51">
        <f>IF(K119&gt;0,(AN116*K116+AN117*K117+AN118*K118)/K119,0)</f>
        <v>0.22032956587875027</v>
      </c>
      <c r="AO119" s="107">
        <f>IF(L119&gt;0,(AO116*K116+AO117*K117+AO118*K118)/K119,0)</f>
        <v>0.21396067289794446</v>
      </c>
      <c r="AP119" s="56">
        <f t="shared" ref="AP119" si="1240">SUM(AP116:AP118)</f>
        <v>121.03023020000001</v>
      </c>
      <c r="AQ119" s="108">
        <f t="shared" si="1108"/>
        <v>117.71987960000001</v>
      </c>
      <c r="AR119" s="54"/>
      <c r="AS119" s="54">
        <f t="shared" ref="AS119" si="1241">SUM(AS116:AS118)</f>
        <v>415.88</v>
      </c>
      <c r="AT119" s="83"/>
      <c r="AU119" s="84">
        <f>AT118</f>
        <v>396.47999999999917</v>
      </c>
      <c r="AV119" s="49">
        <f t="shared" ref="AV119" si="1242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53</v>
      </c>
      <c r="D120" s="11">
        <v>12920</v>
      </c>
      <c r="E120" s="11">
        <v>0</v>
      </c>
      <c r="F120" s="11">
        <v>15253</v>
      </c>
      <c r="G120" s="12">
        <v>0.9</v>
      </c>
      <c r="H120" s="12">
        <v>7.2</v>
      </c>
      <c r="I120" s="11">
        <v>15318</v>
      </c>
      <c r="J120" s="12">
        <v>3.8</v>
      </c>
      <c r="K120" s="11">
        <v>17144</v>
      </c>
      <c r="L120" s="13">
        <v>6.2E-2</v>
      </c>
      <c r="M120" s="36">
        <f>ROUND(K120*(1-L120),0)</f>
        <v>16081</v>
      </c>
      <c r="N120" s="14">
        <v>0.57799999999999996</v>
      </c>
      <c r="O120" s="24">
        <f t="shared" ref="O120:O122" si="1243">M120*N120</f>
        <v>9294.8179999999993</v>
      </c>
      <c r="P120" s="13">
        <v>0.25700000000000001</v>
      </c>
      <c r="Q120" s="24">
        <f t="shared" ref="Q120:Q122" si="1244">M120*P120</f>
        <v>4132.817</v>
      </c>
      <c r="R120" s="15">
        <v>0.16500000000000001</v>
      </c>
      <c r="S120" s="112">
        <v>0.27639999999999998</v>
      </c>
      <c r="T120" s="24">
        <f t="shared" ref="T120:T122" si="1245">M120*R120</f>
        <v>2653.3650000000002</v>
      </c>
      <c r="U120" s="25">
        <v>0.26900000000000002</v>
      </c>
      <c r="V120" s="24">
        <f t="shared" ref="V120:V122" si="1246">M120*U120</f>
        <v>4325.7890000000007</v>
      </c>
      <c r="W120" s="15">
        <v>0.45700000000000002</v>
      </c>
      <c r="X120" s="24">
        <f t="shared" ref="X120:X122" si="1247">M120*W120</f>
        <v>7349.0169999999998</v>
      </c>
      <c r="Y120" s="15">
        <v>0.46</v>
      </c>
      <c r="Z120" s="24">
        <f t="shared" ref="Z120:Z122" si="1248">Y120*M120</f>
        <v>7397.26</v>
      </c>
      <c r="AA120" s="116">
        <v>2.7699999999999999E-3</v>
      </c>
      <c r="AB120" s="18">
        <f t="shared" ref="AB120" si="1249">M120*AA120</f>
        <v>44.544370000000001</v>
      </c>
      <c r="AC120" s="16">
        <v>3.0500000000000002E-3</v>
      </c>
      <c r="AD120" s="17">
        <f t="shared" ref="AD120:AD122" si="1250">M120*AC120</f>
        <v>49.047050000000006</v>
      </c>
      <c r="AE120" s="26">
        <f>IF(M120&gt;0,(AG120+AP120)/M120,0)</f>
        <v>2.9416113177041228E-3</v>
      </c>
      <c r="AF120" s="16">
        <v>2.9999999999999997E-4</v>
      </c>
      <c r="AG120" s="23">
        <f t="shared" ref="AG120:AG122" si="1251">AF120*M120</f>
        <v>4.8242999999999991</v>
      </c>
      <c r="AH120" s="92">
        <v>0.20469999999999999</v>
      </c>
      <c r="AI120" s="29">
        <f t="shared" ref="AI120:AI122" si="1252">AL120*(1-AM120)*AH120</f>
        <v>38.889110699999996</v>
      </c>
      <c r="AJ120" s="27">
        <f t="shared" ref="AJ120:AJ122" si="1253">IF(AND(AH120&gt;0,AF120&gt;0,AC120&gt;0),((AC120-AF120)*AH120)/((AH120-AF120)*AC120),0)</f>
        <v>0.90296268967950977</v>
      </c>
      <c r="AK120" s="58">
        <f t="shared" si="680"/>
        <v>0.8992215472497912</v>
      </c>
      <c r="AL120" s="11">
        <v>209</v>
      </c>
      <c r="AM120" s="13">
        <v>9.0999999999999998E-2</v>
      </c>
      <c r="AN120" s="14">
        <v>0.22359999999999999</v>
      </c>
      <c r="AO120" s="101">
        <v>0.21740000000000001</v>
      </c>
      <c r="AP120" s="29">
        <f>AL120*(1-AM120)*AN120</f>
        <v>42.4797516</v>
      </c>
      <c r="AQ120" s="102">
        <f t="shared" ref="AQ120" si="1254">AL120*(1-AM120)*AO120</f>
        <v>41.301869400000001</v>
      </c>
      <c r="AR120" s="18">
        <v>1.55</v>
      </c>
      <c r="AS120" s="18"/>
      <c r="AT120" s="79">
        <f>AT118+AL120-AS120</f>
        <v>605.47999999999911</v>
      </c>
      <c r="AU120" s="80"/>
      <c r="AV120" s="11"/>
      <c r="AW120" s="30"/>
      <c r="AX120" s="19"/>
      <c r="AY120" s="19"/>
      <c r="AZ120" s="19"/>
      <c r="BA120" s="19"/>
      <c r="BB120" s="31"/>
    </row>
    <row r="121" spans="1:54">
      <c r="A121" s="147"/>
      <c r="B121" s="32">
        <v>2</v>
      </c>
      <c r="C121" s="10" t="s">
        <v>54</v>
      </c>
      <c r="D121" s="33">
        <v>20000</v>
      </c>
      <c r="E121" s="33">
        <v>2</v>
      </c>
      <c r="F121" s="33">
        <v>15974</v>
      </c>
      <c r="G121" s="34">
        <v>0.4</v>
      </c>
      <c r="H121" s="34">
        <v>4.9000000000000004</v>
      </c>
      <c r="I121" s="33">
        <v>15284</v>
      </c>
      <c r="J121" s="34">
        <v>4.2</v>
      </c>
      <c r="K121" s="33">
        <v>17248</v>
      </c>
      <c r="L121" s="35">
        <v>6.8000000000000005E-2</v>
      </c>
      <c r="M121" s="36">
        <f>ROUND(K121*(1-L121),0)</f>
        <v>16075</v>
      </c>
      <c r="N121" s="37">
        <v>0.67900000000000005</v>
      </c>
      <c r="O121" s="24">
        <f t="shared" si="1243"/>
        <v>10914.925000000001</v>
      </c>
      <c r="P121" s="35">
        <v>0.24299999999999999</v>
      </c>
      <c r="Q121" s="24">
        <f t="shared" si="1244"/>
        <v>3906.2249999999999</v>
      </c>
      <c r="R121" s="38">
        <v>7.8E-2</v>
      </c>
      <c r="S121" s="105">
        <v>0.28949999999999998</v>
      </c>
      <c r="T121" s="24">
        <f t="shared" si="1245"/>
        <v>1253.8499999999999</v>
      </c>
      <c r="U121" s="27">
        <v>0.27</v>
      </c>
      <c r="V121" s="24">
        <f t="shared" si="1246"/>
        <v>4340.25</v>
      </c>
      <c r="W121" s="38">
        <v>0.46300000000000002</v>
      </c>
      <c r="X121" s="24">
        <f t="shared" si="1247"/>
        <v>7442.7250000000004</v>
      </c>
      <c r="Y121" s="38">
        <v>0.44</v>
      </c>
      <c r="Z121" s="24">
        <f t="shared" si="1248"/>
        <v>7073</v>
      </c>
      <c r="AA121" s="117">
        <v>2.8E-3</v>
      </c>
      <c r="AB121" s="18">
        <f t="shared" si="764"/>
        <v>45.01</v>
      </c>
      <c r="AC121" s="39">
        <v>3.0500000000000002E-3</v>
      </c>
      <c r="AD121" s="17">
        <f t="shared" si="1250"/>
        <v>49.028750000000002</v>
      </c>
      <c r="AE121" s="26">
        <f>IF(M121&gt;0,(AG121+AP121)/M121,0)</f>
        <v>2.8292719377916017E-3</v>
      </c>
      <c r="AF121" s="39">
        <v>2.5000000000000001E-4</v>
      </c>
      <c r="AG121" s="36">
        <f t="shared" si="1251"/>
        <v>4.0187499999999998</v>
      </c>
      <c r="AH121" s="27">
        <v>0.21110000000000001</v>
      </c>
      <c r="AI121" s="40">
        <f t="shared" si="1252"/>
        <v>39.231668400000004</v>
      </c>
      <c r="AJ121" s="27">
        <f t="shared" si="1253"/>
        <v>0.91912127726571213</v>
      </c>
      <c r="AK121" s="28">
        <f t="shared" si="680"/>
        <v>0.91266074853889823</v>
      </c>
      <c r="AL121" s="33">
        <v>204</v>
      </c>
      <c r="AM121" s="35">
        <v>8.8999999999999996E-2</v>
      </c>
      <c r="AN121" s="37">
        <v>0.22309999999999999</v>
      </c>
      <c r="AO121" s="103">
        <v>0.2155</v>
      </c>
      <c r="AP121" s="40">
        <f>AL121*(1-AM121)*AN121</f>
        <v>41.461796399999997</v>
      </c>
      <c r="AQ121" s="104">
        <f t="shared" si="725"/>
        <v>40.049382000000001</v>
      </c>
      <c r="AR121" s="41">
        <v>1.55</v>
      </c>
      <c r="AS121" s="41"/>
      <c r="AT121" s="129">
        <f>AT120+AL121-AS121</f>
        <v>809.47999999999911</v>
      </c>
      <c r="AU121" s="82"/>
      <c r="AV121" s="42"/>
      <c r="AW121" s="43"/>
      <c r="AX121" s="44"/>
      <c r="AY121" s="44"/>
      <c r="AZ121" s="44"/>
      <c r="BA121" s="44"/>
      <c r="BB121" s="31"/>
    </row>
    <row r="122" spans="1:54">
      <c r="A122" s="147"/>
      <c r="B122" s="32">
        <v>3</v>
      </c>
      <c r="C122" s="143" t="s">
        <v>58</v>
      </c>
      <c r="D122" s="42">
        <v>11000</v>
      </c>
      <c r="E122" s="42">
        <v>0</v>
      </c>
      <c r="F122" s="42">
        <v>15019</v>
      </c>
      <c r="G122" s="36">
        <v>0.6</v>
      </c>
      <c r="H122" s="36">
        <v>4.5</v>
      </c>
      <c r="I122" s="42">
        <v>14758</v>
      </c>
      <c r="J122" s="36">
        <v>4.2</v>
      </c>
      <c r="K122" s="42">
        <v>16890</v>
      </c>
      <c r="L122" s="38">
        <v>6.8000000000000005E-2</v>
      </c>
      <c r="M122" s="36">
        <f>ROUND(K122*(1-L122),0)</f>
        <v>15741</v>
      </c>
      <c r="N122" s="27">
        <v>0.78800000000000003</v>
      </c>
      <c r="O122" s="24">
        <f t="shared" si="1243"/>
        <v>12403.908000000001</v>
      </c>
      <c r="P122" s="38">
        <v>0.156</v>
      </c>
      <c r="Q122" s="24">
        <f t="shared" si="1244"/>
        <v>2455.596</v>
      </c>
      <c r="R122" s="38">
        <v>5.6000000000000001E-2</v>
      </c>
      <c r="S122" s="105">
        <v>0.2707</v>
      </c>
      <c r="T122" s="24">
        <f t="shared" si="1245"/>
        <v>881.49599999999998</v>
      </c>
      <c r="U122" s="27">
        <v>0.26500000000000001</v>
      </c>
      <c r="V122" s="24">
        <f t="shared" si="1246"/>
        <v>4171.3649999999998</v>
      </c>
      <c r="W122" s="38">
        <v>0.46800000000000003</v>
      </c>
      <c r="X122" s="24">
        <f t="shared" si="1247"/>
        <v>7366.7880000000005</v>
      </c>
      <c r="Y122" s="38">
        <v>0.43</v>
      </c>
      <c r="Z122" s="24">
        <f t="shared" si="1248"/>
        <v>6768.63</v>
      </c>
      <c r="AA122" s="118">
        <v>2.8500000000000001E-3</v>
      </c>
      <c r="AB122" s="121">
        <f t="shared" si="764"/>
        <v>44.861850000000004</v>
      </c>
      <c r="AC122" s="45">
        <v>3.0799999999999998E-3</v>
      </c>
      <c r="AD122" s="17">
        <f t="shared" si="1250"/>
        <v>48.482279999999996</v>
      </c>
      <c r="AE122" s="26">
        <f>IF(M122&gt;0,(AG122+AP122)/M122,0)</f>
        <v>2.9724833238040788E-3</v>
      </c>
      <c r="AF122" s="45">
        <v>2.5999999999999998E-4</v>
      </c>
      <c r="AG122" s="36">
        <f t="shared" si="1251"/>
        <v>4.0926599999999995</v>
      </c>
      <c r="AH122" s="27">
        <v>0.21</v>
      </c>
      <c r="AI122" s="40">
        <f t="shared" si="1252"/>
        <v>38.984400000000001</v>
      </c>
      <c r="AJ122" s="27">
        <f t="shared" si="1253"/>
        <v>0.91671940151009479</v>
      </c>
      <c r="AK122" s="28">
        <f t="shared" si="680"/>
        <v>0.91356377265856314</v>
      </c>
      <c r="AL122" s="42">
        <v>204</v>
      </c>
      <c r="AM122" s="38">
        <v>0.09</v>
      </c>
      <c r="AN122" s="27">
        <v>0.23</v>
      </c>
      <c r="AO122" s="105">
        <v>0.22289999999999999</v>
      </c>
      <c r="AP122" s="40">
        <f>AL122*(1-AM122)*AN122</f>
        <v>42.697200000000002</v>
      </c>
      <c r="AQ122" s="106">
        <f t="shared" si="725"/>
        <v>41.379156000000002</v>
      </c>
      <c r="AR122" s="17">
        <v>1.5</v>
      </c>
      <c r="AS122" s="17"/>
      <c r="AT122" s="129">
        <f>AT121+AL122-AS122</f>
        <v>1013.4799999999991</v>
      </c>
      <c r="AU122" s="82"/>
      <c r="AV122" s="42"/>
      <c r="AW122" s="46"/>
      <c r="AX122" s="40"/>
      <c r="AY122" s="40"/>
      <c r="AZ122" s="40"/>
      <c r="BA122" s="40"/>
      <c r="BB122" s="31"/>
    </row>
    <row r="123" spans="1:54">
      <c r="A123" s="148"/>
      <c r="B123" s="47" t="s">
        <v>56</v>
      </c>
      <c r="C123" s="48"/>
      <c r="D123" s="49">
        <f t="shared" ref="D123" si="1255">SUM(D120:D122)</f>
        <v>43920</v>
      </c>
      <c r="E123" s="49"/>
      <c r="F123" s="49">
        <f t="shared" ref="F123" si="1256">SUM(F120:F122)</f>
        <v>46246</v>
      </c>
      <c r="G123" s="50"/>
      <c r="H123" s="50"/>
      <c r="I123" s="49">
        <f t="shared" ref="I123:K123" si="1257">SUM(I120:I122)</f>
        <v>45360</v>
      </c>
      <c r="J123" s="50"/>
      <c r="K123" s="49">
        <f t="shared" si="1257"/>
        <v>51282</v>
      </c>
      <c r="L123" s="20">
        <f t="shared" ref="L123" si="1258">IF(K123&gt;0,(K120*L120+K121*L121+K122*L122)/K123,0)</f>
        <v>6.5994149994149987E-2</v>
      </c>
      <c r="M123" s="50">
        <f t="shared" ref="M123" si="1259">M120+M121+M122</f>
        <v>47897</v>
      </c>
      <c r="N123" s="51">
        <f t="shared" ref="N123" si="1260">IF(M123&gt;0,O123/M123,0)</f>
        <v>0.68091218656700847</v>
      </c>
      <c r="O123" s="52">
        <f t="shared" ref="O123" si="1261">O120+O121+O122</f>
        <v>32613.651000000005</v>
      </c>
      <c r="P123" s="20">
        <f t="shared" ref="P123" si="1262">IF(M123&gt;0,Q123/M123,0)</f>
        <v>0.21910846190784389</v>
      </c>
      <c r="Q123" s="52">
        <f t="shared" ref="Q123" si="1263">Q120+Q121+Q122</f>
        <v>10494.637999999999</v>
      </c>
      <c r="R123" s="20">
        <f t="shared" ref="R123" si="1264">IF(M123&gt;0,T123/M123,0)</f>
        <v>9.9979351525147711E-2</v>
      </c>
      <c r="S123" s="107"/>
      <c r="T123" s="52">
        <f t="shared" ref="T123" si="1265">T120+T121+T122</f>
        <v>4788.7110000000002</v>
      </c>
      <c r="U123" s="20">
        <f t="shared" ref="U123" si="1266">IF(M123&gt;0,V123/M123,0)</f>
        <v>0.26802104515940456</v>
      </c>
      <c r="V123" s="52">
        <f t="shared" ref="V123" si="1267">V120+V121+V122</f>
        <v>12837.404</v>
      </c>
      <c r="W123" s="20">
        <f t="shared" ref="W123" si="1268">IF(M123&gt;0,X123/M123,0)</f>
        <v>0.46262876589347973</v>
      </c>
      <c r="X123" s="52">
        <f t="shared" ref="X123" si="1269">X120+X121+X122</f>
        <v>22158.53</v>
      </c>
      <c r="Y123" s="20">
        <f t="shared" ref="Y123" si="1270">IF(M123&gt;0,Z123/M123,0)</f>
        <v>0.44342839843831555</v>
      </c>
      <c r="Z123" s="52">
        <f t="shared" ref="Z123" si="1271">Z120+Z121+Z122</f>
        <v>21238.89</v>
      </c>
      <c r="AA123" s="119">
        <f t="shared" ref="AA123" si="1272">IF(M123&gt;0,AB123/M123,0)</f>
        <v>2.8063598972795792E-3</v>
      </c>
      <c r="AB123" s="54">
        <f t="shared" ref="AB123" si="1273">SUM(AB120:AB122)</f>
        <v>134.41622000000001</v>
      </c>
      <c r="AC123" s="53">
        <f t="shared" ref="AC123" si="1274">IF(M123&gt;0,AD123/M123,0)</f>
        <v>3.0598592813746166E-3</v>
      </c>
      <c r="AD123" s="54">
        <f t="shared" ref="AD123" si="1275">SUM(AD120:AD122)</f>
        <v>146.55808000000002</v>
      </c>
      <c r="AE123" s="53">
        <f t="shared" ref="AE123" si="1276">IF(M123&gt;0,(AE120*M120+AE121*M121+AE122*M122)/M123,0)</f>
        <v>2.9140542831492576E-3</v>
      </c>
      <c r="AF123" s="53">
        <f t="shared" ref="AF123" si="1277">IF(K123&gt;0,(K120*AF120+K121*AF121+K122*AF122)/K123,0)</f>
        <v>2.7000897000896998E-4</v>
      </c>
      <c r="AG123" s="50">
        <f t="shared" ref="AG123" si="1278">SUM(AG120:AG122)</f>
        <v>12.935709999999997</v>
      </c>
      <c r="AH123" s="51">
        <f t="shared" ref="AH123" si="1279">IF(K123&gt;0,(K120*AH120+K121*AH121+K122*AH122)/K123,0)</f>
        <v>0.20859813579813583</v>
      </c>
      <c r="AI123" s="56">
        <f t="shared" ref="AI123" si="1280">SUM(AI120:AI122)</f>
        <v>117.10517909999999</v>
      </c>
      <c r="AJ123" s="51">
        <f t="shared" ref="AJ123" si="1281">IF(AND(AD123&gt;0),((AD120*AJ120+AD121*AJ121+AD122*AJ122)/AD123),0)</f>
        <v>0.91291909812841099</v>
      </c>
      <c r="AK123" s="55">
        <f t="shared" si="680"/>
        <v>0.90843004864669596</v>
      </c>
      <c r="AL123" s="49">
        <f t="shared" ref="AL123" si="1282">SUM(AL120:AL122)</f>
        <v>617</v>
      </c>
      <c r="AM123" s="20">
        <f t="shared" ref="AM123" si="1283">IF(AL123&gt;0,(AM120*AL120+AM121*AL121+AM122*AL122)/AL123,0)</f>
        <v>9.0008103727714742E-2</v>
      </c>
      <c r="AN123" s="51">
        <f>IF(K123&gt;0,(AN120*K120+AN121*K121+AN122*K122)/K123,0)</f>
        <v>0.22553970593970596</v>
      </c>
      <c r="AO123" s="107">
        <f>IF(L123&gt;0,(AO120*K120+AO121*K121+AO122*K122)/K123,0)</f>
        <v>0.2185724152724153</v>
      </c>
      <c r="AP123" s="56">
        <f t="shared" ref="AP123:AQ123" si="1284">SUM(AP120:AP122)</f>
        <v>126.63874799999999</v>
      </c>
      <c r="AQ123" s="108">
        <f t="shared" si="1284"/>
        <v>122.73040739999999</v>
      </c>
      <c r="AR123" s="54"/>
      <c r="AS123" s="54">
        <f t="shared" ref="AS123" si="1285">SUM(AS120:AS122)</f>
        <v>0</v>
      </c>
      <c r="AT123" s="83"/>
      <c r="AU123" s="84">
        <f>AT122</f>
        <v>1013.4799999999991</v>
      </c>
      <c r="AV123" s="49">
        <f t="shared" ref="AV123" si="1286">SUM(AV120:AV122)</f>
        <v>0</v>
      </c>
      <c r="AW123" s="57"/>
      <c r="AX123" s="56"/>
      <c r="AY123" s="56"/>
      <c r="AZ123" s="56"/>
      <c r="BA123" s="56"/>
      <c r="BB123" s="21"/>
    </row>
    <row r="124" spans="1:54">
      <c r="A124" s="146">
        <v>31</v>
      </c>
      <c r="B124" s="22">
        <v>1</v>
      </c>
      <c r="C124" s="10" t="s">
        <v>53</v>
      </c>
      <c r="D124" s="11">
        <v>12143</v>
      </c>
      <c r="E124" s="11">
        <v>0</v>
      </c>
      <c r="F124" s="11">
        <v>15034</v>
      </c>
      <c r="G124" s="12">
        <v>0.3</v>
      </c>
      <c r="H124" s="12">
        <v>4.5</v>
      </c>
      <c r="I124" s="11">
        <v>14890</v>
      </c>
      <c r="J124" s="12">
        <v>4.7</v>
      </c>
      <c r="K124" s="11">
        <v>16650</v>
      </c>
      <c r="L124" s="13">
        <v>6.4000000000000001E-2</v>
      </c>
      <c r="M124" s="23">
        <f>ROUND(K124*(1-L124),0)</f>
        <v>15584</v>
      </c>
      <c r="N124" s="14">
        <v>0.68400000000000005</v>
      </c>
      <c r="O124" s="24">
        <f t="shared" ref="O124:O126" si="1287">M124*N124</f>
        <v>10659.456</v>
      </c>
      <c r="P124" s="13">
        <v>0.191</v>
      </c>
      <c r="Q124" s="24">
        <f t="shared" ref="Q124:Q126" si="1288">M124*P124</f>
        <v>2976.5439999999999</v>
      </c>
      <c r="R124" s="15">
        <v>0.12</v>
      </c>
      <c r="S124" s="112">
        <v>0.28050000000000003</v>
      </c>
      <c r="T124" s="24">
        <f t="shared" ref="T124:T126" si="1289">M124*R124</f>
        <v>1870.08</v>
      </c>
      <c r="U124" s="25">
        <v>0.27</v>
      </c>
      <c r="V124" s="24">
        <f t="shared" ref="V124:V126" si="1290">M124*U124</f>
        <v>4207.68</v>
      </c>
      <c r="W124" s="15">
        <v>0.45600000000000002</v>
      </c>
      <c r="X124" s="24">
        <f t="shared" ref="X124:X126" si="1291">M124*W124</f>
        <v>7106.3040000000001</v>
      </c>
      <c r="Y124" s="15">
        <v>0.44</v>
      </c>
      <c r="Z124" s="24">
        <f t="shared" ref="Z124:Z126" si="1292">Y124*M124</f>
        <v>6856.96</v>
      </c>
      <c r="AA124" s="116">
        <v>2.8E-3</v>
      </c>
      <c r="AB124" s="18">
        <f t="shared" ref="AB124" si="1293">M124*AA124</f>
        <v>43.635199999999998</v>
      </c>
      <c r="AC124" s="16">
        <v>3.0500000000000002E-3</v>
      </c>
      <c r="AD124" s="17">
        <f t="shared" ref="AD124:AD126" si="1294">M124*AC124</f>
        <v>47.531200000000005</v>
      </c>
      <c r="AE124" s="26">
        <f>IF(M124&gt;0,(AG124+AP124)/M124,0)</f>
        <v>2.8018717915811093E-3</v>
      </c>
      <c r="AF124" s="16">
        <v>2.7E-4</v>
      </c>
      <c r="AG124" s="23">
        <f t="shared" ref="AG124:AG126" si="1295">AF124*M124</f>
        <v>4.2076799999999999</v>
      </c>
      <c r="AH124" s="92">
        <v>0.20569999999999999</v>
      </c>
      <c r="AI124" s="29">
        <f t="shared" ref="AI124:AI126" si="1296">AL124*(1-AM124)*AH124</f>
        <v>36.314277999999995</v>
      </c>
      <c r="AJ124" s="27">
        <f t="shared" ref="AJ124:AJ126" si="1297">IF(AND(AH124&gt;0,AF124&gt;0,AC124&gt;0),((AC124-AF124)*AH124)/((AH124-AF124)*AC124),0)</f>
        <v>0.91267337683531469</v>
      </c>
      <c r="AK124" s="58">
        <f t="shared" si="680"/>
        <v>0.90472880869443306</v>
      </c>
      <c r="AL124" s="11">
        <v>194</v>
      </c>
      <c r="AM124" s="13">
        <v>0.09</v>
      </c>
      <c r="AN124" s="14">
        <v>0.2235</v>
      </c>
      <c r="AO124" s="101">
        <v>0.21779999999999999</v>
      </c>
      <c r="AP124" s="29">
        <f>AL124*(1-AM124)*AN124</f>
        <v>39.456690000000002</v>
      </c>
      <c r="AQ124" s="102">
        <f t="shared" ref="AQ124" si="1298">AL124*(1-AM124)*AO124</f>
        <v>38.450412</v>
      </c>
      <c r="AR124" s="18">
        <v>1.55</v>
      </c>
      <c r="AS124" s="18"/>
      <c r="AT124" s="79">
        <f>AT122+AL124-AS124+AU124</f>
        <v>1183.8599999999992</v>
      </c>
      <c r="AU124" s="130">
        <v>-23.62</v>
      </c>
      <c r="AV124" s="11"/>
      <c r="AW124" s="30"/>
      <c r="AX124" s="19"/>
      <c r="AY124" s="19"/>
      <c r="AZ124" s="19"/>
      <c r="BA124" s="19"/>
      <c r="BB124" s="31"/>
    </row>
    <row r="125" spans="1:54">
      <c r="A125" s="147"/>
      <c r="B125" s="32">
        <v>2</v>
      </c>
      <c r="C125" s="10" t="s">
        <v>54</v>
      </c>
      <c r="D125" s="33">
        <v>20000</v>
      </c>
      <c r="E125" s="33">
        <v>2</v>
      </c>
      <c r="F125" s="33">
        <v>14840</v>
      </c>
      <c r="G125" s="34">
        <v>0.4</v>
      </c>
      <c r="H125" s="34">
        <v>4.4000000000000004</v>
      </c>
      <c r="I125" s="33">
        <v>14440</v>
      </c>
      <c r="J125" s="34">
        <v>5.5</v>
      </c>
      <c r="K125" s="33">
        <v>16602</v>
      </c>
      <c r="L125" s="35">
        <v>7.0999999999999994E-2</v>
      </c>
      <c r="M125" s="36">
        <f>ROUND(K125*(1-L125),0)</f>
        <v>15423</v>
      </c>
      <c r="N125" s="37">
        <v>0.746</v>
      </c>
      <c r="O125" s="24">
        <f t="shared" si="1287"/>
        <v>11505.557999999999</v>
      </c>
      <c r="P125" s="35">
        <v>0.19700000000000001</v>
      </c>
      <c r="Q125" s="24">
        <f t="shared" si="1288"/>
        <v>3038.3310000000001</v>
      </c>
      <c r="R125" s="38">
        <v>5.7000000000000002E-2</v>
      </c>
      <c r="S125" s="105">
        <v>0.2838</v>
      </c>
      <c r="T125" s="24">
        <f t="shared" si="1289"/>
        <v>879.11099999999999</v>
      </c>
      <c r="U125" s="27">
        <v>0.26</v>
      </c>
      <c r="V125" s="24">
        <f t="shared" si="1290"/>
        <v>4009.98</v>
      </c>
      <c r="W125" s="38">
        <v>0.47799999999999998</v>
      </c>
      <c r="X125" s="24">
        <f t="shared" si="1291"/>
        <v>7372.1939999999995</v>
      </c>
      <c r="Y125" s="38">
        <v>0.45</v>
      </c>
      <c r="Z125" s="24">
        <f t="shared" si="1292"/>
        <v>6940.35</v>
      </c>
      <c r="AA125" s="117">
        <v>2.8800000000000002E-3</v>
      </c>
      <c r="AB125" s="18">
        <f t="shared" si="764"/>
        <v>44.418240000000004</v>
      </c>
      <c r="AC125" s="39">
        <v>3.2000000000000002E-3</v>
      </c>
      <c r="AD125" s="17">
        <f t="shared" si="1294"/>
        <v>49.3536</v>
      </c>
      <c r="AE125" s="26">
        <f>IF(M125&gt;0,(AG125+AP125)/M125,0)</f>
        <v>2.9508334305906763E-3</v>
      </c>
      <c r="AF125" s="39">
        <v>2.5000000000000001E-4</v>
      </c>
      <c r="AG125" s="36">
        <f t="shared" si="1295"/>
        <v>3.85575</v>
      </c>
      <c r="AH125" s="27">
        <v>0.2087</v>
      </c>
      <c r="AI125" s="40">
        <f t="shared" si="1296"/>
        <v>39.605416400000003</v>
      </c>
      <c r="AJ125" s="27">
        <f t="shared" si="1297"/>
        <v>0.92298063084672588</v>
      </c>
      <c r="AK125" s="28">
        <f t="shared" si="680"/>
        <v>0.91632181952011393</v>
      </c>
      <c r="AL125" s="33">
        <v>209</v>
      </c>
      <c r="AM125" s="35">
        <v>9.1999999999999998E-2</v>
      </c>
      <c r="AN125" s="37">
        <v>0.2195</v>
      </c>
      <c r="AO125" s="103">
        <v>0.2064</v>
      </c>
      <c r="AP125" s="40">
        <f>AL125*(1-AM125)*AN125</f>
        <v>41.654954000000004</v>
      </c>
      <c r="AQ125" s="104">
        <f t="shared" si="725"/>
        <v>39.168940800000001</v>
      </c>
      <c r="AR125" s="41">
        <v>1.55</v>
      </c>
      <c r="AS125" s="41"/>
      <c r="AT125" s="129">
        <f>AT124+AL125-AS125</f>
        <v>1392.8599999999992</v>
      </c>
      <c r="AU125" s="82"/>
      <c r="AV125" s="42"/>
      <c r="AW125" s="43"/>
      <c r="AX125" s="44"/>
      <c r="AY125" s="44"/>
      <c r="AZ125" s="44"/>
      <c r="BA125" s="44"/>
      <c r="BB125" s="31"/>
    </row>
    <row r="126" spans="1:54">
      <c r="A126" s="147"/>
      <c r="B126" s="32">
        <v>3</v>
      </c>
      <c r="C126" s="10" t="s">
        <v>55</v>
      </c>
      <c r="D126" s="42">
        <v>12300</v>
      </c>
      <c r="E126" s="42">
        <v>0</v>
      </c>
      <c r="F126" s="42">
        <v>16410</v>
      </c>
      <c r="G126" s="36">
        <v>0.3</v>
      </c>
      <c r="H126" s="36">
        <v>4.2</v>
      </c>
      <c r="I126" s="42">
        <v>15909</v>
      </c>
      <c r="J126" s="36">
        <v>5</v>
      </c>
      <c r="K126" s="42">
        <v>16633</v>
      </c>
      <c r="L126" s="38">
        <v>7.0000000000000007E-2</v>
      </c>
      <c r="M126" s="36">
        <f>ROUND(K126*(1-L126),0)</f>
        <v>15469</v>
      </c>
      <c r="N126" s="27">
        <v>0.77800000000000002</v>
      </c>
      <c r="O126" s="24">
        <f t="shared" si="1287"/>
        <v>12034.882</v>
      </c>
      <c r="P126" s="38">
        <v>0.17799999999999999</v>
      </c>
      <c r="Q126" s="24">
        <f t="shared" si="1288"/>
        <v>2753.482</v>
      </c>
      <c r="R126" s="38">
        <v>4.3999999999999997E-2</v>
      </c>
      <c r="S126" s="105">
        <v>0.27529999999999999</v>
      </c>
      <c r="T126" s="24">
        <f t="shared" si="1289"/>
        <v>680.63599999999997</v>
      </c>
      <c r="U126" s="27">
        <v>0.26200000000000001</v>
      </c>
      <c r="V126" s="24">
        <f t="shared" si="1290"/>
        <v>4052.8780000000002</v>
      </c>
      <c r="W126" s="38">
        <v>0.46800000000000003</v>
      </c>
      <c r="X126" s="24">
        <f t="shared" si="1291"/>
        <v>7239.4920000000002</v>
      </c>
      <c r="Y126" s="38">
        <v>0.46</v>
      </c>
      <c r="Z126" s="24">
        <f t="shared" si="1292"/>
        <v>7115.7400000000007</v>
      </c>
      <c r="AA126" s="118">
        <v>2.7799999999999999E-3</v>
      </c>
      <c r="AB126" s="121">
        <f t="shared" si="764"/>
        <v>43.003819999999997</v>
      </c>
      <c r="AC126" s="45">
        <v>3.0599999999999998E-3</v>
      </c>
      <c r="AD126" s="17">
        <f t="shared" si="1294"/>
        <v>47.335139999999996</v>
      </c>
      <c r="AE126" s="26">
        <f>IF(M126&gt;0,(AG126+AP126)/M126,0)</f>
        <v>2.8389189992889005E-3</v>
      </c>
      <c r="AF126" s="45">
        <v>2.7E-4</v>
      </c>
      <c r="AG126" s="36">
        <f t="shared" si="1295"/>
        <v>4.1766300000000003</v>
      </c>
      <c r="AH126" s="27">
        <v>0.20799999999999999</v>
      </c>
      <c r="AI126" s="40">
        <f t="shared" si="1296"/>
        <v>37.098880000000001</v>
      </c>
      <c r="AJ126" s="27">
        <f t="shared" si="1297"/>
        <v>0.91294978493009871</v>
      </c>
      <c r="AK126" s="28">
        <f t="shared" si="680"/>
        <v>0.90599130147199358</v>
      </c>
      <c r="AL126" s="42">
        <v>196</v>
      </c>
      <c r="AM126" s="38">
        <v>0.09</v>
      </c>
      <c r="AN126" s="27">
        <v>0.2228</v>
      </c>
      <c r="AO126" s="105">
        <v>0.21060000000000001</v>
      </c>
      <c r="AP126" s="40">
        <f>AL126*(1-AM126)*AN126</f>
        <v>39.738607999999999</v>
      </c>
      <c r="AQ126" s="106">
        <f t="shared" si="725"/>
        <v>37.562616000000006</v>
      </c>
      <c r="AR126" s="17">
        <v>1.6</v>
      </c>
      <c r="AS126" s="17"/>
      <c r="AT126" s="129">
        <f>AT125+AL126-AS126</f>
        <v>1588.8599999999992</v>
      </c>
      <c r="AU126" s="82"/>
      <c r="AV126" s="42"/>
      <c r="AW126" s="46"/>
      <c r="AX126" s="40"/>
      <c r="AY126" s="40"/>
      <c r="AZ126" s="40"/>
      <c r="BA126" s="40"/>
      <c r="BB126" s="31"/>
    </row>
    <row r="127" spans="1:54">
      <c r="A127" s="148"/>
      <c r="B127" s="47" t="s">
        <v>56</v>
      </c>
      <c r="C127" s="48"/>
      <c r="D127" s="49">
        <f>SUM(D124:D126)</f>
        <v>44443</v>
      </c>
      <c r="E127" s="137"/>
      <c r="F127" s="49">
        <f>SUM(F124:F126)</f>
        <v>46284</v>
      </c>
      <c r="G127" s="138"/>
      <c r="H127" s="138"/>
      <c r="I127" s="49">
        <f>SUM(I124:I126)</f>
        <v>45239</v>
      </c>
      <c r="J127" s="50"/>
      <c r="K127" s="49">
        <f>SUM(K124:K126)</f>
        <v>49885</v>
      </c>
      <c r="L127" s="20">
        <f>IF(K127&gt;0,(K124*L124+K125*L125+K126*L126)/K127,0)</f>
        <v>6.8330199458755139E-2</v>
      </c>
      <c r="M127" s="50">
        <f>M124+M125+M126</f>
        <v>46476</v>
      </c>
      <c r="N127" s="51">
        <f>IF(M127&gt;0,O127/M127,0)</f>
        <v>0.73586143385833547</v>
      </c>
      <c r="O127" s="52">
        <f t="shared" ref="O127" si="1299">O124+O125+O126</f>
        <v>34199.896000000001</v>
      </c>
      <c r="P127" s="20">
        <f>IF(M127&gt;0,Q127/M127,0)</f>
        <v>0.18866419227127981</v>
      </c>
      <c r="Q127" s="52">
        <f t="shared" ref="Q127" si="1300">Q124+Q125+Q126</f>
        <v>8768.357</v>
      </c>
      <c r="R127" s="20">
        <f>IF(M127&gt;0,T127/M127,0)</f>
        <v>7.3797809622170571E-2</v>
      </c>
      <c r="S127" s="107"/>
      <c r="T127" s="52">
        <f t="shared" ref="T127" si="1301">T124+T125+T126</f>
        <v>3429.8269999999998</v>
      </c>
      <c r="U127" s="20">
        <f>IF(M127&gt;0,V127/M127,0)</f>
        <v>0.26401880540494022</v>
      </c>
      <c r="V127" s="52">
        <f t="shared" ref="V127" si="1302">V124+V125+V126</f>
        <v>12270.538</v>
      </c>
      <c r="W127" s="20">
        <f>IF(M127&gt;0,X127/M127,0)</f>
        <v>0.46729473276529815</v>
      </c>
      <c r="X127" s="52">
        <f t="shared" ref="X127" si="1303">X124+X125+X126</f>
        <v>21717.989999999998</v>
      </c>
      <c r="Y127" s="20">
        <f>IF(M127&gt;0,Z127/M127,0)</f>
        <v>0.44997525604613142</v>
      </c>
      <c r="Z127" s="52">
        <f t="shared" ref="Z127" si="1304">Z124+Z125+Z126</f>
        <v>20913.050000000003</v>
      </c>
      <c r="AA127" s="119">
        <f t="shared" ref="AA127" si="1305">IF(M127&gt;0,AB127/M127,0)</f>
        <v>2.8198911266029774E-3</v>
      </c>
      <c r="AB127" s="54">
        <f t="shared" ref="AB127" si="1306">SUM(AB124:AB126)</f>
        <v>131.05725999999999</v>
      </c>
      <c r="AC127" s="53">
        <f>IF(M127&gt;0,AD127/M127,0)</f>
        <v>3.1031056889577417E-3</v>
      </c>
      <c r="AD127" s="54">
        <f t="shared" ref="AD127" si="1307">SUM(AD124:AD126)</f>
        <v>144.21994000000001</v>
      </c>
      <c r="AE127" s="53">
        <f t="shared" ref="AE127" si="1308">IF(M127&gt;0,(AE124*M124+AE125*M125+AE126*M126)/M127,0)</f>
        <v>2.8636352526034943E-3</v>
      </c>
      <c r="AF127" s="53">
        <f>IF(K127&gt;0,(K124*AF124+K125*AF125+K126*AF126)/K127,0)</f>
        <v>2.6334389094918311E-4</v>
      </c>
      <c r="AG127" s="50">
        <f t="shared" ref="AG127" si="1309">SUM(AG124:AG126)</f>
        <v>12.24006</v>
      </c>
      <c r="AH127" s="51">
        <f>IF(K127&gt;0,(K124*AH124+K125*AH125+K126*AH126)/K127,0)</f>
        <v>0.2074652981858274</v>
      </c>
      <c r="AI127" s="56">
        <f>SUM(AI124:AI126)</f>
        <v>113.01857440000001</v>
      </c>
      <c r="AJ127" s="51">
        <f>IF(AND(AD127&gt;0),((AD124*AJ124+AD125*AJ125+AD126*AJ126)/AD127),0)</f>
        <v>0.91629135024066566</v>
      </c>
      <c r="AK127" s="55">
        <f t="shared" si="680"/>
        <v>0.9091173452517407</v>
      </c>
      <c r="AL127" s="49">
        <f>SUM(AL124:AL126)</f>
        <v>599</v>
      </c>
      <c r="AM127" s="20">
        <f>IF(AL127&gt;0,(AM124*AL124+AM125*AL125+AM126*AL126)/AL127,0)</f>
        <v>9.0697829716193668E-2</v>
      </c>
      <c r="AN127" s="51">
        <f>IF(K127&gt;0,(AN124*K124+AN125*K125+AN126*K126)/K127,0)</f>
        <v>0.22193537937255689</v>
      </c>
      <c r="AO127" s="107">
        <f>IF(L127&gt;0,(AO124*K124+AO125*K125+AO126*K126)/K127,0)</f>
        <v>0.21160534429187131</v>
      </c>
      <c r="AP127" s="56">
        <f>SUM(AP124:AP126)</f>
        <v>120.85025200000001</v>
      </c>
      <c r="AQ127" s="108">
        <f t="shared" ref="AQ127" si="1310">SUM(AQ124:AQ126)</f>
        <v>115.18196880000001</v>
      </c>
      <c r="AR127" s="139"/>
      <c r="AS127" s="54">
        <f>SUM(AS124:AS126)</f>
        <v>0</v>
      </c>
      <c r="AT127" s="83"/>
      <c r="AU127" s="84">
        <f>AT126</f>
        <v>1588.8599999999992</v>
      </c>
      <c r="AV127" s="49">
        <f>SUM(AV124:AV126)</f>
        <v>0</v>
      </c>
      <c r="AW127" s="140"/>
      <c r="AX127" s="141"/>
      <c r="AY127" s="141"/>
      <c r="AZ127" s="141"/>
      <c r="BA127" s="141"/>
      <c r="BB127" s="21"/>
    </row>
  </sheetData>
  <protectedRanges>
    <protectedRange sqref="Q1 V1 X1 Z1 O1 T1 AG1 AD1:AE1 AP1:AQ1 M1 AK1" name="Range1_1_1_1_1_1_1_1_1"/>
    <protectedRange sqref="AI1:AJ1" name="Range1_1_1_1_1_1_1"/>
    <protectedRange sqref="AB1" name="Range1_1_1_1_1_1_1_1_1_1_1_1_1"/>
    <protectedRange sqref="Q2:Q3 V2:V3 X2:X3 Z2:Z3 AP2:AQ3 O2:O3 T2:T3 AG2:AG3 AK2:AK3 AD2:AE3 M2:M3" name="Range1_1_1_1_1_1_1_1_1_1"/>
    <protectedRange sqref="AH3:AJ3 AI2:AJ2" name="Range1_1_1_1_1_1_1_1"/>
    <protectedRange sqref="AA3" name="Range1_1_1_1_1_1_1_1_1_1_1"/>
    <protectedRange sqref="AB3" name="Range1_1_1_1_1_1_1_1_1_1_1_1"/>
    <protectedRange sqref="AP4:AQ127 AK4:AK127 M4:M127" name="Range1_1_1_1_1_1_1_1_1_2"/>
    <protectedRange sqref="AH7:AJ7 AH4:AI6 AJ127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_2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G4:AG127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B4:AB127" name="Range1_1_1_1_1_2_2_1_1_1_1"/>
  </protectedRanges>
  <mergeCells count="33">
    <mergeCell ref="A116:A119"/>
    <mergeCell ref="A120:A123"/>
    <mergeCell ref="A124:A127"/>
    <mergeCell ref="A92:A95"/>
    <mergeCell ref="A96:A99"/>
    <mergeCell ref="A100:A103"/>
    <mergeCell ref="A104:A107"/>
    <mergeCell ref="A108:A111"/>
    <mergeCell ref="A112:A115"/>
    <mergeCell ref="A88:A91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40:A43"/>
    <mergeCell ref="AX1:AY1"/>
    <mergeCell ref="AZ1:BA1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4FA0-C745-41DA-8DF9-A531FDE9D4E2}">
  <dimension ref="A1:BB123"/>
  <sheetViews>
    <sheetView workbookViewId="0">
      <selection sqref="A1:BB3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57</v>
      </c>
      <c r="D4" s="11">
        <v>6697</v>
      </c>
      <c r="E4" s="11">
        <v>1</v>
      </c>
      <c r="F4" s="11">
        <v>15196</v>
      </c>
      <c r="G4" s="12">
        <v>0.9</v>
      </c>
      <c r="H4" s="12">
        <v>4.9000000000000004</v>
      </c>
      <c r="I4" s="11">
        <v>14880</v>
      </c>
      <c r="J4" s="12">
        <v>4.9000000000000004</v>
      </c>
      <c r="K4" s="11">
        <v>15957</v>
      </c>
      <c r="L4" s="13">
        <v>6.4000000000000001E-2</v>
      </c>
      <c r="M4" s="23">
        <f>ROUND(K4*(1-L4),0)</f>
        <v>14936</v>
      </c>
      <c r="N4" s="14">
        <v>0.57599999999999996</v>
      </c>
      <c r="O4" s="24">
        <f t="shared" ref="O4:O6" si="0">M4*N4</f>
        <v>8603.1359999999986</v>
      </c>
      <c r="P4" s="13">
        <v>0.28999999999999998</v>
      </c>
      <c r="Q4" s="24">
        <f t="shared" ref="Q4:Q6" si="1">M4*P4</f>
        <v>4331.4399999999996</v>
      </c>
      <c r="R4" s="15">
        <v>0.13400000000000001</v>
      </c>
      <c r="S4" s="111">
        <v>0.26050000000000001</v>
      </c>
      <c r="T4" s="24">
        <f t="shared" ref="T4:T6" si="2">M4*R4</f>
        <v>2001.4240000000002</v>
      </c>
      <c r="U4" s="25">
        <v>0.26100000000000001</v>
      </c>
      <c r="V4" s="24">
        <f t="shared" ref="V4:V6" si="3">M4*U4</f>
        <v>3898.2960000000003</v>
      </c>
      <c r="W4" s="15">
        <v>0.46899999999999997</v>
      </c>
      <c r="X4" s="24">
        <f>M4*W4</f>
        <v>7004.9839999999995</v>
      </c>
      <c r="Y4" s="15">
        <v>0.44</v>
      </c>
      <c r="Z4" s="96">
        <f t="shared" ref="Z4:Z6" si="4">Y4*M4</f>
        <v>6571.84</v>
      </c>
      <c r="AA4" s="116">
        <v>2.7100000000000002E-3</v>
      </c>
      <c r="AB4" s="18">
        <f>M4*AA4</f>
        <v>40.476559999999999</v>
      </c>
      <c r="AC4" s="16">
        <v>2.8600000000000001E-3</v>
      </c>
      <c r="AD4" s="18">
        <f>M4*AC4</f>
        <v>42.71696</v>
      </c>
      <c r="AE4" s="26">
        <f>IF(M4&gt;0,(AG4+AP4)/M4,0)</f>
        <v>2.6915751606855919E-3</v>
      </c>
      <c r="AF4" s="16">
        <v>2.5999999999999998E-4</v>
      </c>
      <c r="AG4" s="23">
        <f t="shared" ref="AG4:AG6" si="5">AF4*M4</f>
        <v>3.8833599999999997</v>
      </c>
      <c r="AH4" s="92">
        <v>0.20369999999999999</v>
      </c>
      <c r="AI4" s="29">
        <f>AL4*(1-AM4)*AH4</f>
        <v>35.618574600000002</v>
      </c>
      <c r="AJ4" s="27">
        <f>IF(AND(AH4&gt;0,AF4&gt;0,AC4&gt;0),((AC4-AF4)*AH4)/((AH4-AF4)*AC4),0)</f>
        <v>0.91025274371715592</v>
      </c>
      <c r="AK4" s="58">
        <f t="shared" ref="AK4:AK67" si="6">IF(AND(AE4&gt;0,AN4&gt;0,AF4&gt;0),((AN4*(AE4-AF4))/(AE4*(AN4-AF4))),0)</f>
        <v>0.90453459018141402</v>
      </c>
      <c r="AL4" s="11">
        <v>193</v>
      </c>
      <c r="AM4" s="13">
        <v>9.4E-2</v>
      </c>
      <c r="AN4" s="14">
        <v>0.2077</v>
      </c>
      <c r="AO4" s="101">
        <v>0.19819999999999999</v>
      </c>
      <c r="AP4" s="29">
        <f>AL4*(1-AM4)*AN4</f>
        <v>36.318006599999997</v>
      </c>
      <c r="AQ4" s="102">
        <f>AL4*(1-AM4)*AO4</f>
        <v>34.6568556</v>
      </c>
      <c r="AR4" s="18">
        <v>1.6</v>
      </c>
      <c r="AS4" s="18">
        <v>1115.2</v>
      </c>
      <c r="AT4" s="88">
        <f>AT3+AL4-AS4</f>
        <v>524.25999999999931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54</v>
      </c>
      <c r="D5" s="33">
        <v>23700</v>
      </c>
      <c r="E5" s="33">
        <v>2</v>
      </c>
      <c r="F5" s="33">
        <v>15130</v>
      </c>
      <c r="G5" s="34">
        <v>1.2</v>
      </c>
      <c r="H5" s="34">
        <v>6.2</v>
      </c>
      <c r="I5" s="33">
        <v>14970</v>
      </c>
      <c r="J5" s="34">
        <v>5.4</v>
      </c>
      <c r="K5" s="33">
        <v>16146</v>
      </c>
      <c r="L5" s="35">
        <v>5.6000000000000001E-2</v>
      </c>
      <c r="M5" s="36">
        <f>ROUND(K5*(1-L5),0)</f>
        <v>15242</v>
      </c>
      <c r="N5" s="37">
        <v>0.61099999999999999</v>
      </c>
      <c r="O5" s="24">
        <f t="shared" si="0"/>
        <v>9312.8619999999992</v>
      </c>
      <c r="P5" s="35">
        <v>0.254</v>
      </c>
      <c r="Q5" s="24">
        <f t="shared" si="1"/>
        <v>3871.4679999999998</v>
      </c>
      <c r="R5" s="38">
        <v>0.13500000000000001</v>
      </c>
      <c r="S5" s="105">
        <v>0.24510000000000001</v>
      </c>
      <c r="T5" s="24">
        <f t="shared" si="2"/>
        <v>2057.67</v>
      </c>
      <c r="U5" s="27">
        <v>0.249</v>
      </c>
      <c r="V5" s="24">
        <f t="shared" si="3"/>
        <v>3795.2579999999998</v>
      </c>
      <c r="W5" s="38">
        <v>0.47499999999999998</v>
      </c>
      <c r="X5" s="24">
        <f>M5*W5</f>
        <v>7239.95</v>
      </c>
      <c r="Y5" s="38">
        <v>0.42</v>
      </c>
      <c r="Z5" s="24">
        <f t="shared" si="4"/>
        <v>6401.6399999999994</v>
      </c>
      <c r="AA5" s="117">
        <v>2.5699999999999998E-3</v>
      </c>
      <c r="AB5" s="18">
        <f t="shared" ref="AB5:AB6" si="7">M5*AA5</f>
        <v>39.171939999999999</v>
      </c>
      <c r="AC5" s="39">
        <v>2.5400000000000002E-3</v>
      </c>
      <c r="AD5" s="17">
        <f>M5*AC5</f>
        <v>38.714680000000001</v>
      </c>
      <c r="AE5" s="26">
        <f>IF(M5&gt;0,(AG5+AP5)/M5,0)</f>
        <v>2.6066153129510562E-3</v>
      </c>
      <c r="AF5" s="39">
        <v>2.3000000000000001E-4</v>
      </c>
      <c r="AG5" s="36">
        <f t="shared" si="5"/>
        <v>3.5056600000000002</v>
      </c>
      <c r="AH5" s="27">
        <v>0.20710000000000001</v>
      </c>
      <c r="AI5" s="40">
        <f>AL5*(1-AM5)*AH5</f>
        <v>33.656649400000006</v>
      </c>
      <c r="AJ5" s="27">
        <f>IF(AND(AH5&gt;0,AF5&gt;0,AC5&gt;0),((AC5-AF5)*AH5)/((AH5-AF5)*AC5),0)</f>
        <v>0.91045995259680368</v>
      </c>
      <c r="AK5" s="28">
        <f t="shared" si="6"/>
        <v>0.91270474452293127</v>
      </c>
      <c r="AL5" s="33">
        <v>178</v>
      </c>
      <c r="AM5" s="35">
        <v>8.6999999999999994E-2</v>
      </c>
      <c r="AN5" s="37">
        <v>0.22289999999999999</v>
      </c>
      <c r="AO5" s="103">
        <v>0.21790000000000001</v>
      </c>
      <c r="AP5" s="40">
        <f>AL5*(1-AM5)*AN5</f>
        <v>36.2243706</v>
      </c>
      <c r="AQ5" s="104">
        <f t="shared" ref="AQ5:AQ6" si="8">AL5*(1-AM5)*AO5</f>
        <v>35.411800600000007</v>
      </c>
      <c r="AR5" s="41">
        <v>1.55</v>
      </c>
      <c r="AS5" s="41"/>
      <c r="AT5" s="88">
        <f>AT4+AL5-AS5</f>
        <v>702.25999999999931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55</v>
      </c>
      <c r="D6" s="42">
        <v>16300</v>
      </c>
      <c r="E6" s="42">
        <v>2</v>
      </c>
      <c r="F6" s="42">
        <v>19328</v>
      </c>
      <c r="G6" s="36">
        <v>0.8</v>
      </c>
      <c r="H6" s="36">
        <v>4.5</v>
      </c>
      <c r="I6" s="42">
        <v>18886</v>
      </c>
      <c r="J6" s="36">
        <v>3.9</v>
      </c>
      <c r="K6" s="42">
        <v>16354</v>
      </c>
      <c r="L6" s="38">
        <v>7.0000000000000007E-2</v>
      </c>
      <c r="M6" s="36">
        <f>ROUND(K6*(1-L6),0)</f>
        <v>15209</v>
      </c>
      <c r="N6" s="27">
        <v>0.65600000000000003</v>
      </c>
      <c r="O6" s="24">
        <f t="shared" si="0"/>
        <v>9977.1040000000012</v>
      </c>
      <c r="P6" s="38">
        <v>0.28999999999999998</v>
      </c>
      <c r="Q6" s="24">
        <f t="shared" si="1"/>
        <v>4410.6099999999997</v>
      </c>
      <c r="R6" s="38">
        <v>5.3999999999999999E-2</v>
      </c>
      <c r="S6" s="105">
        <v>0.23880000000000001</v>
      </c>
      <c r="T6" s="24">
        <f t="shared" si="2"/>
        <v>821.28599999999994</v>
      </c>
      <c r="U6" s="27">
        <v>0.25600000000000001</v>
      </c>
      <c r="V6" s="24">
        <f t="shared" si="3"/>
        <v>3893.5039999999999</v>
      </c>
      <c r="W6" s="38">
        <v>0.47399999999999998</v>
      </c>
      <c r="X6" s="24">
        <f>M6*W6</f>
        <v>7209.0659999999998</v>
      </c>
      <c r="Y6" s="38">
        <v>0.43</v>
      </c>
      <c r="Z6" s="24">
        <f t="shared" si="4"/>
        <v>6539.87</v>
      </c>
      <c r="AA6" s="118">
        <v>2.66E-3</v>
      </c>
      <c r="AB6" s="121">
        <f t="shared" si="7"/>
        <v>40.455939999999998</v>
      </c>
      <c r="AC6" s="45">
        <v>2.65E-3</v>
      </c>
      <c r="AD6" s="17">
        <f>M6*AC6</f>
        <v>40.303849999999997</v>
      </c>
      <c r="AE6" s="26">
        <f>IF(M6&gt;0,(AG6+AP6)/M6,0)</f>
        <v>2.7861898678414095E-3</v>
      </c>
      <c r="AF6" s="45">
        <v>2.4000000000000001E-4</v>
      </c>
      <c r="AG6" s="36">
        <f t="shared" si="5"/>
        <v>3.6501600000000001</v>
      </c>
      <c r="AH6" s="27">
        <v>0.20660000000000001</v>
      </c>
      <c r="AI6" s="40">
        <f>AL6*(1-AM6)*AH6</f>
        <v>36.185370200000008</v>
      </c>
      <c r="AJ6" s="27">
        <f>IF(AND(AH6&gt;0,AF6&gt;0,AC6&gt;0),((AC6-AF6)*AH6)/((AH6-AF6)*AC6),0)</f>
        <v>0.91049164859359166</v>
      </c>
      <c r="AK6" s="28">
        <f t="shared" si="6"/>
        <v>0.91485391684320605</v>
      </c>
      <c r="AL6" s="42">
        <v>191</v>
      </c>
      <c r="AM6" s="38">
        <v>8.3000000000000004E-2</v>
      </c>
      <c r="AN6" s="27">
        <v>0.22109999999999999</v>
      </c>
      <c r="AO6" s="105">
        <v>0.2087</v>
      </c>
      <c r="AP6" s="40">
        <f>AL6*(1-AM6)*AN6</f>
        <v>38.7250017</v>
      </c>
      <c r="AQ6" s="106">
        <f t="shared" si="8"/>
        <v>36.553178900000006</v>
      </c>
      <c r="AR6" s="17">
        <v>1.55</v>
      </c>
      <c r="AS6" s="17"/>
      <c r="AT6" s="88">
        <f>AT5+AL6-AS6</f>
        <v>893.25999999999931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46697</v>
      </c>
      <c r="E7" s="49"/>
      <c r="F7" s="49">
        <f>SUM(F4:F6)</f>
        <v>49654</v>
      </c>
      <c r="G7" s="50"/>
      <c r="H7" s="50"/>
      <c r="I7" s="49">
        <f>SUM(I4:I6)</f>
        <v>48736</v>
      </c>
      <c r="J7" s="50"/>
      <c r="K7" s="49">
        <f>SUM(K4:K6)</f>
        <v>48457</v>
      </c>
      <c r="L7" s="20">
        <f>IF(K7&gt;0,(K4*L4+K5*L5+K6*L6)/K7,0)</f>
        <v>6.3359349526384223E-2</v>
      </c>
      <c r="M7" s="50">
        <f>M4+M5+M6</f>
        <v>45387</v>
      </c>
      <c r="N7" s="51">
        <f>IF(M7&gt;0,O7/M7,0)</f>
        <v>0.61456148236279107</v>
      </c>
      <c r="O7" s="52">
        <f>O4+O5+O6</f>
        <v>27893.101999999999</v>
      </c>
      <c r="P7" s="20">
        <f>IF(M7&gt;0,Q7/M7,0)</f>
        <v>0.27791037081102521</v>
      </c>
      <c r="Q7" s="52">
        <f>Q4+Q5+Q6</f>
        <v>12613.518</v>
      </c>
      <c r="R7" s="20">
        <f>IF(M7&gt;0,T7/M7,0)</f>
        <v>0.10752814682618371</v>
      </c>
      <c r="S7" s="107"/>
      <c r="T7" s="52">
        <f>T4+T5+T6</f>
        <v>4880.38</v>
      </c>
      <c r="U7" s="20">
        <f>IF(M7&gt;0,V7/M7,0)</f>
        <v>0.25529464384074735</v>
      </c>
      <c r="V7" s="52">
        <f>V4+V5+V6</f>
        <v>11587.058000000001</v>
      </c>
      <c r="W7" s="20">
        <f>IF(M7&gt;0,X7/M7,0)</f>
        <v>0.47269041796109018</v>
      </c>
      <c r="X7" s="52">
        <f>X4+X5+X6</f>
        <v>21454</v>
      </c>
      <c r="Y7" s="20">
        <f>IF(M7&gt;0,Z7/M7,0)</f>
        <v>0.429932579813603</v>
      </c>
      <c r="Z7" s="52">
        <f>Z4+Z5+Z6</f>
        <v>19513.349999999999</v>
      </c>
      <c r="AA7" s="119">
        <f>IF(M7&gt;0,AB7/M7,0)</f>
        <v>2.646229977746932E-3</v>
      </c>
      <c r="AB7" s="54">
        <f t="shared" ref="AB7" si="9">SUM(AB4:AB6)</f>
        <v>120.10444</v>
      </c>
      <c r="AC7" s="53">
        <f>IF(M7&gt;0,AD7/M7,0)</f>
        <v>2.6821664793883712E-3</v>
      </c>
      <c r="AD7" s="54">
        <f>SUM(AD4:AD6)</f>
        <v>121.73549</v>
      </c>
      <c r="AE7" s="53">
        <f>IF(M7&gt;0,(AE4*M4+AE5*M5+AE6*M6)/M7,0)</f>
        <v>2.6947486923568423E-3</v>
      </c>
      <c r="AF7" s="53">
        <f>IF(K7&gt;0,(K4*AF4+K5*AF5+K6*AF6)/K7,0)</f>
        <v>2.4325401902717872E-4</v>
      </c>
      <c r="AG7" s="50">
        <f>SUM(AG4:AG6)</f>
        <v>11.03918</v>
      </c>
      <c r="AH7" s="51">
        <f>IF(K7&gt;0,(K4*AH4+K5*AH5+K6*AH6)/K7,0)</f>
        <v>0.20581162473945971</v>
      </c>
      <c r="AI7" s="56">
        <f>SUM(AI4:AI6)</f>
        <v>105.46059420000002</v>
      </c>
      <c r="AJ7" s="51">
        <f>IF(AND(AD7&gt;0),((AD4*AJ4+AD5*AJ5+AD6*AJ6)/AD7),0)</f>
        <v>0.91039773686396008</v>
      </c>
      <c r="AK7" s="55">
        <f t="shared" si="6"/>
        <v>0.91074993998774145</v>
      </c>
      <c r="AL7" s="49">
        <f>SUM(AL4:AL6)</f>
        <v>562</v>
      </c>
      <c r="AM7" s="20">
        <f>IF(AL7&gt;0,(AM4*AL4+AM5*AL5+AM6*AL6)/AL7,0)</f>
        <v>8.8044483985765129E-2</v>
      </c>
      <c r="AN7" s="51">
        <f>IF(K7&gt;0,(AN4*K4+AN5*K5+AN6*K6)/K7,0)</f>
        <v>0.21728711434880407</v>
      </c>
      <c r="AO7" s="107">
        <f>IF(K7&gt;0,(AO4*K4+AO5*K5+AO6*K6)/K7,0)</f>
        <v>0.20830779041211794</v>
      </c>
      <c r="AP7" s="56">
        <f>SUM(AP4:AP6)</f>
        <v>111.26737890000001</v>
      </c>
      <c r="AQ7" s="108">
        <f t="shared" ref="AQ7" si="10">SUM(AQ4:AQ6)</f>
        <v>106.62183510000001</v>
      </c>
      <c r="AR7" s="54"/>
      <c r="AS7" s="54">
        <f>SUM(AS4:AS6)</f>
        <v>1115.2</v>
      </c>
      <c r="AT7" s="83"/>
      <c r="AU7" s="84">
        <f>AT6</f>
        <v>893.25999999999931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0" t="s">
        <v>57</v>
      </c>
      <c r="D8" s="11">
        <v>7905</v>
      </c>
      <c r="E8" s="11">
        <v>1</v>
      </c>
      <c r="F8" s="11">
        <v>13015</v>
      </c>
      <c r="G8" s="12">
        <v>1</v>
      </c>
      <c r="H8" s="12">
        <v>4.0999999999999996</v>
      </c>
      <c r="I8" s="11">
        <v>12771</v>
      </c>
      <c r="J8" s="12">
        <v>5.8</v>
      </c>
      <c r="K8" s="11">
        <v>16305</v>
      </c>
      <c r="L8" s="13">
        <v>6.5000000000000002E-2</v>
      </c>
      <c r="M8" s="23">
        <f>ROUND(K8*(1-L8),0)</f>
        <v>15245</v>
      </c>
      <c r="N8" s="14">
        <v>0.70699999999999996</v>
      </c>
      <c r="O8" s="24">
        <f t="shared" ref="O8:O10" si="11">M8*N8</f>
        <v>10778.215</v>
      </c>
      <c r="P8" s="13">
        <v>0.22</v>
      </c>
      <c r="Q8" s="24">
        <f t="shared" ref="Q8:Q10" si="12">M8*P8</f>
        <v>3353.9</v>
      </c>
      <c r="R8" s="15">
        <v>7.2999999999999995E-2</v>
      </c>
      <c r="S8" s="112">
        <v>0.25209999999999999</v>
      </c>
      <c r="T8" s="24">
        <f t="shared" ref="T8:T10" si="13">M8*R8</f>
        <v>1112.885</v>
      </c>
      <c r="U8" s="25">
        <v>0.26100000000000001</v>
      </c>
      <c r="V8" s="24">
        <f t="shared" ref="V8:V10" si="14">M8*U8</f>
        <v>3978.9450000000002</v>
      </c>
      <c r="W8" s="15">
        <v>0.46899999999999997</v>
      </c>
      <c r="X8" s="24">
        <f t="shared" ref="X8:X10" si="15">M8*W8</f>
        <v>7149.9049999999997</v>
      </c>
      <c r="Y8" s="15">
        <v>0.46</v>
      </c>
      <c r="Z8" s="24">
        <f t="shared" ref="Z8:Z10" si="16">Y8*M8</f>
        <v>7012.7000000000007</v>
      </c>
      <c r="AA8" s="116">
        <v>2.82E-3</v>
      </c>
      <c r="AB8" s="18">
        <f>M8*AA8</f>
        <v>42.990900000000003</v>
      </c>
      <c r="AC8" s="16">
        <v>2.7799999999999999E-3</v>
      </c>
      <c r="AD8" s="17">
        <f t="shared" ref="AD8:AD10" si="17">M8*AC8</f>
        <v>42.381099999999996</v>
      </c>
      <c r="AE8" s="26">
        <f>IF(M8&gt;0,(AG8+AP8)/M8,0)</f>
        <v>2.7648731452935391E-3</v>
      </c>
      <c r="AF8" s="16">
        <v>2.7E-4</v>
      </c>
      <c r="AG8" s="23">
        <f t="shared" ref="AG8:AG10" si="18">AF8*M8</f>
        <v>4.1161500000000002</v>
      </c>
      <c r="AH8" s="92">
        <v>0.21199999999999999</v>
      </c>
      <c r="AI8" s="29">
        <f t="shared" ref="AI8:AI10" si="19">AL8*(1-AM8)*AH8</f>
        <v>36.501947999999999</v>
      </c>
      <c r="AJ8" s="27">
        <f t="shared" ref="AJ8:AJ10" si="20">IF(AND(AH8&gt;0,AF8&gt;0,AC8&gt;0),((AC8-AF8)*AH8)/((AH8-AF8)*AC8),0)</f>
        <v>0.90402905560121871</v>
      </c>
      <c r="AK8" s="58">
        <f t="shared" si="6"/>
        <v>0.90345059635484448</v>
      </c>
      <c r="AL8" s="11">
        <v>189</v>
      </c>
      <c r="AM8" s="13">
        <v>8.8999999999999996E-2</v>
      </c>
      <c r="AN8" s="14">
        <v>0.22090000000000001</v>
      </c>
      <c r="AO8" s="101">
        <v>0.21279999999999999</v>
      </c>
      <c r="AP8" s="29">
        <f>AL8*(1-AM8)*AN8</f>
        <v>38.034341100000006</v>
      </c>
      <c r="AQ8" s="102">
        <f t="shared" ref="AQ8:AQ70" si="21">AL8*(1-AM8)*AO8</f>
        <v>36.639691200000001</v>
      </c>
      <c r="AR8" s="18">
        <v>1.55</v>
      </c>
      <c r="AS8" s="18">
        <v>1019.06</v>
      </c>
      <c r="AT8" s="79">
        <f>AT6+AL8-AS8</f>
        <v>63.199999999999363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43" t="s">
        <v>58</v>
      </c>
      <c r="D9" s="33">
        <v>18800</v>
      </c>
      <c r="E9" s="33">
        <v>4</v>
      </c>
      <c r="F9" s="33">
        <v>16908</v>
      </c>
      <c r="G9" s="34">
        <v>0.7</v>
      </c>
      <c r="H9" s="34">
        <v>5</v>
      </c>
      <c r="I9" s="33">
        <v>16045</v>
      </c>
      <c r="J9" s="34">
        <v>5.3</v>
      </c>
      <c r="K9" s="33">
        <v>16904</v>
      </c>
      <c r="L9" s="35">
        <v>6.2E-2</v>
      </c>
      <c r="M9" s="36">
        <f>ROUND(K9*(1-L9),0)</f>
        <v>15856</v>
      </c>
      <c r="N9" s="37">
        <v>0.745</v>
      </c>
      <c r="O9" s="24">
        <f t="shared" si="11"/>
        <v>11812.72</v>
      </c>
      <c r="P9" s="35">
        <v>0.19600000000000001</v>
      </c>
      <c r="Q9" s="24">
        <f t="shared" si="12"/>
        <v>3107.7760000000003</v>
      </c>
      <c r="R9" s="38">
        <v>5.8999999999999997E-2</v>
      </c>
      <c r="S9" s="105">
        <v>0.27010000000000001</v>
      </c>
      <c r="T9" s="24">
        <f t="shared" si="13"/>
        <v>935.50399999999991</v>
      </c>
      <c r="U9" s="27">
        <v>0.27900000000000003</v>
      </c>
      <c r="V9" s="24">
        <f t="shared" si="14"/>
        <v>4423.8240000000005</v>
      </c>
      <c r="W9" s="38">
        <v>0.46300000000000002</v>
      </c>
      <c r="X9" s="24">
        <f t="shared" si="15"/>
        <v>7341.3280000000004</v>
      </c>
      <c r="Y9" s="38">
        <v>0.46</v>
      </c>
      <c r="Z9" s="24">
        <f t="shared" si="16"/>
        <v>7293.76</v>
      </c>
      <c r="AA9" s="117">
        <v>2.5600000000000002E-3</v>
      </c>
      <c r="AB9" s="18">
        <f t="shared" ref="AB9:AB10" si="22">M9*AA9</f>
        <v>40.591360000000002</v>
      </c>
      <c r="AC9" s="39">
        <v>2.5500000000000002E-3</v>
      </c>
      <c r="AD9" s="17">
        <f t="shared" si="17"/>
        <v>40.4328</v>
      </c>
      <c r="AE9" s="26">
        <f>IF(M9&gt;0,(AG9+AP9)/M9,0)</f>
        <v>2.6346661200807265E-3</v>
      </c>
      <c r="AF9" s="39">
        <v>2.5999999999999998E-4</v>
      </c>
      <c r="AG9" s="36">
        <f t="shared" si="18"/>
        <v>4.12256</v>
      </c>
      <c r="AH9" s="27">
        <v>0.21299999999999999</v>
      </c>
      <c r="AI9" s="40">
        <f t="shared" si="19"/>
        <v>35.08323</v>
      </c>
      <c r="AJ9" s="27">
        <f t="shared" si="20"/>
        <v>0.89913675350745736</v>
      </c>
      <c r="AK9" s="28">
        <f t="shared" si="6"/>
        <v>0.90234205480234131</v>
      </c>
      <c r="AL9" s="33">
        <v>181</v>
      </c>
      <c r="AM9" s="35">
        <v>0.09</v>
      </c>
      <c r="AN9" s="37">
        <v>0.2286</v>
      </c>
      <c r="AO9" s="103">
        <v>0.22059999999999999</v>
      </c>
      <c r="AP9" s="40">
        <f>AL9*(1-AM9)*AN9</f>
        <v>37.652706000000002</v>
      </c>
      <c r="AQ9" s="104">
        <f t="shared" si="21"/>
        <v>36.335025999999999</v>
      </c>
      <c r="AR9" s="41">
        <v>1.5</v>
      </c>
      <c r="AS9" s="41"/>
      <c r="AT9" s="88">
        <f>AT8+AL9-AS9</f>
        <v>244.19999999999936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55</v>
      </c>
      <c r="D10" s="42">
        <v>19435</v>
      </c>
      <c r="E10" s="42">
        <v>1</v>
      </c>
      <c r="F10" s="42">
        <v>18032</v>
      </c>
      <c r="G10" s="36">
        <v>1</v>
      </c>
      <c r="H10" s="36">
        <v>4.5</v>
      </c>
      <c r="I10" s="42">
        <v>17273</v>
      </c>
      <c r="J10" s="36">
        <v>5</v>
      </c>
      <c r="K10" s="42">
        <v>17021</v>
      </c>
      <c r="L10" s="38">
        <v>6.4000000000000001E-2</v>
      </c>
      <c r="M10" s="36">
        <f>ROUND(K10*(1-L10),0)</f>
        <v>15932</v>
      </c>
      <c r="N10" s="27">
        <v>0.748</v>
      </c>
      <c r="O10" s="24">
        <f t="shared" si="11"/>
        <v>11917.136</v>
      </c>
      <c r="P10" s="38">
        <v>0.219</v>
      </c>
      <c r="Q10" s="24">
        <f t="shared" si="12"/>
        <v>3489.1080000000002</v>
      </c>
      <c r="R10" s="38">
        <v>3.3000000000000002E-2</v>
      </c>
      <c r="S10" s="105">
        <v>0.25209999999999999</v>
      </c>
      <c r="T10" s="24">
        <f t="shared" si="13"/>
        <v>525.75599999999997</v>
      </c>
      <c r="U10" s="27">
        <v>0.27300000000000002</v>
      </c>
      <c r="V10" s="24">
        <f t="shared" si="14"/>
        <v>4349.4360000000006</v>
      </c>
      <c r="W10" s="38">
        <v>0.48799999999999999</v>
      </c>
      <c r="X10" s="24">
        <f t="shared" si="15"/>
        <v>7774.8159999999998</v>
      </c>
      <c r="Y10" s="38">
        <v>0.47</v>
      </c>
      <c r="Z10" s="24">
        <f t="shared" si="16"/>
        <v>7488.04</v>
      </c>
      <c r="AA10" s="118">
        <v>2.66E-3</v>
      </c>
      <c r="AB10" s="121">
        <f t="shared" si="22"/>
        <v>42.37912</v>
      </c>
      <c r="AC10" s="45">
        <v>2.64E-3</v>
      </c>
      <c r="AD10" s="17">
        <f t="shared" si="17"/>
        <v>42.060479999999998</v>
      </c>
      <c r="AE10" s="26">
        <f>IF(M10&gt;0,(AG10+AP10)/M10,0)</f>
        <v>2.680079086115993E-3</v>
      </c>
      <c r="AF10" s="45">
        <v>2.5999999999999998E-4</v>
      </c>
      <c r="AG10" s="36">
        <f t="shared" si="18"/>
        <v>4.1423199999999998</v>
      </c>
      <c r="AH10" s="27">
        <v>0.21079999999999999</v>
      </c>
      <c r="AI10" s="40">
        <f t="shared" si="19"/>
        <v>36.447319999999998</v>
      </c>
      <c r="AJ10" s="27">
        <f t="shared" si="20"/>
        <v>0.90262845036284767</v>
      </c>
      <c r="AK10" s="28">
        <f t="shared" si="6"/>
        <v>0.90404197740172454</v>
      </c>
      <c r="AL10" s="42">
        <v>190</v>
      </c>
      <c r="AM10" s="38">
        <v>0.09</v>
      </c>
      <c r="AN10" s="27">
        <v>0.223</v>
      </c>
      <c r="AO10" s="105">
        <v>0.21279999999999999</v>
      </c>
      <c r="AP10" s="40">
        <f>AL10*(1-AM10)*AN10</f>
        <v>38.556699999999999</v>
      </c>
      <c r="AQ10" s="106">
        <f t="shared" si="21"/>
        <v>36.793120000000002</v>
      </c>
      <c r="AR10" s="17">
        <v>1.55</v>
      </c>
      <c r="AS10" s="17"/>
      <c r="AT10" s="88">
        <f>AT9+AL10-AS10</f>
        <v>434.19999999999936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46140</v>
      </c>
      <c r="E11" s="49"/>
      <c r="F11" s="49">
        <f t="shared" ref="F11" si="24">SUM(F8:F10)</f>
        <v>47955</v>
      </c>
      <c r="G11" s="50"/>
      <c r="H11" s="50"/>
      <c r="I11" s="49">
        <f t="shared" ref="I11:K11" si="25">SUM(I8:I10)</f>
        <v>46089</v>
      </c>
      <c r="J11" s="50"/>
      <c r="K11" s="49">
        <f t="shared" si="25"/>
        <v>50230</v>
      </c>
      <c r="L11" s="20">
        <f t="shared" ref="L11" si="26">IF(K11&gt;0,(K8*L8+K9*L9+K10*L10)/K11,0)</f>
        <v>6.3651542902647823E-2</v>
      </c>
      <c r="M11" s="50">
        <f t="shared" ref="M11" si="27">M8+M9+M10</f>
        <v>47033</v>
      </c>
      <c r="N11" s="51">
        <f t="shared" ref="N11" si="28">IF(M11&gt;0,O11/M11,0)</f>
        <v>0.73369912614547228</v>
      </c>
      <c r="O11" s="52">
        <f t="shared" ref="O11" si="29">O8+O9+O10</f>
        <v>34508.070999999996</v>
      </c>
      <c r="P11" s="20">
        <f t="shared" ref="P11" si="30">IF(M11&gt;0,Q11/M11,0)</f>
        <v>0.21157025917972486</v>
      </c>
      <c r="Q11" s="52">
        <f t="shared" ref="Q11" si="31">Q8+Q9+Q10</f>
        <v>9950.7839999999997</v>
      </c>
      <c r="R11" s="20">
        <f t="shared" ref="R11" si="32">IF(M11&gt;0,T11/M11,0)</f>
        <v>5.4730614674802801E-2</v>
      </c>
      <c r="S11" s="107"/>
      <c r="T11" s="52">
        <f t="shared" ref="T11" si="33">T8+T9+T10</f>
        <v>2574.145</v>
      </c>
      <c r="U11" s="20">
        <f t="shared" ref="U11" si="34">IF(M11&gt;0,V11/M11,0)</f>
        <v>0.27113314056088283</v>
      </c>
      <c r="V11" s="52">
        <f t="shared" ref="V11" si="35">V8+V9+V10</f>
        <v>12752.205000000002</v>
      </c>
      <c r="W11" s="20">
        <f t="shared" ref="W11" si="36">IF(M11&gt;0,X11/M11,0)</f>
        <v>0.47341332681308868</v>
      </c>
      <c r="X11" s="52">
        <f t="shared" ref="X11" si="37">X8+X9+X10</f>
        <v>22266.048999999999</v>
      </c>
      <c r="Y11" s="20">
        <f t="shared" ref="Y11" si="38">IF(M11&gt;0,Z11/M11,0)</f>
        <v>0.46338740884060126</v>
      </c>
      <c r="Z11" s="52">
        <f t="shared" ref="Z11" si="39">Z8+Z9+Z10</f>
        <v>21794.5</v>
      </c>
      <c r="AA11" s="119">
        <f t="shared" ref="AA11" si="40">IF(M11&gt;0,AB11/M11,0)</f>
        <v>2.6781489592413838E-3</v>
      </c>
      <c r="AB11" s="54">
        <f t="shared" ref="AB11" si="41">SUM(AB8:AB10)</f>
        <v>125.96138000000001</v>
      </c>
      <c r="AC11" s="53">
        <f t="shared" ref="AC11" si="42">IF(M11&gt;0,AD11/M11,0)</f>
        <v>2.6550375268428548E-3</v>
      </c>
      <c r="AD11" s="54">
        <f t="shared" ref="AD11" si="43">SUM(AD8:AD10)</f>
        <v>124.87437999999999</v>
      </c>
      <c r="AE11" s="53">
        <f t="shared" ref="AE11" si="44">IF(M11&gt;0,(AE8*M8+AE9*M9+AE10*M10)/M11,0)</f>
        <v>2.6922538876958729E-3</v>
      </c>
      <c r="AF11" s="53">
        <f t="shared" ref="AF11" si="45">IF(K11&gt;0,(K8*AF8+K9*AF9+K10*AF10)/K11,0)</f>
        <v>2.632460680868007E-4</v>
      </c>
      <c r="AG11" s="50">
        <f t="shared" ref="AG11" si="46">SUM(AG8:AG10)</f>
        <v>12.381030000000001</v>
      </c>
      <c r="AH11" s="51">
        <f t="shared" ref="AH11" si="47">IF(K11&gt;0,(K8*AH8+K9*AH9+K10*AH10)/K11,0)</f>
        <v>0.21192989846705154</v>
      </c>
      <c r="AI11" s="56">
        <f t="shared" ref="AI11" si="48">SUM(AI8:AI10)</f>
        <v>108.032498</v>
      </c>
      <c r="AJ11" s="51">
        <f t="shared" ref="AJ11" si="49">IF(AND(AD11&gt;0),((AD8*AJ8+AD9*AJ9+AD10*AJ10)/AD11),0)</f>
        <v>0.90197323277580777</v>
      </c>
      <c r="AK11" s="55">
        <f t="shared" si="6"/>
        <v>0.903281515774772</v>
      </c>
      <c r="AL11" s="49">
        <f t="shared" ref="AL11" si="50">SUM(AL8:AL10)</f>
        <v>560</v>
      </c>
      <c r="AM11" s="20">
        <f t="shared" ref="AM11" si="51">IF(AL11&gt;0,(AM8*AL8+AM9*AL9+AM10*AL10)/AL11,0)</f>
        <v>8.9662499999999992E-2</v>
      </c>
      <c r="AN11" s="51">
        <f>IF(K11&gt;0,(AN8*K8+AN9*K9+AN10*K10)/K11,0)</f>
        <v>0.22420290463866213</v>
      </c>
      <c r="AO11" s="107">
        <f>IF(K11&gt;0,(AO8*K8+AO9*K9+AO10*K10)/K11,0)</f>
        <v>0.21542494923352579</v>
      </c>
      <c r="AP11" s="56">
        <f t="shared" ref="AP11:AQ23" si="52">SUM(AP8:AP10)</f>
        <v>114.24374710000001</v>
      </c>
      <c r="AQ11" s="108">
        <f t="shared" si="52"/>
        <v>109.7678372</v>
      </c>
      <c r="AR11" s="54"/>
      <c r="AS11" s="54">
        <f t="shared" ref="AS11" si="53">SUM(AS8:AS10)</f>
        <v>1019.06</v>
      </c>
      <c r="AT11" s="83"/>
      <c r="AU11" s="84">
        <f>AT10</f>
        <v>434.19999999999936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57</v>
      </c>
      <c r="D12" s="11">
        <v>4523</v>
      </c>
      <c r="E12" s="11">
        <v>0</v>
      </c>
      <c r="F12" s="11">
        <v>13406</v>
      </c>
      <c r="G12" s="12">
        <v>1.4</v>
      </c>
      <c r="H12" s="12">
        <v>4.5999999999999996</v>
      </c>
      <c r="I12" s="11">
        <v>13271</v>
      </c>
      <c r="J12" s="12">
        <v>4.8</v>
      </c>
      <c r="K12" s="11">
        <v>13577</v>
      </c>
      <c r="L12" s="13">
        <v>6.4000000000000001E-2</v>
      </c>
      <c r="M12" s="23">
        <f>ROUND(K12*(1-L12),0)</f>
        <v>12708</v>
      </c>
      <c r="N12" s="14">
        <v>0.61099999999999999</v>
      </c>
      <c r="O12" s="24">
        <f t="shared" ref="O12:O14" si="55">M12*N12</f>
        <v>7764.5879999999997</v>
      </c>
      <c r="P12" s="13">
        <v>0.315</v>
      </c>
      <c r="Q12" s="24">
        <f t="shared" ref="Q12:Q14" si="56">M12*P12</f>
        <v>4003.02</v>
      </c>
      <c r="R12" s="15">
        <v>7.3999999999999996E-2</v>
      </c>
      <c r="S12" s="112">
        <v>0.25580000000000003</v>
      </c>
      <c r="T12" s="24">
        <f t="shared" ref="T12:T14" si="57">M12*R12</f>
        <v>940.39199999999994</v>
      </c>
      <c r="U12" s="25">
        <v>0.26600000000000001</v>
      </c>
      <c r="V12" s="24">
        <f t="shared" ref="V12:V14" si="58">M12*U12</f>
        <v>3380.328</v>
      </c>
      <c r="W12" s="15">
        <v>0.48099999999999998</v>
      </c>
      <c r="X12" s="24">
        <f t="shared" ref="X12:X14" si="59">M12*W12</f>
        <v>6112.5479999999998</v>
      </c>
      <c r="Y12" s="15">
        <v>0.48</v>
      </c>
      <c r="Z12" s="24">
        <f t="shared" ref="Z12:Z14" si="60">Y12*M12</f>
        <v>6099.84</v>
      </c>
      <c r="AA12" s="116">
        <v>2.7000000000000001E-3</v>
      </c>
      <c r="AB12" s="18">
        <f t="shared" ref="AB12:AB74" si="61">M12*AA12</f>
        <v>34.311599999999999</v>
      </c>
      <c r="AC12" s="16">
        <v>2.63E-3</v>
      </c>
      <c r="AD12" s="17">
        <f t="shared" ref="AD12:AD14" si="62">M12*AC12</f>
        <v>33.422040000000003</v>
      </c>
      <c r="AE12" s="26">
        <f>IF(M12&gt;0,(AG12+AP12)/M12,0)</f>
        <v>3.0576351589549889E-3</v>
      </c>
      <c r="AF12" s="16">
        <v>2.9E-4</v>
      </c>
      <c r="AG12" s="23">
        <f t="shared" ref="AG12:AG14" si="63">AF12*M12</f>
        <v>3.6853199999999999</v>
      </c>
      <c r="AH12" s="92">
        <v>0.20849999999999999</v>
      </c>
      <c r="AI12" s="29">
        <f t="shared" ref="AI12:AI14" si="64">AL12*(1-AM12)*AH12</f>
        <v>32.752014000000003</v>
      </c>
      <c r="AJ12" s="27">
        <f t="shared" ref="AJ12:AJ14" si="65">IF(AND(AH12&gt;0,AF12&gt;0,AC12&gt;0),((AC12-AF12)*AH12)/((AH12-AF12)*AC12),0)</f>
        <v>0.89097308344182347</v>
      </c>
      <c r="AK12" s="58">
        <f t="shared" si="6"/>
        <v>0.90632935693471728</v>
      </c>
      <c r="AL12" s="11">
        <v>173</v>
      </c>
      <c r="AM12" s="13">
        <v>9.1999999999999998E-2</v>
      </c>
      <c r="AN12" s="14">
        <v>0.22389999999999999</v>
      </c>
      <c r="AO12" s="101">
        <v>0.21390000000000001</v>
      </c>
      <c r="AP12" s="29">
        <f>AL12*(1-AM12)*AN12</f>
        <v>35.171107599999999</v>
      </c>
      <c r="AQ12" s="102">
        <f t="shared" ref="AQ12" si="66">AL12*(1-AM12)*AO12</f>
        <v>33.600267600000002</v>
      </c>
      <c r="AR12" s="18">
        <v>1.55</v>
      </c>
      <c r="AS12" s="18">
        <v>503.94</v>
      </c>
      <c r="AT12" s="79">
        <f>AT10+AL12-AS12+AU12</f>
        <v>130.75999999999937</v>
      </c>
      <c r="AU12" s="130">
        <v>27.5</v>
      </c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43" t="s">
        <v>58</v>
      </c>
      <c r="D13" s="33">
        <v>22200</v>
      </c>
      <c r="E13" s="33">
        <v>5</v>
      </c>
      <c r="F13" s="33">
        <v>16981</v>
      </c>
      <c r="G13" s="34">
        <v>0.6</v>
      </c>
      <c r="H13" s="34">
        <v>4.0999999999999996</v>
      </c>
      <c r="I13" s="33">
        <v>16455</v>
      </c>
      <c r="J13" s="34">
        <v>5.5</v>
      </c>
      <c r="K13" s="33">
        <v>17058</v>
      </c>
      <c r="L13" s="35">
        <v>6.7000000000000004E-2</v>
      </c>
      <c r="M13" s="36">
        <f>ROUND(K13*(1-L13),0)</f>
        <v>15915</v>
      </c>
      <c r="N13" s="37">
        <v>0.69</v>
      </c>
      <c r="O13" s="24">
        <f t="shared" si="55"/>
        <v>10981.349999999999</v>
      </c>
      <c r="P13" s="35">
        <v>0.22800000000000001</v>
      </c>
      <c r="Q13" s="24">
        <f t="shared" si="56"/>
        <v>3628.6200000000003</v>
      </c>
      <c r="R13" s="38">
        <v>8.2000000000000003E-2</v>
      </c>
      <c r="S13" s="105">
        <v>0.27610000000000001</v>
      </c>
      <c r="T13" s="24">
        <f t="shared" si="57"/>
        <v>1305.03</v>
      </c>
      <c r="U13" s="27">
        <v>0.27900000000000003</v>
      </c>
      <c r="V13" s="24">
        <f t="shared" si="58"/>
        <v>4440.2850000000008</v>
      </c>
      <c r="W13" s="38">
        <v>0.46500000000000002</v>
      </c>
      <c r="X13" s="24">
        <f t="shared" si="59"/>
        <v>7400.4750000000004</v>
      </c>
      <c r="Y13" s="38">
        <v>0.47</v>
      </c>
      <c r="Z13" s="24">
        <f t="shared" si="60"/>
        <v>7480.0499999999993</v>
      </c>
      <c r="AA13" s="117">
        <v>2.8E-3</v>
      </c>
      <c r="AB13" s="18">
        <f t="shared" si="61"/>
        <v>44.561999999999998</v>
      </c>
      <c r="AC13" s="39">
        <v>2.8400000000000001E-3</v>
      </c>
      <c r="AD13" s="17">
        <f t="shared" si="62"/>
        <v>45.198599999999999</v>
      </c>
      <c r="AE13" s="26">
        <f>IF(M13&gt;0,(AG13+AP13)/M13,0)</f>
        <v>2.77795712221175E-3</v>
      </c>
      <c r="AF13" s="39">
        <v>3.1E-4</v>
      </c>
      <c r="AG13" s="36">
        <f t="shared" si="63"/>
        <v>4.9336500000000001</v>
      </c>
      <c r="AH13" s="27">
        <v>0.21340000000000001</v>
      </c>
      <c r="AI13" s="40">
        <f t="shared" si="64"/>
        <v>37.978371200000005</v>
      </c>
      <c r="AJ13" s="27">
        <f t="shared" si="65"/>
        <v>0.89214105790121101</v>
      </c>
      <c r="AK13" s="28">
        <f t="shared" si="6"/>
        <v>0.88965683613735003</v>
      </c>
      <c r="AL13" s="33">
        <v>196</v>
      </c>
      <c r="AM13" s="35">
        <v>9.1999999999999998E-2</v>
      </c>
      <c r="AN13" s="37">
        <v>0.22070000000000001</v>
      </c>
      <c r="AO13" s="103">
        <v>0.21279999999999999</v>
      </c>
      <c r="AP13" s="40">
        <f>AL13*(1-AM13)*AN13</f>
        <v>39.277537600000002</v>
      </c>
      <c r="AQ13" s="104">
        <f t="shared" si="21"/>
        <v>37.871590400000002</v>
      </c>
      <c r="AR13" s="41">
        <v>1.55</v>
      </c>
      <c r="AS13" s="41"/>
      <c r="AT13" s="88">
        <f>AT12+AL13-AS13</f>
        <v>326.75999999999937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53</v>
      </c>
      <c r="D14" s="42">
        <v>18877</v>
      </c>
      <c r="E14" s="42">
        <v>1</v>
      </c>
      <c r="F14" s="42">
        <v>16647</v>
      </c>
      <c r="G14" s="36">
        <v>1.5</v>
      </c>
      <c r="H14" s="36">
        <v>5.0999999999999996</v>
      </c>
      <c r="I14" s="42">
        <v>16530</v>
      </c>
      <c r="J14" s="36">
        <v>4.8</v>
      </c>
      <c r="K14" s="42">
        <v>17080</v>
      </c>
      <c r="L14" s="38">
        <v>7.0999999999999994E-2</v>
      </c>
      <c r="M14" s="36">
        <f>ROUND(K14*(1-L14),0)</f>
        <v>15867</v>
      </c>
      <c r="N14" s="27">
        <v>0.68</v>
      </c>
      <c r="O14" s="24">
        <f t="shared" si="55"/>
        <v>10789.560000000001</v>
      </c>
      <c r="P14" s="38">
        <v>0.23899999999999999</v>
      </c>
      <c r="Q14" s="24">
        <f t="shared" si="56"/>
        <v>3792.2129999999997</v>
      </c>
      <c r="R14" s="38">
        <v>8.1000000000000003E-2</v>
      </c>
      <c r="S14" s="105">
        <v>0.27550000000000002</v>
      </c>
      <c r="T14" s="24">
        <f t="shared" si="57"/>
        <v>1285.2270000000001</v>
      </c>
      <c r="U14" s="27">
        <v>0.27400000000000002</v>
      </c>
      <c r="V14" s="24">
        <f t="shared" si="58"/>
        <v>4347.558</v>
      </c>
      <c r="W14" s="38">
        <v>0.42899999999999999</v>
      </c>
      <c r="X14" s="24">
        <f t="shared" si="59"/>
        <v>6806.9430000000002</v>
      </c>
      <c r="Y14" s="38">
        <v>0.47</v>
      </c>
      <c r="Z14" s="24">
        <f t="shared" si="60"/>
        <v>7457.49</v>
      </c>
      <c r="AA14" s="118">
        <v>2.8800000000000002E-3</v>
      </c>
      <c r="AB14" s="121">
        <f t="shared" si="61"/>
        <v>45.696960000000004</v>
      </c>
      <c r="AC14" s="45">
        <v>2.99E-3</v>
      </c>
      <c r="AD14" s="17">
        <f t="shared" si="62"/>
        <v>47.442329999999998</v>
      </c>
      <c r="AE14" s="26">
        <f>IF(M14&gt;0,(AG14+AP14)/M14,0)</f>
        <v>2.8753436188315371E-3</v>
      </c>
      <c r="AF14" s="45">
        <v>2.7999999999999998E-4</v>
      </c>
      <c r="AG14" s="36">
        <f t="shared" si="63"/>
        <v>4.4427599999999998</v>
      </c>
      <c r="AH14" s="27">
        <v>0.21110000000000001</v>
      </c>
      <c r="AI14" s="40">
        <f t="shared" si="64"/>
        <v>38.161391399999999</v>
      </c>
      <c r="AJ14" s="27">
        <f t="shared" si="65"/>
        <v>0.90755828729290533</v>
      </c>
      <c r="AK14" s="28">
        <f t="shared" si="6"/>
        <v>0.9037311541104317</v>
      </c>
      <c r="AL14" s="42">
        <v>198</v>
      </c>
      <c r="AM14" s="38">
        <v>8.6999999999999994E-2</v>
      </c>
      <c r="AN14" s="27">
        <v>0.2278</v>
      </c>
      <c r="AO14" s="105">
        <v>0.2203</v>
      </c>
      <c r="AP14" s="40">
        <f>AL14*(1-AM14)*AN14</f>
        <v>41.180317199999998</v>
      </c>
      <c r="AQ14" s="106">
        <f t="shared" si="21"/>
        <v>39.824512200000001</v>
      </c>
      <c r="AR14" s="17">
        <v>1.55</v>
      </c>
      <c r="AS14" s="17"/>
      <c r="AT14" s="88">
        <f>AT13+AL14-AS14</f>
        <v>524.75999999999931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45600</v>
      </c>
      <c r="E15" s="49"/>
      <c r="F15" s="49">
        <f t="shared" ref="F15" si="68">SUM(F12:F14)</f>
        <v>47034</v>
      </c>
      <c r="G15" s="50"/>
      <c r="H15" s="50"/>
      <c r="I15" s="49">
        <f t="shared" ref="I15:K15" si="69">SUM(I12:I14)</f>
        <v>46256</v>
      </c>
      <c r="J15" s="50"/>
      <c r="K15" s="49">
        <f t="shared" si="69"/>
        <v>47715</v>
      </c>
      <c r="L15" s="20">
        <f t="shared" ref="L15" si="70">IF(K15&gt;0,(K12*L12+K13*L13+K14*L14)/K15,0)</f>
        <v>6.7578203919103005E-2</v>
      </c>
      <c r="M15" s="50">
        <f t="shared" ref="M15" si="71">M12+M13+M14</f>
        <v>44490</v>
      </c>
      <c r="N15" s="51">
        <f t="shared" ref="N15" si="72">IF(M15&gt;0,O15/M15,0)</f>
        <v>0.66386824005394474</v>
      </c>
      <c r="O15" s="52">
        <f t="shared" ref="O15" si="73">O12+O13+O14</f>
        <v>29535.498</v>
      </c>
      <c r="P15" s="20">
        <f t="shared" ref="P15" si="74">IF(M15&gt;0,Q15/M15,0)</f>
        <v>0.25677349966284557</v>
      </c>
      <c r="Q15" s="52">
        <f t="shared" ref="Q15" si="75">Q12+Q13+Q14</f>
        <v>11423.852999999999</v>
      </c>
      <c r="R15" s="20">
        <f t="shared" ref="R15" si="76">IF(M15&gt;0,T15/M15,0)</f>
        <v>7.9358260283209719E-2</v>
      </c>
      <c r="S15" s="107"/>
      <c r="T15" s="52">
        <f t="shared" ref="T15" si="77">T12+T13+T14</f>
        <v>3530.6490000000003</v>
      </c>
      <c r="U15" s="20">
        <f t="shared" ref="U15" si="78">IF(M15&gt;0,V15/M15,0)</f>
        <v>0.27350350640593396</v>
      </c>
      <c r="V15" s="52">
        <f t="shared" ref="V15" si="79">V12+V13+V14</f>
        <v>12168.171000000002</v>
      </c>
      <c r="W15" s="20">
        <f t="shared" ref="W15" si="80">IF(M15&gt;0,X15/M15,0)</f>
        <v>0.45673108563722187</v>
      </c>
      <c r="X15" s="52">
        <f t="shared" ref="X15" si="81">X12+X13+X14</f>
        <v>20319.966</v>
      </c>
      <c r="Y15" s="20">
        <f t="shared" ref="Y15" si="82">IF(M15&gt;0,Z15/M15,0)</f>
        <v>0.47285637221847598</v>
      </c>
      <c r="Z15" s="52">
        <f t="shared" ref="Z15" si="83">Z12+Z13+Z14</f>
        <v>21037.379999999997</v>
      </c>
      <c r="AA15" s="119">
        <f t="shared" ref="AA15" si="84">IF(M15&gt;0,AB15/M15,0)</f>
        <v>2.7999676331759947E-3</v>
      </c>
      <c r="AB15" s="54">
        <f t="shared" ref="AB15" si="85">SUM(AB12:AB14)</f>
        <v>124.57056</v>
      </c>
      <c r="AC15" s="53">
        <f t="shared" ref="AC15" si="86">IF(M15&gt;0,AD15/M15,0)</f>
        <v>2.833512474713419E-3</v>
      </c>
      <c r="AD15" s="54">
        <f t="shared" ref="AD15" si="87">SUM(AD12:AD14)</f>
        <v>126.06297000000001</v>
      </c>
      <c r="AE15" s="53">
        <f t="shared" ref="AE15" si="88">IF(M15&gt;0,(AE12*M12+AE13*M13+AE14*M14)/M15,0)</f>
        <v>2.8925756889188578E-3</v>
      </c>
      <c r="AF15" s="53">
        <f t="shared" ref="AF15" si="89">IF(K15&gt;0,(K12*AF12+K13*AF13+K14*AF14)/K15,0)</f>
        <v>2.9357036571308812E-4</v>
      </c>
      <c r="AG15" s="50">
        <f t="shared" ref="AG15" si="90">SUM(AG12:AG14)</f>
        <v>13.061730000000001</v>
      </c>
      <c r="AH15" s="51">
        <f t="shared" ref="AH15" si="91">IF(K15&gt;0,(K12*AH12+K13*AH13+K14*AH14)/K15,0)</f>
        <v>0.21118243110133081</v>
      </c>
      <c r="AI15" s="56">
        <f t="shared" ref="AI15" si="92">SUM(AI12:AI14)</f>
        <v>108.8917766</v>
      </c>
      <c r="AJ15" s="51">
        <f t="shared" ref="AJ15" si="93">IF(AND(AD15&gt;0),((AD12*AJ12+AD13*AJ13+AD14*AJ14)/AD15),0)</f>
        <v>0.89763349707970908</v>
      </c>
      <c r="AK15" s="55">
        <f t="shared" si="6"/>
        <v>0.89968732578260879</v>
      </c>
      <c r="AL15" s="49">
        <f t="shared" ref="AL15" si="94">SUM(AL12:AL14)</f>
        <v>567</v>
      </c>
      <c r="AM15" s="20">
        <f t="shared" ref="AM15" si="95">IF(AL15&gt;0,(AM12*AL12+AM13*AL13+AM14*AL14)/AL15,0)</f>
        <v>9.0253968253968253E-2</v>
      </c>
      <c r="AN15" s="51">
        <f>IF(K15&gt;0,(AN12*K12+AN13*K13+AN14*K14)/K15,0)</f>
        <v>0.22415204652624959</v>
      </c>
      <c r="AO15" s="107">
        <f>IF(K15&gt;0,(AO12*K12+AO13*K13+AO14*K14)/K15,0)</f>
        <v>0.21579768835795873</v>
      </c>
      <c r="AP15" s="56">
        <f t="shared" ref="AP15" si="96">SUM(AP12:AP14)</f>
        <v>115.62896240000001</v>
      </c>
      <c r="AQ15" s="108">
        <f t="shared" si="52"/>
        <v>111.2963702</v>
      </c>
      <c r="AR15" s="54"/>
      <c r="AS15" s="54">
        <f t="shared" ref="AS15" si="97">SUM(AS12:AS14)</f>
        <v>503.94</v>
      </c>
      <c r="AT15" s="83"/>
      <c r="AU15" s="84">
        <f>AT14</f>
        <v>524.75999999999931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0" t="s">
        <v>54</v>
      </c>
      <c r="D16" s="11">
        <v>6517</v>
      </c>
      <c r="E16" s="11">
        <v>0</v>
      </c>
      <c r="F16" s="11">
        <v>14451</v>
      </c>
      <c r="G16" s="12">
        <v>1.7</v>
      </c>
      <c r="H16" s="12">
        <v>5.3</v>
      </c>
      <c r="I16" s="11">
        <v>14380</v>
      </c>
      <c r="J16" s="12">
        <v>5.5</v>
      </c>
      <c r="K16" s="11">
        <v>17076</v>
      </c>
      <c r="L16" s="13">
        <v>6.3E-2</v>
      </c>
      <c r="M16" s="23">
        <f>ROUND(K16*(1-L16),0)</f>
        <v>16000</v>
      </c>
      <c r="N16" s="14">
        <v>0.61699999999999999</v>
      </c>
      <c r="O16" s="24">
        <f t="shared" ref="O16:O18" si="99">M16*N16</f>
        <v>9872</v>
      </c>
      <c r="P16" s="13">
        <v>0.307</v>
      </c>
      <c r="Q16" s="24">
        <f t="shared" ref="Q16:Q18" si="100">M16*P16</f>
        <v>4912</v>
      </c>
      <c r="R16" s="15">
        <v>7.5999999999999998E-2</v>
      </c>
      <c r="S16" s="112">
        <v>0.27410000000000001</v>
      </c>
      <c r="T16" s="24">
        <f t="shared" ref="T16:T18" si="101">M16*R16</f>
        <v>1216</v>
      </c>
      <c r="U16" s="25">
        <v>0.26700000000000002</v>
      </c>
      <c r="V16" s="24">
        <f t="shared" ref="V16:V18" si="102">M16*U16</f>
        <v>4272</v>
      </c>
      <c r="W16" s="15">
        <v>0.46899999999999997</v>
      </c>
      <c r="X16" s="24">
        <f t="shared" ref="X16:X18" si="103">M16*W16</f>
        <v>7504</v>
      </c>
      <c r="Y16" s="15">
        <v>0.45</v>
      </c>
      <c r="Z16" s="24">
        <f t="shared" ref="Z16:Z18" si="104">Y16*M16</f>
        <v>7200</v>
      </c>
      <c r="AA16" s="116">
        <v>2.8999999999999998E-3</v>
      </c>
      <c r="AB16" s="18">
        <f t="shared" ref="AB16" si="105">M16*AA16</f>
        <v>46.4</v>
      </c>
      <c r="AC16" s="16">
        <v>3.1099999999999999E-3</v>
      </c>
      <c r="AD16" s="17">
        <f t="shared" ref="AD16:AD18" si="106">M16*AC16</f>
        <v>49.76</v>
      </c>
      <c r="AE16" s="26">
        <f>IF(M16&gt;0,(AG16+AP16)/M16,0)</f>
        <v>2.8581241000000001E-3</v>
      </c>
      <c r="AF16" s="16">
        <v>2.5999999999999998E-4</v>
      </c>
      <c r="AG16" s="23">
        <f t="shared" ref="AG16:AG18" si="107">AF16*M16</f>
        <v>4.1599999999999993</v>
      </c>
      <c r="AH16" s="92">
        <v>0.21579999999999999</v>
      </c>
      <c r="AI16" s="29">
        <f t="shared" ref="AI16:AI18" si="108">AL16*(1-AM16)*AH16</f>
        <v>39.208054600000004</v>
      </c>
      <c r="AJ16" s="27">
        <f t="shared" ref="AJ16:AJ18" si="109">IF(AND(AH16&gt;0,AF16&gt;0,AC16&gt;0),((AC16-AF16)*AH16)/((AH16-AF16)*AC16),0)</f>
        <v>0.91750414050166995</v>
      </c>
      <c r="AK16" s="58">
        <f t="shared" si="6"/>
        <v>0.91006540709078387</v>
      </c>
      <c r="AL16" s="11">
        <v>199</v>
      </c>
      <c r="AM16" s="13">
        <v>8.6999999999999994E-2</v>
      </c>
      <c r="AN16" s="14">
        <v>0.2288</v>
      </c>
      <c r="AO16" s="101">
        <v>0.221</v>
      </c>
      <c r="AP16" s="29">
        <f>AL16*(1-AM16)*AN16</f>
        <v>41.569985600000003</v>
      </c>
      <c r="AQ16" s="102">
        <f t="shared" ref="AQ16" si="110">AL16*(1-AM16)*AO16</f>
        <v>40.152827000000002</v>
      </c>
      <c r="AR16" s="18">
        <v>1.55</v>
      </c>
      <c r="AS16" s="18">
        <v>509.5</v>
      </c>
      <c r="AT16" s="79">
        <f>AT14+AL16-AS16+AU16</f>
        <v>234.0199999999993</v>
      </c>
      <c r="AU16" s="130">
        <v>19.760000000000002</v>
      </c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43" t="s">
        <v>58</v>
      </c>
      <c r="D17" s="33">
        <v>0</v>
      </c>
      <c r="E17" s="33">
        <v>15</v>
      </c>
      <c r="F17" s="33">
        <v>15124</v>
      </c>
      <c r="G17" s="34">
        <v>1.7</v>
      </c>
      <c r="H17" s="34">
        <v>5.8</v>
      </c>
      <c r="I17" s="33">
        <v>14541</v>
      </c>
      <c r="J17" s="34">
        <v>5.7</v>
      </c>
      <c r="K17" s="33">
        <v>16246</v>
      </c>
      <c r="L17" s="35">
        <v>7.3999999999999996E-2</v>
      </c>
      <c r="M17" s="36">
        <f>ROUND(K17*(1-L17),0)</f>
        <v>15044</v>
      </c>
      <c r="N17" s="37">
        <v>0.80600000000000005</v>
      </c>
      <c r="O17" s="24">
        <f t="shared" si="99"/>
        <v>12125.464</v>
      </c>
      <c r="P17" s="35">
        <v>0.14199999999999999</v>
      </c>
      <c r="Q17" s="24">
        <f t="shared" si="100"/>
        <v>2136.2479999999996</v>
      </c>
      <c r="R17" s="38">
        <v>5.1999999999999998E-2</v>
      </c>
      <c r="S17" s="105">
        <v>0.27310000000000001</v>
      </c>
      <c r="T17" s="24">
        <f t="shared" si="101"/>
        <v>782.28800000000001</v>
      </c>
      <c r="U17" s="27">
        <v>0.26100000000000001</v>
      </c>
      <c r="V17" s="24">
        <f t="shared" si="102"/>
        <v>3926.4839999999999</v>
      </c>
      <c r="W17" s="38">
        <v>0.44900000000000001</v>
      </c>
      <c r="X17" s="24">
        <f t="shared" si="103"/>
        <v>6754.7560000000003</v>
      </c>
      <c r="Y17" s="38">
        <v>0.45</v>
      </c>
      <c r="Z17" s="24">
        <f t="shared" si="104"/>
        <v>6769.8</v>
      </c>
      <c r="AA17" s="117">
        <v>2.8400000000000001E-3</v>
      </c>
      <c r="AB17" s="18">
        <f t="shared" si="61"/>
        <v>42.724960000000003</v>
      </c>
      <c r="AC17" s="39">
        <v>2.97E-3</v>
      </c>
      <c r="AD17" s="17">
        <f t="shared" si="106"/>
        <v>44.680680000000002</v>
      </c>
      <c r="AE17" s="26">
        <f>IF(M17&gt;0,(AG17+AP17)/M17,0)</f>
        <v>3.2382656208455201E-3</v>
      </c>
      <c r="AF17" s="39">
        <v>2.5000000000000001E-4</v>
      </c>
      <c r="AG17" s="36">
        <f t="shared" si="107"/>
        <v>3.7610000000000001</v>
      </c>
      <c r="AH17" s="27">
        <v>0.20669999999999999</v>
      </c>
      <c r="AI17" s="40">
        <f t="shared" si="108"/>
        <v>40.174212000000004</v>
      </c>
      <c r="AJ17" s="27">
        <f t="shared" si="109"/>
        <v>0.91693393122310551</v>
      </c>
      <c r="AK17" s="28">
        <f t="shared" si="6"/>
        <v>0.9237966630750033</v>
      </c>
      <c r="AL17" s="33">
        <v>215</v>
      </c>
      <c r="AM17" s="35">
        <v>9.6000000000000002E-2</v>
      </c>
      <c r="AN17" s="37">
        <v>0.23130000000000001</v>
      </c>
      <c r="AO17" s="103">
        <v>0.21790000000000001</v>
      </c>
      <c r="AP17" s="40">
        <f>AL17*(1-AM17)*AN17</f>
        <v>44.955468000000003</v>
      </c>
      <c r="AQ17" s="104">
        <f t="shared" si="21"/>
        <v>42.351044000000002</v>
      </c>
      <c r="AR17" s="41">
        <v>1.55</v>
      </c>
      <c r="AS17" s="41"/>
      <c r="AT17" s="88">
        <f>AT16+AL17-AS17</f>
        <v>449.0199999999993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53</v>
      </c>
      <c r="D18" s="42">
        <v>22371</v>
      </c>
      <c r="E18" s="42">
        <v>8</v>
      </c>
      <c r="F18" s="42">
        <v>15827</v>
      </c>
      <c r="G18" s="36">
        <v>1.1000000000000001</v>
      </c>
      <c r="H18" s="36">
        <v>3.9</v>
      </c>
      <c r="I18" s="42">
        <v>15211</v>
      </c>
      <c r="J18" s="36">
        <v>5.9</v>
      </c>
      <c r="K18" s="42">
        <v>16299</v>
      </c>
      <c r="L18" s="38">
        <v>6.9000000000000006E-2</v>
      </c>
      <c r="M18" s="36">
        <f>ROUND(K18*(1-L18),0)</f>
        <v>15174</v>
      </c>
      <c r="N18" s="27">
        <v>0.71799999999999997</v>
      </c>
      <c r="O18" s="24">
        <f t="shared" si="99"/>
        <v>10894.931999999999</v>
      </c>
      <c r="P18" s="38">
        <v>0.254</v>
      </c>
      <c r="Q18" s="24">
        <f t="shared" si="100"/>
        <v>3854.1959999999999</v>
      </c>
      <c r="R18" s="38">
        <v>2.8000000000000001E-2</v>
      </c>
      <c r="S18" s="105">
        <v>0.26729999999999998</v>
      </c>
      <c r="T18" s="24">
        <f t="shared" si="101"/>
        <v>424.87200000000001</v>
      </c>
      <c r="U18" s="27">
        <v>0.25700000000000001</v>
      </c>
      <c r="V18" s="24">
        <f t="shared" si="102"/>
        <v>3899.7180000000003</v>
      </c>
      <c r="W18" s="38">
        <v>0.46700000000000003</v>
      </c>
      <c r="X18" s="24">
        <f t="shared" si="103"/>
        <v>7086.2580000000007</v>
      </c>
      <c r="Y18" s="38">
        <v>0.46</v>
      </c>
      <c r="Z18" s="24">
        <f t="shared" si="104"/>
        <v>6980.04</v>
      </c>
      <c r="AA18" s="118">
        <v>2.7499999999999998E-3</v>
      </c>
      <c r="AB18" s="121">
        <f t="shared" si="61"/>
        <v>41.728499999999997</v>
      </c>
      <c r="AC18" s="45">
        <v>2.8600000000000001E-3</v>
      </c>
      <c r="AD18" s="17">
        <f t="shared" si="106"/>
        <v>43.397640000000003</v>
      </c>
      <c r="AE18" s="26">
        <f>IF(M18&gt;0,(AG18+AP18)/M18,0)</f>
        <v>2.9446582839066826E-3</v>
      </c>
      <c r="AF18" s="45">
        <v>2.5999999999999998E-4</v>
      </c>
      <c r="AG18" s="36">
        <f t="shared" si="107"/>
        <v>3.9452399999999996</v>
      </c>
      <c r="AH18" s="27">
        <v>0.1986</v>
      </c>
      <c r="AI18" s="40">
        <f t="shared" si="108"/>
        <v>34.737523199999998</v>
      </c>
      <c r="AJ18" s="27">
        <f t="shared" si="109"/>
        <v>0.91028261846049507</v>
      </c>
      <c r="AK18" s="28">
        <f t="shared" si="6"/>
        <v>0.91272345263928145</v>
      </c>
      <c r="AL18" s="42">
        <v>192</v>
      </c>
      <c r="AM18" s="38">
        <v>8.8999999999999996E-2</v>
      </c>
      <c r="AN18" s="27">
        <v>0.2329</v>
      </c>
      <c r="AO18" s="105">
        <v>0.20730000000000001</v>
      </c>
      <c r="AP18" s="40">
        <f>AL18*(1-AM18)*AN18</f>
        <v>40.737004800000001</v>
      </c>
      <c r="AQ18" s="106">
        <f t="shared" si="21"/>
        <v>36.259257600000005</v>
      </c>
      <c r="AR18" s="17">
        <v>1.6</v>
      </c>
      <c r="AS18" s="17"/>
      <c r="AT18" s="88">
        <f>AT17+AL18-AS18</f>
        <v>641.0199999999993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28888</v>
      </c>
      <c r="E19" s="49"/>
      <c r="F19" s="49">
        <f t="shared" ref="F19" si="112">SUM(F16:F18)</f>
        <v>45402</v>
      </c>
      <c r="G19" s="50"/>
      <c r="H19" s="50"/>
      <c r="I19" s="49">
        <f t="shared" ref="I19:K19" si="113">SUM(I16:I18)</f>
        <v>44132</v>
      </c>
      <c r="J19" s="50"/>
      <c r="K19" s="49">
        <f t="shared" si="113"/>
        <v>49621</v>
      </c>
      <c r="L19" s="20">
        <f t="shared" ref="L19" si="114">IF(K19&gt;0,(K16*L16+K17*L17+K18*L18)/K19,0)</f>
        <v>6.8572237560710195E-2</v>
      </c>
      <c r="M19" s="50">
        <f t="shared" ref="M19" si="115">M16+M17+M18</f>
        <v>46218</v>
      </c>
      <c r="N19" s="51">
        <f t="shared" ref="N19" si="116">IF(M19&gt;0,O19/M19,0)</f>
        <v>0.7116793457094639</v>
      </c>
      <c r="O19" s="52">
        <f t="shared" ref="O19" si="117">O16+O17+O18</f>
        <v>32892.396000000001</v>
      </c>
      <c r="P19" s="20">
        <f t="shared" ref="P19" si="118">IF(M19&gt;0,Q19/M19,0)</f>
        <v>0.23589173049461248</v>
      </c>
      <c r="Q19" s="52">
        <f t="shared" ref="Q19" si="119">Q16+Q17+Q18</f>
        <v>10902.444</v>
      </c>
      <c r="R19" s="20">
        <f t="shared" ref="R19" si="120">IF(M19&gt;0,T19/M19,0)</f>
        <v>5.2428923795923663E-2</v>
      </c>
      <c r="S19" s="107"/>
      <c r="T19" s="52">
        <f t="shared" ref="T19" si="121">T16+T17+T18</f>
        <v>2423.16</v>
      </c>
      <c r="U19" s="20">
        <f t="shared" ref="U19" si="122">IF(M19&gt;0,V19/M19,0)</f>
        <v>0.26176385823705051</v>
      </c>
      <c r="V19" s="52">
        <f t="shared" ref="V19" si="123">V16+V17+V18</f>
        <v>12098.202000000001</v>
      </c>
      <c r="W19" s="20">
        <f t="shared" ref="W19" si="124">IF(M19&gt;0,X19/M19,0)</f>
        <v>0.46183335496992522</v>
      </c>
      <c r="X19" s="52">
        <f t="shared" ref="X19" si="125">X16+X17+X18</f>
        <v>21345.014000000003</v>
      </c>
      <c r="Y19" s="20">
        <f t="shared" ref="Y19" si="126">IF(M19&gt;0,Z19/M19,0)</f>
        <v>0.4532831364403479</v>
      </c>
      <c r="Z19" s="52">
        <f t="shared" ref="Z19" si="127">Z16+Z17+Z18</f>
        <v>20949.84</v>
      </c>
      <c r="AA19" s="119">
        <f t="shared" ref="AA19" si="128">IF(M19&gt;0,AB19/M19,0)</f>
        <v>2.831222900168765E-3</v>
      </c>
      <c r="AB19" s="54">
        <f t="shared" ref="AB19" si="129">SUM(AB16:AB18)</f>
        <v>130.85345999999998</v>
      </c>
      <c r="AC19" s="53">
        <f t="shared" ref="AC19" si="130">IF(M19&gt;0,AD19/M19,0)</f>
        <v>2.9823514647972652E-3</v>
      </c>
      <c r="AD19" s="54">
        <f t="shared" ref="AD19" si="131">SUM(AD16:AD18)</f>
        <v>137.83832000000001</v>
      </c>
      <c r="AE19" s="53">
        <f t="shared" ref="AE19" si="132">IF(M19&gt;0,(AE16*M16+AE17*M17+AE18*M18)/M19,0)</f>
        <v>3.0102708555108403E-3</v>
      </c>
      <c r="AF19" s="53">
        <f t="shared" ref="AF19" si="133">IF(K19&gt;0,(K16*AF16+K17*AF17+K18*AF18)/K19,0)</f>
        <v>2.5672598295076675E-4</v>
      </c>
      <c r="AG19" s="50">
        <f t="shared" ref="AG19" si="134">SUM(AG16:AG18)</f>
        <v>11.866239999999999</v>
      </c>
      <c r="AH19" s="51">
        <f t="shared" ref="AH19" si="135">IF(K19&gt;0,(K16*AH16+K17*AH17+K18*AH18)/K19,0)</f>
        <v>0.2071709639064106</v>
      </c>
      <c r="AI19" s="56">
        <f t="shared" ref="AI19" si="136">SUM(AI16:AI18)</f>
        <v>114.11978980000001</v>
      </c>
      <c r="AJ19" s="51">
        <f t="shared" ref="AJ19" si="137">IF(AND(AD19&gt;0),((AD16*AJ16+AD17*AJ17+AD18*AJ18)/AD19),0)</f>
        <v>0.91504564890003437</v>
      </c>
      <c r="AK19" s="55">
        <f t="shared" si="6"/>
        <v>0.91573452115631404</v>
      </c>
      <c r="AL19" s="49">
        <f t="shared" ref="AL19" si="138">SUM(AL16:AL18)</f>
        <v>606</v>
      </c>
      <c r="AM19" s="20">
        <f t="shared" ref="AM19" si="139">IF(AL19&gt;0,(AM16*AL16+AM17*AL17+AM18*AL18)/AL19,0)</f>
        <v>9.0826732673267338E-2</v>
      </c>
      <c r="AN19" s="51">
        <f>IF(K19&gt;0,(AN16*K16+AN17*K17+AN18*K18)/K19,0)</f>
        <v>0.23096523044678663</v>
      </c>
      <c r="AO19" s="107">
        <f>IF(K19&gt;0,(AO16*K16+AO17*K17+AO18*K18)/K19,0)</f>
        <v>0.21548501843977347</v>
      </c>
      <c r="AP19" s="56">
        <f t="shared" ref="AP19" si="140">SUM(AP16:AP18)</f>
        <v>127.26245840000001</v>
      </c>
      <c r="AQ19" s="108">
        <f t="shared" si="52"/>
        <v>118.76312860000002</v>
      </c>
      <c r="AR19" s="54"/>
      <c r="AS19" s="54">
        <f t="shared" ref="AS19" si="141">SUM(AS16:AS18)</f>
        <v>509.5</v>
      </c>
      <c r="AT19" s="83"/>
      <c r="AU19" s="84">
        <f>AT18</f>
        <v>641.0199999999993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54</v>
      </c>
      <c r="D20" s="11">
        <v>15982</v>
      </c>
      <c r="E20" s="11">
        <v>4</v>
      </c>
      <c r="F20" s="11">
        <v>15132</v>
      </c>
      <c r="G20" s="12">
        <v>1.3</v>
      </c>
      <c r="H20" s="12">
        <v>4.9000000000000004</v>
      </c>
      <c r="I20" s="11">
        <v>14717</v>
      </c>
      <c r="J20" s="12">
        <v>6.8</v>
      </c>
      <c r="K20" s="11">
        <v>16772</v>
      </c>
      <c r="L20" s="13">
        <v>6.8000000000000005E-2</v>
      </c>
      <c r="M20" s="23">
        <f>ROUND(K20*(1-L20),0)</f>
        <v>15632</v>
      </c>
      <c r="N20" s="14">
        <v>0.60899999999999999</v>
      </c>
      <c r="O20" s="24">
        <f t="shared" ref="O20:O22" si="143">M20*N20</f>
        <v>9519.887999999999</v>
      </c>
      <c r="P20" s="13">
        <v>0.27</v>
      </c>
      <c r="Q20" s="24">
        <f t="shared" ref="Q20:Q22" si="144">M20*P20</f>
        <v>4220.6400000000003</v>
      </c>
      <c r="R20" s="15">
        <v>0.121</v>
      </c>
      <c r="S20" s="112">
        <v>0.27689999999999998</v>
      </c>
      <c r="T20" s="24">
        <f t="shared" ref="T20:T22" si="145">M20*R20</f>
        <v>1891.472</v>
      </c>
      <c r="U20" s="25">
        <v>0.26400000000000001</v>
      </c>
      <c r="V20" s="24">
        <f t="shared" ref="V20:V22" si="146">M20*U20</f>
        <v>4126.848</v>
      </c>
      <c r="W20" s="15">
        <v>0.47099999999999997</v>
      </c>
      <c r="X20" s="24">
        <f t="shared" ref="X20:X22" si="147">M20*W20</f>
        <v>7362.6719999999996</v>
      </c>
      <c r="Y20" s="15">
        <v>0.46</v>
      </c>
      <c r="Z20" s="24">
        <f t="shared" ref="Z20:Z22" si="148">Y20*M20</f>
        <v>7190.72</v>
      </c>
      <c r="AA20" s="116">
        <v>2.7200000000000002E-3</v>
      </c>
      <c r="AB20" s="18">
        <f t="shared" ref="AB20" si="149">M20*AA20</f>
        <v>42.519040000000004</v>
      </c>
      <c r="AC20" s="16">
        <v>2.9199999999999999E-3</v>
      </c>
      <c r="AD20" s="17">
        <f t="shared" ref="AD20:AD22" si="150">M20*AC20</f>
        <v>45.645440000000001</v>
      </c>
      <c r="AE20" s="26">
        <f>IF(M20&gt;0,(AG20+AP20)/M20,0)</f>
        <v>2.9896400076765608E-3</v>
      </c>
      <c r="AF20" s="16">
        <v>2.5999999999999998E-4</v>
      </c>
      <c r="AG20" s="23">
        <f t="shared" ref="AG20:AG22" si="151">AF20*M20</f>
        <v>4.0643199999999995</v>
      </c>
      <c r="AH20" s="92">
        <v>0.216</v>
      </c>
      <c r="AI20" s="29">
        <f t="shared" ref="AI20:AI22" si="152">AL20*(1-AM20)*AH20</f>
        <v>41.035896000000001</v>
      </c>
      <c r="AJ20" s="27">
        <f t="shared" ref="AJ20:AJ22" si="153">IF(AND(AH20&gt;0,AF20&gt;0,AC20&gt;0),((AC20-AF20)*AH20)/((AH20-AF20)*AC20),0)</f>
        <v>0.9120567501977902</v>
      </c>
      <c r="AK20" s="58">
        <f t="shared" si="6"/>
        <v>0.91409117185483579</v>
      </c>
      <c r="AL20" s="11">
        <v>209</v>
      </c>
      <c r="AM20" s="13">
        <v>9.0999999999999998E-2</v>
      </c>
      <c r="AN20" s="14">
        <v>0.22459999999999999</v>
      </c>
      <c r="AO20" s="101">
        <v>0.2097</v>
      </c>
      <c r="AP20" s="29">
        <f>AL20*(1-AM20)*AN20</f>
        <v>42.669732599999996</v>
      </c>
      <c r="AQ20" s="102">
        <f t="shared" ref="AQ20" si="154">AL20*(1-AM20)*AO20</f>
        <v>39.839015699999997</v>
      </c>
      <c r="AR20" s="18">
        <v>1.55</v>
      </c>
      <c r="AS20" s="18">
        <v>506.5</v>
      </c>
      <c r="AT20" s="79">
        <f>AT18+AL20-AS20+AU20</f>
        <v>336.21999999999929</v>
      </c>
      <c r="AU20" s="130">
        <v>-7.3</v>
      </c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55</v>
      </c>
      <c r="D21" s="33">
        <v>20000</v>
      </c>
      <c r="E21" s="33">
        <v>6</v>
      </c>
      <c r="F21" s="33">
        <v>16043</v>
      </c>
      <c r="G21" s="34">
        <v>1</v>
      </c>
      <c r="H21" s="34">
        <v>5.0999999999999996</v>
      </c>
      <c r="I21" s="33">
        <v>15594</v>
      </c>
      <c r="J21" s="34">
        <v>7.1</v>
      </c>
      <c r="K21" s="33">
        <v>16905</v>
      </c>
      <c r="L21" s="35">
        <v>6.7000000000000004E-2</v>
      </c>
      <c r="M21" s="36">
        <f>ROUND(K21*(1-L21),0)</f>
        <v>15772</v>
      </c>
      <c r="N21" s="37">
        <v>0.65400000000000003</v>
      </c>
      <c r="O21" s="24">
        <f t="shared" si="143"/>
        <v>10314.888000000001</v>
      </c>
      <c r="P21" s="35">
        <v>0.30299999999999999</v>
      </c>
      <c r="Q21" s="24">
        <f t="shared" si="144"/>
        <v>4778.9160000000002</v>
      </c>
      <c r="R21" s="38">
        <v>4.2999999999999997E-2</v>
      </c>
      <c r="S21" s="105">
        <v>0.27189999999999998</v>
      </c>
      <c r="T21" s="24">
        <f t="shared" si="145"/>
        <v>678.19599999999991</v>
      </c>
      <c r="U21" s="27">
        <v>0.255</v>
      </c>
      <c r="V21" s="24">
        <f t="shared" si="146"/>
        <v>4021.86</v>
      </c>
      <c r="W21" s="38">
        <v>0.47299999999999998</v>
      </c>
      <c r="X21" s="24">
        <f t="shared" si="147"/>
        <v>7460.1559999999999</v>
      </c>
      <c r="Y21" s="38">
        <v>0.46</v>
      </c>
      <c r="Z21" s="24">
        <f t="shared" si="148"/>
        <v>7255.12</v>
      </c>
      <c r="AA21" s="117">
        <v>2.7000000000000001E-3</v>
      </c>
      <c r="AB21" s="18">
        <f t="shared" si="61"/>
        <v>42.584400000000002</v>
      </c>
      <c r="AC21" s="39">
        <v>2.8300000000000001E-3</v>
      </c>
      <c r="AD21" s="17">
        <f t="shared" si="150"/>
        <v>44.63476</v>
      </c>
      <c r="AE21" s="26">
        <f>IF(M21&gt;0,(AG21+AP21)/M21,0)</f>
        <v>2.8560099416687803E-3</v>
      </c>
      <c r="AF21" s="39">
        <v>2.5999999999999998E-4</v>
      </c>
      <c r="AG21" s="36">
        <f t="shared" si="151"/>
        <v>4.1007199999999999</v>
      </c>
      <c r="AH21" s="27">
        <v>0.216</v>
      </c>
      <c r="AI21" s="40">
        <f t="shared" si="152"/>
        <v>37.698048000000007</v>
      </c>
      <c r="AJ21" s="27">
        <f t="shared" si="153"/>
        <v>0.90922164193845445</v>
      </c>
      <c r="AK21" s="28">
        <f t="shared" si="6"/>
        <v>0.90997239688619092</v>
      </c>
      <c r="AL21" s="33">
        <v>192</v>
      </c>
      <c r="AM21" s="35">
        <v>9.0999999999999998E-2</v>
      </c>
      <c r="AN21" s="37">
        <v>0.2346</v>
      </c>
      <c r="AO21" s="103">
        <v>0.21790000000000001</v>
      </c>
      <c r="AP21" s="40">
        <f>AL21*(1-AM21)*AN21</f>
        <v>40.944268800000003</v>
      </c>
      <c r="AQ21" s="104">
        <f t="shared" si="21"/>
        <v>38.029651200000004</v>
      </c>
      <c r="AR21" s="41">
        <v>1.55</v>
      </c>
      <c r="AS21" s="41"/>
      <c r="AT21" s="129">
        <f>AT20+AL21-AS21</f>
        <v>528.21999999999935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53</v>
      </c>
      <c r="D22" s="42">
        <v>16907</v>
      </c>
      <c r="E22" s="42">
        <v>3</v>
      </c>
      <c r="F22" s="42">
        <v>16746</v>
      </c>
      <c r="G22" s="36">
        <v>1.3</v>
      </c>
      <c r="H22" s="36">
        <v>4.2</v>
      </c>
      <c r="I22" s="42">
        <v>16285</v>
      </c>
      <c r="J22" s="36">
        <v>6.7</v>
      </c>
      <c r="K22" s="42">
        <v>17003</v>
      </c>
      <c r="L22" s="38">
        <v>6.7000000000000004E-2</v>
      </c>
      <c r="M22" s="36">
        <f>ROUND(K22*(1-L22),0)</f>
        <v>15864</v>
      </c>
      <c r="N22" s="27">
        <v>0.81499999999999995</v>
      </c>
      <c r="O22" s="24">
        <f t="shared" si="143"/>
        <v>12929.16</v>
      </c>
      <c r="P22" s="38">
        <v>0.14799999999999999</v>
      </c>
      <c r="Q22" s="24">
        <f t="shared" si="144"/>
        <v>2347.8719999999998</v>
      </c>
      <c r="R22" s="38">
        <v>3.6999999999999998E-2</v>
      </c>
      <c r="S22" s="105">
        <v>0.27229999999999999</v>
      </c>
      <c r="T22" s="24">
        <f t="shared" si="145"/>
        <v>586.96799999999996</v>
      </c>
      <c r="U22" s="27">
        <v>0.25900000000000001</v>
      </c>
      <c r="V22" s="24">
        <f t="shared" si="146"/>
        <v>4108.7759999999998</v>
      </c>
      <c r="W22" s="38">
        <v>0.45500000000000002</v>
      </c>
      <c r="X22" s="24">
        <f t="shared" si="147"/>
        <v>7218.12</v>
      </c>
      <c r="Y22" s="38">
        <v>0.47</v>
      </c>
      <c r="Z22" s="24">
        <f t="shared" si="148"/>
        <v>7456.08</v>
      </c>
      <c r="AA22" s="118">
        <v>2.7799999999999999E-3</v>
      </c>
      <c r="AB22" s="121">
        <f t="shared" si="61"/>
        <v>44.10192</v>
      </c>
      <c r="AC22" s="45">
        <v>2.96E-3</v>
      </c>
      <c r="AD22" s="17">
        <f t="shared" si="150"/>
        <v>46.957439999999998</v>
      </c>
      <c r="AE22" s="26">
        <f>IF(M22&gt;0,(AG22+AP22)/M22,0)</f>
        <v>2.8970683623298034E-3</v>
      </c>
      <c r="AF22" s="45">
        <v>2.5999999999999998E-4</v>
      </c>
      <c r="AG22" s="36">
        <f t="shared" si="151"/>
        <v>4.1246399999999994</v>
      </c>
      <c r="AH22" s="27">
        <v>0.21</v>
      </c>
      <c r="AI22" s="40">
        <f t="shared" si="152"/>
        <v>39.132449999999999</v>
      </c>
      <c r="AJ22" s="27">
        <f t="shared" si="153"/>
        <v>0.91329290575976951</v>
      </c>
      <c r="AK22" s="28">
        <f t="shared" si="6"/>
        <v>0.91130951674187832</v>
      </c>
      <c r="AL22" s="42">
        <v>205</v>
      </c>
      <c r="AM22" s="38">
        <v>9.0999999999999998E-2</v>
      </c>
      <c r="AN22" s="27">
        <v>0.22450000000000001</v>
      </c>
      <c r="AO22" s="105">
        <v>0.2099</v>
      </c>
      <c r="AP22" s="40">
        <f>AL22*(1-AM22)*AN22</f>
        <v>41.834452499999998</v>
      </c>
      <c r="AQ22" s="106">
        <f t="shared" si="21"/>
        <v>39.113815500000001</v>
      </c>
      <c r="AR22" s="17">
        <v>1.6</v>
      </c>
      <c r="AS22" s="17"/>
      <c r="AT22" s="129">
        <f>AT21+AL22-AS22</f>
        <v>733.21999999999935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52889</v>
      </c>
      <c r="E23" s="49"/>
      <c r="F23" s="49">
        <f t="shared" ref="F23" si="156">SUM(F20:F22)</f>
        <v>47921</v>
      </c>
      <c r="G23" s="50"/>
      <c r="H23" s="50"/>
      <c r="I23" s="49">
        <f t="shared" ref="I23" si="157">SUM(I20:I22)</f>
        <v>46596</v>
      </c>
      <c r="J23" s="50"/>
      <c r="K23" s="49">
        <f t="shared" ref="K23" si="158">SUM(K20:K22)</f>
        <v>50680</v>
      </c>
      <c r="L23" s="20">
        <f t="shared" ref="L23" si="159">IF(K23&gt;0,(K20*L20+K21*L21+K22*L22)/K23,0)</f>
        <v>6.7330939226519337E-2</v>
      </c>
      <c r="M23" s="50">
        <f t="shared" ref="M23" si="160">M20+M21+M22</f>
        <v>47268</v>
      </c>
      <c r="N23" s="51">
        <f t="shared" ref="N23" si="161">IF(M23&gt;0,O23/M23,0)</f>
        <v>0.69315257679614106</v>
      </c>
      <c r="O23" s="52">
        <f t="shared" ref="O23" si="162">O20+O21+O22</f>
        <v>32763.935999999998</v>
      </c>
      <c r="P23" s="20">
        <f t="shared" ref="P23" si="163">IF(M23&gt;0,Q23/M23,0)</f>
        <v>0.24006575272911906</v>
      </c>
      <c r="Q23" s="52">
        <f t="shared" ref="Q23" si="164">Q20+Q21+Q22</f>
        <v>11347.428</v>
      </c>
      <c r="R23" s="20">
        <f t="shared" ref="R23" si="165">IF(M23&gt;0,T23/M23,0)</f>
        <v>6.6781670474739777E-2</v>
      </c>
      <c r="S23" s="107"/>
      <c r="T23" s="52">
        <f t="shared" ref="T23" si="166">T20+T21+T22</f>
        <v>3156.6359999999995</v>
      </c>
      <c r="U23" s="20">
        <f t="shared" ref="U23" si="167">IF(M23&gt;0,V23/M23,0)</f>
        <v>0.25931886265549631</v>
      </c>
      <c r="V23" s="52">
        <f t="shared" ref="V23" si="168">V20+V21+V22</f>
        <v>12257.484</v>
      </c>
      <c r="W23" s="20">
        <f t="shared" ref="W23" si="169">IF(M23&gt;0,X23/M23,0)</f>
        <v>0.46629745282220531</v>
      </c>
      <c r="X23" s="52">
        <f t="shared" ref="X23" si="170">X20+X21+X22</f>
        <v>22040.948</v>
      </c>
      <c r="Y23" s="20">
        <f t="shared" ref="Y23" si="171">IF(M23&gt;0,Z23/M23,0)</f>
        <v>0.46335618177202331</v>
      </c>
      <c r="Z23" s="52">
        <f t="shared" ref="Z23" si="172">Z20+Z21+Z22</f>
        <v>21901.919999999998</v>
      </c>
      <c r="AA23" s="119">
        <f t="shared" ref="AA23" si="173">IF(M23&gt;0,AB23/M23,0)</f>
        <v>2.7334636540577136E-3</v>
      </c>
      <c r="AB23" s="54">
        <f t="shared" ref="AB23" si="174">SUM(AB20:AB22)</f>
        <v>129.20536000000001</v>
      </c>
      <c r="AC23" s="53">
        <f t="shared" ref="AC23" si="175">IF(M23&gt;0,AD23/M23,0)</f>
        <v>2.9033942625031734E-3</v>
      </c>
      <c r="AD23" s="54">
        <f t="shared" ref="AD23" si="176">SUM(AD20:AD22)</f>
        <v>137.23764</v>
      </c>
      <c r="AE23" s="53">
        <f t="shared" ref="AE23" si="177">IF(M23&gt;0,(AE20*M20+AE21*M21+AE22*M22)/M23,0)</f>
        <v>2.9139826923076924E-3</v>
      </c>
      <c r="AF23" s="53">
        <f t="shared" ref="AF23" si="178">IF(K23&gt;0,(K20*AF20+K21*AF21+K22*AF22)/K23,0)</f>
        <v>2.5999999999999998E-4</v>
      </c>
      <c r="AG23" s="50">
        <f t="shared" ref="AG23" si="179">SUM(AG20:AG22)</f>
        <v>12.289679999999999</v>
      </c>
      <c r="AH23" s="51">
        <f t="shared" ref="AH23" si="180">IF(K23&gt;0,(K20*AH20+K21*AH21+K22*AH22)/K23,0)</f>
        <v>0.21398701657458563</v>
      </c>
      <c r="AI23" s="56">
        <f t="shared" ref="AI23" si="181">SUM(AI20:AI22)</f>
        <v>117.86639400000001</v>
      </c>
      <c r="AJ23" s="51">
        <f t="shared" ref="AJ23" si="182">IF(AND(AD23&gt;0),((AD20*AJ20+AD21*AJ21+AD22*AJ22)/AD23),0)</f>
        <v>0.91155763292867109</v>
      </c>
      <c r="AK23" s="55">
        <f t="shared" si="6"/>
        <v>0.91181527235461479</v>
      </c>
      <c r="AL23" s="49">
        <f t="shared" ref="AL23" si="183">SUM(AL20:AL22)</f>
        <v>606</v>
      </c>
      <c r="AM23" s="20">
        <f t="shared" ref="AM23" si="184">IF(AL23&gt;0,(AM20*AL20+AM21*AL21+AM22*AL22)/AL23,0)</f>
        <v>9.0999999999999998E-2</v>
      </c>
      <c r="AN23" s="51">
        <f>IF(K23&gt;0,(AN20*K20+AN21*K21+AN22*K22)/K23,0)</f>
        <v>0.2279020856353591</v>
      </c>
      <c r="AO23" s="107">
        <f>IF(K23&gt;0,(AO20*K20+AO21*K21+AO22*K22)/K23,0)</f>
        <v>0.21250232044198897</v>
      </c>
      <c r="AP23" s="56">
        <f t="shared" ref="AP23" si="185">SUM(AP20:AP22)</f>
        <v>125.4484539</v>
      </c>
      <c r="AQ23" s="108">
        <f t="shared" si="52"/>
        <v>116.98248239999999</v>
      </c>
      <c r="AR23" s="54"/>
      <c r="AS23" s="54">
        <f t="shared" ref="AS23" si="186">SUM(AS20:AS22)</f>
        <v>506.5</v>
      </c>
      <c r="AT23" s="83"/>
      <c r="AU23" s="84">
        <f>AT22</f>
        <v>733.21999999999935</v>
      </c>
      <c r="AV23" s="49">
        <f t="shared" ref="AV23" si="187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54</v>
      </c>
      <c r="D24" s="11">
        <v>19400</v>
      </c>
      <c r="E24" s="11">
        <v>0</v>
      </c>
      <c r="F24" s="11">
        <v>17276</v>
      </c>
      <c r="G24" s="12">
        <v>1.7</v>
      </c>
      <c r="H24" s="12">
        <v>6.3</v>
      </c>
      <c r="I24" s="11">
        <v>16592</v>
      </c>
      <c r="J24" s="12">
        <v>6.7</v>
      </c>
      <c r="K24" s="11">
        <v>16947</v>
      </c>
      <c r="L24" s="13">
        <v>5.8999999999999997E-2</v>
      </c>
      <c r="M24" s="23">
        <f>ROUND(K24*(1-L24),0)</f>
        <v>15947</v>
      </c>
      <c r="N24" s="14">
        <v>0.624</v>
      </c>
      <c r="O24" s="24">
        <f t="shared" ref="O24:O26" si="188">M24*N24</f>
        <v>9950.9279999999999</v>
      </c>
      <c r="P24" s="13">
        <v>0.22500000000000001</v>
      </c>
      <c r="Q24" s="24">
        <f t="shared" ref="Q24:Q26" si="189">M24*P24</f>
        <v>3588.0750000000003</v>
      </c>
      <c r="R24" s="15">
        <v>0.151</v>
      </c>
      <c r="S24" s="112">
        <v>0.26740000000000003</v>
      </c>
      <c r="T24" s="24">
        <f t="shared" ref="T24:T26" si="190">M24*R24</f>
        <v>2407.9969999999998</v>
      </c>
      <c r="U24" s="25">
        <v>0.25700000000000001</v>
      </c>
      <c r="V24" s="24">
        <f t="shared" ref="V24:V26" si="191">M24*U24</f>
        <v>4098.3789999999999</v>
      </c>
      <c r="W24" s="15">
        <v>0.46899999999999997</v>
      </c>
      <c r="X24" s="24">
        <f t="shared" ref="X24:X26" si="192">M24*W24</f>
        <v>7479.1429999999991</v>
      </c>
      <c r="Y24" s="15">
        <v>0.46</v>
      </c>
      <c r="Z24" s="24">
        <f t="shared" ref="Z24:Z26" si="193">Y24*M24</f>
        <v>7335.62</v>
      </c>
      <c r="AA24" s="116">
        <v>2.6099999999999999E-3</v>
      </c>
      <c r="AB24" s="18">
        <f t="shared" ref="AB24" si="194">M24*AA24</f>
        <v>41.621670000000002</v>
      </c>
      <c r="AC24" s="16">
        <v>2.6700000000000001E-3</v>
      </c>
      <c r="AD24" s="17">
        <f t="shared" ref="AD24:AD26" si="195">M24*AC24</f>
        <v>42.578490000000002</v>
      </c>
      <c r="AE24" s="26">
        <f>IF(M24&gt;0,(AG24+AP24)/M24,0)</f>
        <v>2.8222706590581297E-3</v>
      </c>
      <c r="AF24" s="16">
        <v>2.5999999999999998E-4</v>
      </c>
      <c r="AG24" s="23">
        <f t="shared" ref="AG24:AG26" si="196">AF24*M24</f>
        <v>4.1462199999999996</v>
      </c>
      <c r="AH24" s="92">
        <v>0.21210000000000001</v>
      </c>
      <c r="AI24" s="29">
        <f t="shared" ref="AI24:AI26" si="197">AL24*(1-AM24)*AH24</f>
        <v>38.793726300000003</v>
      </c>
      <c r="AJ24" s="27">
        <f t="shared" ref="AJ24:AJ26" si="198">IF(AND(AH24&gt;0,AF24&gt;0,AC24&gt;0),((AC24-AF24)*AH24)/((AH24-AF24)*AC24),0)</f>
        <v>0.90372954784615922</v>
      </c>
      <c r="AK24" s="58">
        <f t="shared" si="6"/>
        <v>0.90893344239389851</v>
      </c>
      <c r="AL24" s="11">
        <v>203</v>
      </c>
      <c r="AM24" s="13">
        <v>9.9000000000000005E-2</v>
      </c>
      <c r="AN24" s="14">
        <v>0.22339999999999999</v>
      </c>
      <c r="AO24" s="101">
        <v>0.2044</v>
      </c>
      <c r="AP24" s="29">
        <f>AL24*(1-AM24)*AN24</f>
        <v>40.860530199999992</v>
      </c>
      <c r="AQ24" s="102">
        <f t="shared" ref="AQ24" si="199">AL24*(1-AM24)*AO24</f>
        <v>37.385373199999997</v>
      </c>
      <c r="AR24" s="18">
        <v>1.55</v>
      </c>
      <c r="AS24" s="18"/>
      <c r="AT24" s="79">
        <f>AT22+AL24-AS24</f>
        <v>936.21999999999935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55</v>
      </c>
      <c r="D25" s="33">
        <v>20300</v>
      </c>
      <c r="E25" s="33">
        <v>1</v>
      </c>
      <c r="F25" s="33">
        <v>15354</v>
      </c>
      <c r="G25" s="34">
        <v>3.5</v>
      </c>
      <c r="H25" s="34">
        <v>7.2</v>
      </c>
      <c r="I25" s="33">
        <v>14985</v>
      </c>
      <c r="J25" s="34">
        <v>6.9</v>
      </c>
      <c r="K25" s="33">
        <v>16842</v>
      </c>
      <c r="L25" s="35">
        <v>6.8000000000000005E-2</v>
      </c>
      <c r="M25" s="36">
        <f>ROUND(K25*(1-L25),0)</f>
        <v>15697</v>
      </c>
      <c r="N25" s="37">
        <v>0.65500000000000003</v>
      </c>
      <c r="O25" s="24">
        <f t="shared" si="188"/>
        <v>10281.535</v>
      </c>
      <c r="P25" s="35">
        <v>0.28899999999999998</v>
      </c>
      <c r="Q25" s="24">
        <f t="shared" si="189"/>
        <v>4536.433</v>
      </c>
      <c r="R25" s="38">
        <v>5.6000000000000001E-2</v>
      </c>
      <c r="S25" s="105">
        <v>0.2571</v>
      </c>
      <c r="T25" s="24">
        <f t="shared" si="190"/>
        <v>879.03200000000004</v>
      </c>
      <c r="U25" s="27">
        <v>0.25900000000000001</v>
      </c>
      <c r="V25" s="24">
        <f t="shared" si="191"/>
        <v>4065.5230000000001</v>
      </c>
      <c r="W25" s="38">
        <v>0.47799999999999998</v>
      </c>
      <c r="X25" s="24">
        <f t="shared" si="192"/>
        <v>7503.1659999999993</v>
      </c>
      <c r="Y25" s="38">
        <v>0.47</v>
      </c>
      <c r="Z25" s="24">
        <f t="shared" si="193"/>
        <v>7377.5899999999992</v>
      </c>
      <c r="AA25" s="117">
        <v>2.5799999999999998E-3</v>
      </c>
      <c r="AB25" s="18">
        <f t="shared" si="61"/>
        <v>40.498259999999995</v>
      </c>
      <c r="AC25" s="39">
        <v>2.5799999999999998E-3</v>
      </c>
      <c r="AD25" s="17">
        <f t="shared" si="195"/>
        <v>40.498259999999995</v>
      </c>
      <c r="AE25" s="26">
        <f>IF(M25&gt;0,(AG25+AP25)/M25,0)</f>
        <v>2.6273512900554245E-3</v>
      </c>
      <c r="AF25" s="39">
        <v>2.7999999999999998E-4</v>
      </c>
      <c r="AG25" s="36">
        <f t="shared" si="196"/>
        <v>4.3951599999999997</v>
      </c>
      <c r="AH25" s="27">
        <v>0.21840000000000001</v>
      </c>
      <c r="AI25" s="40">
        <f t="shared" si="197"/>
        <v>35.893166400000005</v>
      </c>
      <c r="AJ25" s="27">
        <f t="shared" si="198"/>
        <v>0.89261724930590802</v>
      </c>
      <c r="AK25" s="28">
        <f t="shared" si="6"/>
        <v>0.89454597729772556</v>
      </c>
      <c r="AL25" s="33">
        <v>182</v>
      </c>
      <c r="AM25" s="35">
        <v>9.7000000000000003E-2</v>
      </c>
      <c r="AN25" s="37">
        <v>0.22420000000000001</v>
      </c>
      <c r="AO25" s="103">
        <v>0.21049999999999999</v>
      </c>
      <c r="AP25" s="40">
        <f>AL25*(1-AM25)*AN25</f>
        <v>36.846373200000002</v>
      </c>
      <c r="AQ25" s="104">
        <f t="shared" si="21"/>
        <v>34.594833000000001</v>
      </c>
      <c r="AR25" s="41">
        <v>1.5</v>
      </c>
      <c r="AS25" s="41"/>
      <c r="AT25" s="129">
        <f>AT24+AL25-AS25</f>
        <v>1118.2199999999993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57</v>
      </c>
      <c r="D26" s="42">
        <v>10800</v>
      </c>
      <c r="E26" s="42">
        <v>0</v>
      </c>
      <c r="F26" s="42">
        <v>15350</v>
      </c>
      <c r="G26" s="36">
        <v>1.2</v>
      </c>
      <c r="H26" s="36">
        <v>4.3</v>
      </c>
      <c r="I26" s="42">
        <v>14871</v>
      </c>
      <c r="J26" s="36">
        <v>7.1</v>
      </c>
      <c r="K26" s="42">
        <v>16627</v>
      </c>
      <c r="L26" s="38">
        <v>7.3999999999999996E-2</v>
      </c>
      <c r="M26" s="36">
        <f>ROUND(K26*(1-L26),0)</f>
        <v>15397</v>
      </c>
      <c r="N26" s="27">
        <v>0.55100000000000005</v>
      </c>
      <c r="O26" s="24">
        <f t="shared" si="188"/>
        <v>8483.7470000000012</v>
      </c>
      <c r="P26" s="38">
        <v>0.36599999999999999</v>
      </c>
      <c r="Q26" s="24">
        <f t="shared" si="189"/>
        <v>5635.3019999999997</v>
      </c>
      <c r="R26" s="38">
        <v>8.3000000000000004E-2</v>
      </c>
      <c r="S26" s="105">
        <v>0.26550000000000001</v>
      </c>
      <c r="T26" s="24">
        <f t="shared" si="190"/>
        <v>1277.951</v>
      </c>
      <c r="U26" s="27">
        <v>0.26</v>
      </c>
      <c r="V26" s="24">
        <f t="shared" si="191"/>
        <v>4003.2200000000003</v>
      </c>
      <c r="W26" s="38">
        <v>0.47699999999999998</v>
      </c>
      <c r="X26" s="24">
        <f t="shared" si="192"/>
        <v>7344.3689999999997</v>
      </c>
      <c r="Y26" s="38">
        <v>0.47</v>
      </c>
      <c r="Z26" s="24">
        <f t="shared" si="193"/>
        <v>7236.5899999999992</v>
      </c>
      <c r="AA26" s="118">
        <v>2.7399999999999998E-3</v>
      </c>
      <c r="AB26" s="121">
        <f t="shared" si="61"/>
        <v>42.187779999999997</v>
      </c>
      <c r="AC26" s="45">
        <v>2.8800000000000002E-3</v>
      </c>
      <c r="AD26" s="17">
        <f t="shared" si="195"/>
        <v>44.343360000000004</v>
      </c>
      <c r="AE26" s="26">
        <f>IF(M26&gt;0,(AG26+AP26)/M26,0)</f>
        <v>3.0090863155160094E-3</v>
      </c>
      <c r="AF26" s="45">
        <v>2.7E-4</v>
      </c>
      <c r="AG26" s="36">
        <f t="shared" si="196"/>
        <v>4.1571899999999999</v>
      </c>
      <c r="AH26" s="27">
        <v>0.2155</v>
      </c>
      <c r="AI26" s="40">
        <f t="shared" si="197"/>
        <v>40.865265000000001</v>
      </c>
      <c r="AJ26" s="27">
        <f t="shared" si="198"/>
        <v>0.90738686521395728</v>
      </c>
      <c r="AK26" s="28">
        <f t="shared" si="6"/>
        <v>0.91137820571567096</v>
      </c>
      <c r="AL26" s="42">
        <v>210</v>
      </c>
      <c r="AM26" s="38">
        <v>9.7000000000000003E-2</v>
      </c>
      <c r="AN26" s="27">
        <v>0.22239999999999999</v>
      </c>
      <c r="AO26" s="105">
        <v>0.20730000000000001</v>
      </c>
      <c r="AP26" s="40">
        <f>AL26*(1-AM26)*AN26</f>
        <v>42.173711999999995</v>
      </c>
      <c r="AQ26" s="106">
        <f t="shared" si="21"/>
        <v>39.310299000000001</v>
      </c>
      <c r="AR26" s="17">
        <v>1.55</v>
      </c>
      <c r="AS26" s="17"/>
      <c r="AT26" s="129">
        <f>AT25+AL26-AS26</f>
        <v>1328.2199999999993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200">SUM(D24:D26)</f>
        <v>50500</v>
      </c>
      <c r="E27" s="49"/>
      <c r="F27" s="49">
        <f t="shared" ref="F27" si="201">SUM(F24:F26)</f>
        <v>47980</v>
      </c>
      <c r="G27" s="50"/>
      <c r="H27" s="50"/>
      <c r="I27" s="49">
        <f t="shared" ref="I27:K27" si="202">SUM(I24:I26)</f>
        <v>46448</v>
      </c>
      <c r="J27" s="50"/>
      <c r="K27" s="49">
        <f t="shared" si="202"/>
        <v>50416</v>
      </c>
      <c r="L27" s="20">
        <f t="shared" ref="L27" si="203">IF(K27&gt;0,(K24*L24+K25*L25+K26*L26)/K27,0)</f>
        <v>6.6953486988257691E-2</v>
      </c>
      <c r="M27" s="50">
        <f t="shared" ref="M27" si="204">M24+M25+M26</f>
        <v>47041</v>
      </c>
      <c r="N27" s="51">
        <f t="shared" ref="N27" si="205">IF(M27&gt;0,O27/M27,0)</f>
        <v>0.61045067069152437</v>
      </c>
      <c r="O27" s="52">
        <f t="shared" ref="O27" si="206">O24+O25+O26</f>
        <v>28716.21</v>
      </c>
      <c r="P27" s="20">
        <f t="shared" ref="P27" si="207">IF(M27&gt;0,Q27/M27,0)</f>
        <v>0.29250674943134714</v>
      </c>
      <c r="Q27" s="52">
        <f t="shared" ref="Q27" si="208">Q24+Q25+Q26</f>
        <v>13759.81</v>
      </c>
      <c r="R27" s="20">
        <f t="shared" ref="R27" si="209">IF(M27&gt;0,T27/M27,0)</f>
        <v>9.7042579877128457E-2</v>
      </c>
      <c r="S27" s="107"/>
      <c r="T27" s="52">
        <f t="shared" ref="T27" si="210">T24+T25+T26</f>
        <v>4564.9799999999996</v>
      </c>
      <c r="U27" s="20">
        <f t="shared" ref="U27" si="211">IF(M27&gt;0,V27/M27,0)</f>
        <v>0.25864930592461893</v>
      </c>
      <c r="V27" s="52">
        <f t="shared" ref="V27" si="212">V24+V25+V26</f>
        <v>12167.121999999999</v>
      </c>
      <c r="W27" s="20">
        <f t="shared" ref="W27" si="213">IF(M27&gt;0,X27/M27,0)</f>
        <v>0.47462167045768577</v>
      </c>
      <c r="X27" s="52">
        <f t="shared" ref="X27" si="214">X24+X25+X26</f>
        <v>22326.677999999996</v>
      </c>
      <c r="Y27" s="20">
        <f t="shared" ref="Y27" si="215">IF(M27&gt;0,Z27/M27,0)</f>
        <v>0.46660997852936797</v>
      </c>
      <c r="Z27" s="52">
        <f t="shared" ref="Z27" si="216">Z24+Z25+Z26</f>
        <v>21949.8</v>
      </c>
      <c r="AA27" s="119">
        <f t="shared" ref="AA27" si="217">IF(M27&gt;0,AB27/M27,0)</f>
        <v>2.6425396994111516E-3</v>
      </c>
      <c r="AB27" s="54">
        <f t="shared" ref="AB27" si="218">SUM(AB24:AB26)</f>
        <v>124.30770999999999</v>
      </c>
      <c r="AC27" s="53">
        <f t="shared" ref="AC27" si="219">IF(M27&gt;0,AD27/M27,0)</f>
        <v>2.7087032588592932E-3</v>
      </c>
      <c r="AD27" s="54">
        <f t="shared" ref="AD27" si="220">SUM(AD24:AD26)</f>
        <v>127.42011000000001</v>
      </c>
      <c r="AE27" s="53">
        <f t="shared" ref="AE27" si="221">IF(M27&gt;0,(AE24*M24+AE25*M25+AE26*M26)/M27,0)</f>
        <v>2.8183751493378109E-3</v>
      </c>
      <c r="AF27" s="53">
        <f t="shared" ref="AF27" si="222">IF(K27&gt;0,(K24*AF24+K25*AF25+K26*AF26)/K27,0)</f>
        <v>2.699791732783243E-4</v>
      </c>
      <c r="AG27" s="50">
        <f t="shared" ref="AG27" si="223">SUM(AG24:AG26)</f>
        <v>12.69857</v>
      </c>
      <c r="AH27" s="51">
        <f t="shared" ref="AH27" si="224">IF(K27&gt;0,(K24*AH24+K25*AH25+K26*AH26)/K27,0)</f>
        <v>0.2153258886067915</v>
      </c>
      <c r="AI27" s="56">
        <f t="shared" ref="AI27" si="225">SUM(AI24:AI26)</f>
        <v>115.55215770000001</v>
      </c>
      <c r="AJ27" s="51">
        <f t="shared" ref="AJ27" si="226">IF(AND(AD27&gt;0),((AD24*AJ24+AD25*AJ25+AD26*AJ26)/AD27),0)</f>
        <v>0.90147047732105756</v>
      </c>
      <c r="AK27" s="55">
        <f t="shared" si="6"/>
        <v>0.90530187483473312</v>
      </c>
      <c r="AL27" s="49">
        <f t="shared" ref="AL27" si="227">SUM(AL24:AL26)</f>
        <v>595</v>
      </c>
      <c r="AM27" s="20">
        <f t="shared" ref="AM27" si="228">IF(AL27&gt;0,(AM24*AL24+AM25*AL25+AM26*AL26)/AL27,0)</f>
        <v>9.7682352941176484E-2</v>
      </c>
      <c r="AN27" s="51">
        <f>IF(K27&gt;0,(AN24*K24+AN25*K25+AN26*K26)/K27,0)</f>
        <v>0.22333745239606473</v>
      </c>
      <c r="AO27" s="107">
        <f>IF(K27&gt;0,(AO24*K24+AO25*K25+AO26*K26)/K27,0)</f>
        <v>0.20739417843541733</v>
      </c>
      <c r="AP27" s="56">
        <f t="shared" ref="AP27:AQ39" si="229">SUM(AP24:AP26)</f>
        <v>119.88061539999998</v>
      </c>
      <c r="AQ27" s="108">
        <f t="shared" si="229"/>
        <v>111.2905052</v>
      </c>
      <c r="AR27" s="54"/>
      <c r="AS27" s="54">
        <f t="shared" ref="AS27" si="230">SUM(AS24:AS26)</f>
        <v>0</v>
      </c>
      <c r="AT27" s="83"/>
      <c r="AU27" s="84">
        <f>AT26</f>
        <v>1328.2199999999993</v>
      </c>
      <c r="AV27" s="49">
        <f t="shared" ref="AV27" si="231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43" t="s">
        <v>59</v>
      </c>
      <c r="D28" s="11">
        <v>14000</v>
      </c>
      <c r="E28" s="11">
        <v>0</v>
      </c>
      <c r="F28" s="11">
        <v>15786</v>
      </c>
      <c r="G28" s="12">
        <v>1</v>
      </c>
      <c r="H28" s="12">
        <v>4.8</v>
      </c>
      <c r="I28" s="11">
        <v>15738</v>
      </c>
      <c r="J28" s="12">
        <v>7.1</v>
      </c>
      <c r="K28" s="11">
        <v>16610</v>
      </c>
      <c r="L28" s="13">
        <v>7.1999999999999995E-2</v>
      </c>
      <c r="M28" s="23">
        <f>ROUND(K28*(1-L28),0)</f>
        <v>15414</v>
      </c>
      <c r="N28" s="14">
        <v>0.755</v>
      </c>
      <c r="O28" s="24">
        <f t="shared" ref="O28:O30" si="232">M28*N28</f>
        <v>11637.57</v>
      </c>
      <c r="P28" s="13">
        <v>0.184</v>
      </c>
      <c r="Q28" s="24">
        <f t="shared" ref="Q28:Q30" si="233">M28*P28</f>
        <v>2836.1759999999999</v>
      </c>
      <c r="R28" s="15">
        <v>6.0999999999999999E-2</v>
      </c>
      <c r="S28" s="112">
        <v>0.28029999999999999</v>
      </c>
      <c r="T28" s="24">
        <f t="shared" ref="T28:T30" si="234">M28*R28</f>
        <v>940.25400000000002</v>
      </c>
      <c r="U28" s="25">
        <v>0.25700000000000001</v>
      </c>
      <c r="V28" s="24">
        <f t="shared" ref="V28:V30" si="235">M28*U28</f>
        <v>3961.3980000000001</v>
      </c>
      <c r="W28" s="15">
        <v>0.47499999999999998</v>
      </c>
      <c r="X28" s="24">
        <f t="shared" ref="X28:X30" si="236">M28*W28</f>
        <v>7321.65</v>
      </c>
      <c r="Y28" s="15">
        <v>0.47</v>
      </c>
      <c r="Z28" s="24">
        <f t="shared" ref="Z28:Z30" si="237">Y28*M28</f>
        <v>7244.58</v>
      </c>
      <c r="AA28" s="116">
        <v>2.9199999999999999E-3</v>
      </c>
      <c r="AB28" s="18">
        <f t="shared" ref="AB28" si="238">M28*AA28</f>
        <v>45.008879999999998</v>
      </c>
      <c r="AC28" s="16">
        <v>2.9499999999999999E-3</v>
      </c>
      <c r="AD28" s="17">
        <f t="shared" ref="AD28:AD30" si="239">M28*AC28</f>
        <v>45.471299999999999</v>
      </c>
      <c r="AE28" s="26">
        <f>IF(M28&gt;0,(AG28+AP28)/M28,0)</f>
        <v>3.2046683923705722E-3</v>
      </c>
      <c r="AF28" s="16">
        <v>2.7999999999999998E-4</v>
      </c>
      <c r="AG28" s="23">
        <f t="shared" ref="AG28:AG30" si="240">AF28*M28</f>
        <v>4.3159199999999993</v>
      </c>
      <c r="AH28" s="92">
        <v>0.21160000000000001</v>
      </c>
      <c r="AI28" s="29">
        <f t="shared" ref="AI28:AI30" si="241">AL28*(1-AM28)*AH28</f>
        <v>41.600983200000002</v>
      </c>
      <c r="AJ28" s="27">
        <f t="shared" ref="AJ28:AJ30" si="242">IF(AND(AH28&gt;0,AF28&gt;0,AC28&gt;0),((AC28-AF28)*AH28)/((AH28-AF28)*AC28),0)</f>
        <v>0.90628398733385318</v>
      </c>
      <c r="AK28" s="58">
        <f t="shared" si="6"/>
        <v>0.91374324432706877</v>
      </c>
      <c r="AL28" s="11">
        <v>217</v>
      </c>
      <c r="AM28" s="13">
        <v>9.4E-2</v>
      </c>
      <c r="AN28" s="14">
        <v>0.2293</v>
      </c>
      <c r="AO28" s="101">
        <v>0.2137</v>
      </c>
      <c r="AP28" s="29">
        <f>AL28*(1-AM28)*AN28</f>
        <v>45.0808386</v>
      </c>
      <c r="AQ28" s="102">
        <f t="shared" ref="AQ28" si="243">AL28*(1-AM28)*AO28</f>
        <v>42.013847400000003</v>
      </c>
      <c r="AR28" s="18">
        <v>1.58</v>
      </c>
      <c r="AS28" s="18"/>
      <c r="AT28" s="79">
        <f>AT26+AL28-AS28</f>
        <v>1545.2199999999993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55</v>
      </c>
      <c r="D29" s="33">
        <v>18898</v>
      </c>
      <c r="E29" s="33">
        <v>1</v>
      </c>
      <c r="F29" s="33">
        <v>15198</v>
      </c>
      <c r="G29" s="34">
        <v>1</v>
      </c>
      <c r="H29" s="34">
        <v>4.3</v>
      </c>
      <c r="I29" s="33">
        <v>14833</v>
      </c>
      <c r="J29" s="34">
        <v>8</v>
      </c>
      <c r="K29" s="33">
        <v>16625</v>
      </c>
      <c r="L29" s="35">
        <v>6.6000000000000003E-2</v>
      </c>
      <c r="M29" s="36">
        <f>ROUND(K29*(1-L29),0)</f>
        <v>15528</v>
      </c>
      <c r="N29" s="37">
        <v>0.66200000000000003</v>
      </c>
      <c r="O29" s="24">
        <f t="shared" si="232"/>
        <v>10279.536</v>
      </c>
      <c r="P29" s="35">
        <v>0.26300000000000001</v>
      </c>
      <c r="Q29" s="24">
        <f t="shared" si="233"/>
        <v>4083.864</v>
      </c>
      <c r="R29" s="38">
        <v>7.4999999999999997E-2</v>
      </c>
      <c r="S29" s="105">
        <v>0.27</v>
      </c>
      <c r="T29" s="24">
        <f t="shared" si="234"/>
        <v>1164.5999999999999</v>
      </c>
      <c r="U29" s="27">
        <v>0.26400000000000001</v>
      </c>
      <c r="V29" s="24">
        <f t="shared" si="235"/>
        <v>4099.3919999999998</v>
      </c>
      <c r="W29" s="38">
        <v>0.46600000000000003</v>
      </c>
      <c r="X29" s="24">
        <f t="shared" si="236"/>
        <v>7236.0480000000007</v>
      </c>
      <c r="Y29" s="38">
        <v>0.46</v>
      </c>
      <c r="Z29" s="24">
        <f t="shared" si="237"/>
        <v>7142.88</v>
      </c>
      <c r="AA29" s="117">
        <v>2.7399999999999998E-3</v>
      </c>
      <c r="AB29" s="18">
        <f t="shared" si="61"/>
        <v>42.546720000000001</v>
      </c>
      <c r="AC29" s="39">
        <v>2.7699999999999999E-3</v>
      </c>
      <c r="AD29" s="17">
        <f t="shared" si="239"/>
        <v>43.012560000000001</v>
      </c>
      <c r="AE29" s="26">
        <f>IF(M29&gt;0,(AG29+AP29)/M29,0)</f>
        <v>2.6970948608964454E-3</v>
      </c>
      <c r="AF29" s="39">
        <v>2.7E-4</v>
      </c>
      <c r="AG29" s="36">
        <f t="shared" si="240"/>
        <v>4.1925600000000003</v>
      </c>
      <c r="AH29" s="27">
        <v>0.20979999999999999</v>
      </c>
      <c r="AI29" s="40">
        <f t="shared" si="241"/>
        <v>36.104691799999998</v>
      </c>
      <c r="AJ29" s="27">
        <f t="shared" si="242"/>
        <v>0.90369007066012119</v>
      </c>
      <c r="AK29" s="28">
        <f t="shared" si="6"/>
        <v>0.90100311211263406</v>
      </c>
      <c r="AL29" s="33">
        <v>191</v>
      </c>
      <c r="AM29" s="35">
        <v>9.9000000000000005E-2</v>
      </c>
      <c r="AN29" s="37">
        <v>0.219</v>
      </c>
      <c r="AO29" s="103">
        <v>0.20569999999999999</v>
      </c>
      <c r="AP29" s="40">
        <f>AL29*(1-AM29)*AN29</f>
        <v>37.687929000000004</v>
      </c>
      <c r="AQ29" s="104">
        <f t="shared" si="21"/>
        <v>35.399118700000002</v>
      </c>
      <c r="AR29" s="41">
        <v>1.56</v>
      </c>
      <c r="AS29" s="41"/>
      <c r="AT29" s="129">
        <f>AT28+AL29-AS29</f>
        <v>1736.2199999999993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0" t="s">
        <v>57</v>
      </c>
      <c r="D30" s="42">
        <v>14300</v>
      </c>
      <c r="E30" s="42">
        <v>0</v>
      </c>
      <c r="F30" s="42">
        <v>15736</v>
      </c>
      <c r="G30" s="36">
        <v>0.8</v>
      </c>
      <c r="H30" s="36">
        <v>5</v>
      </c>
      <c r="I30" s="42">
        <v>14785</v>
      </c>
      <c r="J30" s="36">
        <v>7.8</v>
      </c>
      <c r="K30" s="42">
        <v>15970</v>
      </c>
      <c r="L30" s="38">
        <v>6.8000000000000005E-2</v>
      </c>
      <c r="M30" s="36">
        <f>ROUND(K30*(1-L30),0)</f>
        <v>14884</v>
      </c>
      <c r="N30" s="27">
        <v>0.65</v>
      </c>
      <c r="O30" s="24">
        <f t="shared" si="232"/>
        <v>9674.6</v>
      </c>
      <c r="P30" s="38">
        <v>0.29499999999999998</v>
      </c>
      <c r="Q30" s="24">
        <f t="shared" si="233"/>
        <v>4390.78</v>
      </c>
      <c r="R30" s="38">
        <v>5.5E-2</v>
      </c>
      <c r="S30" s="105">
        <v>0.26419999999999999</v>
      </c>
      <c r="T30" s="24">
        <f t="shared" si="234"/>
        <v>818.62</v>
      </c>
      <c r="U30" s="27">
        <v>0.26100000000000001</v>
      </c>
      <c r="V30" s="24">
        <f t="shared" si="235"/>
        <v>3884.7240000000002</v>
      </c>
      <c r="W30" s="38">
        <v>0.46600000000000003</v>
      </c>
      <c r="X30" s="24">
        <f t="shared" si="236"/>
        <v>6935.9440000000004</v>
      </c>
      <c r="Y30" s="38">
        <v>0.5</v>
      </c>
      <c r="Z30" s="24">
        <f t="shared" si="237"/>
        <v>7442</v>
      </c>
      <c r="AA30" s="118">
        <v>2.65E-3</v>
      </c>
      <c r="AB30" s="121">
        <f t="shared" si="61"/>
        <v>39.442599999999999</v>
      </c>
      <c r="AC30" s="45">
        <v>2.66E-3</v>
      </c>
      <c r="AD30" s="17">
        <f t="shared" si="239"/>
        <v>39.591439999999999</v>
      </c>
      <c r="AE30" s="26">
        <f>IF(M30&gt;0,(AG30+AP30)/M30,0)</f>
        <v>2.6702908156409568E-3</v>
      </c>
      <c r="AF30" s="45">
        <v>2.7999999999999998E-4</v>
      </c>
      <c r="AG30" s="36">
        <f t="shared" si="240"/>
        <v>4.1675199999999997</v>
      </c>
      <c r="AH30" s="27">
        <v>0.19769999999999999</v>
      </c>
      <c r="AI30" s="40">
        <f t="shared" si="241"/>
        <v>31.668574499999998</v>
      </c>
      <c r="AJ30" s="27">
        <f t="shared" si="242"/>
        <v>0.89600584380615222</v>
      </c>
      <c r="AK30" s="28">
        <f t="shared" si="6"/>
        <v>0.89627243191343786</v>
      </c>
      <c r="AL30" s="42">
        <v>177</v>
      </c>
      <c r="AM30" s="38">
        <v>9.5000000000000001E-2</v>
      </c>
      <c r="AN30" s="27">
        <v>0.22209999999999999</v>
      </c>
      <c r="AO30" s="105">
        <v>0.20760000000000001</v>
      </c>
      <c r="AP30" s="40">
        <f>AL30*(1-AM30)*AN30</f>
        <v>35.577088500000002</v>
      </c>
      <c r="AQ30" s="106">
        <f t="shared" si="21"/>
        <v>33.254406000000003</v>
      </c>
      <c r="AR30" s="17">
        <v>1.6</v>
      </c>
      <c r="AS30" s="17"/>
      <c r="AT30" s="129">
        <f>AT29+AL30-AS30</f>
        <v>1913.2199999999993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4">SUM(D28:D30)</f>
        <v>47198</v>
      </c>
      <c r="E31" s="49"/>
      <c r="F31" s="49">
        <f t="shared" ref="F31" si="245">SUM(F28:F30)</f>
        <v>46720</v>
      </c>
      <c r="G31" s="50"/>
      <c r="H31" s="50"/>
      <c r="I31" s="49">
        <f t="shared" ref="I31:K31" si="246">SUM(I28:I30)</f>
        <v>45356</v>
      </c>
      <c r="J31" s="50"/>
      <c r="K31" s="49">
        <f t="shared" si="246"/>
        <v>49205</v>
      </c>
      <c r="L31" s="20">
        <f t="shared" ref="L31" si="247">IF(K31&gt;0,(K28*L28+K29*L29+K30*L30)/K31,0)</f>
        <v>6.8674524946651772E-2</v>
      </c>
      <c r="M31" s="50">
        <f t="shared" ref="M31" si="248">M28+M29+M30</f>
        <v>45826</v>
      </c>
      <c r="N31" s="51">
        <f t="shared" ref="N31" si="249">IF(M31&gt;0,O31/M31,0)</f>
        <v>0.6893838868764457</v>
      </c>
      <c r="O31" s="52">
        <f t="shared" ref="O31" si="250">O28+O29+O30</f>
        <v>31591.705999999998</v>
      </c>
      <c r="P31" s="20">
        <f t="shared" ref="P31" si="251">IF(M31&gt;0,Q31/M31,0)</f>
        <v>0.24682101863570899</v>
      </c>
      <c r="Q31" s="52">
        <f t="shared" ref="Q31" si="252">Q28+Q29+Q30</f>
        <v>11310.82</v>
      </c>
      <c r="R31" s="20">
        <f t="shared" ref="R31" si="253">IF(M31&gt;0,T31/M31,0)</f>
        <v>6.3795094487845316E-2</v>
      </c>
      <c r="S31" s="107"/>
      <c r="T31" s="52">
        <f t="shared" ref="T31" si="254">T28+T29+T30</f>
        <v>2923.4739999999997</v>
      </c>
      <c r="U31" s="20">
        <f t="shared" ref="U31" si="255">IF(M31&gt;0,V31/M31,0)</f>
        <v>0.26067110374023478</v>
      </c>
      <c r="V31" s="52">
        <f t="shared" ref="V31" si="256">V28+V29+V30</f>
        <v>11945.513999999999</v>
      </c>
      <c r="W31" s="20">
        <f t="shared" ref="W31" si="257">IF(M31&gt;0,X31/M31,0)</f>
        <v>0.46902723344826081</v>
      </c>
      <c r="X31" s="52">
        <f t="shared" ref="X31" si="258">X28+X29+X30</f>
        <v>21493.642</v>
      </c>
      <c r="Y31" s="20">
        <f t="shared" ref="Y31" si="259">IF(M31&gt;0,Z31/M31,0)</f>
        <v>0.47635534412778768</v>
      </c>
      <c r="Z31" s="52">
        <f t="shared" ref="Z31" si="260">Z28+Z29+Z30</f>
        <v>21829.46</v>
      </c>
      <c r="AA31" s="119">
        <f t="shared" ref="AA31" si="261">IF(M31&gt;0,AB31/M31,0)</f>
        <v>2.771313228298346E-3</v>
      </c>
      <c r="AB31" s="54">
        <f t="shared" ref="AB31" si="262">SUM(AB28:AB30)</f>
        <v>126.9982</v>
      </c>
      <c r="AC31" s="53">
        <f t="shared" ref="AC31" si="263">IF(M31&gt;0,AD31/M31,0)</f>
        <v>2.794817352594597E-3</v>
      </c>
      <c r="AD31" s="54">
        <f t="shared" ref="AD31" si="264">SUM(AD28:AD30)</f>
        <v>128.0753</v>
      </c>
      <c r="AE31" s="53">
        <f t="shared" ref="AE31" si="265">IF(M31&gt;0,(AE28*M28+AE29*M29+AE30*M30)/M31,0)</f>
        <v>2.859116137127395E-3</v>
      </c>
      <c r="AF31" s="53">
        <f t="shared" ref="AF31" si="266">IF(K31&gt;0,(K28*AF28+K29*AF29+K30*AF30)/K31,0)</f>
        <v>2.7662127832537339E-4</v>
      </c>
      <c r="AG31" s="50">
        <f t="shared" ref="AG31" si="267">SUM(AG28:AG30)</f>
        <v>12.675999999999998</v>
      </c>
      <c r="AH31" s="51">
        <f t="shared" ref="AH31" si="268">IF(K31&gt;0,(K28*AH28+K29*AH29+K30*AH30)/K31,0)</f>
        <v>0.2064804389797785</v>
      </c>
      <c r="AI31" s="56">
        <f t="shared" ref="AI31" si="269">SUM(AI28:AI30)</f>
        <v>109.37424949999999</v>
      </c>
      <c r="AJ31" s="51">
        <f t="shared" ref="AJ31" si="270">IF(AND(AD31&gt;0),((AD28*AJ28+AD29*AJ29+AD30*AJ30)/AD31),0)</f>
        <v>0.90223560720628559</v>
      </c>
      <c r="AK31" s="55">
        <f t="shared" si="6"/>
        <v>0.90436877628258427</v>
      </c>
      <c r="AL31" s="49">
        <f t="shared" ref="AL31" si="271">SUM(AL28:AL30)</f>
        <v>585</v>
      </c>
      <c r="AM31" s="20">
        <f t="shared" ref="AM31" si="272">IF(AL31&gt;0,(AM28*AL28+AM29*AL29+AM30*AL30)/AL31,0)</f>
        <v>9.5935042735042733E-2</v>
      </c>
      <c r="AN31" s="51">
        <f>IF(K31&gt;0,(AN28*K28+AN29*K29+AN30*K30)/K31,0)</f>
        <v>0.2234830809877045</v>
      </c>
      <c r="AO31" s="107">
        <f>IF(L31&gt;0,(AO28*K28+AO29*K29+AO30*K30)/K31,0)</f>
        <v>0.20901720353622602</v>
      </c>
      <c r="AP31" s="56">
        <f t="shared" ref="AP31" si="273">SUM(AP28:AP30)</f>
        <v>118.34585610000001</v>
      </c>
      <c r="AQ31" s="108">
        <f t="shared" si="229"/>
        <v>110.66737210000001</v>
      </c>
      <c r="AR31" s="54"/>
      <c r="AS31" s="54">
        <f t="shared" ref="AS31" si="274">SUM(AS28:AS30)</f>
        <v>0</v>
      </c>
      <c r="AT31" s="83"/>
      <c r="AU31" s="84">
        <f>AT30</f>
        <v>1913.2199999999993</v>
      </c>
      <c r="AV31" s="49">
        <f t="shared" ref="AV31" si="275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43" t="s">
        <v>59</v>
      </c>
      <c r="D32" s="11">
        <v>5000</v>
      </c>
      <c r="E32" s="11">
        <v>0</v>
      </c>
      <c r="F32" s="11">
        <v>10752</v>
      </c>
      <c r="G32" s="12">
        <v>1.2</v>
      </c>
      <c r="H32" s="12">
        <v>5.5</v>
      </c>
      <c r="I32" s="11">
        <v>11586</v>
      </c>
      <c r="J32" s="12">
        <v>9.6999999999999993</v>
      </c>
      <c r="K32" s="11">
        <v>15536</v>
      </c>
      <c r="L32" s="13">
        <v>6.6000000000000003E-2</v>
      </c>
      <c r="M32" s="23">
        <f>ROUND(K32*(1-L32),0)</f>
        <v>14511</v>
      </c>
      <c r="N32" s="14">
        <v>0.84499999999999997</v>
      </c>
      <c r="O32" s="24">
        <f t="shared" ref="O32:O34" si="276">M32*N32</f>
        <v>12261.795</v>
      </c>
      <c r="P32" s="13">
        <v>0.111</v>
      </c>
      <c r="Q32" s="24">
        <f t="shared" ref="Q32:Q34" si="277">M32*P32</f>
        <v>1610.721</v>
      </c>
      <c r="R32" s="15">
        <v>4.3999999999999997E-2</v>
      </c>
      <c r="S32" s="112">
        <v>0.27639999999999998</v>
      </c>
      <c r="T32" s="24">
        <f t="shared" ref="T32:T34" si="278">M32*R32</f>
        <v>638.48399999999992</v>
      </c>
      <c r="U32" s="25">
        <v>0.26</v>
      </c>
      <c r="V32" s="24">
        <f t="shared" ref="V32:V34" si="279">M32*U32</f>
        <v>3772.86</v>
      </c>
      <c r="W32" s="15">
        <v>0.442</v>
      </c>
      <c r="X32" s="24">
        <f t="shared" ref="X32:X34" si="280">M32*W32</f>
        <v>6413.8620000000001</v>
      </c>
      <c r="Y32" s="15">
        <v>0.48</v>
      </c>
      <c r="Z32" s="24">
        <f t="shared" ref="Z32:Z34" si="281">Y32*M32</f>
        <v>6965.28</v>
      </c>
      <c r="AA32" s="116">
        <v>2.65E-3</v>
      </c>
      <c r="AB32" s="18">
        <f t="shared" ref="AB32" si="282">M32*AA32</f>
        <v>38.454149999999998</v>
      </c>
      <c r="AC32" s="16">
        <v>2.5799999999999998E-3</v>
      </c>
      <c r="AD32" s="17">
        <f t="shared" ref="AD32:AD34" si="283">M32*AC32</f>
        <v>37.438379999999995</v>
      </c>
      <c r="AE32" s="26">
        <f>IF(M32&gt;0,(AG32+AP32)/M32,0)</f>
        <v>2.808617655571635E-3</v>
      </c>
      <c r="AF32" s="16">
        <v>2.9E-4</v>
      </c>
      <c r="AG32" s="23">
        <f t="shared" ref="AG32:AG34" si="284">AF32*M32</f>
        <v>4.2081900000000001</v>
      </c>
      <c r="AH32" s="92">
        <v>0.2077</v>
      </c>
      <c r="AI32" s="29">
        <f t="shared" ref="AI32:AI34" si="285">AL32*(1-AM32)*AH32</f>
        <v>34.884876599999998</v>
      </c>
      <c r="AJ32" s="27">
        <f t="shared" ref="AJ32:AJ34" si="286">IF(AND(AH32&gt;0,AF32&gt;0,AC32&gt;0),((AC32-AF32)*AH32)/((AH32-AF32)*AC32),0)</f>
        <v>0.88883793437631875</v>
      </c>
      <c r="AK32" s="58">
        <f t="shared" si="6"/>
        <v>0.89794306589575823</v>
      </c>
      <c r="AL32" s="11">
        <v>186</v>
      </c>
      <c r="AM32" s="13">
        <v>9.7000000000000003E-2</v>
      </c>
      <c r="AN32" s="14">
        <v>0.21759999999999999</v>
      </c>
      <c r="AO32" s="101">
        <v>0.2046</v>
      </c>
      <c r="AP32" s="29">
        <f>AL32*(1-AM32)*AN32</f>
        <v>36.547660799999996</v>
      </c>
      <c r="AQ32" s="102">
        <f t="shared" ref="AQ32" si="287">AL32*(1-AM32)*AO32</f>
        <v>34.364206799999998</v>
      </c>
      <c r="AR32" s="18">
        <v>1.55</v>
      </c>
      <c r="AS32" s="18">
        <v>1005.14</v>
      </c>
      <c r="AT32" s="79">
        <f>AT30+AL32-AS32</f>
        <v>1094.0799999999995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55</v>
      </c>
      <c r="D33" s="33">
        <v>18525</v>
      </c>
      <c r="E33" s="33">
        <v>2</v>
      </c>
      <c r="F33" s="33">
        <v>15402</v>
      </c>
      <c r="G33" s="34">
        <v>2.2999999999999998</v>
      </c>
      <c r="H33" s="34">
        <v>5.4</v>
      </c>
      <c r="I33" s="33">
        <v>16406</v>
      </c>
      <c r="J33" s="34">
        <v>8</v>
      </c>
      <c r="K33" s="33">
        <v>14976</v>
      </c>
      <c r="L33" s="35">
        <v>6.2E-2</v>
      </c>
      <c r="M33" s="36">
        <f>ROUND(K33*(1-L33),0)</f>
        <v>14047</v>
      </c>
      <c r="N33" s="37">
        <v>0.70299999999999996</v>
      </c>
      <c r="O33" s="24">
        <f t="shared" si="276"/>
        <v>9875.0409999999993</v>
      </c>
      <c r="P33" s="35">
        <v>0.22800000000000001</v>
      </c>
      <c r="Q33" s="24">
        <f t="shared" si="277"/>
        <v>3202.7159999999999</v>
      </c>
      <c r="R33" s="38">
        <v>6.9000000000000006E-2</v>
      </c>
      <c r="S33" s="105">
        <v>0.26590000000000003</v>
      </c>
      <c r="T33" s="24">
        <f t="shared" si="278"/>
        <v>969.24300000000005</v>
      </c>
      <c r="U33" s="27">
        <v>0.248</v>
      </c>
      <c r="V33" s="24">
        <f t="shared" si="279"/>
        <v>3483.6559999999999</v>
      </c>
      <c r="W33" s="38">
        <v>0.47399999999999998</v>
      </c>
      <c r="X33" s="24">
        <f t="shared" si="280"/>
        <v>6658.2779999999993</v>
      </c>
      <c r="Y33" s="38">
        <v>0.48</v>
      </c>
      <c r="Z33" s="24">
        <f t="shared" si="281"/>
        <v>6742.5599999999995</v>
      </c>
      <c r="AA33" s="117">
        <v>2.5699999999999998E-3</v>
      </c>
      <c r="AB33" s="18">
        <f t="shared" si="61"/>
        <v>36.100789999999996</v>
      </c>
      <c r="AC33" s="39">
        <v>2.5100000000000001E-3</v>
      </c>
      <c r="AD33" s="17">
        <f t="shared" si="283"/>
        <v>35.25797</v>
      </c>
      <c r="AE33" s="26">
        <f>IF(M33&gt;0,(AG33+AP33)/M33,0)</f>
        <v>2.1948830070477681E-3</v>
      </c>
      <c r="AF33" s="39">
        <v>3.2000000000000003E-4</v>
      </c>
      <c r="AG33" s="36">
        <f t="shared" si="284"/>
        <v>4.4950400000000004</v>
      </c>
      <c r="AH33" s="27">
        <v>0.21249999999999999</v>
      </c>
      <c r="AI33" s="40">
        <f t="shared" si="285"/>
        <v>26.984099999999998</v>
      </c>
      <c r="AJ33" s="27">
        <f t="shared" si="286"/>
        <v>0.87382583906996192</v>
      </c>
      <c r="AK33" s="28">
        <f t="shared" si="6"/>
        <v>0.85552635433140589</v>
      </c>
      <c r="AL33" s="33">
        <v>143</v>
      </c>
      <c r="AM33" s="35">
        <v>0.112</v>
      </c>
      <c r="AN33" s="37">
        <v>0.2074</v>
      </c>
      <c r="AO33" s="103">
        <v>0.187</v>
      </c>
      <c r="AP33" s="40">
        <f>AL33*(1-AM33)*AN33</f>
        <v>26.336481599999999</v>
      </c>
      <c r="AQ33" s="104">
        <f t="shared" si="21"/>
        <v>23.746008</v>
      </c>
      <c r="AR33" s="41">
        <v>1.52</v>
      </c>
      <c r="AS33" s="41"/>
      <c r="AT33" s="129">
        <f>AT32+AL33-AS33</f>
        <v>1237.0799999999995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0" t="s">
        <v>57</v>
      </c>
      <c r="D34" s="42">
        <v>20200</v>
      </c>
      <c r="E34" s="42">
        <v>1</v>
      </c>
      <c r="F34" s="42">
        <v>18568</v>
      </c>
      <c r="G34" s="36">
        <v>1.4</v>
      </c>
      <c r="H34" s="36">
        <v>4.5999999999999996</v>
      </c>
      <c r="I34" s="42">
        <v>17899</v>
      </c>
      <c r="J34" s="36">
        <v>6.6</v>
      </c>
      <c r="K34" s="42">
        <v>15234</v>
      </c>
      <c r="L34" s="38">
        <v>6.8000000000000005E-2</v>
      </c>
      <c r="M34" s="36">
        <f>ROUND(K34*(1-L34),0)</f>
        <v>14198</v>
      </c>
      <c r="N34" s="27">
        <v>0.65800000000000003</v>
      </c>
      <c r="O34" s="24">
        <f t="shared" si="276"/>
        <v>9342.2839999999997</v>
      </c>
      <c r="P34" s="38">
        <v>0.27100000000000002</v>
      </c>
      <c r="Q34" s="24">
        <f t="shared" si="277"/>
        <v>3847.6580000000004</v>
      </c>
      <c r="R34" s="38">
        <v>7.0999999999999994E-2</v>
      </c>
      <c r="S34" s="105">
        <v>0.26519999999999999</v>
      </c>
      <c r="T34" s="24">
        <f t="shared" si="278"/>
        <v>1008.0579999999999</v>
      </c>
      <c r="U34" s="27">
        <v>0.26500000000000001</v>
      </c>
      <c r="V34" s="24">
        <f t="shared" si="279"/>
        <v>3762.4700000000003</v>
      </c>
      <c r="W34" s="38">
        <v>0.47199999999999998</v>
      </c>
      <c r="X34" s="24">
        <f t="shared" si="280"/>
        <v>6701.4559999999992</v>
      </c>
      <c r="Y34" s="38">
        <v>0.48</v>
      </c>
      <c r="Z34" s="24">
        <f t="shared" si="281"/>
        <v>6815.04</v>
      </c>
      <c r="AA34" s="118">
        <v>2.6800000000000001E-3</v>
      </c>
      <c r="AB34" s="121">
        <f t="shared" si="61"/>
        <v>38.050640000000001</v>
      </c>
      <c r="AC34" s="45">
        <v>2.6800000000000001E-3</v>
      </c>
      <c r="AD34" s="17">
        <f t="shared" si="283"/>
        <v>38.050640000000001</v>
      </c>
      <c r="AE34" s="26">
        <f>IF(M34&gt;0,(AG34+AP34)/M34,0)</f>
        <v>3.4226031835469786E-3</v>
      </c>
      <c r="AF34" s="45">
        <v>2.9999999999999997E-4</v>
      </c>
      <c r="AG34" s="36">
        <f t="shared" si="284"/>
        <v>4.2593999999999994</v>
      </c>
      <c r="AH34" s="27">
        <v>0.2094</v>
      </c>
      <c r="AI34" s="40">
        <f t="shared" si="285"/>
        <v>44.979120000000002</v>
      </c>
      <c r="AJ34" s="27">
        <f t="shared" si="286"/>
        <v>0.88933381871132156</v>
      </c>
      <c r="AK34" s="28">
        <f t="shared" si="6"/>
        <v>0.91367543643400972</v>
      </c>
      <c r="AL34" s="42">
        <v>240</v>
      </c>
      <c r="AM34" s="38">
        <v>0.105</v>
      </c>
      <c r="AN34" s="27">
        <v>0.2064</v>
      </c>
      <c r="AO34" s="105">
        <v>0.1923</v>
      </c>
      <c r="AP34" s="40">
        <f>AL34*(1-AM34)*AN34</f>
        <v>44.334720000000004</v>
      </c>
      <c r="AQ34" s="106">
        <f t="shared" si="21"/>
        <v>41.306040000000003</v>
      </c>
      <c r="AR34" s="17">
        <v>1.55</v>
      </c>
      <c r="AS34" s="17"/>
      <c r="AT34" s="129">
        <f>AT33+AL34-AS34</f>
        <v>1477.0799999999995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8">SUM(D32:D34)</f>
        <v>43725</v>
      </c>
      <c r="E35" s="49"/>
      <c r="F35" s="49">
        <f t="shared" ref="F35" si="289">SUM(F32:F34)</f>
        <v>44722</v>
      </c>
      <c r="G35" s="50"/>
      <c r="H35" s="50"/>
      <c r="I35" s="49">
        <f t="shared" ref="I35:K35" si="290">SUM(I32:I34)</f>
        <v>45891</v>
      </c>
      <c r="J35" s="50"/>
      <c r="K35" s="49">
        <f t="shared" si="290"/>
        <v>45746</v>
      </c>
      <c r="L35" s="20">
        <f t="shared" ref="L35" si="291">IF(K35&gt;0,(K32*L32+K33*L33+K34*L34)/K35,0)</f>
        <v>6.5356533904603692E-2</v>
      </c>
      <c r="M35" s="50">
        <f t="shared" ref="M35" si="292">M32+M33+M34</f>
        <v>42756</v>
      </c>
      <c r="N35" s="51">
        <f t="shared" ref="N35" si="293">IF(M35&gt;0,O35/M35,0)</f>
        <v>0.73625035082795398</v>
      </c>
      <c r="O35" s="52">
        <f t="shared" ref="O35" si="294">O32+O33+O34</f>
        <v>31479.119999999999</v>
      </c>
      <c r="P35" s="20">
        <f t="shared" ref="P35" si="295">IF(M35&gt;0,Q35/M35,0)</f>
        <v>0.20257028253344564</v>
      </c>
      <c r="Q35" s="52">
        <f t="shared" ref="Q35" si="296">Q32+Q33+Q34</f>
        <v>8661.0950000000012</v>
      </c>
      <c r="R35" s="20">
        <f t="shared" ref="R35" si="297">IF(M35&gt;0,T35/M35,0)</f>
        <v>6.1179366638600428E-2</v>
      </c>
      <c r="S35" s="107"/>
      <c r="T35" s="52">
        <f t="shared" ref="T35" si="298">T32+T33+T34</f>
        <v>2615.7849999999999</v>
      </c>
      <c r="U35" s="20">
        <f t="shared" ref="U35" si="299">IF(M35&gt;0,V35/M35,0)</f>
        <v>0.2577178875479465</v>
      </c>
      <c r="V35" s="52">
        <f t="shared" ref="V35" si="300">V32+V33+V34</f>
        <v>11018.986000000001</v>
      </c>
      <c r="W35" s="20">
        <f t="shared" ref="W35" si="301">IF(M35&gt;0,X35/M35,0)</f>
        <v>0.46247534848910088</v>
      </c>
      <c r="X35" s="52">
        <f t="shared" ref="X35" si="302">X32+X33+X34</f>
        <v>19773.595999999998</v>
      </c>
      <c r="Y35" s="20">
        <f t="shared" ref="Y35" si="303">IF(M35&gt;0,Z35/M35,0)</f>
        <v>0.48000000000000004</v>
      </c>
      <c r="Z35" s="52">
        <f t="shared" ref="Z35" si="304">Z32+Z33+Z34</f>
        <v>20522.88</v>
      </c>
      <c r="AA35" s="119">
        <f t="shared" ref="AA35" si="305">IF(M35&gt;0,AB35/M35,0)</f>
        <v>2.6336790158106461E-3</v>
      </c>
      <c r="AB35" s="54">
        <f t="shared" ref="AB35" si="306">SUM(AB32:AB34)</f>
        <v>112.60557999999999</v>
      </c>
      <c r="AC35" s="53">
        <f t="shared" ref="AC35" si="307">IF(M35&gt;0,AD35/M35,0)</f>
        <v>2.5902093273458696E-3</v>
      </c>
      <c r="AD35" s="54">
        <f t="shared" ref="AD35" si="308">SUM(AD32:AD34)</f>
        <v>110.74699</v>
      </c>
      <c r="AE35" s="53">
        <f t="shared" ref="AE35" si="309">IF(M35&gt;0,(AE32*M32+AE33*M33+AE34*M34)/M35,0)</f>
        <v>2.810868472261203E-3</v>
      </c>
      <c r="AF35" s="53">
        <f t="shared" ref="AF35" si="310">IF(K35&gt;0,(K32*AF32+K33*AF33+K34*AF34)/K35,0)</f>
        <v>3.0315131377606783E-4</v>
      </c>
      <c r="AG35" s="50">
        <f t="shared" ref="AG35" si="311">SUM(AG32:AG34)</f>
        <v>12.962630000000001</v>
      </c>
      <c r="AH35" s="51">
        <f t="shared" ref="AH35" si="312">IF(K35&gt;0,(K32*AH32+K33*AH33+K34*AH34)/K35,0)</f>
        <v>0.20983751147641325</v>
      </c>
      <c r="AI35" s="56">
        <f t="shared" ref="AI35" si="313">SUM(AI32:AI34)</f>
        <v>106.84809659999999</v>
      </c>
      <c r="AJ35" s="51">
        <f t="shared" ref="AJ35" si="314">IF(AND(AD35&gt;0),((AD32*AJ32+AD33*AJ33+AD34*AJ34)/AD35),0)</f>
        <v>0.88422898482711798</v>
      </c>
      <c r="AK35" s="55">
        <f t="shared" si="6"/>
        <v>0.89343679483940797</v>
      </c>
      <c r="AL35" s="49">
        <f t="shared" ref="AL35" si="315">SUM(AL32:AL34)</f>
        <v>569</v>
      </c>
      <c r="AM35" s="20">
        <f t="shared" ref="AM35" si="316">IF(AL35&gt;0,(AM32*AL32+AM33*AL33+AM34*AL34)/AL35,0)</f>
        <v>0.10414411247803165</v>
      </c>
      <c r="AN35" s="51">
        <f>IF(K35&gt;0,(AN32*K32+AN33*K33+AN34*K34)/K35,0)</f>
        <v>0.21053105408123113</v>
      </c>
      <c r="AO35" s="107">
        <f>IF(L35&gt;0,(AO32*K32+AO33*K33+AO34*K34)/K35,0)</f>
        <v>0.19474218073711363</v>
      </c>
      <c r="AP35" s="56">
        <f t="shared" ref="AP35" si="317">SUM(AP32:AP34)</f>
        <v>107.21886240000001</v>
      </c>
      <c r="AQ35" s="108">
        <f t="shared" si="229"/>
        <v>99.41625479999999</v>
      </c>
      <c r="AR35" s="54"/>
      <c r="AS35" s="54">
        <f t="shared" ref="AS35" si="318">SUM(AS32:AS34)</f>
        <v>1005.14</v>
      </c>
      <c r="AT35" s="83"/>
      <c r="AU35" s="84">
        <f>AT34</f>
        <v>1477.0799999999995</v>
      </c>
      <c r="AV35" s="49">
        <f t="shared" ref="AV35" si="319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43" t="s">
        <v>59</v>
      </c>
      <c r="D36" s="11">
        <v>4300</v>
      </c>
      <c r="E36" s="11">
        <v>0</v>
      </c>
      <c r="F36" s="11">
        <v>17537</v>
      </c>
      <c r="G36" s="12">
        <v>0.6</v>
      </c>
      <c r="H36" s="12">
        <v>4.5</v>
      </c>
      <c r="I36" s="11">
        <v>17376</v>
      </c>
      <c r="J36" s="12">
        <v>4.5</v>
      </c>
      <c r="K36" s="11">
        <v>10525</v>
      </c>
      <c r="L36" s="13">
        <v>6.5000000000000002E-2</v>
      </c>
      <c r="M36" s="23">
        <f>ROUND(K36*(1-L36),0)</f>
        <v>9841</v>
      </c>
      <c r="N36" s="14">
        <v>0.749</v>
      </c>
      <c r="O36" s="24">
        <f t="shared" ref="O36:O38" si="320">M36*N36</f>
        <v>7370.9089999999997</v>
      </c>
      <c r="P36" s="13">
        <v>0.2</v>
      </c>
      <c r="Q36" s="24">
        <f t="shared" ref="Q36:Q38" si="321">M36*P36</f>
        <v>1968.2</v>
      </c>
      <c r="R36" s="15">
        <v>5.0999999999999997E-2</v>
      </c>
      <c r="S36" s="112">
        <v>0.24740000000000001</v>
      </c>
      <c r="T36" s="24">
        <f t="shared" ref="T36:T38" si="322">M36*R36</f>
        <v>501.89099999999996</v>
      </c>
      <c r="U36" s="25">
        <v>0.22</v>
      </c>
      <c r="V36" s="24">
        <f t="shared" ref="V36:V38" si="323">M36*U36</f>
        <v>2165.02</v>
      </c>
      <c r="W36" s="15">
        <v>0.504</v>
      </c>
      <c r="X36" s="24">
        <f t="shared" ref="X36:X38" si="324">M36*W36</f>
        <v>4959.8640000000005</v>
      </c>
      <c r="Y36" s="15">
        <v>0.5</v>
      </c>
      <c r="Z36" s="24">
        <f t="shared" ref="Z36:Z38" si="325">Y36*M36</f>
        <v>4920.5</v>
      </c>
      <c r="AA36" s="116">
        <v>2.63E-3</v>
      </c>
      <c r="AB36" s="18">
        <f t="shared" ref="AB36" si="326">M36*AA36</f>
        <v>25.881830000000001</v>
      </c>
      <c r="AC36" s="16">
        <v>2.5600000000000002E-3</v>
      </c>
      <c r="AD36" s="17">
        <f t="shared" ref="AD36:AD38" si="327">M36*AC36</f>
        <v>25.192960000000003</v>
      </c>
      <c r="AE36" s="26">
        <f>IF(M36&gt;0,(AG36+AP36)/M36,0)</f>
        <v>3.2709723605324663E-3</v>
      </c>
      <c r="AF36" s="16">
        <v>2.7999999999999998E-4</v>
      </c>
      <c r="AG36" s="23">
        <f t="shared" ref="AG36:AG38" si="328">AF36*M36</f>
        <v>2.7554799999999999</v>
      </c>
      <c r="AH36" s="92">
        <v>0.22</v>
      </c>
      <c r="AI36" s="29">
        <f t="shared" ref="AI36:AI38" si="329">AL36*(1-AM36)*AH36</f>
        <v>28.678099999999997</v>
      </c>
      <c r="AJ36" s="27">
        <f t="shared" ref="AJ36:AJ38" si="330">IF(AND(AH36&gt;0,AF36&gt;0,AC36&gt;0),((AC36-AF36)*AH36)/((AH36-AF36)*AC36),0)</f>
        <v>0.89175996723102124</v>
      </c>
      <c r="AK36" s="58">
        <f t="shared" si="6"/>
        <v>0.91553383735504235</v>
      </c>
      <c r="AL36" s="11">
        <v>145</v>
      </c>
      <c r="AM36" s="13">
        <v>0.10100000000000001</v>
      </c>
      <c r="AN36" s="14">
        <v>0.2258</v>
      </c>
      <c r="AO36" s="101">
        <v>0.21060000000000001</v>
      </c>
      <c r="AP36" s="29">
        <f>AL36*(1-AM36)*AN36</f>
        <v>29.434158999999998</v>
      </c>
      <c r="AQ36" s="102">
        <f t="shared" ref="AQ36" si="331">AL36*(1-AM36)*AO36</f>
        <v>27.452762999999997</v>
      </c>
      <c r="AR36" s="18">
        <v>1.5</v>
      </c>
      <c r="AS36" s="18">
        <v>1007.86</v>
      </c>
      <c r="AT36" s="79">
        <f>AT34+AL36-AS36+AU36</f>
        <v>625.97999999999945</v>
      </c>
      <c r="AU36" s="130">
        <v>11.76</v>
      </c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54</v>
      </c>
      <c r="D37" s="33">
        <v>20310</v>
      </c>
      <c r="E37" s="33">
        <v>5</v>
      </c>
      <c r="F37" s="33">
        <v>14552</v>
      </c>
      <c r="G37" s="34">
        <v>1.2</v>
      </c>
      <c r="H37" s="34">
        <v>4.5999999999999996</v>
      </c>
      <c r="I37" s="33">
        <v>15990</v>
      </c>
      <c r="J37" s="34">
        <v>5</v>
      </c>
      <c r="K37" s="33">
        <v>15186</v>
      </c>
      <c r="L37" s="35">
        <v>7.1999999999999995E-2</v>
      </c>
      <c r="M37" s="36">
        <f>ROUND(K37*(1-L37),0)</f>
        <v>14093</v>
      </c>
      <c r="N37" s="37">
        <v>0.74099999999999999</v>
      </c>
      <c r="O37" s="24">
        <f t="shared" si="320"/>
        <v>10442.913</v>
      </c>
      <c r="P37" s="35">
        <v>0.20899999999999999</v>
      </c>
      <c r="Q37" s="24">
        <f t="shared" si="321"/>
        <v>2945.4369999999999</v>
      </c>
      <c r="R37" s="38">
        <v>0.05</v>
      </c>
      <c r="S37" s="105">
        <v>0.251</v>
      </c>
      <c r="T37" s="24">
        <f t="shared" si="322"/>
        <v>704.65000000000009</v>
      </c>
      <c r="U37" s="27">
        <v>0.253</v>
      </c>
      <c r="V37" s="24">
        <f t="shared" si="323"/>
        <v>3565.529</v>
      </c>
      <c r="W37" s="38">
        <v>0.47199999999999998</v>
      </c>
      <c r="X37" s="24">
        <f t="shared" si="324"/>
        <v>6651.8959999999997</v>
      </c>
      <c r="Y37" s="38">
        <v>0.45</v>
      </c>
      <c r="Z37" s="24">
        <f t="shared" si="325"/>
        <v>6341.85</v>
      </c>
      <c r="AA37" s="117">
        <v>2.5300000000000001E-3</v>
      </c>
      <c r="AB37" s="18">
        <f t="shared" si="61"/>
        <v>35.655290000000001</v>
      </c>
      <c r="AC37" s="39">
        <v>2.4599999999999999E-3</v>
      </c>
      <c r="AD37" s="17">
        <f t="shared" si="327"/>
        <v>34.668779999999998</v>
      </c>
      <c r="AE37" s="26">
        <f>IF(M37&gt;0,(AG37+AP37)/M37,0)</f>
        <v>2.2814446604697367E-3</v>
      </c>
      <c r="AF37" s="39">
        <v>2.7E-4</v>
      </c>
      <c r="AG37" s="36">
        <f t="shared" si="328"/>
        <v>3.80511</v>
      </c>
      <c r="AH37" s="27">
        <v>0.21629999999999999</v>
      </c>
      <c r="AI37" s="40">
        <f t="shared" si="329"/>
        <v>27.520281600000001</v>
      </c>
      <c r="AJ37" s="27">
        <f t="shared" si="330"/>
        <v>0.89135655278230341</v>
      </c>
      <c r="AK37" s="28">
        <f t="shared" si="6"/>
        <v>0.88272366211602404</v>
      </c>
      <c r="AL37" s="33">
        <v>142</v>
      </c>
      <c r="AM37" s="35">
        <v>0.104</v>
      </c>
      <c r="AN37" s="37">
        <v>0.2228</v>
      </c>
      <c r="AO37" s="103">
        <v>0.2082</v>
      </c>
      <c r="AP37" s="40">
        <f>AL37*(1-AM37)*AN37</f>
        <v>28.3472896</v>
      </c>
      <c r="AQ37" s="104">
        <f t="shared" si="21"/>
        <v>26.489702399999999</v>
      </c>
      <c r="AR37" s="41">
        <v>1.5</v>
      </c>
      <c r="AS37" s="41"/>
      <c r="AT37" s="129">
        <f>AT36+AL37-AS37</f>
        <v>767.97999999999945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43" t="s">
        <v>57</v>
      </c>
      <c r="D38" s="42">
        <v>22600</v>
      </c>
      <c r="E38" s="42">
        <v>1</v>
      </c>
      <c r="F38" s="42">
        <v>17427</v>
      </c>
      <c r="G38" s="36">
        <v>1.4</v>
      </c>
      <c r="H38" s="36">
        <v>5.2</v>
      </c>
      <c r="I38" s="42">
        <v>16791</v>
      </c>
      <c r="J38" s="36">
        <v>3.3</v>
      </c>
      <c r="K38" s="42">
        <v>15166</v>
      </c>
      <c r="L38" s="38">
        <v>6.8000000000000005E-2</v>
      </c>
      <c r="M38" s="36">
        <f>ROUND(K38*(1-L38),0)</f>
        <v>14135</v>
      </c>
      <c r="N38" s="27">
        <v>0.72399999999999998</v>
      </c>
      <c r="O38" s="24">
        <f t="shared" si="320"/>
        <v>10233.74</v>
      </c>
      <c r="P38" s="38">
        <v>0.22800000000000001</v>
      </c>
      <c r="Q38" s="24">
        <f t="shared" si="321"/>
        <v>3222.78</v>
      </c>
      <c r="R38" s="38">
        <v>4.8000000000000001E-2</v>
      </c>
      <c r="S38" s="105">
        <v>0.2374</v>
      </c>
      <c r="T38" s="24">
        <f t="shared" si="322"/>
        <v>678.48</v>
      </c>
      <c r="U38" s="27">
        <v>0.249</v>
      </c>
      <c r="V38" s="24">
        <f t="shared" si="323"/>
        <v>3519.6149999999998</v>
      </c>
      <c r="W38" s="38">
        <v>0.47</v>
      </c>
      <c r="X38" s="24">
        <f t="shared" si="324"/>
        <v>6643.45</v>
      </c>
      <c r="Y38" s="38">
        <v>0.45</v>
      </c>
      <c r="Z38" s="24">
        <f t="shared" si="325"/>
        <v>6360.75</v>
      </c>
      <c r="AA38" s="118">
        <v>2.4299999999999999E-3</v>
      </c>
      <c r="AB38" s="121">
        <f t="shared" si="61"/>
        <v>34.348050000000001</v>
      </c>
      <c r="AC38" s="45">
        <v>2.5899999999999999E-3</v>
      </c>
      <c r="AD38" s="17">
        <f t="shared" si="327"/>
        <v>36.609649999999995</v>
      </c>
      <c r="AE38" s="26">
        <f>IF(M38&gt;0,(AG38+AP38)/M38,0)</f>
        <v>2.8261804032543338E-3</v>
      </c>
      <c r="AF38" s="45">
        <v>2.4000000000000001E-4</v>
      </c>
      <c r="AG38" s="36">
        <f t="shared" si="328"/>
        <v>3.3924000000000003</v>
      </c>
      <c r="AH38" s="27">
        <v>0.21340000000000001</v>
      </c>
      <c r="AI38" s="40">
        <f t="shared" si="329"/>
        <v>35.866564799999999</v>
      </c>
      <c r="AJ38" s="27">
        <f t="shared" si="330"/>
        <v>0.90835749026779222</v>
      </c>
      <c r="AK38" s="28">
        <f t="shared" si="6"/>
        <v>0.91609058961238454</v>
      </c>
      <c r="AL38" s="42">
        <v>188</v>
      </c>
      <c r="AM38" s="38">
        <v>0.106</v>
      </c>
      <c r="AN38" s="27">
        <v>0.2175</v>
      </c>
      <c r="AO38" s="105">
        <v>0.2046</v>
      </c>
      <c r="AP38" s="40">
        <f>AL38*(1-AM38)*AN38</f>
        <v>36.555660000000003</v>
      </c>
      <c r="AQ38" s="106">
        <f t="shared" si="21"/>
        <v>34.387531199999998</v>
      </c>
      <c r="AR38" s="17">
        <v>1.55</v>
      </c>
      <c r="AS38" s="17"/>
      <c r="AT38" s="129">
        <f>AT37+AL38-AS38</f>
        <v>955.97999999999945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2">SUM(D36:D38)</f>
        <v>47210</v>
      </c>
      <c r="E39" s="49"/>
      <c r="F39" s="49">
        <f t="shared" ref="F39" si="333">SUM(F36:F38)</f>
        <v>49516</v>
      </c>
      <c r="G39" s="50"/>
      <c r="H39" s="50"/>
      <c r="I39" s="49">
        <f t="shared" ref="I39:K39" si="334">SUM(I36:I38)</f>
        <v>50157</v>
      </c>
      <c r="J39" s="50"/>
      <c r="K39" s="49">
        <f t="shared" si="334"/>
        <v>40877</v>
      </c>
      <c r="L39" s="20">
        <f t="shared" ref="L39" si="335">IF(K39&gt;0,(K36*L36+K37*L37+K38*L38)/K39,0)</f>
        <v>6.8713579763681282E-2</v>
      </c>
      <c r="M39" s="50">
        <f t="shared" ref="M39" si="336">M36+M37+M38</f>
        <v>38069</v>
      </c>
      <c r="N39" s="51">
        <f t="shared" ref="N39" si="337">IF(M39&gt;0,O39/M39,0)</f>
        <v>0.73675594315584858</v>
      </c>
      <c r="O39" s="52">
        <f t="shared" ref="O39" si="338">O36+O37+O38</f>
        <v>28047.561999999998</v>
      </c>
      <c r="P39" s="20">
        <f t="shared" ref="P39" si="339">IF(M39&gt;0,Q39/M39,0)</f>
        <v>0.21372815151435551</v>
      </c>
      <c r="Q39" s="52">
        <f t="shared" ref="Q39" si="340">Q36+Q37+Q38</f>
        <v>8136.4169999999995</v>
      </c>
      <c r="R39" s="20">
        <f t="shared" ref="R39" si="341">IF(M39&gt;0,T39/M39,0)</f>
        <v>4.9515905329795905E-2</v>
      </c>
      <c r="S39" s="107"/>
      <c r="T39" s="52">
        <f t="shared" ref="T39" si="342">T36+T37+T38</f>
        <v>1885.0210000000002</v>
      </c>
      <c r="U39" s="20">
        <f t="shared" ref="U39" si="343">IF(M39&gt;0,V39/M39,0)</f>
        <v>0.24298416034043449</v>
      </c>
      <c r="V39" s="52">
        <f t="shared" ref="V39" si="344">V36+V37+V38</f>
        <v>9250.1640000000007</v>
      </c>
      <c r="W39" s="20">
        <f t="shared" ref="W39" si="345">IF(M39&gt;0,X39/M39,0)</f>
        <v>0.47952953846962093</v>
      </c>
      <c r="X39" s="52">
        <f t="shared" ref="X39" si="346">X36+X37+X38</f>
        <v>18255.21</v>
      </c>
      <c r="Y39" s="20">
        <f t="shared" ref="Y39" si="347">IF(M39&gt;0,Z39/M39,0)</f>
        <v>0.46292521474165327</v>
      </c>
      <c r="Z39" s="52">
        <f t="shared" ref="Z39" si="348">Z36+Z37+Z38</f>
        <v>17623.099999999999</v>
      </c>
      <c r="AA39" s="119">
        <f t="shared" ref="AA39" si="349">IF(M39&gt;0,AB39/M39,0)</f>
        <v>2.5187204812314483E-3</v>
      </c>
      <c r="AB39" s="54">
        <f t="shared" ref="AB39" si="350">SUM(AB36:AB38)</f>
        <v>95.885170000000002</v>
      </c>
      <c r="AC39" s="53">
        <f t="shared" ref="AC39" si="351">IF(M39&gt;0,AD39/M39,0)</f>
        <v>2.5341193622107224E-3</v>
      </c>
      <c r="AD39" s="54">
        <f t="shared" ref="AD39" si="352">SUM(AD36:AD38)</f>
        <v>96.471389999999985</v>
      </c>
      <c r="AE39" s="53">
        <f t="shared" ref="AE39" si="353">IF(M39&gt;0,(AE36*M36+AE37*M37+AE38*M38)/M39,0)</f>
        <v>2.7395019201975359E-3</v>
      </c>
      <c r="AF39" s="53">
        <f t="shared" ref="AF39" si="354">IF(K39&gt;0,(K36*AF36+K37*AF37+K38*AF38)/K39,0)</f>
        <v>2.6144433299899697E-4</v>
      </c>
      <c r="AG39" s="50">
        <f t="shared" ref="AG39" si="355">SUM(AG36:AG38)</f>
        <v>9.9529899999999998</v>
      </c>
      <c r="AH39" s="51">
        <f t="shared" ref="AH39" si="356">IF(K39&gt;0,(K36*AH36+K37*AH37+K38*AH38)/K39,0)</f>
        <v>0.21617673019057171</v>
      </c>
      <c r="AI39" s="56">
        <f t="shared" ref="AI39" si="357">SUM(AI36:AI38)</f>
        <v>92.064946399999997</v>
      </c>
      <c r="AJ39" s="51">
        <f t="shared" ref="AJ39" si="358">IF(AND(AD39&gt;0),((AD36*AJ36+AD37*AJ37+AD38*AJ38)/AD39),0)</f>
        <v>0.89791353900470161</v>
      </c>
      <c r="AK39" s="55">
        <f t="shared" si="6"/>
        <v>0.90563345176699483</v>
      </c>
      <c r="AL39" s="49">
        <f t="shared" ref="AL39" si="359">SUM(AL36:AL38)</f>
        <v>475</v>
      </c>
      <c r="AM39" s="20">
        <f t="shared" ref="AM39" si="360">IF(AL39&gt;0,(AM36*AL36+AM37*AL37+AM38*AL38)/AL39,0)</f>
        <v>0.10387578947368421</v>
      </c>
      <c r="AN39" s="51">
        <f>IF(K39&gt;0,(AN36*K36+AN37*K37+AN38*K38)/K39,0)</f>
        <v>0.22160605719597817</v>
      </c>
      <c r="AO39" s="107">
        <f>IF(L39&gt;0,(AO36*K36+AO37*K37+AO38*K38)/K39,0)</f>
        <v>0.20748229566749024</v>
      </c>
      <c r="AP39" s="56">
        <f t="shared" ref="AP39" si="361">SUM(AP36:AP38)</f>
        <v>94.337108599999993</v>
      </c>
      <c r="AQ39" s="108">
        <f t="shared" si="229"/>
        <v>88.329996599999987</v>
      </c>
      <c r="AR39" s="54"/>
      <c r="AS39" s="54">
        <f t="shared" ref="AS39" si="362">SUM(AS36:AS38)</f>
        <v>1007.86</v>
      </c>
      <c r="AT39" s="83"/>
      <c r="AU39" s="84">
        <f>AT38</f>
        <v>955.97999999999945</v>
      </c>
      <c r="AV39" s="49">
        <f t="shared" ref="AV39" si="363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55</v>
      </c>
      <c r="D40" s="11">
        <v>4000</v>
      </c>
      <c r="E40" s="11">
        <v>0</v>
      </c>
      <c r="F40" s="11">
        <v>16773</v>
      </c>
      <c r="G40" s="12">
        <v>1.6</v>
      </c>
      <c r="H40" s="12">
        <v>6.1</v>
      </c>
      <c r="I40" s="11">
        <v>16747</v>
      </c>
      <c r="J40" s="12">
        <v>2.9</v>
      </c>
      <c r="K40" s="11">
        <v>15195</v>
      </c>
      <c r="L40" s="13">
        <v>6.6000000000000003E-2</v>
      </c>
      <c r="M40" s="23">
        <f>ROUND(K40*(1-L40),0)</f>
        <v>14192</v>
      </c>
      <c r="N40" s="14">
        <v>0.77800000000000002</v>
      </c>
      <c r="O40" s="24">
        <f t="shared" ref="O40:O42" si="364">M40*N40</f>
        <v>11041.376</v>
      </c>
      <c r="P40" s="13">
        <v>0.17599999999999999</v>
      </c>
      <c r="Q40" s="24">
        <f t="shared" ref="Q40:Q42" si="365">M40*P40</f>
        <v>2497.7919999999999</v>
      </c>
      <c r="R40" s="15">
        <v>4.5999999999999999E-2</v>
      </c>
      <c r="S40" s="112">
        <v>0.27339999999999998</v>
      </c>
      <c r="T40" s="24">
        <f t="shared" ref="T40:T42" si="366">M40*R40</f>
        <v>652.83199999999999</v>
      </c>
      <c r="U40" s="25">
        <v>0.254</v>
      </c>
      <c r="V40" s="24">
        <f t="shared" ref="V40:V42" si="367">M40*U40</f>
        <v>3604.768</v>
      </c>
      <c r="W40" s="15">
        <v>0.47099999999999997</v>
      </c>
      <c r="X40" s="24">
        <f t="shared" ref="X40:X42" si="368">M40*W40</f>
        <v>6684.4319999999998</v>
      </c>
      <c r="Y40" s="15">
        <v>0.43</v>
      </c>
      <c r="Z40" s="24">
        <f t="shared" ref="Z40:Z42" si="369">Y40*M40</f>
        <v>6102.5599999999995</v>
      </c>
      <c r="AA40" s="116">
        <v>2.5500000000000002E-3</v>
      </c>
      <c r="AB40" s="18">
        <f t="shared" ref="AB40" si="370">M40*AA40</f>
        <v>36.189600000000006</v>
      </c>
      <c r="AC40" s="16">
        <v>2.65E-3</v>
      </c>
      <c r="AD40" s="17">
        <f t="shared" ref="AD40:AD42" si="371">M40*AC40</f>
        <v>37.608800000000002</v>
      </c>
      <c r="AE40" s="26">
        <f>IF(M40&gt;0,(AG40+AP40)/M40,0)</f>
        <v>2.6708047491544526E-3</v>
      </c>
      <c r="AF40" s="16">
        <v>2.3000000000000001E-4</v>
      </c>
      <c r="AG40" s="23">
        <f t="shared" ref="AG40:AG42" si="372">AF40*M40</f>
        <v>3.26416</v>
      </c>
      <c r="AH40" s="92">
        <v>0.2112</v>
      </c>
      <c r="AI40" s="29">
        <f t="shared" ref="AI40:AI42" si="373">AL40*(1-AM40)*AH40</f>
        <v>33.948710399999996</v>
      </c>
      <c r="AJ40" s="27">
        <f t="shared" ref="AJ40:AJ42" si="374">IF(AND(AH40&gt;0,AF40&gt;0,AC40&gt;0),((AC40-AF40)*AH40)/((AH40-AF40)*AC40),0)</f>
        <v>0.91420312822801408</v>
      </c>
      <c r="AK40" s="58">
        <f t="shared" si="6"/>
        <v>0.91486005049441055</v>
      </c>
      <c r="AL40" s="11">
        <v>179</v>
      </c>
      <c r="AM40" s="13">
        <v>0.10199999999999999</v>
      </c>
      <c r="AN40" s="14">
        <v>0.2155</v>
      </c>
      <c r="AO40" s="101">
        <v>0.2026</v>
      </c>
      <c r="AP40" s="29">
        <f>AL40*(1-AM40)*AN40</f>
        <v>34.639900999999995</v>
      </c>
      <c r="AQ40" s="102">
        <f t="shared" ref="AQ40" si="375">AL40*(1-AM40)*AO40</f>
        <v>32.566329199999998</v>
      </c>
      <c r="AR40" s="18">
        <v>1.55</v>
      </c>
      <c r="AS40" s="18">
        <v>325.42</v>
      </c>
      <c r="AT40" s="79">
        <f>AT38+AL40-AS40</f>
        <v>809.55999999999949</v>
      </c>
      <c r="AU40" s="80"/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43" t="s">
        <v>59</v>
      </c>
      <c r="D41" s="33">
        <v>21705</v>
      </c>
      <c r="E41" s="33">
        <v>4</v>
      </c>
      <c r="F41" s="33">
        <v>14449</v>
      </c>
      <c r="G41" s="34">
        <v>4.9000000000000004</v>
      </c>
      <c r="H41" s="34">
        <v>7.6</v>
      </c>
      <c r="I41" s="33">
        <v>14282</v>
      </c>
      <c r="J41" s="34">
        <v>3.1</v>
      </c>
      <c r="K41" s="33">
        <v>14679</v>
      </c>
      <c r="L41" s="35">
        <v>6.4000000000000001E-2</v>
      </c>
      <c r="M41" s="36">
        <f>ROUND(K41*(1-L41),0)</f>
        <v>13740</v>
      </c>
      <c r="N41" s="37">
        <v>0.746</v>
      </c>
      <c r="O41" s="24">
        <f t="shared" si="364"/>
        <v>10250.039999999999</v>
      </c>
      <c r="P41" s="35">
        <v>0.19700000000000001</v>
      </c>
      <c r="Q41" s="24">
        <f t="shared" si="365"/>
        <v>2706.78</v>
      </c>
      <c r="R41" s="38">
        <v>5.7000000000000002E-2</v>
      </c>
      <c r="S41" s="105">
        <v>0.27010000000000001</v>
      </c>
      <c r="T41" s="24">
        <f t="shared" si="366"/>
        <v>783.18000000000006</v>
      </c>
      <c r="U41" s="27">
        <v>0.24399999999999999</v>
      </c>
      <c r="V41" s="24">
        <f t="shared" si="367"/>
        <v>3352.56</v>
      </c>
      <c r="W41" s="38">
        <v>0.47399999999999998</v>
      </c>
      <c r="X41" s="24">
        <f t="shared" si="368"/>
        <v>6512.7599999999993</v>
      </c>
      <c r="Y41" s="38">
        <v>0.43</v>
      </c>
      <c r="Z41" s="24">
        <f t="shared" si="369"/>
        <v>5908.2</v>
      </c>
      <c r="AA41" s="117">
        <v>2.5000000000000001E-3</v>
      </c>
      <c r="AB41" s="18">
        <f t="shared" si="61"/>
        <v>34.35</v>
      </c>
      <c r="AC41" s="39">
        <v>2.63E-3</v>
      </c>
      <c r="AD41" s="17">
        <f t="shared" si="371"/>
        <v>36.136200000000002</v>
      </c>
      <c r="AE41" s="26">
        <f>IF(M41&gt;0,(AG41+AP41)/M41,0)</f>
        <v>2.5714092358078608E-3</v>
      </c>
      <c r="AF41" s="39">
        <v>2.3000000000000001E-4</v>
      </c>
      <c r="AG41" s="36">
        <f t="shared" si="372"/>
        <v>3.1602000000000001</v>
      </c>
      <c r="AH41" s="27">
        <v>0.2165</v>
      </c>
      <c r="AI41" s="40">
        <f t="shared" si="373"/>
        <v>31.359808500000003</v>
      </c>
      <c r="AJ41" s="27">
        <f t="shared" si="374"/>
        <v>0.91351800954341511</v>
      </c>
      <c r="AK41" s="28">
        <f t="shared" si="6"/>
        <v>0.91149880339897005</v>
      </c>
      <c r="AL41" s="33">
        <v>159</v>
      </c>
      <c r="AM41" s="35">
        <v>8.8999999999999996E-2</v>
      </c>
      <c r="AN41" s="37">
        <v>0.22209999999999999</v>
      </c>
      <c r="AO41" s="103">
        <v>0.21210000000000001</v>
      </c>
      <c r="AP41" s="40">
        <f>AL41*(1-AM41)*AN41</f>
        <v>32.170962900000006</v>
      </c>
      <c r="AQ41" s="104">
        <f t="shared" si="21"/>
        <v>30.722472900000007</v>
      </c>
      <c r="AR41" s="41">
        <v>1.5</v>
      </c>
      <c r="AS41" s="41"/>
      <c r="AT41" s="129">
        <f>AT40+AL41-AS41</f>
        <v>968.55999999999949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54</v>
      </c>
      <c r="D42" s="42">
        <v>18900</v>
      </c>
      <c r="E42" s="42">
        <v>2</v>
      </c>
      <c r="F42" s="42">
        <v>16793</v>
      </c>
      <c r="G42" s="36">
        <v>2.5</v>
      </c>
      <c r="H42" s="36">
        <v>6.8</v>
      </c>
      <c r="I42" s="42">
        <v>16945</v>
      </c>
      <c r="J42" s="36">
        <v>1.5</v>
      </c>
      <c r="K42" s="42">
        <v>14311</v>
      </c>
      <c r="L42" s="38">
        <v>5.8000000000000003E-2</v>
      </c>
      <c r="M42" s="36">
        <f>ROUND(K42*(1-L42),0)</f>
        <v>13481</v>
      </c>
      <c r="N42" s="27">
        <v>0.68300000000000005</v>
      </c>
      <c r="O42" s="24">
        <f t="shared" si="364"/>
        <v>9207.523000000001</v>
      </c>
      <c r="P42" s="38">
        <v>0.28100000000000003</v>
      </c>
      <c r="Q42" s="24">
        <f t="shared" si="365"/>
        <v>3788.1610000000005</v>
      </c>
      <c r="R42" s="38">
        <v>3.5999999999999997E-2</v>
      </c>
      <c r="S42" s="105">
        <v>0.25159999999999999</v>
      </c>
      <c r="T42" s="24">
        <f t="shared" si="366"/>
        <v>485.31599999999997</v>
      </c>
      <c r="U42" s="27">
        <v>0.253</v>
      </c>
      <c r="V42" s="24">
        <f t="shared" si="367"/>
        <v>3410.6930000000002</v>
      </c>
      <c r="W42" s="38">
        <v>0.47499999999999998</v>
      </c>
      <c r="X42" s="24">
        <f t="shared" si="368"/>
        <v>6403.4749999999995</v>
      </c>
      <c r="Y42" s="38">
        <v>0.46</v>
      </c>
      <c r="Z42" s="24">
        <f t="shared" si="369"/>
        <v>6201.26</v>
      </c>
      <c r="AA42" s="118">
        <v>2.5600000000000002E-3</v>
      </c>
      <c r="AB42" s="121">
        <f t="shared" si="61"/>
        <v>34.511360000000003</v>
      </c>
      <c r="AC42" s="45">
        <v>2.6700000000000001E-3</v>
      </c>
      <c r="AD42" s="17">
        <f t="shared" si="371"/>
        <v>35.99427</v>
      </c>
      <c r="AE42" s="26">
        <f>IF(M42&gt;0,(AG42+AP42)/M42,0)</f>
        <v>2.7002461983532382E-3</v>
      </c>
      <c r="AF42" s="45">
        <v>2.3000000000000001E-4</v>
      </c>
      <c r="AG42" s="36">
        <f t="shared" si="372"/>
        <v>3.1006300000000002</v>
      </c>
      <c r="AH42" s="27">
        <v>0.21390000000000001</v>
      </c>
      <c r="AI42" s="40">
        <f t="shared" si="373"/>
        <v>31.588324199999999</v>
      </c>
      <c r="AJ42" s="27">
        <f t="shared" si="374"/>
        <v>0.91484137830940604</v>
      </c>
      <c r="AK42" s="28">
        <f t="shared" si="6"/>
        <v>0.91575661281655052</v>
      </c>
      <c r="AL42" s="42">
        <v>163</v>
      </c>
      <c r="AM42" s="38">
        <v>9.4E-2</v>
      </c>
      <c r="AN42" s="27">
        <v>0.22550000000000001</v>
      </c>
      <c r="AO42" s="105">
        <v>0.2112</v>
      </c>
      <c r="AP42" s="40">
        <f>AL42*(1-AM42)*AN42</f>
        <v>33.301389</v>
      </c>
      <c r="AQ42" s="106">
        <f t="shared" si="21"/>
        <v>31.189593599999998</v>
      </c>
      <c r="AR42" s="17">
        <v>1.55</v>
      </c>
      <c r="AS42" s="17"/>
      <c r="AT42" s="129">
        <f>AT41+AL42-AS42</f>
        <v>1131.5599999999995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6">SUM(D40:D42)</f>
        <v>44605</v>
      </c>
      <c r="E43" s="49"/>
      <c r="F43" s="49">
        <f t="shared" ref="F43" si="377">SUM(F40:F42)</f>
        <v>48015</v>
      </c>
      <c r="G43" s="50"/>
      <c r="H43" s="50"/>
      <c r="I43" s="49">
        <f t="shared" ref="I43:K43" si="378">SUM(I40:I42)</f>
        <v>47974</v>
      </c>
      <c r="J43" s="50"/>
      <c r="K43" s="49">
        <f t="shared" si="378"/>
        <v>44185</v>
      </c>
      <c r="L43" s="20">
        <f t="shared" ref="L43" si="379">IF(K43&gt;0,(K40*L40+K41*L41+K42*L42)/K43,0)</f>
        <v>6.2744460789860818E-2</v>
      </c>
      <c r="M43" s="50">
        <f t="shared" ref="M43" si="380">M40+M41+M42</f>
        <v>41413</v>
      </c>
      <c r="N43" s="51">
        <f t="shared" ref="N43" si="381">IF(M43&gt;0,O43/M43,0)</f>
        <v>0.73645809286938879</v>
      </c>
      <c r="O43" s="52">
        <f t="shared" ref="O43" si="382">O40+O41+O42</f>
        <v>30498.938999999998</v>
      </c>
      <c r="P43" s="20">
        <f t="shared" ref="P43" si="383">IF(M43&gt;0,Q43/M43,0)</f>
        <v>0.2171475865066525</v>
      </c>
      <c r="Q43" s="52">
        <f t="shared" ref="Q43" si="384">Q40+Q41+Q42</f>
        <v>8992.7330000000002</v>
      </c>
      <c r="R43" s="20">
        <f t="shared" ref="R43" si="385">IF(M43&gt;0,T43/M43,0)</f>
        <v>4.6394320623958665E-2</v>
      </c>
      <c r="S43" s="107"/>
      <c r="T43" s="52">
        <f t="shared" ref="T43" si="386">T40+T41+T42</f>
        <v>1921.3280000000002</v>
      </c>
      <c r="U43" s="20">
        <f t="shared" ref="U43" si="387">IF(M43&gt;0,V43/M43,0)</f>
        <v>0.25035667544007922</v>
      </c>
      <c r="V43" s="52">
        <f t="shared" ref="V43" si="388">V40+V41+V42</f>
        <v>10368.021000000001</v>
      </c>
      <c r="W43" s="20">
        <f t="shared" ref="W43" si="389">IF(M43&gt;0,X43/M43,0)</f>
        <v>0.4732974428319609</v>
      </c>
      <c r="X43" s="52">
        <f t="shared" ref="X43" si="390">X40+X41+X42</f>
        <v>19600.666999999998</v>
      </c>
      <c r="Y43" s="20">
        <f t="shared" ref="Y43" si="391">IF(M43&gt;0,Z43/M43,0)</f>
        <v>0.4397657740323086</v>
      </c>
      <c r="Z43" s="52">
        <f t="shared" ref="Z43" si="392">Z40+Z41+Z42</f>
        <v>18212.019999999997</v>
      </c>
      <c r="AA43" s="119">
        <f t="shared" ref="AA43" si="393">IF(M43&gt;0,AB43/M43,0)</f>
        <v>2.5366662642165505E-3</v>
      </c>
      <c r="AB43" s="54">
        <f t="shared" ref="AB43" si="394">SUM(AB40:AB42)</f>
        <v>105.05096</v>
      </c>
      <c r="AC43" s="53">
        <f t="shared" ref="AC43" si="395">IF(M43&gt;0,AD43/M43,0)</f>
        <v>2.6498749185038515E-3</v>
      </c>
      <c r="AD43" s="54">
        <f t="shared" ref="AD43" si="396">SUM(AD40:AD42)</f>
        <v>109.73927</v>
      </c>
      <c r="AE43" s="53">
        <f t="shared" ref="AE43" si="397">IF(M43&gt;0,(AE40*M40+AE41*M41+AE42*M42)/M43,0)</f>
        <v>2.6474112694081565E-3</v>
      </c>
      <c r="AF43" s="53">
        <f t="shared" ref="AF43" si="398">IF(K43&gt;0,(K40*AF40+K41*AF41+K42*AF42)/K43,0)</f>
        <v>2.2999999999999998E-4</v>
      </c>
      <c r="AG43" s="50">
        <f t="shared" ref="AG43" si="399">SUM(AG40:AG42)</f>
        <v>9.5249900000000007</v>
      </c>
      <c r="AH43" s="51">
        <f t="shared" ref="AH43" si="400">IF(K43&gt;0,(K40*AH40+K41*AH41+K42*AH42)/K43,0)</f>
        <v>0.21383524725585606</v>
      </c>
      <c r="AI43" s="56">
        <f t="shared" ref="AI43" si="401">SUM(AI40:AI42)</f>
        <v>96.896843099999998</v>
      </c>
      <c r="AJ43" s="51">
        <f t="shared" ref="AJ43" si="402">IF(AND(AD43&gt;0),((AD40*AJ40+AD41*AJ41+AD42*AJ42)/AD43),0)</f>
        <v>0.91418686932586113</v>
      </c>
      <c r="AK43" s="55">
        <f t="shared" si="6"/>
        <v>0.91407427240994621</v>
      </c>
      <c r="AL43" s="49">
        <f t="shared" ref="AL43" si="403">SUM(AL40:AL42)</f>
        <v>501</v>
      </c>
      <c r="AM43" s="20">
        <f t="shared" ref="AM43" si="404">IF(AL43&gt;0,(AM40*AL40+AM41*AL41+AM42*AL42)/AL43,0)</f>
        <v>9.5271457085828334E-2</v>
      </c>
      <c r="AN43" s="51">
        <f>IF(K43&gt;0,(AN40*K40+AN41*K41+AN42*K42)/K43,0)</f>
        <v>0.22093151295688582</v>
      </c>
      <c r="AO43" s="107">
        <f>IF(L43&gt;0,(AO40*K40+AO41*K41+AO42*K42)/K43,0)</f>
        <v>0.20854149824601109</v>
      </c>
      <c r="AP43" s="56">
        <f t="shared" ref="AP43:AQ55" si="405">SUM(AP40:AP42)</f>
        <v>100.1122529</v>
      </c>
      <c r="AQ43" s="108">
        <f t="shared" si="405"/>
        <v>94.478395700000007</v>
      </c>
      <c r="AR43" s="54"/>
      <c r="AS43" s="54">
        <f t="shared" ref="AS43" si="406">SUM(AS40:AS42)</f>
        <v>325.42</v>
      </c>
      <c r="AT43" s="83"/>
      <c r="AU43" s="84">
        <f>AT42</f>
        <v>1131.5599999999995</v>
      </c>
      <c r="AV43" s="49">
        <f t="shared" ref="AV43" si="407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6200</v>
      </c>
      <c r="E44" s="11">
        <v>0</v>
      </c>
      <c r="F44" s="11">
        <v>5283</v>
      </c>
      <c r="G44" s="12">
        <v>1.8</v>
      </c>
      <c r="H44" s="12">
        <v>5.9</v>
      </c>
      <c r="I44" s="11">
        <v>5359</v>
      </c>
      <c r="J44" s="12">
        <v>6.4</v>
      </c>
      <c r="K44" s="11">
        <v>14254</v>
      </c>
      <c r="L44" s="13">
        <v>6.3E-2</v>
      </c>
      <c r="M44" s="23">
        <f>ROUND(K44*(1-L44),0)</f>
        <v>13356</v>
      </c>
      <c r="N44" s="14">
        <v>0.78</v>
      </c>
      <c r="O44" s="24">
        <f t="shared" ref="O44:O46" si="408">M44*N44</f>
        <v>10417.68</v>
      </c>
      <c r="P44" s="13">
        <v>0.18099999999999999</v>
      </c>
      <c r="Q44" s="24">
        <f t="shared" ref="Q44:Q46" si="409">M44*P44</f>
        <v>2417.4360000000001</v>
      </c>
      <c r="R44" s="15">
        <v>3.9E-2</v>
      </c>
      <c r="S44" s="112">
        <v>0.24690000000000001</v>
      </c>
      <c r="T44" s="24">
        <f t="shared" ref="T44:T46" si="410">M44*R44</f>
        <v>520.88400000000001</v>
      </c>
      <c r="U44" s="25">
        <v>0.25700000000000001</v>
      </c>
      <c r="V44" s="24">
        <f t="shared" ref="V44:V46" si="411">M44*U44</f>
        <v>3432.4920000000002</v>
      </c>
      <c r="W44" s="15">
        <v>0.48199999999999998</v>
      </c>
      <c r="X44" s="24">
        <f t="shared" ref="X44:X46" si="412">M44*W44</f>
        <v>6437.5919999999996</v>
      </c>
      <c r="Y44" s="15">
        <v>0.46</v>
      </c>
      <c r="Z44" s="24">
        <f t="shared" ref="Z44:Z46" si="413">Y44*M44</f>
        <v>6143.76</v>
      </c>
      <c r="AA44" s="116">
        <v>2.5999999999999999E-3</v>
      </c>
      <c r="AB44" s="18">
        <f t="shared" ref="AB44" si="414">M44*AA44</f>
        <v>34.7256</v>
      </c>
      <c r="AC44" s="16">
        <v>2.7699999999999999E-3</v>
      </c>
      <c r="AD44" s="17">
        <f t="shared" ref="AD44:AD46" si="415">M44*AC44</f>
        <v>36.996119999999998</v>
      </c>
      <c r="AE44" s="26">
        <f>IF(M44&gt;0,(AG44+AP44)/M44,0)</f>
        <v>2.8136113207547168E-3</v>
      </c>
      <c r="AF44" s="16">
        <v>2.7999999999999998E-4</v>
      </c>
      <c r="AG44" s="23">
        <f t="shared" ref="AG44:AG46" si="416">AF44*M44</f>
        <v>3.7396799999999999</v>
      </c>
      <c r="AH44" s="92">
        <v>0.21790000000000001</v>
      </c>
      <c r="AI44" s="29">
        <f t="shared" ref="AI44:AI46" si="417">AL44*(1-AM44)*AH44</f>
        <v>33.349159200000003</v>
      </c>
      <c r="AJ44" s="27">
        <f t="shared" ref="AJ44:AJ46" si="418">IF(AND(AH44&gt;0,AF44&gt;0,AC44&gt;0),((AC44-AF44)*AH44)/((AH44-AF44)*AC44),0)</f>
        <v>0.9000735558322609</v>
      </c>
      <c r="AK44" s="58">
        <f t="shared" si="6"/>
        <v>0.90162558131257386</v>
      </c>
      <c r="AL44" s="11">
        <v>168</v>
      </c>
      <c r="AM44" s="13">
        <v>8.8999999999999996E-2</v>
      </c>
      <c r="AN44" s="14">
        <v>0.22109999999999999</v>
      </c>
      <c r="AO44" s="101">
        <v>0.2094</v>
      </c>
      <c r="AP44" s="29">
        <f>AL44*(1-AM44)*AN44</f>
        <v>33.838912799999996</v>
      </c>
      <c r="AQ44" s="102">
        <f t="shared" ref="AQ44" si="419">AL44*(1-AM44)*AO44</f>
        <v>32.048251200000003</v>
      </c>
      <c r="AR44" s="18">
        <v>1.55</v>
      </c>
      <c r="AS44" s="18">
        <v>669.26</v>
      </c>
      <c r="AT44" s="79">
        <f>AT42+AL44-AS44</f>
        <v>630.2999999999995</v>
      </c>
      <c r="AU44" s="80"/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57</v>
      </c>
      <c r="D45" s="33">
        <v>7000</v>
      </c>
      <c r="E45" s="33">
        <v>3</v>
      </c>
      <c r="F45" s="33">
        <v>6618</v>
      </c>
      <c r="G45" s="34">
        <v>1.9</v>
      </c>
      <c r="H45" s="34">
        <v>5.4</v>
      </c>
      <c r="I45" s="33">
        <v>6444</v>
      </c>
      <c r="J45" s="34">
        <v>7</v>
      </c>
      <c r="K45" s="33">
        <v>14709</v>
      </c>
      <c r="L45" s="35">
        <v>6.6000000000000003E-2</v>
      </c>
      <c r="M45" s="36">
        <f>ROUND(K45*(1-L45),0)</f>
        <v>13738</v>
      </c>
      <c r="N45" s="37">
        <v>0.67200000000000004</v>
      </c>
      <c r="O45" s="24">
        <f t="shared" si="408"/>
        <v>9231.9359999999997</v>
      </c>
      <c r="P45" s="35">
        <v>0.255</v>
      </c>
      <c r="Q45" s="24">
        <f t="shared" si="409"/>
        <v>3503.19</v>
      </c>
      <c r="R45" s="38">
        <v>7.2999999999999995E-2</v>
      </c>
      <c r="S45" s="105"/>
      <c r="T45" s="24">
        <f t="shared" si="410"/>
        <v>1002.8739999999999</v>
      </c>
      <c r="U45" s="27">
        <v>0.26600000000000001</v>
      </c>
      <c r="V45" s="24">
        <f t="shared" si="411"/>
        <v>3654.308</v>
      </c>
      <c r="W45" s="38">
        <v>0.46300000000000002</v>
      </c>
      <c r="X45" s="24">
        <f t="shared" si="412"/>
        <v>6360.6940000000004</v>
      </c>
      <c r="Y45" s="38">
        <v>0.46</v>
      </c>
      <c r="Z45" s="24">
        <f t="shared" si="413"/>
        <v>6319.4800000000005</v>
      </c>
      <c r="AA45" s="117">
        <v>2.5600000000000002E-3</v>
      </c>
      <c r="AB45" s="18">
        <f t="shared" si="61"/>
        <v>35.169280000000001</v>
      </c>
      <c r="AC45" s="39">
        <v>2.5899999999999999E-3</v>
      </c>
      <c r="AD45" s="17">
        <f t="shared" si="415"/>
        <v>35.581420000000001</v>
      </c>
      <c r="AE45" s="26">
        <f>IF(M45&gt;0,(AG45+AP45)/M45,0)</f>
        <v>2.6190988499053716E-3</v>
      </c>
      <c r="AF45" s="39">
        <v>2.9E-4</v>
      </c>
      <c r="AG45" s="36">
        <f t="shared" si="416"/>
        <v>3.9840200000000001</v>
      </c>
      <c r="AH45" s="27">
        <v>0.20960000000000001</v>
      </c>
      <c r="AI45" s="40">
        <f t="shared" si="417"/>
        <v>29.993760000000002</v>
      </c>
      <c r="AJ45" s="27">
        <f t="shared" si="418"/>
        <v>0.88926125904770037</v>
      </c>
      <c r="AK45" s="28">
        <f t="shared" si="6"/>
        <v>0.8904297438936617</v>
      </c>
      <c r="AL45" s="33">
        <v>159</v>
      </c>
      <c r="AM45" s="35">
        <v>0.1</v>
      </c>
      <c r="AN45" s="37">
        <v>0.22359999999999999</v>
      </c>
      <c r="AO45" s="103">
        <v>0.20960000000000001</v>
      </c>
      <c r="AP45" s="40">
        <f>AL45*(1-AM45)*AN45</f>
        <v>31.997159999999997</v>
      </c>
      <c r="AQ45" s="104">
        <f t="shared" si="21"/>
        <v>29.993760000000002</v>
      </c>
      <c r="AR45" s="41">
        <v>1.52</v>
      </c>
      <c r="AS45" s="41"/>
      <c r="AT45" s="129">
        <f>AT44+AL45-AS45</f>
        <v>789.2999999999995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43" t="s">
        <v>54</v>
      </c>
      <c r="D46" s="42">
        <v>15800</v>
      </c>
      <c r="E46" s="42">
        <v>2</v>
      </c>
      <c r="F46" s="42">
        <v>17763</v>
      </c>
      <c r="G46" s="36">
        <v>2.7</v>
      </c>
      <c r="H46" s="36">
        <v>6</v>
      </c>
      <c r="I46" s="42">
        <v>17114</v>
      </c>
      <c r="J46" s="36">
        <v>5.7</v>
      </c>
      <c r="K46" s="42">
        <v>14130</v>
      </c>
      <c r="L46" s="38">
        <v>0.06</v>
      </c>
      <c r="M46" s="36">
        <f>ROUND(K46*(1-L46),0)</f>
        <v>13282</v>
      </c>
      <c r="N46" s="27">
        <v>0.69599999999999995</v>
      </c>
      <c r="O46" s="24">
        <f t="shared" si="408"/>
        <v>9244.271999999999</v>
      </c>
      <c r="P46" s="38">
        <v>0.28599999999999998</v>
      </c>
      <c r="Q46" s="24">
        <f t="shared" si="409"/>
        <v>3798.6519999999996</v>
      </c>
      <c r="R46" s="38">
        <v>1.7999999999999999E-2</v>
      </c>
      <c r="S46" s="105"/>
      <c r="T46" s="24">
        <f t="shared" si="410"/>
        <v>239.07599999999999</v>
      </c>
      <c r="U46" s="27">
        <v>0.26600000000000001</v>
      </c>
      <c r="V46" s="24">
        <f t="shared" si="411"/>
        <v>3533.0120000000002</v>
      </c>
      <c r="W46" s="38">
        <v>0.42299999999999999</v>
      </c>
      <c r="X46" s="24">
        <f t="shared" si="412"/>
        <v>5618.2860000000001</v>
      </c>
      <c r="Y46" s="38">
        <v>0.46</v>
      </c>
      <c r="Z46" s="24">
        <f t="shared" si="413"/>
        <v>6109.72</v>
      </c>
      <c r="AA46" s="118">
        <v>2.5500000000000002E-3</v>
      </c>
      <c r="AB46" s="121">
        <f t="shared" si="61"/>
        <v>33.869100000000003</v>
      </c>
      <c r="AC46" s="45">
        <v>2.63E-3</v>
      </c>
      <c r="AD46" s="17">
        <f t="shared" si="415"/>
        <v>34.931660000000001</v>
      </c>
      <c r="AE46" s="26">
        <f>IF(M46&gt;0,(AG46+AP46)/M46,0)</f>
        <v>2.7488579054359284E-3</v>
      </c>
      <c r="AF46" s="45">
        <v>2.7E-4</v>
      </c>
      <c r="AG46" s="36">
        <f t="shared" si="416"/>
        <v>3.5861399999999999</v>
      </c>
      <c r="AH46" s="27">
        <v>0.2185</v>
      </c>
      <c r="AI46" s="40">
        <f t="shared" si="417"/>
        <v>32.303258499999998</v>
      </c>
      <c r="AJ46" s="27">
        <f t="shared" si="418"/>
        <v>0.89844861414397093</v>
      </c>
      <c r="AK46" s="28">
        <f t="shared" si="6"/>
        <v>0.90287202531243083</v>
      </c>
      <c r="AL46" s="42">
        <v>163</v>
      </c>
      <c r="AM46" s="38">
        <v>9.2999999999999999E-2</v>
      </c>
      <c r="AN46" s="27">
        <v>0.22270000000000001</v>
      </c>
      <c r="AO46" s="105">
        <v>0.21190000000000001</v>
      </c>
      <c r="AP46" s="40">
        <f>AL46*(1-AM46)*AN46</f>
        <v>32.924190700000004</v>
      </c>
      <c r="AQ46" s="106">
        <f t="shared" si="21"/>
        <v>31.327507900000004</v>
      </c>
      <c r="AR46" s="17">
        <v>1.55</v>
      </c>
      <c r="AS46" s="17"/>
      <c r="AT46" s="129">
        <f>AT45+AL46-AS46</f>
        <v>952.2999999999995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20">SUM(D44:D46)</f>
        <v>29000</v>
      </c>
      <c r="E47" s="49"/>
      <c r="F47" s="49">
        <f t="shared" ref="F47" si="421">SUM(F44:F46)</f>
        <v>29664</v>
      </c>
      <c r="G47" s="50"/>
      <c r="H47" s="50"/>
      <c r="I47" s="49">
        <f t="shared" ref="I47:K47" si="422">SUM(I44:I46)</f>
        <v>28917</v>
      </c>
      <c r="J47" s="50"/>
      <c r="K47" s="49">
        <f t="shared" si="422"/>
        <v>43093</v>
      </c>
      <c r="L47" s="20">
        <f t="shared" ref="L47" si="423">IF(K47&gt;0,(K44*L44+K45*L45+K46*L46)/K47,0)</f>
        <v>6.3040308170700582E-2</v>
      </c>
      <c r="M47" s="50">
        <f t="shared" ref="M47" si="424">M44+M45+M46</f>
        <v>40376</v>
      </c>
      <c r="N47" s="51">
        <f t="shared" ref="N47" si="425">IF(M47&gt;0,O47/M47,0)</f>
        <v>0.71562036853576383</v>
      </c>
      <c r="O47" s="52">
        <f t="shared" ref="O47" si="426">O44+O45+O46</f>
        <v>28893.887999999999</v>
      </c>
      <c r="P47" s="20">
        <f t="shared" ref="P47" si="427">IF(M47&gt;0,Q47/M47,0)</f>
        <v>0.24071918961759461</v>
      </c>
      <c r="Q47" s="52">
        <f t="shared" ref="Q47" si="428">Q44+Q45+Q46</f>
        <v>9719.2780000000002</v>
      </c>
      <c r="R47" s="20">
        <f t="shared" ref="R47" si="429">IF(M47&gt;0,T47/M47,0)</f>
        <v>4.3660441846641564E-2</v>
      </c>
      <c r="S47" s="107"/>
      <c r="T47" s="52">
        <f t="shared" ref="T47" si="430">T44+T45+T46</f>
        <v>1762.8339999999998</v>
      </c>
      <c r="U47" s="20">
        <f t="shared" ref="U47" si="431">IF(M47&gt;0,V47/M47,0)</f>
        <v>0.26302288488210818</v>
      </c>
      <c r="V47" s="52">
        <f t="shared" ref="V47" si="432">V44+V45+V46</f>
        <v>10619.812</v>
      </c>
      <c r="W47" s="20">
        <f t="shared" ref="W47" si="433">IF(M47&gt;0,X47/M47,0)</f>
        <v>0.4561267089360016</v>
      </c>
      <c r="X47" s="52">
        <f t="shared" ref="X47" si="434">X44+X45+X46</f>
        <v>18416.572</v>
      </c>
      <c r="Y47" s="20">
        <f t="shared" ref="Y47" si="435">IF(M47&gt;0,Z47/M47,0)</f>
        <v>0.46000000000000008</v>
      </c>
      <c r="Z47" s="52">
        <f t="shared" ref="Z47" si="436">Z44+Z45+Z46</f>
        <v>18572.960000000003</v>
      </c>
      <c r="AA47" s="119">
        <f t="shared" ref="AA47" si="437">IF(M47&gt;0,AB47/M47,0)</f>
        <v>2.5699420447790767E-3</v>
      </c>
      <c r="AB47" s="54">
        <f t="shared" ref="AB47" si="438">SUM(AB44:AB46)</f>
        <v>103.76398</v>
      </c>
      <c r="AC47" s="53">
        <f t="shared" ref="AC47" si="439">IF(M47&gt;0,AD47/M47,0)</f>
        <v>2.6627006142262728E-3</v>
      </c>
      <c r="AD47" s="54">
        <f t="shared" ref="AD47" si="440">SUM(AD44:AD46)</f>
        <v>107.50919999999999</v>
      </c>
      <c r="AE47" s="53">
        <f t="shared" ref="AE47" si="441">IF(M47&gt;0,(AE44*M44+AE45*M45+AE46*M46)/M47,0)</f>
        <v>2.7261269937586684E-3</v>
      </c>
      <c r="AF47" s="53">
        <f t="shared" ref="AF47" si="442">IF(K47&gt;0,(K44*AF44+K45*AF45+K46*AF46)/K47,0)</f>
        <v>2.8013436056900187E-4</v>
      </c>
      <c r="AG47" s="50">
        <f t="shared" ref="AG47" si="443">SUM(AG44:AG46)</f>
        <v>11.309839999999999</v>
      </c>
      <c r="AH47" s="51">
        <f t="shared" ref="AH47" si="444">IF(K47&gt;0,(K44*AH44+K45*AH45+K46*AH46)/K47,0)</f>
        <v>0.21526368551736941</v>
      </c>
      <c r="AI47" s="56">
        <f t="shared" ref="AI47" si="445">SUM(AI44:AI46)</f>
        <v>95.64617770000001</v>
      </c>
      <c r="AJ47" s="51">
        <f t="shared" ref="AJ47" si="446">IF(AND(AD47&gt;0),((AD44*AJ44+AD45*AJ45+AD46*AJ46)/AD47),0)</f>
        <v>0.89596712788347821</v>
      </c>
      <c r="AK47" s="55">
        <f t="shared" si="6"/>
        <v>0.89837208866084484</v>
      </c>
      <c r="AL47" s="49">
        <f t="shared" ref="AL47" si="447">SUM(AL44:AL46)</f>
        <v>490</v>
      </c>
      <c r="AM47" s="20">
        <f t="shared" ref="AM47" si="448">IF(AL47&gt;0,(AM44*AL44+AM45*AL45+AM46*AL46)/AL47,0)</f>
        <v>9.3900000000000011E-2</v>
      </c>
      <c r="AN47" s="51">
        <f>IF(K47&gt;0,(AN44*K44+AN45*K45+AN46*K46)/K47,0)</f>
        <v>0.22247796161789618</v>
      </c>
      <c r="AO47" s="107">
        <f>IF(L47&gt;0,(AO44*K44+AO45*K45+AO46*K46)/K47,0)</f>
        <v>0.21028800501241499</v>
      </c>
      <c r="AP47" s="56">
        <f t="shared" ref="AP47" si="449">SUM(AP44:AP46)</f>
        <v>98.760263500000008</v>
      </c>
      <c r="AQ47" s="108">
        <f t="shared" si="405"/>
        <v>93.369519100000005</v>
      </c>
      <c r="AR47" s="54"/>
      <c r="AS47" s="54">
        <f t="shared" ref="AS47" si="450">SUM(AS44:AS46)</f>
        <v>669.26</v>
      </c>
      <c r="AT47" s="83"/>
      <c r="AU47" s="84">
        <f>AT46</f>
        <v>952.2999999999995</v>
      </c>
      <c r="AV47" s="49">
        <f t="shared" ref="AV47" si="451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5817</v>
      </c>
      <c r="E48" s="11">
        <v>0</v>
      </c>
      <c r="F48" s="11">
        <v>16618</v>
      </c>
      <c r="G48" s="12">
        <v>6</v>
      </c>
      <c r="H48" s="12">
        <v>7.7</v>
      </c>
      <c r="I48" s="11">
        <v>17184</v>
      </c>
      <c r="J48" s="12">
        <v>3.6</v>
      </c>
      <c r="K48" s="11">
        <v>11792</v>
      </c>
      <c r="L48" s="13">
        <v>0.06</v>
      </c>
      <c r="M48" s="23">
        <f>ROUND(K48*(1-L48),0)</f>
        <v>11084</v>
      </c>
      <c r="N48" s="14">
        <v>0.875</v>
      </c>
      <c r="O48" s="24">
        <f t="shared" ref="O48:O50" si="452">M48*N48</f>
        <v>9698.5</v>
      </c>
      <c r="P48" s="13">
        <v>0.114</v>
      </c>
      <c r="Q48" s="24">
        <f t="shared" ref="Q48:Q50" si="453">M48*P48</f>
        <v>1263.576</v>
      </c>
      <c r="R48" s="15">
        <v>1.0999999999999999E-2</v>
      </c>
      <c r="S48" s="112"/>
      <c r="T48" s="24">
        <f t="shared" ref="T48:T50" si="454">M48*R48</f>
        <v>121.92399999999999</v>
      </c>
      <c r="U48" s="25">
        <v>0.26100000000000001</v>
      </c>
      <c r="V48" s="24">
        <f t="shared" ref="V48:V50" si="455">M48*U48</f>
        <v>2892.924</v>
      </c>
      <c r="W48" s="15">
        <v>0.439</v>
      </c>
      <c r="X48" s="24">
        <f t="shared" ref="X48:X50" si="456">M48*W48</f>
        <v>4865.8760000000002</v>
      </c>
      <c r="Y48" s="15">
        <v>0.46</v>
      </c>
      <c r="Z48" s="24">
        <f t="shared" ref="Z48:Z50" si="457">Y48*M48</f>
        <v>5098.6400000000003</v>
      </c>
      <c r="AA48" s="116">
        <v>2.5600000000000002E-3</v>
      </c>
      <c r="AB48" s="18">
        <f t="shared" ref="AB48" si="458">M48*AA48</f>
        <v>28.375040000000002</v>
      </c>
      <c r="AC48" s="16">
        <v>2.5999999999999999E-3</v>
      </c>
      <c r="AD48" s="17">
        <f t="shared" ref="AD48:AD50" si="459">M48*AC48</f>
        <v>28.818399999999997</v>
      </c>
      <c r="AE48" s="26">
        <f>IF(M48&gt;0,(AG48+AP48)/M48,0)</f>
        <v>2.776563424756406E-3</v>
      </c>
      <c r="AF48" s="16">
        <v>2.4000000000000001E-4</v>
      </c>
      <c r="AG48" s="23">
        <f t="shared" ref="AG48:AG50" si="460">AF48*M48</f>
        <v>2.6601599999999999</v>
      </c>
      <c r="AH48" s="92">
        <v>0.21410000000000001</v>
      </c>
      <c r="AI48" s="29">
        <f t="shared" ref="AI48:AI50" si="461">AL48*(1-AM48)*AH48</f>
        <v>25.912523</v>
      </c>
      <c r="AJ48" s="27">
        <f t="shared" ref="AJ48:AJ50" si="462">IF(AND(AH48&gt;0,AF48&gt;0,AC48&gt;0),((AC48-AF48)*AH48)/((AH48-AF48)*AC48),0)</f>
        <v>0.90871094677323039</v>
      </c>
      <c r="AK48" s="58">
        <f t="shared" si="6"/>
        <v>0.91450703225155194</v>
      </c>
      <c r="AL48" s="11">
        <v>133</v>
      </c>
      <c r="AM48" s="13">
        <v>0.09</v>
      </c>
      <c r="AN48" s="14">
        <v>0.23230000000000001</v>
      </c>
      <c r="AO48" s="101">
        <v>0.21690000000000001</v>
      </c>
      <c r="AP48" s="29">
        <f>AL48*(1-AM48)*AN48</f>
        <v>28.115269000000001</v>
      </c>
      <c r="AQ48" s="102">
        <f t="shared" ref="AQ48" si="463">AL48*(1-AM48)*AO48</f>
        <v>26.251407</v>
      </c>
      <c r="AR48" s="18">
        <v>1.5</v>
      </c>
      <c r="AS48" s="18">
        <v>501.16</v>
      </c>
      <c r="AT48" s="79">
        <f>AT46+AL48-AS48</f>
        <v>584.13999999999942</v>
      </c>
      <c r="AU48" s="80"/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0" t="s">
        <v>57</v>
      </c>
      <c r="D49" s="33">
        <v>20400</v>
      </c>
      <c r="E49" s="33">
        <v>6</v>
      </c>
      <c r="F49" s="33">
        <v>15778</v>
      </c>
      <c r="G49" s="34">
        <v>4</v>
      </c>
      <c r="H49" s="34">
        <v>6.6</v>
      </c>
      <c r="I49" s="33">
        <v>15941</v>
      </c>
      <c r="J49" s="34">
        <v>3.8</v>
      </c>
      <c r="K49" s="33">
        <v>14931</v>
      </c>
      <c r="L49" s="35">
        <v>6.2E-2</v>
      </c>
      <c r="M49" s="36">
        <f>ROUND(K49*(1-L49),0)</f>
        <v>14005</v>
      </c>
      <c r="N49" s="37">
        <v>0.72899999999999998</v>
      </c>
      <c r="O49" s="24">
        <f t="shared" si="452"/>
        <v>10209.645</v>
      </c>
      <c r="P49" s="35">
        <v>0.23200000000000001</v>
      </c>
      <c r="Q49" s="24">
        <f t="shared" si="453"/>
        <v>3249.1600000000003</v>
      </c>
      <c r="R49" s="38">
        <v>3.9E-2</v>
      </c>
      <c r="S49" s="105">
        <v>0.28560000000000002</v>
      </c>
      <c r="T49" s="24">
        <f t="shared" si="454"/>
        <v>546.19500000000005</v>
      </c>
      <c r="U49" s="27">
        <v>0.26300000000000001</v>
      </c>
      <c r="V49" s="24">
        <f t="shared" si="455"/>
        <v>3683.3150000000001</v>
      </c>
      <c r="W49" s="38">
        <v>0.45800000000000002</v>
      </c>
      <c r="X49" s="24">
        <f t="shared" si="456"/>
        <v>6414.29</v>
      </c>
      <c r="Y49" s="38">
        <v>0.48</v>
      </c>
      <c r="Z49" s="24">
        <f t="shared" si="457"/>
        <v>6722.4</v>
      </c>
      <c r="AA49" s="117">
        <v>2.5000000000000001E-3</v>
      </c>
      <c r="AB49" s="18">
        <f t="shared" si="61"/>
        <v>35.012500000000003</v>
      </c>
      <c r="AC49" s="39">
        <v>2.65E-3</v>
      </c>
      <c r="AD49" s="17">
        <f t="shared" si="459"/>
        <v>37.113250000000001</v>
      </c>
      <c r="AE49" s="26">
        <f>IF(M49&gt;0,(AG49+AP49)/M49,0)</f>
        <v>2.6404284898250627E-3</v>
      </c>
      <c r="AF49" s="39">
        <v>2.5999999999999998E-4</v>
      </c>
      <c r="AG49" s="36">
        <f t="shared" si="460"/>
        <v>3.6412999999999998</v>
      </c>
      <c r="AH49" s="27">
        <v>0.215</v>
      </c>
      <c r="AI49" s="40">
        <f t="shared" si="461"/>
        <v>31.575544999999998</v>
      </c>
      <c r="AJ49" s="27">
        <f t="shared" si="462"/>
        <v>0.90297876677544253</v>
      </c>
      <c r="AK49" s="28">
        <f t="shared" si="6"/>
        <v>0.90256490846203208</v>
      </c>
      <c r="AL49" s="33">
        <v>163</v>
      </c>
      <c r="AM49" s="35">
        <v>9.9000000000000005E-2</v>
      </c>
      <c r="AN49" s="37">
        <v>0.22700000000000001</v>
      </c>
      <c r="AO49" s="103">
        <v>0.21460000000000001</v>
      </c>
      <c r="AP49" s="40">
        <f>AL49*(1-AM49)*AN49</f>
        <v>33.337901000000002</v>
      </c>
      <c r="AQ49" s="104">
        <f t="shared" si="21"/>
        <v>31.516799800000001</v>
      </c>
      <c r="AR49" s="41">
        <v>1.5</v>
      </c>
      <c r="AS49" s="41"/>
      <c r="AT49" s="129">
        <f>AT48+AL49-AS49</f>
        <v>747.13999999999942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43" t="s">
        <v>59</v>
      </c>
      <c r="D50" s="42">
        <v>17800</v>
      </c>
      <c r="E50" s="42">
        <v>4</v>
      </c>
      <c r="F50" s="42">
        <v>17456</v>
      </c>
      <c r="G50" s="36">
        <v>1.6</v>
      </c>
      <c r="H50" s="36">
        <v>6.3</v>
      </c>
      <c r="I50" s="42">
        <v>17185</v>
      </c>
      <c r="J50" s="36">
        <v>2.6</v>
      </c>
      <c r="K50" s="42">
        <v>14995</v>
      </c>
      <c r="L50" s="38">
        <v>6.2E-2</v>
      </c>
      <c r="M50" s="36">
        <f>ROUND(K50*(1-L50),0)</f>
        <v>14065</v>
      </c>
      <c r="N50" s="27">
        <v>0.76800000000000002</v>
      </c>
      <c r="O50" s="24">
        <f t="shared" si="452"/>
        <v>10801.92</v>
      </c>
      <c r="P50" s="38">
        <v>0.20200000000000001</v>
      </c>
      <c r="Q50" s="24">
        <f t="shared" si="453"/>
        <v>2841.13</v>
      </c>
      <c r="R50" s="38">
        <v>0.03</v>
      </c>
      <c r="S50" s="105">
        <v>0.2828</v>
      </c>
      <c r="T50" s="24">
        <f t="shared" si="454"/>
        <v>421.95</v>
      </c>
      <c r="U50" s="27">
        <v>0.26800000000000002</v>
      </c>
      <c r="V50" s="24">
        <f t="shared" si="455"/>
        <v>3769.42</v>
      </c>
      <c r="W50" s="38">
        <v>0.44600000000000001</v>
      </c>
      <c r="X50" s="24">
        <f t="shared" si="456"/>
        <v>6272.99</v>
      </c>
      <c r="Y50" s="38">
        <v>0.48</v>
      </c>
      <c r="Z50" s="24">
        <f t="shared" si="457"/>
        <v>6751.2</v>
      </c>
      <c r="AA50" s="118">
        <v>2.48E-3</v>
      </c>
      <c r="AB50" s="121">
        <f t="shared" si="61"/>
        <v>34.8812</v>
      </c>
      <c r="AC50" s="45">
        <v>2.7899999999999999E-3</v>
      </c>
      <c r="AD50" s="17">
        <f t="shared" si="459"/>
        <v>39.241349999999997</v>
      </c>
      <c r="AE50" s="26">
        <f>IF(M50&gt;0,(AG50+AP50)/M50,0)</f>
        <v>2.8565880981158906E-3</v>
      </c>
      <c r="AF50" s="45">
        <v>2.7E-4</v>
      </c>
      <c r="AG50" s="36">
        <f t="shared" si="460"/>
        <v>3.7975500000000002</v>
      </c>
      <c r="AH50" s="27">
        <v>0.21490000000000001</v>
      </c>
      <c r="AI50" s="40">
        <f t="shared" si="461"/>
        <v>34.3805616</v>
      </c>
      <c r="AJ50" s="27">
        <f t="shared" si="462"/>
        <v>0.90436204541048149</v>
      </c>
      <c r="AK50" s="28">
        <f t="shared" si="6"/>
        <v>0.9065580359511477</v>
      </c>
      <c r="AL50" s="42">
        <v>176</v>
      </c>
      <c r="AM50" s="38">
        <v>9.0999999999999998E-2</v>
      </c>
      <c r="AN50" s="27">
        <v>0.22739999999999999</v>
      </c>
      <c r="AO50" s="105">
        <v>0.21829999999999999</v>
      </c>
      <c r="AP50" s="40">
        <f>AL50*(1-AM50)*AN50</f>
        <v>36.380361600000001</v>
      </c>
      <c r="AQ50" s="106">
        <f t="shared" si="21"/>
        <v>34.924507200000001</v>
      </c>
      <c r="AR50" s="17">
        <v>1.55</v>
      </c>
      <c r="AS50" s="17"/>
      <c r="AT50" s="129">
        <f>AT49+AL50-AS50</f>
        <v>923.13999999999942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4">SUM(D48:D50)</f>
        <v>44017</v>
      </c>
      <c r="E51" s="49"/>
      <c r="F51" s="49">
        <f t="shared" ref="F51" si="465">SUM(F48:F50)</f>
        <v>49852</v>
      </c>
      <c r="G51" s="50"/>
      <c r="H51" s="50"/>
      <c r="I51" s="49">
        <f t="shared" ref="I51:K51" si="466">SUM(I48:I50)</f>
        <v>50310</v>
      </c>
      <c r="J51" s="50"/>
      <c r="K51" s="49">
        <f t="shared" si="466"/>
        <v>41718</v>
      </c>
      <c r="L51" s="20">
        <f t="shared" ref="L51" si="467">IF(K51&gt;0,(K48*L48+K49*L49+K50*L50)/K51,0)</f>
        <v>6.1434680473656453E-2</v>
      </c>
      <c r="M51" s="50">
        <f t="shared" ref="M51" si="468">M48+M49+M50</f>
        <v>39154</v>
      </c>
      <c r="N51" s="51">
        <f t="shared" ref="N51" si="469">IF(M51&gt;0,O51/M51,0)</f>
        <v>0.78434042498850698</v>
      </c>
      <c r="O51" s="52">
        <f t="shared" ref="O51" si="470">O48+O49+O50</f>
        <v>30710.065000000002</v>
      </c>
      <c r="P51" s="20">
        <f t="shared" ref="P51" si="471">IF(M51&gt;0,Q51/M51,0)</f>
        <v>0.1878190223221127</v>
      </c>
      <c r="Q51" s="52">
        <f t="shared" ref="Q51" si="472">Q48+Q49+Q50</f>
        <v>7353.8660000000009</v>
      </c>
      <c r="R51" s="20">
        <f t="shared" ref="R51" si="473">IF(M51&gt;0,T51/M51,0)</f>
        <v>2.7840552689380394E-2</v>
      </c>
      <c r="S51" s="107"/>
      <c r="T51" s="52">
        <f t="shared" ref="T51" si="474">T48+T49+T50</f>
        <v>1090.069</v>
      </c>
      <c r="U51" s="20">
        <f t="shared" ref="U51" si="475">IF(M51&gt;0,V51/M51,0)</f>
        <v>0.26422993819277724</v>
      </c>
      <c r="V51" s="52">
        <f t="shared" ref="V51" si="476">V48+V49+V50</f>
        <v>10345.659</v>
      </c>
      <c r="W51" s="20">
        <f t="shared" ref="W51" si="477">IF(M51&gt;0,X51/M51,0)</f>
        <v>0.44831067068498753</v>
      </c>
      <c r="X51" s="52">
        <f t="shared" ref="X51" si="478">X48+X49+X50</f>
        <v>17553.156000000003</v>
      </c>
      <c r="Y51" s="20">
        <f t="shared" ref="Y51" si="479">IF(M51&gt;0,Z51/M51,0)</f>
        <v>0.47433825407365793</v>
      </c>
      <c r="Z51" s="52">
        <f t="shared" ref="Z51" si="480">Z48+Z49+Z50</f>
        <v>18572.240000000002</v>
      </c>
      <c r="AA51" s="119">
        <f t="shared" ref="AA51" si="481">IF(M51&gt;0,AB51/M51,0)</f>
        <v>2.5098007866373806E-3</v>
      </c>
      <c r="AB51" s="54">
        <f t="shared" ref="AB51" si="482">SUM(AB48:AB50)</f>
        <v>98.268740000000008</v>
      </c>
      <c r="AC51" s="53">
        <f t="shared" ref="AC51" si="483">IF(M51&gt;0,AD51/M51,0)</f>
        <v>2.6861367931756649E-3</v>
      </c>
      <c r="AD51" s="54">
        <f t="shared" ref="AD51" si="484">SUM(AD48:AD50)</f>
        <v>105.17299999999999</v>
      </c>
      <c r="AE51" s="53">
        <f t="shared" ref="AE51" si="485">IF(M51&gt;0,(AE48*M48+AE49*M49+AE50*M50)/M51,0)</f>
        <v>2.7566159677172193E-3</v>
      </c>
      <c r="AF51" s="53">
        <f t="shared" ref="AF51" si="486">IF(K51&gt;0,(K48*AF48+K49*AF49+K50*AF50)/K51,0)</f>
        <v>2.5794117647058823E-4</v>
      </c>
      <c r="AG51" s="50">
        <f t="shared" ref="AG51" si="487">SUM(AG48:AG50)</f>
        <v>10.09901</v>
      </c>
      <c r="AH51" s="51">
        <f t="shared" ref="AH51" si="488">IF(K51&gt;0,(K48*AH48+K49*AH49+K50*AH50)/K51,0)</f>
        <v>0.21470966249580523</v>
      </c>
      <c r="AI51" s="56">
        <f t="shared" ref="AI51" si="489">SUM(AI48:AI50)</f>
        <v>91.868629599999991</v>
      </c>
      <c r="AJ51" s="51">
        <f t="shared" ref="AJ51" si="490">IF(AND(AD51&gt;0),((AD48*AJ48+AD49*AJ49+AD50*AJ50)/AD51),0)</f>
        <v>0.90506555689375556</v>
      </c>
      <c r="AK51" s="55">
        <f t="shared" si="6"/>
        <v>0.90745206137225731</v>
      </c>
      <c r="AL51" s="49">
        <f t="shared" ref="AL51" si="491">SUM(AL48:AL50)</f>
        <v>472</v>
      </c>
      <c r="AM51" s="20">
        <f t="shared" ref="AM51" si="492">IF(AL51&gt;0,(AM48*AL48+AM49*AL49+AM50*AL50)/AL51,0)</f>
        <v>9.3480932203389822E-2</v>
      </c>
      <c r="AN51" s="51">
        <f>IF(K51&gt;0,(AN48*K48+AN49*K49+AN50*K50)/K51,0)</f>
        <v>0.22864187161417132</v>
      </c>
      <c r="AO51" s="107">
        <f>IF(L51&gt;0,(AO48*K48+AO49*K49+AO50*K50)/K51,0)</f>
        <v>0.21658003499688386</v>
      </c>
      <c r="AP51" s="56">
        <f t="shared" ref="AP51" si="493">SUM(AP48:AP50)</f>
        <v>97.833531600000001</v>
      </c>
      <c r="AQ51" s="108">
        <f t="shared" si="405"/>
        <v>92.692713999999995</v>
      </c>
      <c r="AR51" s="54"/>
      <c r="AS51" s="54">
        <f t="shared" ref="AS51" si="494">SUM(AS48:AS50)</f>
        <v>501.16</v>
      </c>
      <c r="AT51" s="83"/>
      <c r="AU51" s="84">
        <f>AT50</f>
        <v>923.13999999999942</v>
      </c>
      <c r="AV51" s="49">
        <f t="shared" ref="AV51" si="495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53</v>
      </c>
      <c r="D52" s="11">
        <v>18588</v>
      </c>
      <c r="E52" s="11">
        <v>0</v>
      </c>
      <c r="F52" s="11">
        <v>16301</v>
      </c>
      <c r="G52" s="12">
        <v>2.6</v>
      </c>
      <c r="H52" s="12">
        <v>5.7</v>
      </c>
      <c r="I52" s="11">
        <v>16284</v>
      </c>
      <c r="J52" s="12">
        <v>3</v>
      </c>
      <c r="K52" s="11">
        <v>15026</v>
      </c>
      <c r="L52" s="13">
        <v>5.8999999999999997E-2</v>
      </c>
      <c r="M52" s="23">
        <f>ROUND(K52*(1-L52),0)</f>
        <v>14139</v>
      </c>
      <c r="N52" s="14">
        <v>0.82199999999999995</v>
      </c>
      <c r="O52" s="24">
        <f t="shared" ref="O52:O54" si="496">M52*N52</f>
        <v>11622.258</v>
      </c>
      <c r="P52" s="13">
        <v>0.15</v>
      </c>
      <c r="Q52" s="24">
        <f t="shared" ref="Q52:Q54" si="497">M52*P52</f>
        <v>2120.85</v>
      </c>
      <c r="R52" s="15">
        <v>2.8000000000000001E-2</v>
      </c>
      <c r="S52" s="112">
        <v>0.28649999999999998</v>
      </c>
      <c r="T52" s="24">
        <f t="shared" ref="T52:T54" si="498">M52*R52</f>
        <v>395.892</v>
      </c>
      <c r="U52" s="25">
        <v>0.26400000000000001</v>
      </c>
      <c r="V52" s="24">
        <f t="shared" ref="V52:V54" si="499">M52*U52</f>
        <v>3732.6960000000004</v>
      </c>
      <c r="W52" s="15">
        <v>0.47399999999999998</v>
      </c>
      <c r="X52" s="24">
        <f t="shared" ref="X52:X54" si="500">M52*W52</f>
        <v>6701.8859999999995</v>
      </c>
      <c r="Y52" s="15">
        <v>0.47</v>
      </c>
      <c r="Z52" s="24">
        <f t="shared" ref="Z52:Z54" si="501">Y52*M52</f>
        <v>6645.33</v>
      </c>
      <c r="AA52" s="116">
        <v>2.7399999999999998E-3</v>
      </c>
      <c r="AB52" s="18">
        <f t="shared" ref="AB52" si="502">M52*AA52</f>
        <v>38.740859999999998</v>
      </c>
      <c r="AC52" s="16">
        <v>2.9299999999999999E-3</v>
      </c>
      <c r="AD52" s="17">
        <f t="shared" ref="AD52:AD54" si="503">M52*AC52</f>
        <v>41.42727</v>
      </c>
      <c r="AE52" s="26">
        <f>IF(M52&gt;0,(AG52+AP52)/M52,0)</f>
        <v>2.8398563971992362E-3</v>
      </c>
      <c r="AF52" s="16">
        <v>2.7999999999999998E-4</v>
      </c>
      <c r="AG52" s="23">
        <f t="shared" ref="AG52:AG54" si="504">AF52*M52</f>
        <v>3.9589199999999996</v>
      </c>
      <c r="AH52" s="92">
        <v>0.21310000000000001</v>
      </c>
      <c r="AI52" s="29">
        <f t="shared" ref="AI52:AI54" si="505">AL52*(1-AM52)*AH52</f>
        <v>33.519777599999998</v>
      </c>
      <c r="AJ52" s="27">
        <f t="shared" ref="AJ52:AJ54" si="506">IF(AND(AH52&gt;0,AF52&gt;0,AC52&gt;0),((AC52-AF52)*AH52)/((AH52-AF52)*AC52),0)</f>
        <v>0.90562679673219659</v>
      </c>
      <c r="AK52" s="58">
        <f t="shared" si="6"/>
        <v>0.90250168544988429</v>
      </c>
      <c r="AL52" s="11">
        <v>174</v>
      </c>
      <c r="AM52" s="13">
        <v>9.6000000000000002E-2</v>
      </c>
      <c r="AN52" s="14">
        <v>0.2301</v>
      </c>
      <c r="AO52" s="101">
        <v>0.2165</v>
      </c>
      <c r="AP52" s="29">
        <f>AL52*(1-AM52)*AN52</f>
        <v>36.193809600000002</v>
      </c>
      <c r="AQ52" s="102">
        <f t="shared" ref="AQ52" si="507">AL52*(1-AM52)*AO52</f>
        <v>34.054583999999998</v>
      </c>
      <c r="AR52" s="18">
        <v>1.57</v>
      </c>
      <c r="AS52" s="18"/>
      <c r="AT52" s="79">
        <v>1290.06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0" t="s">
        <v>57</v>
      </c>
      <c r="D53" s="33">
        <v>20500</v>
      </c>
      <c r="E53" s="33">
        <v>1</v>
      </c>
      <c r="F53" s="33">
        <v>17524</v>
      </c>
      <c r="G53" s="34">
        <v>0.8</v>
      </c>
      <c r="H53" s="34">
        <v>5.4</v>
      </c>
      <c r="I53" s="33">
        <v>17698</v>
      </c>
      <c r="J53" s="34">
        <v>2</v>
      </c>
      <c r="K53" s="33">
        <v>15232</v>
      </c>
      <c r="L53" s="35">
        <v>6.0999999999999999E-2</v>
      </c>
      <c r="M53" s="36">
        <f>ROUND(K53*(1-L53),0)</f>
        <v>14303</v>
      </c>
      <c r="N53" s="37">
        <v>0.76</v>
      </c>
      <c r="O53" s="24">
        <f t="shared" si="496"/>
        <v>10870.28</v>
      </c>
      <c r="P53" s="35">
        <v>0.217</v>
      </c>
      <c r="Q53" s="24">
        <f t="shared" si="497"/>
        <v>3103.7510000000002</v>
      </c>
      <c r="R53" s="38">
        <v>2.3E-2</v>
      </c>
      <c r="S53" s="105">
        <v>0.28189999999999998</v>
      </c>
      <c r="T53" s="24">
        <f t="shared" si="498"/>
        <v>328.96899999999999</v>
      </c>
      <c r="U53" s="27">
        <v>0.26200000000000001</v>
      </c>
      <c r="V53" s="24">
        <f t="shared" si="499"/>
        <v>3747.386</v>
      </c>
      <c r="W53" s="38">
        <v>0.46600000000000003</v>
      </c>
      <c r="X53" s="24">
        <f t="shared" si="500"/>
        <v>6665.1980000000003</v>
      </c>
      <c r="Y53" s="38">
        <v>0.46</v>
      </c>
      <c r="Z53" s="24">
        <f t="shared" si="501"/>
        <v>6579.38</v>
      </c>
      <c r="AA53" s="117">
        <v>2.8900000000000002E-3</v>
      </c>
      <c r="AB53" s="18">
        <f t="shared" si="61"/>
        <v>41.33567</v>
      </c>
      <c r="AC53" s="39">
        <v>3.0400000000000002E-3</v>
      </c>
      <c r="AD53" s="17">
        <f t="shared" si="503"/>
        <v>43.481120000000004</v>
      </c>
      <c r="AE53" s="26">
        <f>IF(M53&gt;0,(AG53+AP53)/M53,0)</f>
        <v>3.0173987974550795E-3</v>
      </c>
      <c r="AF53" s="39">
        <v>2.7999999999999998E-4</v>
      </c>
      <c r="AG53" s="36">
        <f t="shared" si="504"/>
        <v>4.0048399999999997</v>
      </c>
      <c r="AH53" s="27">
        <v>0.21540000000000001</v>
      </c>
      <c r="AI53" s="40">
        <f t="shared" si="505"/>
        <v>37.038030000000006</v>
      </c>
      <c r="AJ53" s="27">
        <f t="shared" si="506"/>
        <v>0.90907645182126007</v>
      </c>
      <c r="AK53" s="28">
        <f t="shared" si="6"/>
        <v>0.90832179396914448</v>
      </c>
      <c r="AL53" s="33">
        <v>190</v>
      </c>
      <c r="AM53" s="35">
        <v>9.5000000000000001E-2</v>
      </c>
      <c r="AN53" s="37">
        <v>0.22770000000000001</v>
      </c>
      <c r="AO53" s="103">
        <v>0.21790000000000001</v>
      </c>
      <c r="AP53" s="40">
        <f>AL53*(1-AM53)*AN53</f>
        <v>39.153015000000003</v>
      </c>
      <c r="AQ53" s="104">
        <f t="shared" si="21"/>
        <v>37.467905000000009</v>
      </c>
      <c r="AR53" s="41">
        <v>1.55</v>
      </c>
      <c r="AS53" s="41"/>
      <c r="AT53" s="129">
        <f>AT52+AL53-AS53</f>
        <v>1480.06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43" t="s">
        <v>59</v>
      </c>
      <c r="D54" s="42">
        <v>15200</v>
      </c>
      <c r="E54" s="42">
        <v>2</v>
      </c>
      <c r="F54" s="42">
        <v>17180</v>
      </c>
      <c r="G54" s="36">
        <v>1.2</v>
      </c>
      <c r="H54" s="36">
        <v>4.7</v>
      </c>
      <c r="I54" s="42">
        <v>16503</v>
      </c>
      <c r="J54" s="36">
        <v>2</v>
      </c>
      <c r="K54" s="42">
        <v>15248</v>
      </c>
      <c r="L54" s="38">
        <v>6.4000000000000001E-2</v>
      </c>
      <c r="M54" s="36">
        <f>ROUND(K54*(1-L54),0)</f>
        <v>14272</v>
      </c>
      <c r="N54" s="27">
        <v>0.749</v>
      </c>
      <c r="O54" s="24">
        <f t="shared" si="496"/>
        <v>10689.727999999999</v>
      </c>
      <c r="P54" s="38">
        <v>0.23200000000000001</v>
      </c>
      <c r="Q54" s="24">
        <f t="shared" si="497"/>
        <v>3311.1040000000003</v>
      </c>
      <c r="R54" s="38">
        <v>1.9E-2</v>
      </c>
      <c r="S54" s="105">
        <v>0.26619999999999999</v>
      </c>
      <c r="T54" s="24">
        <f t="shared" si="498"/>
        <v>271.16800000000001</v>
      </c>
      <c r="U54" s="27">
        <v>0.25900000000000001</v>
      </c>
      <c r="V54" s="24">
        <f t="shared" si="499"/>
        <v>3696.4480000000003</v>
      </c>
      <c r="W54" s="38">
        <v>0.47099999999999997</v>
      </c>
      <c r="X54" s="24">
        <f t="shared" si="500"/>
        <v>6722.1120000000001</v>
      </c>
      <c r="Y54" s="38">
        <v>0.45</v>
      </c>
      <c r="Z54" s="24">
        <f t="shared" si="501"/>
        <v>6422.4000000000005</v>
      </c>
      <c r="AA54" s="118">
        <v>2.9199999999999999E-3</v>
      </c>
      <c r="AB54" s="121">
        <f t="shared" si="61"/>
        <v>41.674239999999998</v>
      </c>
      <c r="AC54" s="45">
        <v>3.14E-3</v>
      </c>
      <c r="AD54" s="17">
        <f t="shared" si="503"/>
        <v>44.814079999999997</v>
      </c>
      <c r="AE54" s="26">
        <f>IF(M54&gt;0,(AG54+AP54)/M54,0)</f>
        <v>3.3650622968049329E-3</v>
      </c>
      <c r="AF54" s="45">
        <v>2.7999999999999998E-4</v>
      </c>
      <c r="AG54" s="36">
        <f t="shared" si="504"/>
        <v>3.9961599999999997</v>
      </c>
      <c r="AH54" s="27">
        <v>0.21199999999999999</v>
      </c>
      <c r="AI54" s="40">
        <f t="shared" si="505"/>
        <v>40.010123999999998</v>
      </c>
      <c r="AJ54" s="27">
        <f t="shared" si="506"/>
        <v>0.91203259683201354</v>
      </c>
      <c r="AK54" s="28">
        <f t="shared" si="6"/>
        <v>0.91789366055307808</v>
      </c>
      <c r="AL54" s="42">
        <v>209</v>
      </c>
      <c r="AM54" s="38">
        <v>9.7000000000000003E-2</v>
      </c>
      <c r="AN54" s="27">
        <v>0.23330000000000001</v>
      </c>
      <c r="AO54" s="105">
        <v>0.2238</v>
      </c>
      <c r="AP54" s="40">
        <f>AL54*(1-AM54)*AN54</f>
        <v>44.030009100000001</v>
      </c>
      <c r="AQ54" s="106">
        <f t="shared" si="21"/>
        <v>42.2371026</v>
      </c>
      <c r="AR54" s="17">
        <v>1.55</v>
      </c>
      <c r="AS54" s="17"/>
      <c r="AT54" s="129">
        <f>AT53+AL54-AS54</f>
        <v>1689.06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8">SUM(D52:D54)</f>
        <v>54288</v>
      </c>
      <c r="E55" s="49"/>
      <c r="F55" s="49">
        <f t="shared" ref="F55" si="509">SUM(F52:F54)</f>
        <v>51005</v>
      </c>
      <c r="G55" s="50"/>
      <c r="H55" s="50"/>
      <c r="I55" s="49">
        <f t="shared" ref="I55:K55" si="510">SUM(I52:I54)</f>
        <v>50485</v>
      </c>
      <c r="J55" s="50"/>
      <c r="K55" s="49">
        <f t="shared" si="510"/>
        <v>45506</v>
      </c>
      <c r="L55" s="20">
        <f t="shared" ref="L55" si="511">IF(K55&gt;0,(K52*L52+K53*L53+K54*L54)/K55,0)</f>
        <v>6.1344833648310115E-2</v>
      </c>
      <c r="M55" s="50">
        <f t="shared" ref="M55" si="512">M52+M53+M54</f>
        <v>42714</v>
      </c>
      <c r="N55" s="51">
        <f t="shared" ref="N55" si="513">IF(M55&gt;0,O55/M55,0)</f>
        <v>0.77684754413073009</v>
      </c>
      <c r="O55" s="52">
        <f t="shared" ref="O55" si="514">O52+O53+O54</f>
        <v>33182.266000000003</v>
      </c>
      <c r="P55" s="20">
        <f t="shared" ref="P55" si="515">IF(M55&gt;0,Q55/M55,0)</f>
        <v>0.19983389521000144</v>
      </c>
      <c r="Q55" s="52">
        <f t="shared" ref="Q55" si="516">Q52+Q53+Q54</f>
        <v>8535.7050000000017</v>
      </c>
      <c r="R55" s="20">
        <f t="shared" ref="R55" si="517">IF(M55&gt;0,T55/M55,0)</f>
        <v>2.3318560659268624E-2</v>
      </c>
      <c r="S55" s="107"/>
      <c r="T55" s="52">
        <f t="shared" ref="T55" si="518">T52+T53+T54</f>
        <v>996.029</v>
      </c>
      <c r="U55" s="20">
        <f t="shared" ref="U55" si="519">IF(M55&gt;0,V55/M55,0)</f>
        <v>0.26165964320831581</v>
      </c>
      <c r="V55" s="52">
        <f t="shared" ref="V55" si="520">V52+V53+V54</f>
        <v>11176.53</v>
      </c>
      <c r="W55" s="20">
        <f t="shared" ref="W55" si="521">IF(M55&gt;0,X55/M55,0)</f>
        <v>0.47031877136301914</v>
      </c>
      <c r="X55" s="52">
        <f t="shared" ref="X55" si="522">X52+X53+X54</f>
        <v>20089.196</v>
      </c>
      <c r="Y55" s="20">
        <f t="shared" ref="Y55" si="523">IF(M55&gt;0,Z55/M55,0)</f>
        <v>0.45996886266797771</v>
      </c>
      <c r="Z55" s="52">
        <f t="shared" ref="Z55" si="524">Z52+Z53+Z54</f>
        <v>19647.11</v>
      </c>
      <c r="AA55" s="119">
        <f t="shared" ref="AA55" si="525">IF(M55&gt;0,AB55/M55,0)</f>
        <v>2.8503715409467618E-3</v>
      </c>
      <c r="AB55" s="54">
        <f t="shared" ref="AB55" si="526">SUM(AB52:AB54)</f>
        <v>121.75076999999999</v>
      </c>
      <c r="AC55" s="53">
        <f t="shared" ref="AC55" si="527">IF(M55&gt;0,AD55/M55,0)</f>
        <v>3.0370012173994471E-3</v>
      </c>
      <c r="AD55" s="54">
        <f t="shared" ref="AD55" si="528">SUM(AD52:AD54)</f>
        <v>129.72246999999999</v>
      </c>
      <c r="AE55" s="53">
        <f t="shared" ref="AE55" si="529">IF(M55&gt;0,(AE52*M52+AE53*M53+AE54*M54)/M55,0)</f>
        <v>3.0747940651776936E-3</v>
      </c>
      <c r="AF55" s="53">
        <f t="shared" ref="AF55" si="530">IF(K55&gt;0,(K52*AF52+K53*AF53+K54*AF54)/K55,0)</f>
        <v>2.7999999999999998E-4</v>
      </c>
      <c r="AG55" s="50">
        <f t="shared" ref="AG55" si="531">SUM(AG52:AG54)</f>
        <v>11.959919999999999</v>
      </c>
      <c r="AH55" s="51">
        <f t="shared" ref="AH55" si="532">IF(K55&gt;0,(K52*AH52+K53*AH53+K54*AH54)/K55,0)</f>
        <v>0.21350128334725094</v>
      </c>
      <c r="AI55" s="56">
        <f t="shared" ref="AI55" si="533">SUM(AI52:AI54)</f>
        <v>110.56793160000001</v>
      </c>
      <c r="AJ55" s="51">
        <f t="shared" ref="AJ55" si="534">IF(AND(AD55&gt;0),((AD52*AJ52+AD53*AJ53+AD54*AJ54)/AD55),0)</f>
        <v>0.90899602725196227</v>
      </c>
      <c r="AK55" s="55">
        <f t="shared" si="6"/>
        <v>0.91004309531028904</v>
      </c>
      <c r="AL55" s="49">
        <f t="shared" ref="AL55" si="535">SUM(AL52:AL54)</f>
        <v>573</v>
      </c>
      <c r="AM55" s="20">
        <f t="shared" ref="AM55" si="536">IF(AL55&gt;0,(AM52*AL52+AM53*AL53+AM54*AL54)/AL55,0)</f>
        <v>9.6033158813263533E-2</v>
      </c>
      <c r="AN55" s="51">
        <f>IF(K55&gt;0,(AN52*K52+AN53*K53+AN54*K54)/K55,0)</f>
        <v>0.23036890519931438</v>
      </c>
      <c r="AO55" s="107">
        <f>IF(L55&gt;0,(AO52*K52+AO53*K53+AO54*K54)/K55,0)</f>
        <v>0.21941467498791367</v>
      </c>
      <c r="AP55" s="56">
        <f t="shared" ref="AP55" si="537">SUM(AP52:AP54)</f>
        <v>119.37683370000001</v>
      </c>
      <c r="AQ55" s="108">
        <f t="shared" si="405"/>
        <v>113.75959160000001</v>
      </c>
      <c r="AR55" s="54"/>
      <c r="AS55" s="54">
        <f t="shared" ref="AS55" si="538">SUM(AS52:AS54)</f>
        <v>0</v>
      </c>
      <c r="AT55" s="83"/>
      <c r="AU55" s="84">
        <f>AT54</f>
        <v>1689.06</v>
      </c>
      <c r="AV55" s="49">
        <f t="shared" ref="AV55" si="539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53</v>
      </c>
      <c r="D56" s="11">
        <v>10246</v>
      </c>
      <c r="E56" s="11">
        <v>0</v>
      </c>
      <c r="F56" s="11">
        <v>14442</v>
      </c>
      <c r="G56" s="12">
        <v>1.2</v>
      </c>
      <c r="H56" s="12">
        <v>4</v>
      </c>
      <c r="I56" s="11">
        <v>14507</v>
      </c>
      <c r="J56" s="12">
        <v>1.9</v>
      </c>
      <c r="K56" s="11">
        <v>15133</v>
      </c>
      <c r="L56" s="13">
        <v>6.3E-2</v>
      </c>
      <c r="M56" s="23">
        <f>ROUND(K56*(1-L56),0)</f>
        <v>14180</v>
      </c>
      <c r="N56" s="14">
        <v>0.74199999999999999</v>
      </c>
      <c r="O56" s="24">
        <f t="shared" ref="O56:O58" si="540">M56*N56</f>
        <v>10521.56</v>
      </c>
      <c r="P56" s="13">
        <v>0.23200000000000001</v>
      </c>
      <c r="Q56" s="24">
        <f t="shared" ref="Q56:Q58" si="541">M56*P56</f>
        <v>3289.76</v>
      </c>
      <c r="R56" s="15">
        <v>2.5999999999999999E-2</v>
      </c>
      <c r="S56" s="112">
        <v>0.27410000000000001</v>
      </c>
      <c r="T56" s="24">
        <f t="shared" ref="T56:T58" si="542">M56*R56</f>
        <v>368.68</v>
      </c>
      <c r="U56" s="25">
        <v>0.25700000000000001</v>
      </c>
      <c r="V56" s="24">
        <f t="shared" ref="V56:V58" si="543">M56*U56</f>
        <v>3644.26</v>
      </c>
      <c r="W56" s="15">
        <v>0.48199999999999998</v>
      </c>
      <c r="X56" s="24">
        <f t="shared" ref="X56:X58" si="544">M56*W56</f>
        <v>6834.76</v>
      </c>
      <c r="Y56" s="15">
        <v>0.45</v>
      </c>
      <c r="Z56" s="24">
        <f t="shared" ref="Z56:Z58" si="545">Y56*M56</f>
        <v>6381</v>
      </c>
      <c r="AA56" s="116">
        <v>3.0899999999999999E-3</v>
      </c>
      <c r="AB56" s="18">
        <f t="shared" ref="AB56" si="546">M56*AA56</f>
        <v>43.816199999999995</v>
      </c>
      <c r="AC56" s="16">
        <v>3.2299999999999998E-3</v>
      </c>
      <c r="AD56" s="17">
        <f t="shared" ref="AD56:AD58" si="547">M56*AC56</f>
        <v>45.801399999999994</v>
      </c>
      <c r="AE56" s="26">
        <f>IF(M56&gt;0,(AG56+AP56)/M56,0)</f>
        <v>3.2116724400564171E-3</v>
      </c>
      <c r="AF56" s="16">
        <v>2.7999999999999998E-4</v>
      </c>
      <c r="AG56" s="23">
        <f t="shared" ref="AG56:AG58" si="548">AF56*M56</f>
        <v>3.9703999999999997</v>
      </c>
      <c r="AH56" s="92">
        <v>0.21429999999999999</v>
      </c>
      <c r="AI56" s="29">
        <f t="shared" ref="AI56:AI58" si="549">AL56*(1-AM56)*AH56</f>
        <v>39.349337399999996</v>
      </c>
      <c r="AJ56" s="27">
        <f t="shared" ref="AJ56:AJ58" si="550">IF(AND(AH56&gt;0,AF56&gt;0,AC56&gt;0),((AC56-AF56)*AH56)/((AH56-AF56)*AC56),0)</f>
        <v>0.91450757039864627</v>
      </c>
      <c r="AK56" s="58">
        <f t="shared" si="6"/>
        <v>0.91394833309735624</v>
      </c>
      <c r="AL56" s="11">
        <v>202</v>
      </c>
      <c r="AM56" s="13">
        <v>9.0999999999999998E-2</v>
      </c>
      <c r="AN56" s="14">
        <v>0.22639999999999999</v>
      </c>
      <c r="AO56" s="101">
        <v>0.21279999999999999</v>
      </c>
      <c r="AP56" s="29">
        <f>AL56*(1-AM56)*AN56</f>
        <v>41.571115199999994</v>
      </c>
      <c r="AQ56" s="102">
        <f t="shared" ref="AQ56" si="551">AL56*(1-AM56)*AO56</f>
        <v>39.073910399999995</v>
      </c>
      <c r="AR56" s="18">
        <v>1.6</v>
      </c>
      <c r="AS56" s="18"/>
      <c r="AT56" s="79">
        <f>AT54+AL56-AS56</f>
        <v>1891.06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57</v>
      </c>
      <c r="D57" s="33">
        <v>18700</v>
      </c>
      <c r="E57" s="33">
        <v>0</v>
      </c>
      <c r="F57" s="33">
        <v>13901</v>
      </c>
      <c r="G57" s="34">
        <v>0.7</v>
      </c>
      <c r="H57" s="34">
        <v>5</v>
      </c>
      <c r="I57" s="33">
        <v>14028</v>
      </c>
      <c r="J57" s="34">
        <v>3.2</v>
      </c>
      <c r="K57" s="33">
        <v>15265</v>
      </c>
      <c r="L57" s="35">
        <v>6.7000000000000004E-2</v>
      </c>
      <c r="M57" s="36">
        <f>ROUND(K57*(1-L57),0)</f>
        <v>14242</v>
      </c>
      <c r="N57" s="37">
        <v>0.61199999999999999</v>
      </c>
      <c r="O57" s="24">
        <f t="shared" si="540"/>
        <v>8716.1039999999994</v>
      </c>
      <c r="P57" s="35">
        <v>0.32600000000000001</v>
      </c>
      <c r="Q57" s="24">
        <f t="shared" si="541"/>
        <v>4642.8919999999998</v>
      </c>
      <c r="R57" s="38">
        <v>6.2E-2</v>
      </c>
      <c r="S57" s="105">
        <v>0.27029999999999998</v>
      </c>
      <c r="T57" s="24">
        <f t="shared" si="542"/>
        <v>883.00400000000002</v>
      </c>
      <c r="U57" s="27">
        <v>0.26900000000000002</v>
      </c>
      <c r="V57" s="24">
        <f t="shared" si="543"/>
        <v>3831.0980000000004</v>
      </c>
      <c r="W57" s="38">
        <v>0.46300000000000002</v>
      </c>
      <c r="X57" s="24">
        <f t="shared" si="544"/>
        <v>6594.0460000000003</v>
      </c>
      <c r="Y57" s="38">
        <v>0.45</v>
      </c>
      <c r="Z57" s="24">
        <f t="shared" si="545"/>
        <v>6408.9000000000005</v>
      </c>
      <c r="AA57" s="117">
        <v>3.0100000000000001E-3</v>
      </c>
      <c r="AB57" s="18">
        <f t="shared" si="61"/>
        <v>42.86842</v>
      </c>
      <c r="AC57" s="39">
        <v>3.1900000000000001E-3</v>
      </c>
      <c r="AD57" s="17">
        <f t="shared" si="547"/>
        <v>45.431980000000003</v>
      </c>
      <c r="AE57" s="26">
        <f>IF(M57&gt;0,(AG57+AP57)/M57,0)</f>
        <v>3.3232158404718436E-3</v>
      </c>
      <c r="AF57" s="39">
        <v>2.7999999999999998E-4</v>
      </c>
      <c r="AG57" s="36">
        <f t="shared" si="548"/>
        <v>3.9877599999999997</v>
      </c>
      <c r="AH57" s="27">
        <v>0.21329999999999999</v>
      </c>
      <c r="AI57" s="40">
        <f t="shared" si="549"/>
        <v>40.761629999999997</v>
      </c>
      <c r="AJ57" s="27">
        <f t="shared" si="550"/>
        <v>0.91342476268288642</v>
      </c>
      <c r="AK57" s="28">
        <f t="shared" si="6"/>
        <v>0.91687620889147403</v>
      </c>
      <c r="AL57" s="33">
        <v>210</v>
      </c>
      <c r="AM57" s="35">
        <v>0.09</v>
      </c>
      <c r="AN57" s="37">
        <v>0.2268</v>
      </c>
      <c r="AO57" s="103">
        <v>0.2142</v>
      </c>
      <c r="AP57" s="40">
        <f>AL57*(1-AM57)*AN57</f>
        <v>43.341479999999997</v>
      </c>
      <c r="AQ57" s="104">
        <f t="shared" si="21"/>
        <v>40.933619999999998</v>
      </c>
      <c r="AR57" s="41">
        <v>1.6</v>
      </c>
      <c r="AS57" s="41"/>
      <c r="AT57" s="129">
        <f>AT56+AL57-AS57</f>
        <v>2101.06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43" t="s">
        <v>59</v>
      </c>
      <c r="D58" s="42">
        <v>15000</v>
      </c>
      <c r="E58" s="42">
        <v>0</v>
      </c>
      <c r="F58" s="42">
        <v>15772</v>
      </c>
      <c r="G58" s="36">
        <v>0.3</v>
      </c>
      <c r="H58" s="36">
        <v>5.7</v>
      </c>
      <c r="I58" s="42">
        <v>15997</v>
      </c>
      <c r="J58" s="36">
        <v>2</v>
      </c>
      <c r="K58" s="42">
        <v>15256</v>
      </c>
      <c r="L58" s="38">
        <v>6.9000000000000006E-2</v>
      </c>
      <c r="M58" s="36">
        <f>ROUND(K58*(1-L58),0)</f>
        <v>14203</v>
      </c>
      <c r="N58" s="27">
        <v>0.67700000000000005</v>
      </c>
      <c r="O58" s="24">
        <f t="shared" si="540"/>
        <v>9615.4310000000005</v>
      </c>
      <c r="P58" s="38">
        <v>0.29299999999999998</v>
      </c>
      <c r="Q58" s="24">
        <f t="shared" si="541"/>
        <v>4161.4789999999994</v>
      </c>
      <c r="R58" s="38">
        <v>0.03</v>
      </c>
      <c r="S58" s="105">
        <v>0.2651</v>
      </c>
      <c r="T58" s="24">
        <f t="shared" si="542"/>
        <v>426.09</v>
      </c>
      <c r="U58" s="27">
        <v>0.26200000000000001</v>
      </c>
      <c r="V58" s="24">
        <f t="shared" si="543"/>
        <v>3721.1860000000001</v>
      </c>
      <c r="W58" s="38">
        <v>0.46700000000000003</v>
      </c>
      <c r="X58" s="24">
        <f t="shared" si="544"/>
        <v>6632.8010000000004</v>
      </c>
      <c r="Y58" s="38">
        <v>0.45</v>
      </c>
      <c r="Z58" s="24">
        <f t="shared" si="545"/>
        <v>6391.35</v>
      </c>
      <c r="AA58" s="118">
        <v>2.9199999999999999E-3</v>
      </c>
      <c r="AB58" s="121">
        <f t="shared" si="61"/>
        <v>41.472760000000001</v>
      </c>
      <c r="AC58" s="45">
        <v>3.0599999999999998E-3</v>
      </c>
      <c r="AD58" s="17">
        <f t="shared" si="547"/>
        <v>43.461179999999999</v>
      </c>
      <c r="AE58" s="26">
        <f>IF(M58&gt;0,(AG58+AP58)/M58,0)</f>
        <v>3.3195377033021192E-3</v>
      </c>
      <c r="AF58" s="45">
        <v>2.7E-4</v>
      </c>
      <c r="AG58" s="36">
        <f t="shared" si="548"/>
        <v>3.8348100000000001</v>
      </c>
      <c r="AH58" s="27">
        <v>0.21029999999999999</v>
      </c>
      <c r="AI58" s="40">
        <f t="shared" si="549"/>
        <v>40.232492999999998</v>
      </c>
      <c r="AJ58" s="27">
        <f t="shared" si="550"/>
        <v>0.91293680734684957</v>
      </c>
      <c r="AK58" s="28">
        <f t="shared" si="6"/>
        <v>0.91976026023190116</v>
      </c>
      <c r="AL58" s="42">
        <v>210</v>
      </c>
      <c r="AM58" s="38">
        <v>8.8999999999999996E-2</v>
      </c>
      <c r="AN58" s="27">
        <v>0.22639999999999999</v>
      </c>
      <c r="AO58" s="105">
        <v>0.21870000000000001</v>
      </c>
      <c r="AP58" s="40">
        <f>AL58*(1-AM58)*AN58</f>
        <v>43.312584000000001</v>
      </c>
      <c r="AQ58" s="106">
        <f t="shared" si="21"/>
        <v>41.839497000000001</v>
      </c>
      <c r="AR58" s="17">
        <v>1.55</v>
      </c>
      <c r="AS58" s="17"/>
      <c r="AT58" s="129">
        <f>AT57+AL58-AS58</f>
        <v>2311.06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2">SUM(D56:D58)</f>
        <v>43946</v>
      </c>
      <c r="E59" s="49"/>
      <c r="F59" s="49">
        <f t="shared" ref="F59" si="553">SUM(F56:F58)</f>
        <v>44115</v>
      </c>
      <c r="G59" s="50"/>
      <c r="H59" s="50"/>
      <c r="I59" s="49">
        <f t="shared" ref="I59:K59" si="554">SUM(I56:I58)</f>
        <v>44532</v>
      </c>
      <c r="J59" s="50"/>
      <c r="K59" s="49">
        <f t="shared" si="554"/>
        <v>45654</v>
      </c>
      <c r="L59" s="20">
        <f t="shared" ref="L59" si="555">IF(K59&gt;0,(K56*L56+K57*L57+K58*L58)/K59,0)</f>
        <v>6.6342445349805046E-2</v>
      </c>
      <c r="M59" s="50">
        <f t="shared" ref="M59" si="556">M56+M57+M58</f>
        <v>42625</v>
      </c>
      <c r="N59" s="51">
        <f t="shared" ref="N59" si="557">IF(M59&gt;0,O59/M59,0)</f>
        <v>0.67690545454545448</v>
      </c>
      <c r="O59" s="52">
        <f t="shared" ref="O59" si="558">O56+O57+O58</f>
        <v>28853.094999999998</v>
      </c>
      <c r="P59" s="20">
        <f t="shared" ref="P59" si="559">IF(M59&gt;0,Q59/M59,0)</f>
        <v>0.28373327859237535</v>
      </c>
      <c r="Q59" s="52">
        <f t="shared" ref="Q59" si="560">Q56+Q57+Q58</f>
        <v>12094.130999999999</v>
      </c>
      <c r="R59" s="20">
        <f t="shared" ref="R59" si="561">IF(M59&gt;0,T59/M59,0)</f>
        <v>3.9361266862170084E-2</v>
      </c>
      <c r="S59" s="107"/>
      <c r="T59" s="52">
        <f t="shared" ref="T59" si="562">T56+T57+T58</f>
        <v>1677.7739999999999</v>
      </c>
      <c r="U59" s="20">
        <f t="shared" ref="U59" si="563">IF(M59&gt;0,V59/M59,0)</f>
        <v>0.2626755190615836</v>
      </c>
      <c r="V59" s="52">
        <f t="shared" ref="V59" si="564">V56+V57+V58</f>
        <v>11196.544</v>
      </c>
      <c r="W59" s="20">
        <f t="shared" ref="W59" si="565">IF(M59&gt;0,X59/M59,0)</f>
        <v>0.47065353665689147</v>
      </c>
      <c r="X59" s="52">
        <f t="shared" ref="X59" si="566">X56+X57+X58</f>
        <v>20061.607</v>
      </c>
      <c r="Y59" s="20">
        <f t="shared" ref="Y59" si="567">IF(M59&gt;0,Z59/M59,0)</f>
        <v>0.45</v>
      </c>
      <c r="Z59" s="52">
        <f t="shared" ref="Z59" si="568">Z56+Z57+Z58</f>
        <v>19181.25</v>
      </c>
      <c r="AA59" s="119">
        <f t="shared" ref="AA59" si="569">IF(M59&gt;0,AB59/M59,0)</f>
        <v>3.0066247507331374E-3</v>
      </c>
      <c r="AB59" s="54">
        <f t="shared" ref="AB59" si="570">SUM(AB56:AB58)</f>
        <v>128.15737999999999</v>
      </c>
      <c r="AC59" s="53">
        <f t="shared" ref="AC59" si="571">IF(M59&gt;0,AD59/M59,0)</f>
        <v>3.1599896774193548E-3</v>
      </c>
      <c r="AD59" s="54">
        <f t="shared" ref="AD59" si="572">SUM(AD56:AD58)</f>
        <v>134.69456</v>
      </c>
      <c r="AE59" s="53">
        <f t="shared" ref="AE59" si="573">IF(M59&gt;0,(AE56*M56+AE57*M57+AE58*M58)/M59,0)</f>
        <v>3.2848832656891492E-3</v>
      </c>
      <c r="AF59" s="53">
        <f t="shared" ref="AF59" si="574">IF(K59&gt;0,(K56*AF56+K57*AF57+K58*AF58)/K59,0)</f>
        <v>2.7665834319008192E-4</v>
      </c>
      <c r="AG59" s="50">
        <f t="shared" ref="AG59" si="575">SUM(AG56:AG58)</f>
        <v>11.79297</v>
      </c>
      <c r="AH59" s="51">
        <f t="shared" ref="AH59" si="576">IF(K59&gt;0,(K56*AH56+K57*AH57+K58*AH58)/K59,0)</f>
        <v>0.2126289744600692</v>
      </c>
      <c r="AI59" s="56">
        <f t="shared" ref="AI59" si="577">SUM(AI56:AI58)</f>
        <v>120.3434604</v>
      </c>
      <c r="AJ59" s="51">
        <f t="shared" ref="AJ59" si="578">IF(AND(AD59&gt;0),((AD56*AJ56+AD57*AJ57+AD58*AJ58)/AD59),0)</f>
        <v>0.91363551354484507</v>
      </c>
      <c r="AK59" s="55">
        <f t="shared" si="6"/>
        <v>0.91689811144675926</v>
      </c>
      <c r="AL59" s="49">
        <f t="shared" ref="AL59" si="579">SUM(AL56:AL58)</f>
        <v>622</v>
      </c>
      <c r="AM59" s="20">
        <f t="shared" ref="AM59" si="580">IF(AL59&gt;0,(AM56*AL56+AM57*AL57+AM58*AL58)/AL59,0)</f>
        <v>8.9987138263665584E-2</v>
      </c>
      <c r="AN59" s="51">
        <f>IF(K59&gt;0,(AN56*K56+AN57*K57+AN58*K58)/K59,0)</f>
        <v>0.22653374512638541</v>
      </c>
      <c r="AO59" s="107">
        <f>IF(L59&gt;0,(AO56*K56+AO57*K57+AO58*K58)/K59,0)</f>
        <v>0.21523968546020061</v>
      </c>
      <c r="AP59" s="56">
        <f t="shared" ref="AP59:AQ71" si="581">SUM(AP56:AP58)</f>
        <v>128.22517920000001</v>
      </c>
      <c r="AQ59" s="108">
        <f t="shared" si="581"/>
        <v>121.8470274</v>
      </c>
      <c r="AR59" s="54"/>
      <c r="AS59" s="54">
        <f t="shared" ref="AS59" si="582">SUM(AS56:AS58)</f>
        <v>0</v>
      </c>
      <c r="AT59" s="83"/>
      <c r="AU59" s="84">
        <f>AT58</f>
        <v>2311.06</v>
      </c>
      <c r="AV59" s="49">
        <f t="shared" ref="AV59" si="583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53</v>
      </c>
      <c r="D60" s="11">
        <v>3490</v>
      </c>
      <c r="E60" s="11">
        <v>0</v>
      </c>
      <c r="F60" s="11">
        <v>8078</v>
      </c>
      <c r="G60" s="12">
        <v>1.1000000000000001</v>
      </c>
      <c r="H60" s="12">
        <v>4</v>
      </c>
      <c r="I60" s="11">
        <v>8802</v>
      </c>
      <c r="J60" s="12">
        <v>4.4000000000000004</v>
      </c>
      <c r="K60" s="11">
        <v>14758</v>
      </c>
      <c r="L60" s="13">
        <v>6.5000000000000002E-2</v>
      </c>
      <c r="M60" s="23">
        <f>ROUND(K60*(1-L60),0)</f>
        <v>13799</v>
      </c>
      <c r="N60" s="14">
        <v>0.67900000000000005</v>
      </c>
      <c r="O60" s="24">
        <f t="shared" ref="O60:O62" si="584">M60*N60</f>
        <v>9369.5210000000006</v>
      </c>
      <c r="P60" s="13">
        <v>0.29099999999999998</v>
      </c>
      <c r="Q60" s="24">
        <f t="shared" ref="Q60:Q62" si="585">M60*P60</f>
        <v>4015.5089999999996</v>
      </c>
      <c r="R60" s="15">
        <v>0.03</v>
      </c>
      <c r="S60" s="112">
        <v>0.24729999999999999</v>
      </c>
      <c r="T60" s="24">
        <f t="shared" ref="T60:T62" si="586">M60*R60</f>
        <v>413.96999999999997</v>
      </c>
      <c r="U60" s="25">
        <v>0.254</v>
      </c>
      <c r="V60" s="24">
        <f t="shared" ref="V60:V62" si="587">M60*U60</f>
        <v>3504.9459999999999</v>
      </c>
      <c r="W60" s="15">
        <v>0.47799999999999998</v>
      </c>
      <c r="X60" s="24">
        <f t="shared" ref="X60:X62" si="588">M60*W60</f>
        <v>6595.9219999999996</v>
      </c>
      <c r="Y60" s="15">
        <v>0.43</v>
      </c>
      <c r="Z60" s="24">
        <f t="shared" ref="Z60:Z62" si="589">Y60*M60</f>
        <v>5933.57</v>
      </c>
      <c r="AA60" s="116">
        <v>2.8600000000000001E-3</v>
      </c>
      <c r="AB60" s="18">
        <f t="shared" ref="AB60" si="590">M60*AA60</f>
        <v>39.465140000000005</v>
      </c>
      <c r="AC60" s="16">
        <v>2.9399999999999999E-3</v>
      </c>
      <c r="AD60" s="17">
        <f t="shared" ref="AD60:AD62" si="591">M60*AC60</f>
        <v>40.56906</v>
      </c>
      <c r="AE60" s="26">
        <f>IF(M60&gt;0,(AG60+AP60)/M60,0)</f>
        <v>3.1042425683020509E-3</v>
      </c>
      <c r="AF60" s="16">
        <v>2.7999999999999998E-4</v>
      </c>
      <c r="AG60" s="23">
        <f t="shared" ref="AG60:AG62" si="592">AF60*M60</f>
        <v>3.8637199999999998</v>
      </c>
      <c r="AH60" s="92">
        <v>0.21590000000000001</v>
      </c>
      <c r="AI60" s="29">
        <f t="shared" ref="AI60:AI62" si="593">AL60*(1-AM60)*AH60</f>
        <v>36.8549936</v>
      </c>
      <c r="AJ60" s="27">
        <f t="shared" ref="AJ60:AJ62" si="594">IF(AND(AH60&gt;0,AF60&gt;0,AC60&gt;0),((AC60-AF60)*AH60)/((AH60-AF60)*AC60),0)</f>
        <v>0.90593681123316594</v>
      </c>
      <c r="AK60" s="58">
        <f t="shared" si="6"/>
        <v>0.91091806453094049</v>
      </c>
      <c r="AL60" s="11">
        <v>188</v>
      </c>
      <c r="AM60" s="13">
        <v>9.1999999999999998E-2</v>
      </c>
      <c r="AN60" s="14">
        <v>0.2283</v>
      </c>
      <c r="AO60" s="101">
        <v>0.216</v>
      </c>
      <c r="AP60" s="29">
        <f>AL60*(1-AM60)*AN60</f>
        <v>38.9717232</v>
      </c>
      <c r="AQ60" s="102">
        <f t="shared" ref="AQ60" si="595">AL60*(1-AM60)*AO60</f>
        <v>36.872064000000002</v>
      </c>
      <c r="AR60" s="18">
        <v>1.55</v>
      </c>
      <c r="AS60" s="18">
        <v>1010.48</v>
      </c>
      <c r="AT60" s="79">
        <f>AT58+AL60-AS60+AU60</f>
        <v>1517.54</v>
      </c>
      <c r="AU60" s="130">
        <v>28.96</v>
      </c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55</v>
      </c>
      <c r="D61" s="33">
        <v>20000</v>
      </c>
      <c r="E61" s="33">
        <v>2</v>
      </c>
      <c r="F61" s="33">
        <v>16669</v>
      </c>
      <c r="G61" s="34">
        <v>2</v>
      </c>
      <c r="H61" s="34">
        <v>5.3</v>
      </c>
      <c r="I61" s="33">
        <v>16167</v>
      </c>
      <c r="J61" s="34">
        <v>3.4</v>
      </c>
      <c r="K61" s="33">
        <v>15232</v>
      </c>
      <c r="L61" s="35">
        <v>6.4000000000000001E-2</v>
      </c>
      <c r="M61" s="36">
        <f>ROUND(K61*(1-L61),0)</f>
        <v>14257</v>
      </c>
      <c r="N61" s="37">
        <v>0.74099999999999999</v>
      </c>
      <c r="O61" s="24">
        <f t="shared" si="584"/>
        <v>10564.437</v>
      </c>
      <c r="P61" s="35">
        <v>0.24299999999999999</v>
      </c>
      <c r="Q61" s="24">
        <f t="shared" si="585"/>
        <v>3464.451</v>
      </c>
      <c r="R61" s="38">
        <v>1.6E-2</v>
      </c>
      <c r="S61" s="105">
        <v>0.26200000000000001</v>
      </c>
      <c r="T61" s="24">
        <f t="shared" si="586"/>
        <v>228.11199999999999</v>
      </c>
      <c r="U61" s="27">
        <v>0.26600000000000001</v>
      </c>
      <c r="V61" s="24">
        <f t="shared" si="587"/>
        <v>3792.3620000000001</v>
      </c>
      <c r="W61" s="38">
        <v>0.47299999999999998</v>
      </c>
      <c r="X61" s="24">
        <f t="shared" si="588"/>
        <v>6743.5609999999997</v>
      </c>
      <c r="Y61" s="38">
        <v>0.46</v>
      </c>
      <c r="Z61" s="24">
        <f t="shared" si="589"/>
        <v>6558.22</v>
      </c>
      <c r="AA61" s="117">
        <v>2.7499999999999998E-3</v>
      </c>
      <c r="AB61" s="18">
        <f t="shared" si="61"/>
        <v>39.20675</v>
      </c>
      <c r="AC61" s="39">
        <v>2.81E-3</v>
      </c>
      <c r="AD61" s="17">
        <f t="shared" si="591"/>
        <v>40.062170000000002</v>
      </c>
      <c r="AE61" s="26">
        <f>IF(M61&gt;0,(AG61+AP61)/M61,0)</f>
        <v>2.9801801220453112E-3</v>
      </c>
      <c r="AF61" s="39">
        <v>3.1E-4</v>
      </c>
      <c r="AG61" s="36">
        <f t="shared" si="592"/>
        <v>4.41967</v>
      </c>
      <c r="AH61" s="27">
        <v>0.21809999999999999</v>
      </c>
      <c r="AI61" s="40">
        <f t="shared" si="593"/>
        <v>36.320192999999996</v>
      </c>
      <c r="AJ61" s="27">
        <f t="shared" si="594"/>
        <v>0.89094607607086329</v>
      </c>
      <c r="AK61" s="28">
        <f t="shared" si="6"/>
        <v>0.89719611188650439</v>
      </c>
      <c r="AL61" s="33">
        <v>183</v>
      </c>
      <c r="AM61" s="35">
        <v>0.09</v>
      </c>
      <c r="AN61" s="37">
        <v>0.2286</v>
      </c>
      <c r="AO61" s="103">
        <v>0.21010000000000001</v>
      </c>
      <c r="AP61" s="40">
        <f>AL61*(1-AM61)*AN61</f>
        <v>38.068758000000003</v>
      </c>
      <c r="AQ61" s="104">
        <f t="shared" si="21"/>
        <v>34.987953000000005</v>
      </c>
      <c r="AR61" s="41">
        <v>1.5</v>
      </c>
      <c r="AS61" s="41"/>
      <c r="AT61" s="129">
        <f>AT60+AL61-AS61</f>
        <v>1700.54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59</v>
      </c>
      <c r="D62" s="42">
        <v>13500</v>
      </c>
      <c r="E62" s="42">
        <v>0</v>
      </c>
      <c r="F62" s="42">
        <v>16840</v>
      </c>
      <c r="G62" s="36">
        <v>0.6</v>
      </c>
      <c r="H62" s="36">
        <v>4.3</v>
      </c>
      <c r="I62" s="42">
        <v>16188</v>
      </c>
      <c r="J62" s="36">
        <v>3</v>
      </c>
      <c r="K62" s="42">
        <v>15481</v>
      </c>
      <c r="L62" s="38">
        <v>6.4000000000000001E-2</v>
      </c>
      <c r="M62" s="36">
        <f>ROUND(K62*(1-L62),0)</f>
        <v>14490</v>
      </c>
      <c r="N62" s="27">
        <v>0.71799999999999997</v>
      </c>
      <c r="O62" s="24">
        <f t="shared" si="584"/>
        <v>10403.82</v>
      </c>
      <c r="P62" s="38">
        <v>0.27200000000000002</v>
      </c>
      <c r="Q62" s="24">
        <f t="shared" si="585"/>
        <v>3941.28</v>
      </c>
      <c r="R62" s="38">
        <v>0.01</v>
      </c>
      <c r="S62" s="105">
        <v>0.24970000000000001</v>
      </c>
      <c r="T62" s="24">
        <f t="shared" si="586"/>
        <v>144.9</v>
      </c>
      <c r="U62" s="27">
        <v>0.23899999999999999</v>
      </c>
      <c r="V62" s="24">
        <f t="shared" si="587"/>
        <v>3463.1099999999997</v>
      </c>
      <c r="W62" s="38">
        <v>0.495</v>
      </c>
      <c r="X62" s="24">
        <f t="shared" si="588"/>
        <v>7172.55</v>
      </c>
      <c r="Y62" s="38">
        <v>0.46</v>
      </c>
      <c r="Z62" s="24">
        <f t="shared" si="589"/>
        <v>6665.4000000000005</v>
      </c>
      <c r="AA62" s="118">
        <v>2.7000000000000001E-3</v>
      </c>
      <c r="AB62" s="121">
        <f t="shared" si="61"/>
        <v>39.123000000000005</v>
      </c>
      <c r="AC62" s="45">
        <v>2.7799999999999999E-3</v>
      </c>
      <c r="AD62" s="17">
        <f t="shared" si="591"/>
        <v>40.282199999999996</v>
      </c>
      <c r="AE62" s="26">
        <f>IF(M62&gt;0,(AG62+AP62)/M62,0)</f>
        <v>3.1429648033126294E-3</v>
      </c>
      <c r="AF62" s="45">
        <v>2.9999999999999997E-4</v>
      </c>
      <c r="AG62" s="36">
        <f t="shared" si="592"/>
        <v>4.3469999999999995</v>
      </c>
      <c r="AH62" s="27">
        <v>0.21249999999999999</v>
      </c>
      <c r="AI62" s="40">
        <f t="shared" si="593"/>
        <v>38.802499999999995</v>
      </c>
      <c r="AJ62" s="27">
        <f t="shared" si="594"/>
        <v>0.89334752744458534</v>
      </c>
      <c r="AK62" s="28">
        <f t="shared" si="6"/>
        <v>0.90575318330647892</v>
      </c>
      <c r="AL62" s="42">
        <v>200</v>
      </c>
      <c r="AM62" s="38">
        <v>8.6999999999999994E-2</v>
      </c>
      <c r="AN62" s="27">
        <v>0.22559999999999999</v>
      </c>
      <c r="AO62" s="105">
        <v>0.20369999999999999</v>
      </c>
      <c r="AP62" s="40">
        <f>AL62*(1-AM62)*AN62</f>
        <v>41.194559999999996</v>
      </c>
      <c r="AQ62" s="106">
        <f t="shared" si="21"/>
        <v>37.195619999999998</v>
      </c>
      <c r="AR62" s="17">
        <v>1.6</v>
      </c>
      <c r="AS62" s="17"/>
      <c r="AT62" s="129">
        <f>AT61+AL62-AS62</f>
        <v>1900.54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6">SUM(D60:D62)</f>
        <v>36990</v>
      </c>
      <c r="E63" s="49"/>
      <c r="F63" s="49">
        <f t="shared" ref="F63" si="597">SUM(F60:F62)</f>
        <v>41587</v>
      </c>
      <c r="G63" s="50"/>
      <c r="H63" s="50"/>
      <c r="I63" s="49">
        <f t="shared" ref="I63:K63" si="598">SUM(I60:I62)</f>
        <v>41157</v>
      </c>
      <c r="J63" s="50"/>
      <c r="K63" s="49">
        <f t="shared" si="598"/>
        <v>45471</v>
      </c>
      <c r="L63" s="20">
        <f t="shared" ref="L63" si="599">IF(K63&gt;0,(K60*L60+K61*L61+K62*L62)/K63,0)</f>
        <v>6.4324558509819441E-2</v>
      </c>
      <c r="M63" s="50">
        <f t="shared" ref="M63" si="600">M60+M61+M62</f>
        <v>42546</v>
      </c>
      <c r="N63" s="51">
        <f t="shared" ref="N63" si="601">IF(M63&gt;0,O63/M63,0)</f>
        <v>0.71305828985098474</v>
      </c>
      <c r="O63" s="52">
        <f t="shared" ref="O63" si="602">O60+O61+O62</f>
        <v>30337.777999999998</v>
      </c>
      <c r="P63" s="20">
        <f t="shared" ref="P63" si="603">IF(M63&gt;0,Q63/M63,0)</f>
        <v>0.26844450712170354</v>
      </c>
      <c r="Q63" s="52">
        <f t="shared" ref="Q63" si="604">Q60+Q61+Q62</f>
        <v>11421.24</v>
      </c>
      <c r="R63" s="20">
        <f t="shared" ref="R63" si="605">IF(M63&gt;0,T63/M63,0)</f>
        <v>1.8497203027311615E-2</v>
      </c>
      <c r="S63" s="107"/>
      <c r="T63" s="52">
        <f t="shared" ref="T63" si="606">T60+T61+T62</f>
        <v>786.98199999999997</v>
      </c>
      <c r="U63" s="20">
        <f t="shared" ref="U63" si="607">IF(M63&gt;0,V63/M63,0)</f>
        <v>0.25291256522352279</v>
      </c>
      <c r="V63" s="52">
        <f t="shared" ref="V63" si="608">V60+V61+V62</f>
        <v>10760.418</v>
      </c>
      <c r="W63" s="20">
        <f t="shared" ref="W63" si="609">IF(M63&gt;0,X63/M63,0)</f>
        <v>0.48211425280872466</v>
      </c>
      <c r="X63" s="52">
        <f t="shared" ref="X63" si="610">X60+X61+X62</f>
        <v>20512.032999999999</v>
      </c>
      <c r="Y63" s="20">
        <f t="shared" ref="Y63" si="611">IF(M63&gt;0,Z63/M63,0)</f>
        <v>0.45027006064024827</v>
      </c>
      <c r="Z63" s="52">
        <f t="shared" ref="Z63" si="612">Z60+Z61+Z62</f>
        <v>19157.190000000002</v>
      </c>
      <c r="AA63" s="119">
        <f t="shared" ref="AA63" si="613">IF(M63&gt;0,AB63/M63,0)</f>
        <v>2.7686478164809856E-3</v>
      </c>
      <c r="AB63" s="54">
        <f t="shared" ref="AB63" si="614">SUM(AB60:AB62)</f>
        <v>117.79489000000001</v>
      </c>
      <c r="AC63" s="53">
        <f t="shared" ref="AC63" si="615">IF(M63&gt;0,AD63/M63,0)</f>
        <v>2.8419458938560619E-3</v>
      </c>
      <c r="AD63" s="54">
        <f t="shared" ref="AD63" si="616">SUM(AD60:AD62)</f>
        <v>120.91343000000001</v>
      </c>
      <c r="AE63" s="53">
        <f t="shared" ref="AE63" si="617">IF(M63&gt;0,(AE60*M60+AE61*M61+AE62*M62)/M63,0)</f>
        <v>3.0758574531095755E-3</v>
      </c>
      <c r="AF63" s="53">
        <f t="shared" ref="AF63" si="618">IF(K63&gt;0,(K60*AF60+K61*AF61+K62*AF62)/K63,0)</f>
        <v>2.9685865716610587E-4</v>
      </c>
      <c r="AG63" s="50">
        <f t="shared" ref="AG63" si="619">SUM(AG60:AG62)</f>
        <v>12.63039</v>
      </c>
      <c r="AH63" s="51">
        <f t="shared" ref="AH63" si="620">IF(K63&gt;0,(K60*AH60+K61*AH61+K62*AH62)/K63,0)</f>
        <v>0.21547940225638318</v>
      </c>
      <c r="AI63" s="56">
        <f t="shared" ref="AI63" si="621">SUM(AI60:AI62)</f>
        <v>111.97768659999998</v>
      </c>
      <c r="AJ63" s="51">
        <f t="shared" ref="AJ63" si="622">IF(AND(AD63&gt;0),((AD60*AJ60+AD61*AJ61+AD62*AJ62)/AD63),0)</f>
        <v>0.89677583194471544</v>
      </c>
      <c r="AK63" s="55">
        <f t="shared" si="6"/>
        <v>0.90466808589377734</v>
      </c>
      <c r="AL63" s="49">
        <f t="shared" ref="AL63" si="623">SUM(AL60:AL62)</f>
        <v>571</v>
      </c>
      <c r="AM63" s="20">
        <f t="shared" ref="AM63" si="624">IF(AL63&gt;0,(AM60*AL60+AM61*AL61+AM62*AL62)/AL63,0)</f>
        <v>8.9607705779334496E-2</v>
      </c>
      <c r="AN63" s="51">
        <f>IF(K63&gt;0,(AN60*K60+AN61*K61+AN62*K62)/K63,0)</f>
        <v>0.22748125618526094</v>
      </c>
      <c r="AO63" s="107">
        <f>IF(L63&gt;0,(AO60*K60+AO61*K61+AO62*K62)/K63,0)</f>
        <v>0.20983595918277584</v>
      </c>
      <c r="AP63" s="56">
        <f t="shared" ref="AP63" si="625">SUM(AP60:AP62)</f>
        <v>118.2350412</v>
      </c>
      <c r="AQ63" s="108">
        <f t="shared" si="581"/>
        <v>109.05563699999999</v>
      </c>
      <c r="AR63" s="54"/>
      <c r="AS63" s="54">
        <f t="shared" ref="AS63" si="626">SUM(AS60:AS62)</f>
        <v>1010.48</v>
      </c>
      <c r="AT63" s="83"/>
      <c r="AU63" s="84">
        <f>AT62</f>
        <v>1900.54</v>
      </c>
      <c r="AV63" s="49">
        <f t="shared" ref="AV63" si="627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57</v>
      </c>
      <c r="D64" s="11">
        <v>9000</v>
      </c>
      <c r="E64" s="11">
        <v>0</v>
      </c>
      <c r="F64" s="11">
        <v>11232</v>
      </c>
      <c r="G64" s="12">
        <v>0.9</v>
      </c>
      <c r="H64" s="12">
        <v>5.6</v>
      </c>
      <c r="I64" s="11">
        <v>11132</v>
      </c>
      <c r="J64" s="12">
        <v>4.5999999999999996</v>
      </c>
      <c r="K64" s="11">
        <v>15512</v>
      </c>
      <c r="L64" s="13">
        <v>6.2E-2</v>
      </c>
      <c r="M64" s="23">
        <f>ROUND(K64*(1-L64),0)</f>
        <v>14550</v>
      </c>
      <c r="N64" s="14">
        <v>0.59499999999999997</v>
      </c>
      <c r="O64" s="24">
        <f t="shared" ref="O64:O66" si="628">M64*N64</f>
        <v>8657.25</v>
      </c>
      <c r="P64" s="13">
        <v>0.38100000000000001</v>
      </c>
      <c r="Q64" s="24">
        <f t="shared" ref="Q64:Q66" si="629">M64*P64</f>
        <v>5543.55</v>
      </c>
      <c r="R64" s="15">
        <v>2.4E-2</v>
      </c>
      <c r="S64" s="112">
        <v>0.25800000000000001</v>
      </c>
      <c r="T64" s="24">
        <f t="shared" ref="T64:T66" si="630">M64*R64</f>
        <v>349.2</v>
      </c>
      <c r="U64" s="25">
        <v>0.251</v>
      </c>
      <c r="V64" s="24">
        <f t="shared" ref="V64:V66" si="631">M64*U64</f>
        <v>3652.05</v>
      </c>
      <c r="W64" s="15">
        <v>0.47</v>
      </c>
      <c r="X64" s="24">
        <f t="shared" ref="X64:X66" si="632">M64*W64</f>
        <v>6838.5</v>
      </c>
      <c r="Y64" s="15">
        <v>0.46</v>
      </c>
      <c r="Z64" s="24">
        <f t="shared" ref="Z64:Z66" si="633">Y64*M64</f>
        <v>6693</v>
      </c>
      <c r="AA64" s="116">
        <v>2.8600000000000001E-3</v>
      </c>
      <c r="AB64" s="18">
        <f t="shared" ref="AB64" si="634">M64*AA64</f>
        <v>41.613</v>
      </c>
      <c r="AC64" s="16">
        <v>2.8900000000000002E-3</v>
      </c>
      <c r="AD64" s="17">
        <f t="shared" ref="AD64:AD66" si="635">M64*AC64</f>
        <v>42.049500000000002</v>
      </c>
      <c r="AE64" s="26">
        <f>IF(M64&gt;0,(AG64+AP64)/M64,0)</f>
        <v>3.1469328865979386E-3</v>
      </c>
      <c r="AF64" s="16">
        <v>2.9999999999999997E-4</v>
      </c>
      <c r="AG64" s="23">
        <f t="shared" ref="AG64:AG66" si="636">AF64*M64</f>
        <v>4.3649999999999993</v>
      </c>
      <c r="AH64" s="92">
        <v>0.21679999999999999</v>
      </c>
      <c r="AI64" s="29">
        <f t="shared" ref="AI64:AI66" si="637">AL64*(1-AM64)*AH64</f>
        <v>41.063003999999999</v>
      </c>
      <c r="AJ64" s="27">
        <f t="shared" ref="AJ64:AJ66" si="638">IF(AND(AH64&gt;0,AF64&gt;0,AC64&gt;0),((AC64-AF64)*AH64)/((AH64-AF64)*AC64),0)</f>
        <v>0.89743561057081433</v>
      </c>
      <c r="AK64" s="58">
        <f t="shared" si="6"/>
        <v>0.90591175961711756</v>
      </c>
      <c r="AL64" s="11">
        <v>207</v>
      </c>
      <c r="AM64" s="13">
        <v>8.5000000000000006E-2</v>
      </c>
      <c r="AN64" s="14">
        <v>0.21870000000000001</v>
      </c>
      <c r="AO64" s="101">
        <v>0.1968</v>
      </c>
      <c r="AP64" s="29">
        <f>AL64*(1-AM64)*AN64</f>
        <v>41.422873500000001</v>
      </c>
      <c r="AQ64" s="102">
        <f t="shared" ref="AQ64" si="639">AL64*(1-AM64)*AO64</f>
        <v>37.274903999999999</v>
      </c>
      <c r="AR64" s="18">
        <v>1.6</v>
      </c>
      <c r="AS64" s="18">
        <v>1045.1600000000001</v>
      </c>
      <c r="AT64" s="79">
        <f>AT62+AL64-AS64</f>
        <v>1062.3799999999999</v>
      </c>
      <c r="AU64" s="80"/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53</v>
      </c>
      <c r="D65" s="33">
        <v>20200</v>
      </c>
      <c r="E65" s="33">
        <v>2</v>
      </c>
      <c r="F65" s="33">
        <v>16942</v>
      </c>
      <c r="G65" s="34">
        <v>1.1000000000000001</v>
      </c>
      <c r="H65" s="34">
        <v>4.9000000000000004</v>
      </c>
      <c r="I65" s="33">
        <v>16230</v>
      </c>
      <c r="J65" s="34">
        <v>3.6</v>
      </c>
      <c r="K65" s="33">
        <v>15156</v>
      </c>
      <c r="L65" s="35">
        <v>7.2999999999999995E-2</v>
      </c>
      <c r="M65" s="36">
        <f>ROUND(K65*(1-L65),0)</f>
        <v>14050</v>
      </c>
      <c r="N65" s="37">
        <v>0.67600000000000005</v>
      </c>
      <c r="O65" s="24">
        <f t="shared" si="628"/>
        <v>9497.8000000000011</v>
      </c>
      <c r="P65" s="35">
        <v>0.28899999999999998</v>
      </c>
      <c r="Q65" s="24">
        <f t="shared" si="629"/>
        <v>4060.45</v>
      </c>
      <c r="R65" s="38">
        <v>3.5000000000000003E-2</v>
      </c>
      <c r="S65" s="105">
        <v>0.25890000000000002</v>
      </c>
      <c r="T65" s="24">
        <f t="shared" si="630"/>
        <v>491.75000000000006</v>
      </c>
      <c r="U65" s="27">
        <v>0.254</v>
      </c>
      <c r="V65" s="24">
        <f t="shared" si="631"/>
        <v>3568.7000000000003</v>
      </c>
      <c r="W65" s="38">
        <v>0.48299999999999998</v>
      </c>
      <c r="X65" s="24">
        <f t="shared" si="632"/>
        <v>6786.15</v>
      </c>
      <c r="Y65" s="38">
        <v>0.45</v>
      </c>
      <c r="Z65" s="24">
        <f t="shared" si="633"/>
        <v>6322.5</v>
      </c>
      <c r="AA65" s="117">
        <v>2.7799999999999999E-3</v>
      </c>
      <c r="AB65" s="18">
        <f t="shared" si="61"/>
        <v>39.058999999999997</v>
      </c>
      <c r="AC65" s="39">
        <v>2.8300000000000001E-3</v>
      </c>
      <c r="AD65" s="17">
        <f t="shared" si="635"/>
        <v>39.761499999999998</v>
      </c>
      <c r="AE65" s="26">
        <f>IF(M65&gt;0,(AG65+AP65)/M65,0)</f>
        <v>2.9610928825622774E-3</v>
      </c>
      <c r="AF65" s="39">
        <v>2.7E-4</v>
      </c>
      <c r="AG65" s="36">
        <f t="shared" si="636"/>
        <v>3.7934999999999999</v>
      </c>
      <c r="AH65" s="27">
        <v>0.22070000000000001</v>
      </c>
      <c r="AI65" s="40">
        <f t="shared" si="637"/>
        <v>35.5090851</v>
      </c>
      <c r="AJ65" s="27">
        <f t="shared" si="638"/>
        <v>0.90570165700865113</v>
      </c>
      <c r="AK65" s="28">
        <f t="shared" si="6"/>
        <v>0.90986282424754295</v>
      </c>
      <c r="AL65" s="33">
        <v>177</v>
      </c>
      <c r="AM65" s="35">
        <v>9.0999999999999998E-2</v>
      </c>
      <c r="AN65" s="37">
        <v>0.23499999999999999</v>
      </c>
      <c r="AO65" s="103">
        <v>0.21829999999999999</v>
      </c>
      <c r="AP65" s="40">
        <f>AL65*(1-AM65)*AN65</f>
        <v>37.809854999999999</v>
      </c>
      <c r="AQ65" s="104">
        <f t="shared" si="21"/>
        <v>35.122941900000001</v>
      </c>
      <c r="AR65" s="41">
        <v>1.58</v>
      </c>
      <c r="AS65" s="41"/>
      <c r="AT65" s="129">
        <f>AT64+AL65-AS65</f>
        <v>1239.3799999999999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0" t="s">
        <v>55</v>
      </c>
      <c r="D66" s="42">
        <v>15400</v>
      </c>
      <c r="E66" s="42">
        <v>2</v>
      </c>
      <c r="F66" s="42">
        <v>17547</v>
      </c>
      <c r="G66" s="36">
        <v>0.4</v>
      </c>
      <c r="H66" s="36">
        <v>4.4000000000000004</v>
      </c>
      <c r="I66" s="42">
        <v>17282</v>
      </c>
      <c r="J66" s="36">
        <v>2.4</v>
      </c>
      <c r="K66" s="42">
        <v>14911</v>
      </c>
      <c r="L66" s="38">
        <v>7.1999999999999995E-2</v>
      </c>
      <c r="M66" s="36">
        <f>ROUND(K66*(1-L66),0)</f>
        <v>13837</v>
      </c>
      <c r="N66" s="27">
        <v>0.68</v>
      </c>
      <c r="O66" s="24">
        <f t="shared" si="628"/>
        <v>9409.16</v>
      </c>
      <c r="P66" s="38">
        <v>0.27900000000000003</v>
      </c>
      <c r="Q66" s="24">
        <f t="shared" si="629"/>
        <v>3860.5230000000001</v>
      </c>
      <c r="R66" s="38">
        <v>4.1000000000000002E-2</v>
      </c>
      <c r="S66" s="105">
        <v>0.2616</v>
      </c>
      <c r="T66" s="24">
        <f t="shared" si="630"/>
        <v>567.31700000000001</v>
      </c>
      <c r="U66" s="27">
        <v>0.251</v>
      </c>
      <c r="V66" s="24">
        <f t="shared" si="631"/>
        <v>3473.087</v>
      </c>
      <c r="W66" s="38">
        <v>0.48399999999999999</v>
      </c>
      <c r="X66" s="24">
        <f t="shared" si="632"/>
        <v>6697.1080000000002</v>
      </c>
      <c r="Y66" s="38">
        <v>0.45</v>
      </c>
      <c r="Z66" s="24">
        <f t="shared" si="633"/>
        <v>6226.6500000000005</v>
      </c>
      <c r="AA66" s="118">
        <v>2.8E-3</v>
      </c>
      <c r="AB66" s="121">
        <f t="shared" si="61"/>
        <v>38.743600000000001</v>
      </c>
      <c r="AC66" s="45">
        <v>2.8800000000000002E-3</v>
      </c>
      <c r="AD66" s="17">
        <f t="shared" si="635"/>
        <v>39.850560000000002</v>
      </c>
      <c r="AE66" s="26">
        <f>IF(M66&gt;0,(AG66+AP66)/M66,0)</f>
        <v>3.1481500325215004E-3</v>
      </c>
      <c r="AF66" s="45">
        <v>2.7999999999999998E-4</v>
      </c>
      <c r="AG66" s="36">
        <f t="shared" si="636"/>
        <v>3.8743599999999998</v>
      </c>
      <c r="AH66" s="27">
        <v>0.22159999999999999</v>
      </c>
      <c r="AI66" s="40">
        <f t="shared" si="637"/>
        <v>37.186252799999998</v>
      </c>
      <c r="AJ66" s="27">
        <f t="shared" si="638"/>
        <v>0.90391991485430856</v>
      </c>
      <c r="AK66" s="28">
        <f t="shared" si="6"/>
        <v>0.91213878738159515</v>
      </c>
      <c r="AL66" s="42">
        <v>184</v>
      </c>
      <c r="AM66" s="38">
        <v>8.7999999999999995E-2</v>
      </c>
      <c r="AN66" s="27">
        <v>0.23649999999999999</v>
      </c>
      <c r="AO66" s="105">
        <v>0.22470000000000001</v>
      </c>
      <c r="AP66" s="40">
        <f>AL66*(1-AM66)*AN66</f>
        <v>39.686591999999997</v>
      </c>
      <c r="AQ66" s="106">
        <f t="shared" si="21"/>
        <v>37.7064576</v>
      </c>
      <c r="AR66" s="17">
        <v>1.56</v>
      </c>
      <c r="AS66" s="17"/>
      <c r="AT66" s="129">
        <f>AT65+AL66-AS66</f>
        <v>1423.3799999999999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40">SUM(D64:D66)</f>
        <v>44600</v>
      </c>
      <c r="E67" s="49"/>
      <c r="F67" s="49">
        <f t="shared" ref="F67" si="641">SUM(F64:F66)</f>
        <v>45721</v>
      </c>
      <c r="G67" s="50"/>
      <c r="H67" s="50"/>
      <c r="I67" s="49">
        <f t="shared" ref="I67:K67" si="642">SUM(I64:I66)</f>
        <v>44644</v>
      </c>
      <c r="J67" s="50"/>
      <c r="K67" s="49">
        <f t="shared" si="642"/>
        <v>45579</v>
      </c>
      <c r="L67" s="20">
        <f t="shared" ref="L67" si="643">IF(K67&gt;0,(K64*L64+K65*L65+K66*L66)/K67,0)</f>
        <v>6.892919985080849E-2</v>
      </c>
      <c r="M67" s="50">
        <f t="shared" ref="M67" si="644">M64+M65+M66</f>
        <v>42437</v>
      </c>
      <c r="N67" s="51">
        <f t="shared" ref="N67" si="645">IF(M67&gt;0,O67/M67,0)</f>
        <v>0.64953248344604952</v>
      </c>
      <c r="O67" s="52">
        <f t="shared" ref="O67" si="646">O64+O65+O66</f>
        <v>27564.210000000003</v>
      </c>
      <c r="P67" s="20">
        <f t="shared" ref="P67" si="647">IF(M67&gt;0,Q67/M67,0)</f>
        <v>0.31728263072318968</v>
      </c>
      <c r="Q67" s="52">
        <f t="shared" ref="Q67" si="648">Q64+Q65+Q66</f>
        <v>13464.523000000001</v>
      </c>
      <c r="R67" s="20">
        <f t="shared" ref="R67" si="649">IF(M67&gt;0,T67/M67,0)</f>
        <v>3.3184885830760895E-2</v>
      </c>
      <c r="S67" s="107"/>
      <c r="T67" s="52">
        <f t="shared" ref="T67" si="650">T64+T65+T66</f>
        <v>1408.2670000000001</v>
      </c>
      <c r="U67" s="20">
        <f t="shared" ref="U67" si="651">IF(M67&gt;0,V67/M67,0)</f>
        <v>0.25199323703372056</v>
      </c>
      <c r="V67" s="52">
        <f t="shared" ref="V67" si="652">V64+V65+V66</f>
        <v>10693.837</v>
      </c>
      <c r="W67" s="20">
        <f t="shared" ref="W67" si="653">IF(M67&gt;0,X67/M67,0)</f>
        <v>0.47886886443433802</v>
      </c>
      <c r="X67" s="52">
        <f t="shared" ref="X67" si="654">X64+X65+X66</f>
        <v>20321.758000000002</v>
      </c>
      <c r="Y67" s="20">
        <f t="shared" ref="Y67" si="655">IF(M67&gt;0,Z67/M67,0)</f>
        <v>0.45342861182458705</v>
      </c>
      <c r="Z67" s="52">
        <f t="shared" ref="Z67" si="656">Z64+Z65+Z66</f>
        <v>19242.150000000001</v>
      </c>
      <c r="AA67" s="119">
        <f t="shared" ref="AA67" si="657">IF(M67&gt;0,AB67/M67,0)</f>
        <v>2.8139500907227184E-3</v>
      </c>
      <c r="AB67" s="54">
        <f t="shared" ref="AB67" si="658">SUM(AB64:AB66)</f>
        <v>119.4156</v>
      </c>
      <c r="AC67" s="53">
        <f t="shared" ref="AC67" si="659">IF(M67&gt;0,AD67/M67,0)</f>
        <v>2.8668746612625778E-3</v>
      </c>
      <c r="AD67" s="54">
        <f t="shared" ref="AD67" si="660">SUM(AD64:AD66)</f>
        <v>121.66156000000001</v>
      </c>
      <c r="AE67" s="53">
        <f t="shared" ref="AE67" si="661">IF(M67&gt;0,(AE64*M64+AE65*M65+AE66*M66)/M67,0)</f>
        <v>3.0858020241770153E-3</v>
      </c>
      <c r="AF67" s="53">
        <f t="shared" ref="AF67" si="662">IF(K67&gt;0,(K64*AF64+K65*AF65+K66*AF66)/K67,0)</f>
        <v>2.8348142785054523E-4</v>
      </c>
      <c r="AG67" s="50">
        <f t="shared" ref="AG67" si="663">SUM(AG64:AG66)</f>
        <v>12.032859999999999</v>
      </c>
      <c r="AH67" s="51">
        <f t="shared" ref="AH67" si="664">IF(K67&gt;0,(K64*AH64+K65*AH65+K66*AH66)/K67,0)</f>
        <v>0.21966713618113604</v>
      </c>
      <c r="AI67" s="56">
        <f t="shared" ref="AI67" si="665">SUM(AI64:AI66)</f>
        <v>113.7583419</v>
      </c>
      <c r="AJ67" s="51">
        <f t="shared" ref="AJ67" si="666">IF(AND(AD67&gt;0),((AD64*AJ64+AD65*AJ65+AD66*AJ66)/AD67),0)</f>
        <v>0.90226107526439292</v>
      </c>
      <c r="AK67" s="55">
        <f t="shared" si="6"/>
        <v>0.90925458886640342</v>
      </c>
      <c r="AL67" s="49">
        <f t="shared" ref="AL67" si="667">SUM(AL64:AL66)</f>
        <v>568</v>
      </c>
      <c r="AM67" s="20">
        <f t="shared" ref="AM67" si="668">IF(AL67&gt;0,(AM64*AL64+AM65*AL65+AM66*AL66)/AL67,0)</f>
        <v>8.7841549295774646E-2</v>
      </c>
      <c r="AN67" s="51">
        <f>IF(K67&gt;0,(AN64*K64+AN65*K65+AN66*K66)/K67,0)</f>
        <v>0.22994330503082561</v>
      </c>
      <c r="AO67" s="107">
        <f>IF(L67&gt;0,(AO64*K64+AO65*K65+AO66*K66)/K67,0)</f>
        <v>0.213076594484302</v>
      </c>
      <c r="AP67" s="56">
        <f t="shared" ref="AP67" si="669">SUM(AP64:AP66)</f>
        <v>118.9193205</v>
      </c>
      <c r="AQ67" s="108">
        <f t="shared" si="581"/>
        <v>110.10430349999999</v>
      </c>
      <c r="AR67" s="54"/>
      <c r="AS67" s="54">
        <f t="shared" ref="AS67" si="670">SUM(AS64:AS66)</f>
        <v>1045.1600000000001</v>
      </c>
      <c r="AT67" s="83"/>
      <c r="AU67" s="84">
        <f>AT66</f>
        <v>1423.3799999999999</v>
      </c>
      <c r="AV67" s="49">
        <f t="shared" ref="AV67" si="671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57</v>
      </c>
      <c r="D68" s="11">
        <v>6200</v>
      </c>
      <c r="E68" s="11">
        <v>0</v>
      </c>
      <c r="F68" s="11">
        <v>10654</v>
      </c>
      <c r="G68" s="12">
        <v>0.5</v>
      </c>
      <c r="H68" s="12">
        <v>3.9</v>
      </c>
      <c r="I68" s="11">
        <v>10846</v>
      </c>
      <c r="J68" s="12">
        <v>3.8</v>
      </c>
      <c r="K68" s="11">
        <v>15225</v>
      </c>
      <c r="L68" s="13">
        <v>7.4999999999999997E-2</v>
      </c>
      <c r="M68" s="23">
        <f>ROUND(K68*(1-L68),0)</f>
        <v>14083</v>
      </c>
      <c r="N68" s="14">
        <v>0.68500000000000005</v>
      </c>
      <c r="O68" s="24">
        <f t="shared" ref="O68:O70" si="672">M68*N68</f>
        <v>9646.8550000000014</v>
      </c>
      <c r="P68" s="13">
        <v>0.27800000000000002</v>
      </c>
      <c r="Q68" s="24">
        <f t="shared" ref="Q68:Q70" si="673">M68*P68</f>
        <v>3915.0740000000005</v>
      </c>
      <c r="R68" s="15">
        <v>3.6999999999999998E-2</v>
      </c>
      <c r="S68" s="112">
        <v>0.26240000000000002</v>
      </c>
      <c r="T68" s="24">
        <f t="shared" ref="T68:T70" si="674">M68*R68</f>
        <v>521.07100000000003</v>
      </c>
      <c r="U68" s="25">
        <v>0.254</v>
      </c>
      <c r="V68" s="24">
        <f t="shared" ref="V68:V70" si="675">M68*U68</f>
        <v>3577.0819999999999</v>
      </c>
      <c r="W68" s="15">
        <v>0.47799999999999998</v>
      </c>
      <c r="X68" s="24">
        <f t="shared" ref="X68:X70" si="676">M68*W68</f>
        <v>6731.674</v>
      </c>
      <c r="Y68" s="15">
        <v>0.46</v>
      </c>
      <c r="Z68" s="24">
        <f t="shared" ref="Z68:Z70" si="677">Y68*M68</f>
        <v>6478.18</v>
      </c>
      <c r="AA68" s="116">
        <v>2.8300000000000001E-3</v>
      </c>
      <c r="AB68" s="18">
        <f t="shared" ref="AB68" si="678">M68*AA68</f>
        <v>39.854889999999997</v>
      </c>
      <c r="AC68" s="16">
        <v>2.8999999999999998E-3</v>
      </c>
      <c r="AD68" s="17">
        <f t="shared" ref="AD68:AD70" si="679">M68*AC68</f>
        <v>40.840699999999998</v>
      </c>
      <c r="AE68" s="26">
        <f>IF(M68&gt;0,(AG68+AP68)/M68,0)</f>
        <v>3.0318841156003694E-3</v>
      </c>
      <c r="AF68" s="16">
        <v>3.1E-4</v>
      </c>
      <c r="AG68" s="23">
        <f t="shared" ref="AG68:AG70" si="680">AF68*M68</f>
        <v>4.3657300000000001</v>
      </c>
      <c r="AH68" s="92">
        <v>0.21820000000000001</v>
      </c>
      <c r="AI68" s="29">
        <f t="shared" ref="AI68:AI70" si="681">AL68*(1-AM68)*AH68</f>
        <v>35.820584800000006</v>
      </c>
      <c r="AJ68" s="27">
        <f t="shared" ref="AJ68:AJ70" si="682">IF(AND(AH68&gt;0,AF68&gt;0,AC68&gt;0),((AC68-AF68)*AH68)/((AH68-AF68)*AC68),0)</f>
        <v>0.89437409892052466</v>
      </c>
      <c r="AK68" s="58">
        <f t="shared" ref="AK68:AK123" si="683">IF(AND(AE68&gt;0,AN68&gt;0,AF68&gt;0),((AN68*(AE68-AF68))/(AE68*(AN68-AF68))),0)</f>
        <v>0.89894681059888593</v>
      </c>
      <c r="AL68" s="11">
        <v>182</v>
      </c>
      <c r="AM68" s="13">
        <v>9.8000000000000004E-2</v>
      </c>
      <c r="AN68" s="14">
        <v>0.23350000000000001</v>
      </c>
      <c r="AO68" s="101">
        <v>0.21740000000000001</v>
      </c>
      <c r="AP68" s="29">
        <f>AL68*(1-AM68)*AN68</f>
        <v>38.332294000000005</v>
      </c>
      <c r="AQ68" s="102">
        <f t="shared" ref="AQ68" si="684">AL68*(1-AM68)*AO68</f>
        <v>35.689253600000008</v>
      </c>
      <c r="AR68" s="18">
        <v>1.5</v>
      </c>
      <c r="AS68" s="18">
        <v>534.24</v>
      </c>
      <c r="AT68" s="79">
        <f>AT66+AL68-AS68+15.64</f>
        <v>1086.78</v>
      </c>
      <c r="AU68" s="130">
        <v>15.64</v>
      </c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43" t="s">
        <v>58</v>
      </c>
      <c r="D69" s="33">
        <v>22700</v>
      </c>
      <c r="E69" s="33">
        <v>1</v>
      </c>
      <c r="F69" s="33">
        <v>16935</v>
      </c>
      <c r="G69" s="34">
        <v>1</v>
      </c>
      <c r="H69" s="34">
        <v>4.7</v>
      </c>
      <c r="I69" s="33">
        <v>16377</v>
      </c>
      <c r="J69" s="34">
        <v>3</v>
      </c>
      <c r="K69" s="33">
        <v>15198</v>
      </c>
      <c r="L69" s="35">
        <v>6.8000000000000005E-2</v>
      </c>
      <c r="M69" s="36">
        <f>ROUND(K69*(1-L69),0)</f>
        <v>14165</v>
      </c>
      <c r="N69" s="37">
        <v>0.67800000000000005</v>
      </c>
      <c r="O69" s="24">
        <f t="shared" si="672"/>
        <v>9603.8700000000008</v>
      </c>
      <c r="P69" s="35">
        <v>0.28499999999999998</v>
      </c>
      <c r="Q69" s="24">
        <f t="shared" si="673"/>
        <v>4037.0249999999996</v>
      </c>
      <c r="R69" s="38">
        <v>3.6999999999999998E-2</v>
      </c>
      <c r="S69" s="105">
        <v>0.25390000000000001</v>
      </c>
      <c r="T69" s="24">
        <f t="shared" si="674"/>
        <v>524.10500000000002</v>
      </c>
      <c r="U69" s="27">
        <v>0.25600000000000001</v>
      </c>
      <c r="V69" s="24">
        <f t="shared" si="675"/>
        <v>3626.2400000000002</v>
      </c>
      <c r="W69" s="38">
        <v>0.48199999999999998</v>
      </c>
      <c r="X69" s="24">
        <f t="shared" si="676"/>
        <v>6827.53</v>
      </c>
      <c r="Y69" s="38">
        <v>0.46</v>
      </c>
      <c r="Z69" s="24">
        <f t="shared" si="677"/>
        <v>6515.9000000000005</v>
      </c>
      <c r="AA69" s="117">
        <v>2.8600000000000001E-3</v>
      </c>
      <c r="AB69" s="18">
        <f t="shared" si="61"/>
        <v>40.511900000000004</v>
      </c>
      <c r="AC69" s="39">
        <v>2.81E-3</v>
      </c>
      <c r="AD69" s="17">
        <f t="shared" si="679"/>
        <v>39.803649999999998</v>
      </c>
      <c r="AE69" s="26">
        <f>IF(M69&gt;0,(AG69+AP69)/M69,0)</f>
        <v>3.3746819767031416E-3</v>
      </c>
      <c r="AF69" s="39">
        <v>2.9999999999999997E-4</v>
      </c>
      <c r="AG69" s="36">
        <f t="shared" si="680"/>
        <v>4.2494999999999994</v>
      </c>
      <c r="AH69" s="27">
        <v>0.215</v>
      </c>
      <c r="AI69" s="40">
        <f t="shared" si="681"/>
        <v>40.171030000000002</v>
      </c>
      <c r="AJ69" s="27">
        <f t="shared" si="682"/>
        <v>0.89448655493803331</v>
      </c>
      <c r="AK69" s="28">
        <f t="shared" si="683"/>
        <v>0.91227683586141417</v>
      </c>
      <c r="AL69" s="33">
        <v>206</v>
      </c>
      <c r="AM69" s="35">
        <v>9.2999999999999999E-2</v>
      </c>
      <c r="AN69" s="37">
        <v>0.2331</v>
      </c>
      <c r="AO69" s="103">
        <v>0.22270000000000001</v>
      </c>
      <c r="AP69" s="40">
        <f>AL69*(1-AM69)*AN69</f>
        <v>43.552870200000001</v>
      </c>
      <c r="AQ69" s="104">
        <f t="shared" si="21"/>
        <v>41.609713400000004</v>
      </c>
      <c r="AR69" s="41">
        <v>1.55</v>
      </c>
      <c r="AS69" s="41"/>
      <c r="AT69" s="129">
        <f>AT68+AL69-AS69</f>
        <v>1292.78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55</v>
      </c>
      <c r="D70" s="42">
        <v>14000</v>
      </c>
      <c r="E70" s="42">
        <v>2</v>
      </c>
      <c r="F70" s="42">
        <v>16898</v>
      </c>
      <c r="G70" s="36">
        <v>0.5</v>
      </c>
      <c r="H70" s="36">
        <v>4.5999999999999996</v>
      </c>
      <c r="I70" s="42">
        <v>15832</v>
      </c>
      <c r="J70" s="36">
        <v>2.5</v>
      </c>
      <c r="K70" s="42">
        <v>15309</v>
      </c>
      <c r="L70" s="38">
        <v>6.4000000000000001E-2</v>
      </c>
      <c r="M70" s="36">
        <f>ROUND(K70*(1-L70),0)</f>
        <v>14329</v>
      </c>
      <c r="N70" s="27">
        <v>0.66600000000000004</v>
      </c>
      <c r="O70" s="24">
        <f t="shared" si="672"/>
        <v>9543.1140000000014</v>
      </c>
      <c r="P70" s="38">
        <v>0.28899999999999998</v>
      </c>
      <c r="Q70" s="24">
        <f t="shared" si="673"/>
        <v>4141.0810000000001</v>
      </c>
      <c r="R70" s="38">
        <v>4.4999999999999998E-2</v>
      </c>
      <c r="S70" s="105">
        <v>0.25019999999999998</v>
      </c>
      <c r="T70" s="24">
        <f t="shared" si="674"/>
        <v>644.80499999999995</v>
      </c>
      <c r="U70" s="27">
        <v>0.253</v>
      </c>
      <c r="V70" s="24">
        <f t="shared" si="675"/>
        <v>3625.2370000000001</v>
      </c>
      <c r="W70" s="38">
        <v>0.48</v>
      </c>
      <c r="X70" s="24">
        <f t="shared" si="676"/>
        <v>6877.92</v>
      </c>
      <c r="Y70" s="38">
        <v>0.46</v>
      </c>
      <c r="Z70" s="24">
        <f t="shared" si="677"/>
        <v>6591.34</v>
      </c>
      <c r="AA70" s="118">
        <v>2.7200000000000002E-3</v>
      </c>
      <c r="AB70" s="121">
        <f t="shared" si="61"/>
        <v>38.974880000000006</v>
      </c>
      <c r="AC70" s="45">
        <v>2.6900000000000001E-3</v>
      </c>
      <c r="AD70" s="17">
        <f t="shared" si="679"/>
        <v>38.545010000000005</v>
      </c>
      <c r="AE70" s="26">
        <f>IF(M70&gt;0,(AG70+AP70)/M70,0)</f>
        <v>2.7948393118849882E-3</v>
      </c>
      <c r="AF70" s="45">
        <v>3.2000000000000003E-4</v>
      </c>
      <c r="AG70" s="36">
        <f t="shared" si="680"/>
        <v>4.58528</v>
      </c>
      <c r="AH70" s="27">
        <v>0.21959999999999999</v>
      </c>
      <c r="AI70" s="40">
        <f t="shared" si="681"/>
        <v>34.381673999999997</v>
      </c>
      <c r="AJ70" s="27">
        <f t="shared" si="682"/>
        <v>0.88232661403525436</v>
      </c>
      <c r="AK70" s="28">
        <f t="shared" si="683"/>
        <v>0.88675606854004707</v>
      </c>
      <c r="AL70" s="42">
        <v>173</v>
      </c>
      <c r="AM70" s="38">
        <v>9.5000000000000001E-2</v>
      </c>
      <c r="AN70" s="27">
        <v>0.22650000000000001</v>
      </c>
      <c r="AO70" s="105">
        <v>0.21510000000000001</v>
      </c>
      <c r="AP70" s="40">
        <f>AL70*(1-AM70)*AN70</f>
        <v>35.461972500000002</v>
      </c>
      <c r="AQ70" s="106">
        <f t="shared" si="21"/>
        <v>33.677131500000002</v>
      </c>
      <c r="AR70" s="17">
        <v>1.55</v>
      </c>
      <c r="AS70" s="17"/>
      <c r="AT70" s="129">
        <f>AT69+AL70-AS70</f>
        <v>1465.78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5">SUM(D68:D70)</f>
        <v>42900</v>
      </c>
      <c r="E71" s="49"/>
      <c r="F71" s="49">
        <f t="shared" ref="F71" si="686">SUM(F68:F70)</f>
        <v>44487</v>
      </c>
      <c r="G71" s="50"/>
      <c r="H71" s="50"/>
      <c r="I71" s="49">
        <f t="shared" ref="I71:K71" si="687">SUM(I68:I70)</f>
        <v>43055</v>
      </c>
      <c r="J71" s="50"/>
      <c r="K71" s="49">
        <f t="shared" si="687"/>
        <v>45732</v>
      </c>
      <c r="L71" s="20">
        <f t="shared" ref="L71" si="688">IF(K71&gt;0,(K68*L68+K69*L69+K70*L70)/K71,0)</f>
        <v>6.8991406454998683E-2</v>
      </c>
      <c r="M71" s="50">
        <f t="shared" ref="M71" si="689">M68+M69+M70</f>
        <v>42577</v>
      </c>
      <c r="N71" s="51">
        <f t="shared" ref="N71" si="690">IF(M71&gt;0,O71/M71,0)</f>
        <v>0.67627683960823926</v>
      </c>
      <c r="O71" s="52">
        <f t="shared" ref="O71" si="691">O68+O69+O70</f>
        <v>28793.839000000004</v>
      </c>
      <c r="P71" s="20">
        <f t="shared" ref="P71" si="692">IF(M71&gt;0,Q71/M71,0)</f>
        <v>0.28403081475914227</v>
      </c>
      <c r="Q71" s="52">
        <f t="shared" ref="Q71" si="693">Q68+Q69+Q70</f>
        <v>12093.18</v>
      </c>
      <c r="R71" s="20">
        <f t="shared" ref="R71" si="694">IF(M71&gt;0,T71/M71,0)</f>
        <v>3.9692345632618545E-2</v>
      </c>
      <c r="S71" s="107"/>
      <c r="T71" s="52">
        <f t="shared" ref="T71" si="695">T68+T69+T70</f>
        <v>1689.9809999999998</v>
      </c>
      <c r="U71" s="20">
        <f t="shared" ref="U71" si="696">IF(M71&gt;0,V71/M71,0)</f>
        <v>0.2543288395142918</v>
      </c>
      <c r="V71" s="52">
        <f t="shared" ref="V71" si="697">V68+V69+V70</f>
        <v>10828.559000000001</v>
      </c>
      <c r="W71" s="20">
        <f t="shared" ref="W71" si="698">IF(M71&gt;0,X71/M71,0)</f>
        <v>0.4800038518448928</v>
      </c>
      <c r="X71" s="52">
        <f t="shared" ref="X71" si="699">X68+X69+X70</f>
        <v>20437.124</v>
      </c>
      <c r="Y71" s="20">
        <f t="shared" ref="Y71" si="700">IF(M71&gt;0,Z71/M71,0)</f>
        <v>0.46</v>
      </c>
      <c r="Z71" s="52">
        <f t="shared" ref="Z71" si="701">Z68+Z69+Z70</f>
        <v>19585.420000000002</v>
      </c>
      <c r="AA71" s="119">
        <f t="shared" ref="AA71" si="702">IF(M71&gt;0,AB71/M71,0)</f>
        <v>2.8029609883270315E-3</v>
      </c>
      <c r="AB71" s="54">
        <f t="shared" ref="AB71" si="703">SUM(AB68:AB70)</f>
        <v>119.34167000000002</v>
      </c>
      <c r="AC71" s="53">
        <f t="shared" ref="AC71" si="704">IF(M71&gt;0,AD71/M71,0)</f>
        <v>2.7993837048171551E-3</v>
      </c>
      <c r="AD71" s="54">
        <f t="shared" ref="AD71" si="705">SUM(AD68:AD70)</f>
        <v>119.18936000000001</v>
      </c>
      <c r="AE71" s="53">
        <f t="shared" ref="AE71" si="706">IF(M71&gt;0,(AE68*M68+AE69*M69+AE70*M70)/M71,0)</f>
        <v>3.0661541841839491E-3</v>
      </c>
      <c r="AF71" s="53">
        <f t="shared" ref="AF71" si="707">IF(K71&gt;0,(K68*AF68+K69*AF69+K70*AF70)/K71,0)</f>
        <v>3.1002427184466017E-4</v>
      </c>
      <c r="AG71" s="50">
        <f t="shared" ref="AG71" si="708">SUM(AG68:AG70)</f>
        <v>13.200510000000001</v>
      </c>
      <c r="AH71" s="51">
        <f t="shared" ref="AH71" si="709">IF(K71&gt;0,(K68*AH68+K69*AH69+K70*AH70)/K71,0)</f>
        <v>0.21760520860666496</v>
      </c>
      <c r="AI71" s="56">
        <f t="shared" ref="AI71" si="710">SUM(AI68:AI70)</f>
        <v>110.37328880000001</v>
      </c>
      <c r="AJ71" s="51">
        <f t="shared" ref="AJ71" si="711">IF(AND(AD71&gt;0),((AD68*AJ68+AD69*AJ69+AD70*AJ70)/AD71),0)</f>
        <v>0.89051558113490792</v>
      </c>
      <c r="AK71" s="55">
        <f t="shared" si="683"/>
        <v>0.90009612297046515</v>
      </c>
      <c r="AL71" s="49">
        <f t="shared" ref="AL71" si="712">SUM(AL68:AL70)</f>
        <v>561</v>
      </c>
      <c r="AM71" s="20">
        <f t="shared" ref="AM71" si="713">IF(AL71&gt;0,(AM68*AL68+AM69*AL69+AM70*AL70)/AL71,0)</f>
        <v>9.5238859180035648E-2</v>
      </c>
      <c r="AN71" s="51">
        <f>IF(K71&gt;0,(AN68*K68+AN69*K69+AN70*K70)/K71,0)</f>
        <v>0.231023786407767</v>
      </c>
      <c r="AO71" s="107">
        <f>IF(L71&gt;0,(AO68*K68+AO69*K69+AO70*K70)/K71,0)</f>
        <v>0.21839139989504069</v>
      </c>
      <c r="AP71" s="56">
        <f t="shared" ref="AP71" si="714">SUM(AP68:AP70)</f>
        <v>117.34713670000001</v>
      </c>
      <c r="AQ71" s="108">
        <f t="shared" si="581"/>
        <v>110.97609850000001</v>
      </c>
      <c r="AR71" s="54"/>
      <c r="AS71" s="54">
        <f t="shared" ref="AS71" si="715">SUM(AS68:AS70)</f>
        <v>534.24</v>
      </c>
      <c r="AT71" s="83"/>
      <c r="AU71" s="84">
        <f>AT70</f>
        <v>1465.78</v>
      </c>
      <c r="AV71" s="49">
        <f t="shared" ref="AV71" si="716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57</v>
      </c>
      <c r="D72" s="11">
        <v>5700</v>
      </c>
      <c r="E72" s="11">
        <v>0</v>
      </c>
      <c r="F72" s="11">
        <v>10910</v>
      </c>
      <c r="G72" s="12">
        <v>1.1000000000000001</v>
      </c>
      <c r="H72" s="12">
        <v>4</v>
      </c>
      <c r="I72" s="11">
        <v>11261</v>
      </c>
      <c r="J72" s="131">
        <v>4.2</v>
      </c>
      <c r="K72" s="11">
        <v>15150</v>
      </c>
      <c r="L72" s="13">
        <v>6.6000000000000003E-2</v>
      </c>
      <c r="M72" s="23">
        <f>ROUND(K72*(1-L72),0)</f>
        <v>14150</v>
      </c>
      <c r="N72" s="14">
        <v>0.58399999999999996</v>
      </c>
      <c r="O72" s="24">
        <f t="shared" ref="O72:O74" si="717">M72*N72</f>
        <v>8263.6</v>
      </c>
      <c r="P72" s="13">
        <v>0.35399999999999998</v>
      </c>
      <c r="Q72" s="24">
        <f t="shared" ref="Q72:Q74" si="718">M72*P72</f>
        <v>5009.0999999999995</v>
      </c>
      <c r="R72" s="15">
        <v>6.2E-2</v>
      </c>
      <c r="S72" s="112">
        <v>0.24890000000000001</v>
      </c>
      <c r="T72" s="24">
        <f t="shared" ref="T72:T74" si="719">M72*R72</f>
        <v>877.3</v>
      </c>
      <c r="U72" s="25">
        <v>0.23799999999999999</v>
      </c>
      <c r="V72" s="24">
        <f t="shared" ref="V72:V74" si="720">M72*U72</f>
        <v>3367.7</v>
      </c>
      <c r="W72" s="15">
        <v>0.48499999999999999</v>
      </c>
      <c r="X72" s="24">
        <f t="shared" ref="X72:X74" si="721">M72*W72</f>
        <v>6862.75</v>
      </c>
      <c r="Y72" s="15">
        <v>0.46</v>
      </c>
      <c r="Z72" s="24">
        <f t="shared" ref="Z72:Z74" si="722">Y72*M72</f>
        <v>6509</v>
      </c>
      <c r="AA72" s="116">
        <v>2.7100000000000002E-3</v>
      </c>
      <c r="AB72" s="18">
        <f t="shared" ref="AB72" si="723">M72*AA72</f>
        <v>38.346499999999999</v>
      </c>
      <c r="AC72" s="16">
        <v>2.6700000000000001E-3</v>
      </c>
      <c r="AD72" s="17">
        <f t="shared" ref="AD72:AD74" si="724">M72*AC72</f>
        <v>37.780500000000004</v>
      </c>
      <c r="AE72" s="26">
        <f>IF(M72&gt;0,(AG72+AP72)/M72,0)</f>
        <v>2.7872317173144876E-3</v>
      </c>
      <c r="AF72" s="16">
        <v>3.3E-4</v>
      </c>
      <c r="AG72" s="23">
        <f t="shared" ref="AG72:AG74" si="725">AF72*M72</f>
        <v>4.6695000000000002</v>
      </c>
      <c r="AH72" s="92">
        <v>0.2177</v>
      </c>
      <c r="AI72" s="29">
        <f t="shared" ref="AI72:AI74" si="726">AL72*(1-AM72)*AH72</f>
        <v>32.6689328</v>
      </c>
      <c r="AJ72" s="27">
        <f t="shared" ref="AJ72:AJ74" si="727">IF(AND(AH72&gt;0,AF72&gt;0,AC72&gt;0),((AC72-AF72)*AH72)/((AH72-AF72)*AC72),0)</f>
        <v>0.87773500679471073</v>
      </c>
      <c r="AK72" s="58">
        <f t="shared" si="683"/>
        <v>0.88286037340789425</v>
      </c>
      <c r="AL72" s="11">
        <v>166</v>
      </c>
      <c r="AM72" s="13">
        <v>9.6000000000000002E-2</v>
      </c>
      <c r="AN72" s="14">
        <v>0.23169999999999999</v>
      </c>
      <c r="AO72" s="101">
        <v>0.22270000000000001</v>
      </c>
      <c r="AP72" s="29">
        <f>AL72*(1-AM72)*AN72</f>
        <v>34.769828799999999</v>
      </c>
      <c r="AQ72" s="102">
        <f t="shared" ref="AQ72:AQ123" si="728">AL72*(1-AM72)*AO72</f>
        <v>33.419252800000002</v>
      </c>
      <c r="AR72" s="18">
        <v>1.5</v>
      </c>
      <c r="AS72" s="18">
        <v>556.64</v>
      </c>
      <c r="AT72" s="79">
        <f>AT70+AL72-AS72</f>
        <v>1075.1399999999999</v>
      </c>
      <c r="AU72" s="80"/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43" t="s">
        <v>58</v>
      </c>
      <c r="D73" s="33">
        <v>18600</v>
      </c>
      <c r="E73" s="33">
        <v>3</v>
      </c>
      <c r="F73" s="33">
        <v>14504</v>
      </c>
      <c r="G73" s="34">
        <v>0.5</v>
      </c>
      <c r="H73" s="34">
        <v>4.3</v>
      </c>
      <c r="I73" s="33">
        <v>14272</v>
      </c>
      <c r="J73" s="132">
        <v>3.7</v>
      </c>
      <c r="K73" s="33">
        <v>14486</v>
      </c>
      <c r="L73" s="35">
        <v>7.0000000000000007E-2</v>
      </c>
      <c r="M73" s="36">
        <f>ROUND(K73*(1-L73),0)</f>
        <v>13472</v>
      </c>
      <c r="N73" s="37">
        <v>0.69099999999999995</v>
      </c>
      <c r="O73" s="24">
        <f t="shared" si="717"/>
        <v>9309.152</v>
      </c>
      <c r="P73" s="35">
        <v>0.27100000000000002</v>
      </c>
      <c r="Q73" s="24">
        <f t="shared" si="718"/>
        <v>3650.9120000000003</v>
      </c>
      <c r="R73" s="38">
        <v>3.7999999999999999E-2</v>
      </c>
      <c r="S73" s="105">
        <v>0.2475</v>
      </c>
      <c r="T73" s="24">
        <f t="shared" si="719"/>
        <v>511.93599999999998</v>
      </c>
      <c r="U73" s="27">
        <v>0.20899999999999999</v>
      </c>
      <c r="V73" s="24">
        <f t="shared" si="720"/>
        <v>2815.6479999999997</v>
      </c>
      <c r="W73" s="38">
        <v>0.48</v>
      </c>
      <c r="X73" s="24">
        <f t="shared" si="721"/>
        <v>6466.5599999999995</v>
      </c>
      <c r="Y73" s="38">
        <v>0.45</v>
      </c>
      <c r="Z73" s="24">
        <f t="shared" si="722"/>
        <v>6062.4000000000005</v>
      </c>
      <c r="AA73" s="117">
        <v>2.5200000000000001E-3</v>
      </c>
      <c r="AB73" s="18">
        <f t="shared" si="61"/>
        <v>33.949440000000003</v>
      </c>
      <c r="AC73" s="39">
        <v>2.5300000000000001E-3</v>
      </c>
      <c r="AD73" s="17">
        <f t="shared" si="724"/>
        <v>34.084160000000004</v>
      </c>
      <c r="AE73" s="26">
        <f>IF(M73&gt;0,(AG73+AP73)/M73,0)</f>
        <v>2.8503991241092637E-3</v>
      </c>
      <c r="AF73" s="39">
        <v>2.9E-4</v>
      </c>
      <c r="AG73" s="36">
        <f t="shared" si="725"/>
        <v>3.9068800000000001</v>
      </c>
      <c r="AH73" s="27">
        <v>0.21210000000000001</v>
      </c>
      <c r="AI73" s="40">
        <f t="shared" si="726"/>
        <v>32.559471000000002</v>
      </c>
      <c r="AJ73" s="27">
        <f t="shared" si="727"/>
        <v>0.88658770734379932</v>
      </c>
      <c r="AK73" s="28">
        <f t="shared" si="683"/>
        <v>0.89942066311872748</v>
      </c>
      <c r="AL73" s="33">
        <v>170</v>
      </c>
      <c r="AM73" s="35">
        <v>9.7000000000000003E-2</v>
      </c>
      <c r="AN73" s="37">
        <v>0.22470000000000001</v>
      </c>
      <c r="AO73" s="103">
        <v>0.21629999999999999</v>
      </c>
      <c r="AP73" s="40">
        <f>AL73*(1-AM73)*AN73</f>
        <v>34.493696999999997</v>
      </c>
      <c r="AQ73" s="104">
        <f t="shared" si="728"/>
        <v>33.204212999999996</v>
      </c>
      <c r="AR73" s="41">
        <v>1.55</v>
      </c>
      <c r="AS73" s="41"/>
      <c r="AT73" s="129">
        <f>AT72+AL73-AS73</f>
        <v>1245.1399999999999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53</v>
      </c>
      <c r="D74" s="42">
        <v>17144</v>
      </c>
      <c r="E74" s="42">
        <v>1</v>
      </c>
      <c r="F74" s="42">
        <v>16124</v>
      </c>
      <c r="G74" s="36">
        <v>0.7</v>
      </c>
      <c r="H74" s="36">
        <v>4.4000000000000004</v>
      </c>
      <c r="I74" s="42">
        <v>15331</v>
      </c>
      <c r="J74" s="36">
        <v>2.8</v>
      </c>
      <c r="K74" s="42">
        <v>14754</v>
      </c>
      <c r="L74" s="38">
        <v>7.0000000000000007E-2</v>
      </c>
      <c r="M74" s="36">
        <f>ROUND(K74*(1-L74),0)</f>
        <v>13721</v>
      </c>
      <c r="N74" s="27">
        <v>0.69799999999999995</v>
      </c>
      <c r="O74" s="24">
        <f t="shared" si="717"/>
        <v>9577.2579999999998</v>
      </c>
      <c r="P74" s="38">
        <v>0.25600000000000001</v>
      </c>
      <c r="Q74" s="24">
        <f t="shared" si="718"/>
        <v>3512.576</v>
      </c>
      <c r="R74" s="38">
        <v>4.5999999999999999E-2</v>
      </c>
      <c r="S74" s="105">
        <v>0.24</v>
      </c>
      <c r="T74" s="24">
        <f t="shared" si="719"/>
        <v>631.16599999999994</v>
      </c>
      <c r="U74" s="27">
        <v>0.22500000000000001</v>
      </c>
      <c r="V74" s="24">
        <f t="shared" si="720"/>
        <v>3087.2249999999999</v>
      </c>
      <c r="W74" s="38">
        <v>0.46500000000000002</v>
      </c>
      <c r="X74" s="24">
        <f t="shared" si="721"/>
        <v>6380.2650000000003</v>
      </c>
      <c r="Y74" s="38">
        <v>0.45</v>
      </c>
      <c r="Z74" s="24">
        <f t="shared" si="722"/>
        <v>6174.45</v>
      </c>
      <c r="AA74" s="118">
        <v>2.4099999999999998E-3</v>
      </c>
      <c r="AB74" s="121">
        <f t="shared" si="61"/>
        <v>33.067609999999995</v>
      </c>
      <c r="AC74" s="45">
        <v>2.3999999999999998E-3</v>
      </c>
      <c r="AD74" s="17">
        <f t="shared" si="724"/>
        <v>32.930399999999999</v>
      </c>
      <c r="AE74" s="26">
        <f>IF(M74&gt;0,(AG74+AP74)/M74,0)</f>
        <v>2.5959041760804605E-3</v>
      </c>
      <c r="AF74" s="45">
        <v>2.7E-4</v>
      </c>
      <c r="AG74" s="36">
        <f t="shared" si="725"/>
        <v>3.7046700000000001</v>
      </c>
      <c r="AH74" s="27">
        <v>0.2092</v>
      </c>
      <c r="AI74" s="40">
        <f t="shared" si="726"/>
        <v>29.5022208</v>
      </c>
      <c r="AJ74" s="27">
        <f t="shared" si="727"/>
        <v>0.88864691523476758</v>
      </c>
      <c r="AK74" s="28">
        <f t="shared" si="683"/>
        <v>0.89706028589408904</v>
      </c>
      <c r="AL74" s="42">
        <v>156</v>
      </c>
      <c r="AM74" s="38">
        <v>9.6000000000000002E-2</v>
      </c>
      <c r="AN74" s="27">
        <v>0.2263</v>
      </c>
      <c r="AO74" s="105">
        <v>0.2099</v>
      </c>
      <c r="AP74" s="40">
        <f>AL74*(1-AM74)*AN74</f>
        <v>31.913731200000001</v>
      </c>
      <c r="AQ74" s="106">
        <f t="shared" si="728"/>
        <v>29.600937600000002</v>
      </c>
      <c r="AR74" s="17">
        <v>1.5</v>
      </c>
      <c r="AS74" s="17"/>
      <c r="AT74" s="129">
        <f>AT73+AL74-AS74</f>
        <v>1401.1399999999999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9">SUM(D72:D74)</f>
        <v>41444</v>
      </c>
      <c r="E75" s="49"/>
      <c r="F75" s="49">
        <f t="shared" ref="F75" si="730">SUM(F72:F74)</f>
        <v>41538</v>
      </c>
      <c r="G75" s="50"/>
      <c r="H75" s="50"/>
      <c r="I75" s="49">
        <f t="shared" ref="I75:K75" si="731">SUM(I72:I74)</f>
        <v>40864</v>
      </c>
      <c r="J75" s="50"/>
      <c r="K75" s="49">
        <f t="shared" si="731"/>
        <v>44390</v>
      </c>
      <c r="L75" s="20">
        <f t="shared" ref="L75" si="732">IF(K75&gt;0,(K72*L72+K73*L73+K74*L74)/K75,0)</f>
        <v>6.8634827663888273E-2</v>
      </c>
      <c r="M75" s="50">
        <f t="shared" ref="M75" si="733">M72+M73+M74</f>
        <v>41343</v>
      </c>
      <c r="N75" s="51">
        <f t="shared" ref="N75" si="734">IF(M75&gt;0,O75/M75,0)</f>
        <v>0.65670149723048643</v>
      </c>
      <c r="O75" s="52">
        <f t="shared" ref="O75" si="735">O72+O73+O74</f>
        <v>27150.010000000002</v>
      </c>
      <c r="P75" s="20">
        <f t="shared" ref="P75" si="736">IF(M75&gt;0,Q75/M75,0)</f>
        <v>0.29442923832329537</v>
      </c>
      <c r="Q75" s="52">
        <f t="shared" ref="Q75" si="737">Q72+Q73+Q74</f>
        <v>12172.588</v>
      </c>
      <c r="R75" s="20">
        <f t="shared" ref="R75" si="738">IF(M75&gt;0,T75/M75,0)</f>
        <v>4.8869264446218218E-2</v>
      </c>
      <c r="S75" s="107"/>
      <c r="T75" s="52">
        <f t="shared" ref="T75" si="739">T72+T73+T74</f>
        <v>2020.4019999999998</v>
      </c>
      <c r="U75" s="20">
        <f t="shared" ref="U75" si="740">IF(M75&gt;0,V75/M75,0)</f>
        <v>0.2242356142515057</v>
      </c>
      <c r="V75" s="52">
        <f t="shared" ref="V75" si="741">V72+V73+V74</f>
        <v>9270.5730000000003</v>
      </c>
      <c r="W75" s="20">
        <f t="shared" ref="W75" si="742">IF(M75&gt;0,X75/M75,0)</f>
        <v>0.47673306242894808</v>
      </c>
      <c r="X75" s="52">
        <f t="shared" ref="X75" si="743">X72+X73+X74</f>
        <v>19709.575000000001</v>
      </c>
      <c r="Y75" s="20">
        <f t="shared" ref="Y75" si="744">IF(M75&gt;0,Z75/M75,0)</f>
        <v>0.45342258665312152</v>
      </c>
      <c r="Z75" s="52">
        <f t="shared" ref="Z75" si="745">Z72+Z73+Z74</f>
        <v>18745.850000000002</v>
      </c>
      <c r="AA75" s="119">
        <f t="shared" ref="AA75" si="746">IF(M75&gt;0,AB75/M75,0)</f>
        <v>2.5485221198268148E-3</v>
      </c>
      <c r="AB75" s="54">
        <f t="shared" ref="AB75" si="747">SUM(AB72:AB74)</f>
        <v>105.36355</v>
      </c>
      <c r="AC75" s="53">
        <f t="shared" ref="AC75" si="748">IF(M75&gt;0,AD75/M75,0)</f>
        <v>2.5347715453643907E-3</v>
      </c>
      <c r="AD75" s="54">
        <f t="shared" ref="AD75" si="749">SUM(AD72:AD74)</f>
        <v>104.79506000000001</v>
      </c>
      <c r="AE75" s="53">
        <f t="shared" ref="AE75" si="750">IF(M75&gt;0,(AE72*M72+AE73*M73+AE74*M74)/M75,0)</f>
        <v>2.7443172241975664E-3</v>
      </c>
      <c r="AF75" s="53">
        <f t="shared" ref="AF75" si="751">IF(K75&gt;0,(K72*AF72+K73*AF73+K74*AF74)/K75,0)</f>
        <v>2.9700428024329804E-4</v>
      </c>
      <c r="AG75" s="50">
        <f t="shared" ref="AG75" si="752">SUM(AG72:AG74)</f>
        <v>12.28105</v>
      </c>
      <c r="AH75" s="51">
        <f t="shared" ref="AH75" si="753">IF(K75&gt;0,(K72*AH72+K73*AH73+K74*AH74)/K75,0)</f>
        <v>0.21304736201847263</v>
      </c>
      <c r="AI75" s="56">
        <f t="shared" ref="AI75" si="754">SUM(AI72:AI74)</f>
        <v>94.730624599999999</v>
      </c>
      <c r="AJ75" s="51">
        <f t="shared" ref="AJ75" si="755">IF(AND(AD75&gt;0),((AD72*AJ72+AD73*AJ73+AD74*AJ74)/AD75),0)</f>
        <v>0.88404322754139175</v>
      </c>
      <c r="AK75" s="55">
        <f t="shared" si="683"/>
        <v>0.89293992613340278</v>
      </c>
      <c r="AL75" s="49">
        <f t="shared" ref="AL75" si="756">SUM(AL72:AL74)</f>
        <v>492</v>
      </c>
      <c r="AM75" s="20">
        <f t="shared" ref="AM75" si="757">IF(AL75&gt;0,(AM72*AL72+AM73*AL73+AM74*AL74)/AL75,0)</f>
        <v>9.634552845528456E-2</v>
      </c>
      <c r="AN75" s="51">
        <f>IF(K75&gt;0,(AN72*K72+AN73*K73+AN74*K74)/K75,0)</f>
        <v>0.22762084703762112</v>
      </c>
      <c r="AO75" s="107">
        <f>IF(L75&gt;0,(AO72*K72+AO73*K73+AO74*K74)/K75,0)</f>
        <v>0.21635709394007663</v>
      </c>
      <c r="AP75" s="56">
        <f t="shared" ref="AP75:AQ87" si="758">SUM(AP72:AP74)</f>
        <v>101.177257</v>
      </c>
      <c r="AQ75" s="108">
        <f t="shared" si="758"/>
        <v>96.2244034</v>
      </c>
      <c r="AR75" s="54"/>
      <c r="AS75" s="54">
        <f t="shared" ref="AS75" si="759">SUM(AS72:AS74)</f>
        <v>556.64</v>
      </c>
      <c r="AT75" s="83"/>
      <c r="AU75" s="84">
        <f>AT74</f>
        <v>1401.1399999999999</v>
      </c>
      <c r="AV75" s="49">
        <f t="shared" ref="AV75" si="760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43" t="s">
        <v>59</v>
      </c>
      <c r="D76" s="11">
        <v>4600</v>
      </c>
      <c r="E76" s="11">
        <v>0</v>
      </c>
      <c r="F76" s="11">
        <v>11969</v>
      </c>
      <c r="G76" s="12">
        <v>0.5</v>
      </c>
      <c r="H76" s="12">
        <v>5.8</v>
      </c>
      <c r="I76" s="11">
        <v>11860</v>
      </c>
      <c r="J76" s="12">
        <v>4.4000000000000004</v>
      </c>
      <c r="K76" s="11">
        <v>14750</v>
      </c>
      <c r="L76" s="13">
        <v>6.6000000000000003E-2</v>
      </c>
      <c r="M76" s="23">
        <f>ROUND(K76*(1-L76),0)</f>
        <v>13777</v>
      </c>
      <c r="N76" s="14">
        <v>0.69899999999999995</v>
      </c>
      <c r="O76" s="24">
        <f t="shared" ref="O76:O78" si="761">M76*N76</f>
        <v>9630.1229999999996</v>
      </c>
      <c r="P76" s="13">
        <v>0.28299999999999997</v>
      </c>
      <c r="Q76" s="24">
        <f t="shared" ref="Q76:Q78" si="762">M76*P76</f>
        <v>3898.8909999999996</v>
      </c>
      <c r="R76" s="15">
        <v>1.7999999999999999E-2</v>
      </c>
      <c r="S76" s="112">
        <v>0.24729999999999999</v>
      </c>
      <c r="T76" s="24">
        <f t="shared" ref="T76:T78" si="763">M76*R76</f>
        <v>247.98599999999999</v>
      </c>
      <c r="U76" s="25">
        <v>0.23200000000000001</v>
      </c>
      <c r="V76" s="24">
        <f t="shared" ref="V76:V78" si="764">M76*U76</f>
        <v>3196.2640000000001</v>
      </c>
      <c r="W76" s="15">
        <v>0.47199999999999998</v>
      </c>
      <c r="X76" s="24">
        <f t="shared" ref="X76:X78" si="765">M76*W76</f>
        <v>6502.7439999999997</v>
      </c>
      <c r="Y76" s="15">
        <v>0.46</v>
      </c>
      <c r="Z76" s="24">
        <f t="shared" ref="Z76:Z78" si="766">Y76*M76</f>
        <v>6337.42</v>
      </c>
      <c r="AA76" s="116">
        <v>2.4399999999999999E-3</v>
      </c>
      <c r="AB76" s="18">
        <f t="shared" ref="AB76:AB123" si="767">M76*AA76</f>
        <v>33.615879999999997</v>
      </c>
      <c r="AC76" s="16">
        <v>2.3999999999999998E-3</v>
      </c>
      <c r="AD76" s="17">
        <f t="shared" ref="AD76:AD78" si="768">M76*AC76</f>
        <v>33.064799999999998</v>
      </c>
      <c r="AE76" s="26">
        <f>IF(M76&gt;0,(AG76+AP76)/M76,0)</f>
        <v>2.7237894606953615E-3</v>
      </c>
      <c r="AF76" s="16">
        <v>2.7999999999999998E-4</v>
      </c>
      <c r="AG76" s="23">
        <f t="shared" ref="AG76:AG78" si="769">AF76*M76</f>
        <v>3.8575599999999999</v>
      </c>
      <c r="AH76" s="92">
        <v>0.2064</v>
      </c>
      <c r="AI76" s="29">
        <f t="shared" ref="AI76:AI78" si="770">AL76*(1-AM76)*AH76</f>
        <v>32.082609599999998</v>
      </c>
      <c r="AJ76" s="27">
        <f t="shared" ref="AJ76:AJ78" si="771">IF(AND(AH76&gt;0,AF76&gt;0,AC76&gt;0),((AC76-AF76)*AH76)/((AH76-AF76)*AC76),0)</f>
        <v>0.88453328158354361</v>
      </c>
      <c r="AK76" s="58">
        <f t="shared" si="683"/>
        <v>0.89836335921923449</v>
      </c>
      <c r="AL76" s="11">
        <v>171</v>
      </c>
      <c r="AM76" s="13">
        <v>9.0999999999999998E-2</v>
      </c>
      <c r="AN76" s="14">
        <v>0.21659999999999999</v>
      </c>
      <c r="AO76" s="101">
        <v>0.20330000000000001</v>
      </c>
      <c r="AP76" s="29">
        <f>AL76*(1-AM76)*AN76</f>
        <v>33.668087399999997</v>
      </c>
      <c r="AQ76" s="102">
        <f t="shared" ref="AQ76" si="772">AL76*(1-AM76)*AO76</f>
        <v>31.6007487</v>
      </c>
      <c r="AR76" s="18">
        <v>1.55</v>
      </c>
      <c r="AS76" s="18">
        <v>554.6</v>
      </c>
      <c r="AT76" s="79">
        <f>AT74+AL76-AS76</f>
        <v>1017.5399999999998</v>
      </c>
      <c r="AU76" s="80"/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43" t="s">
        <v>58</v>
      </c>
      <c r="D77" s="33">
        <v>20300</v>
      </c>
      <c r="E77" s="33">
        <v>2</v>
      </c>
      <c r="F77" s="33">
        <v>14338</v>
      </c>
      <c r="G77" s="34">
        <v>0.7</v>
      </c>
      <c r="H77" s="34">
        <v>4.8</v>
      </c>
      <c r="I77" s="33">
        <v>14807</v>
      </c>
      <c r="J77" s="34">
        <v>1</v>
      </c>
      <c r="K77" s="33">
        <v>5309</v>
      </c>
      <c r="L77" s="35">
        <v>6.8000000000000005E-2</v>
      </c>
      <c r="M77" s="36">
        <f>ROUND(K77*(1-L77),0)</f>
        <v>4948</v>
      </c>
      <c r="N77" s="37">
        <v>0.71599999999999997</v>
      </c>
      <c r="O77" s="24">
        <f t="shared" si="761"/>
        <v>3542.768</v>
      </c>
      <c r="P77" s="35">
        <v>0.23599999999999999</v>
      </c>
      <c r="Q77" s="24">
        <f t="shared" si="762"/>
        <v>1167.7279999999998</v>
      </c>
      <c r="R77" s="38">
        <v>4.8000000000000001E-2</v>
      </c>
      <c r="S77" s="105">
        <v>0.2185</v>
      </c>
      <c r="T77" s="24">
        <f t="shared" si="763"/>
        <v>237.50400000000002</v>
      </c>
      <c r="U77" s="27">
        <v>0.20100000000000001</v>
      </c>
      <c r="V77" s="24">
        <f t="shared" si="764"/>
        <v>994.54800000000012</v>
      </c>
      <c r="W77" s="38">
        <v>0.53300000000000003</v>
      </c>
      <c r="X77" s="24">
        <f t="shared" si="765"/>
        <v>2637.2840000000001</v>
      </c>
      <c r="Y77" s="38">
        <v>0.47</v>
      </c>
      <c r="Z77" s="24">
        <f t="shared" si="766"/>
        <v>2325.56</v>
      </c>
      <c r="AA77" s="117">
        <v>2.5000000000000001E-3</v>
      </c>
      <c r="AB77" s="18">
        <f t="shared" si="767"/>
        <v>12.370000000000001</v>
      </c>
      <c r="AC77" s="39">
        <v>2.4299999999999999E-3</v>
      </c>
      <c r="AD77" s="17">
        <f t="shared" si="768"/>
        <v>12.023639999999999</v>
      </c>
      <c r="AE77" s="26">
        <f>IF(M77&gt;0,(AG77+AP77)/M77,0)</f>
        <v>4.3273342764753439E-3</v>
      </c>
      <c r="AF77" s="39">
        <v>2.5999999999999998E-4</v>
      </c>
      <c r="AG77" s="36">
        <f t="shared" si="769"/>
        <v>1.2864799999999998</v>
      </c>
      <c r="AH77" s="27">
        <v>0.2112</v>
      </c>
      <c r="AI77" s="40">
        <f t="shared" si="770"/>
        <v>19.578240000000001</v>
      </c>
      <c r="AJ77" s="27">
        <f t="shared" si="771"/>
        <v>0.89410481243862006</v>
      </c>
      <c r="AK77" s="28">
        <f t="shared" si="683"/>
        <v>0.94104381956928018</v>
      </c>
      <c r="AL77" s="33">
        <v>103</v>
      </c>
      <c r="AM77" s="35">
        <v>0.1</v>
      </c>
      <c r="AN77" s="37">
        <v>0.21709999999999999</v>
      </c>
      <c r="AO77" s="103">
        <v>0.20119999999999999</v>
      </c>
      <c r="AP77" s="40">
        <f>AL77*(1-AM77)*AN77</f>
        <v>20.125170000000001</v>
      </c>
      <c r="AQ77" s="104">
        <f t="shared" si="728"/>
        <v>18.651240000000001</v>
      </c>
      <c r="AR77" s="41">
        <v>1.5</v>
      </c>
      <c r="AS77" s="41"/>
      <c r="AT77" s="129">
        <f>AT76+AL77-AS77</f>
        <v>1120.54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53</v>
      </c>
      <c r="D78" s="42">
        <v>13825</v>
      </c>
      <c r="E78" s="42">
        <v>0</v>
      </c>
      <c r="F78" s="42">
        <v>13679</v>
      </c>
      <c r="G78" s="36">
        <v>0.8</v>
      </c>
      <c r="H78" s="36">
        <v>3.5</v>
      </c>
      <c r="I78" s="42">
        <v>12869</v>
      </c>
      <c r="J78" s="133">
        <v>1</v>
      </c>
      <c r="K78" s="42">
        <v>13537</v>
      </c>
      <c r="L78" s="38">
        <v>6.9000000000000006E-2</v>
      </c>
      <c r="M78" s="36">
        <f>ROUND(K78*(1-L78),0)</f>
        <v>12603</v>
      </c>
      <c r="N78" s="27">
        <v>0.67100000000000004</v>
      </c>
      <c r="O78" s="24">
        <f t="shared" si="761"/>
        <v>8456.6130000000012</v>
      </c>
      <c r="P78" s="38">
        <v>0.27400000000000002</v>
      </c>
      <c r="Q78" s="24">
        <f t="shared" si="762"/>
        <v>3453.2220000000002</v>
      </c>
      <c r="R78" s="38">
        <v>5.5E-2</v>
      </c>
      <c r="S78" s="105">
        <v>0.22450000000000001</v>
      </c>
      <c r="T78" s="24">
        <f t="shared" si="763"/>
        <v>693.16499999999996</v>
      </c>
      <c r="U78" s="27">
        <v>0.21199999999999999</v>
      </c>
      <c r="V78" s="24">
        <f t="shared" si="764"/>
        <v>2671.8359999999998</v>
      </c>
      <c r="W78" s="38">
        <v>0.51500000000000001</v>
      </c>
      <c r="X78" s="24">
        <f t="shared" si="765"/>
        <v>6490.5450000000001</v>
      </c>
      <c r="Y78" s="38">
        <v>0.45</v>
      </c>
      <c r="Z78" s="24">
        <f t="shared" si="766"/>
        <v>5671.35</v>
      </c>
      <c r="AA78" s="118">
        <v>2.6099999999999999E-3</v>
      </c>
      <c r="AB78" s="121">
        <f t="shared" si="767"/>
        <v>32.893830000000001</v>
      </c>
      <c r="AC78" s="45">
        <v>2.5500000000000002E-3</v>
      </c>
      <c r="AD78" s="17">
        <f t="shared" si="768"/>
        <v>32.137650000000001</v>
      </c>
      <c r="AE78" s="26">
        <f>IF(M78&gt;0,(AG78+AP78)/M78,0)</f>
        <v>2.5514187098309923E-3</v>
      </c>
      <c r="AF78" s="45">
        <v>2.5999999999999998E-4</v>
      </c>
      <c r="AG78" s="36">
        <f t="shared" si="769"/>
        <v>3.2767799999999996</v>
      </c>
      <c r="AH78" s="27">
        <v>0.21099999999999999</v>
      </c>
      <c r="AI78" s="40">
        <f t="shared" si="770"/>
        <v>28.674900000000001</v>
      </c>
      <c r="AJ78" s="27">
        <f t="shared" si="771"/>
        <v>0.89914716954448115</v>
      </c>
      <c r="AK78" s="28">
        <f t="shared" si="683"/>
        <v>0.89919610359863111</v>
      </c>
      <c r="AL78" s="42">
        <v>151</v>
      </c>
      <c r="AM78" s="38">
        <v>0.1</v>
      </c>
      <c r="AN78" s="27">
        <v>0.21249999999999999</v>
      </c>
      <c r="AO78" s="105">
        <v>0.1915</v>
      </c>
      <c r="AP78" s="40">
        <f>AL78*(1-AM78)*AN78</f>
        <v>28.87875</v>
      </c>
      <c r="AQ78" s="106">
        <f t="shared" si="728"/>
        <v>26.024850000000001</v>
      </c>
      <c r="AR78" s="17">
        <v>1.5</v>
      </c>
      <c r="AS78" s="17"/>
      <c r="AT78" s="129">
        <f>AT77+AL78-AS78</f>
        <v>1271.54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3">SUM(D76:D78)</f>
        <v>38725</v>
      </c>
      <c r="E79" s="49"/>
      <c r="F79" s="49">
        <f t="shared" ref="F79" si="774">SUM(F76:F78)</f>
        <v>39986</v>
      </c>
      <c r="G79" s="50"/>
      <c r="H79" s="50"/>
      <c r="I79" s="49">
        <f t="shared" ref="I79:K79" si="775">SUM(I76:I78)</f>
        <v>39536</v>
      </c>
      <c r="J79" s="50"/>
      <c r="K79" s="49">
        <f t="shared" si="775"/>
        <v>33596</v>
      </c>
      <c r="L79" s="20">
        <f t="shared" ref="L79" si="776">IF(K79&gt;0,(K76*L76+K77*L77+K78*L78)/K79,0)</f>
        <v>6.7524854149303495E-2</v>
      </c>
      <c r="M79" s="50">
        <f t="shared" ref="M79" si="777">M76+M77+M78</f>
        <v>31328</v>
      </c>
      <c r="N79" s="51">
        <f t="shared" ref="N79" si="778">IF(M79&gt;0,O79/M79,0)</f>
        <v>0.69042083758937689</v>
      </c>
      <c r="O79" s="52">
        <f t="shared" ref="O79" si="779">O76+O77+O78</f>
        <v>21629.504000000001</v>
      </c>
      <c r="P79" s="20">
        <f t="shared" ref="P79" si="780">IF(M79&gt;0,Q79/M79,0)</f>
        <v>0.27195610955056182</v>
      </c>
      <c r="Q79" s="52">
        <f t="shared" ref="Q79" si="781">Q76+Q77+Q78</f>
        <v>8519.8410000000003</v>
      </c>
      <c r="R79" s="20">
        <f t="shared" ref="R79" si="782">IF(M79&gt;0,T79/M79,0)</f>
        <v>3.7623052860061283E-2</v>
      </c>
      <c r="S79" s="107"/>
      <c r="T79" s="52">
        <f t="shared" ref="T79" si="783">T76+T77+T78</f>
        <v>1178.655</v>
      </c>
      <c r="U79" s="20">
        <f t="shared" ref="U79" si="784">IF(M79&gt;0,V79/M79,0)</f>
        <v>0.21905796731358526</v>
      </c>
      <c r="V79" s="52">
        <f t="shared" ref="V79" si="785">V76+V77+V78</f>
        <v>6862.6479999999992</v>
      </c>
      <c r="W79" s="20">
        <f t="shared" ref="W79" si="786">IF(M79&gt;0,X79/M79,0)</f>
        <v>0.49893299923391216</v>
      </c>
      <c r="X79" s="52">
        <f t="shared" ref="X79" si="787">X76+X77+X78</f>
        <v>15630.573</v>
      </c>
      <c r="Y79" s="20">
        <f t="shared" ref="Y79" si="788">IF(M79&gt;0,Z79/M79,0)</f>
        <v>0.45755649897854955</v>
      </c>
      <c r="Z79" s="52">
        <f t="shared" ref="Z79" si="789">Z76+Z77+Z78</f>
        <v>14334.33</v>
      </c>
      <c r="AA79" s="119">
        <f t="shared" ref="AA79" si="790">IF(M79&gt;0,AB79/M79,0)</f>
        <v>2.5178661261491316E-3</v>
      </c>
      <c r="AB79" s="54">
        <f t="shared" ref="AB79" si="791">SUM(AB76:AB78)</f>
        <v>78.879709999999989</v>
      </c>
      <c r="AC79" s="53">
        <f t="shared" ref="AC79" si="792">IF(M79&gt;0,AD79/M79,0)</f>
        <v>2.4650820352400409E-3</v>
      </c>
      <c r="AD79" s="54">
        <f t="shared" ref="AD79" si="793">SUM(AD76:AD78)</f>
        <v>77.226089999999999</v>
      </c>
      <c r="AE79" s="53">
        <f t="shared" ref="AE79" si="794">IF(M79&gt;0,(AE76*M76+AE77*M77+AE78*M78)/M79,0)</f>
        <v>2.907712825587334E-3</v>
      </c>
      <c r="AF79" s="53">
        <f t="shared" ref="AF79" si="795">IF(K79&gt;0,(K76*AF76+K77*AF77+K78*AF78)/K79,0)</f>
        <v>2.6878080723895698E-4</v>
      </c>
      <c r="AG79" s="50">
        <f t="shared" ref="AG79" si="796">SUM(AG76:AG78)</f>
        <v>8.4208199999999991</v>
      </c>
      <c r="AH79" s="51">
        <f t="shared" ref="AH79" si="797">IF(K79&gt;0,(K76*AH76+K77*AH77+K78*AH78)/K79,0)</f>
        <v>0.20901201928801047</v>
      </c>
      <c r="AI79" s="56">
        <f t="shared" ref="AI79" si="798">SUM(AI76:AI78)</f>
        <v>80.3357496</v>
      </c>
      <c r="AJ79" s="51">
        <f t="shared" ref="AJ79" si="799">IF(AND(AD79&gt;0),((AD76*AJ76+AD77*AJ77+AD78*AJ78)/AD79),0)</f>
        <v>0.89210508351833206</v>
      </c>
      <c r="AK79" s="55">
        <f t="shared" si="683"/>
        <v>0.9086986695257967</v>
      </c>
      <c r="AL79" s="49">
        <f t="shared" ref="AL79" si="800">SUM(AL76:AL78)</f>
        <v>425</v>
      </c>
      <c r="AM79" s="20">
        <f t="shared" ref="AM79" si="801">IF(AL79&gt;0,(AM76*AL76+AM77*AL77+AM78*AL78)/AL79,0)</f>
        <v>9.6378823529411767E-2</v>
      </c>
      <c r="AN79" s="51">
        <f>IF(K79&gt;0,(AN76*K76+AN77*K77+AN78*K78)/K79,0)</f>
        <v>0.21502697940230978</v>
      </c>
      <c r="AO79" s="107">
        <f>IF(L79&gt;0,(AO76*K76+AO77*K77+AO78*K78)/K79,0)</f>
        <v>0.19821351649005833</v>
      </c>
      <c r="AP79" s="56">
        <f t="shared" ref="AP79" si="802">SUM(AP76:AP78)</f>
        <v>82.672007399999998</v>
      </c>
      <c r="AQ79" s="108">
        <f t="shared" si="758"/>
        <v>76.276838699999999</v>
      </c>
      <c r="AR79" s="54"/>
      <c r="AS79" s="54">
        <f t="shared" ref="AS79" si="803">SUM(AS76:AS78)</f>
        <v>554.6</v>
      </c>
      <c r="AT79" s="83"/>
      <c r="AU79" s="84">
        <f>AT78</f>
        <v>1271.54</v>
      </c>
      <c r="AV79" s="49">
        <f t="shared" ref="AV79" si="804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43" t="s">
        <v>59</v>
      </c>
      <c r="D80" s="11">
        <v>7500</v>
      </c>
      <c r="E80" s="11">
        <v>0</v>
      </c>
      <c r="F80" s="11">
        <v>13227</v>
      </c>
      <c r="G80" s="12">
        <v>0.5</v>
      </c>
      <c r="H80" s="12">
        <v>3.3</v>
      </c>
      <c r="I80" s="11">
        <v>12335</v>
      </c>
      <c r="J80" s="131">
        <v>2.2000000000000002</v>
      </c>
      <c r="K80" s="11">
        <v>16449</v>
      </c>
      <c r="L80" s="13">
        <v>7.0999999999999994E-2</v>
      </c>
      <c r="M80" s="23">
        <f>ROUND(K80*(1-L80),0)</f>
        <v>15281</v>
      </c>
      <c r="N80" s="14">
        <v>0.63500000000000001</v>
      </c>
      <c r="O80" s="24">
        <f t="shared" ref="O80:O82" si="805">M80*N80</f>
        <v>9703.4349999999995</v>
      </c>
      <c r="P80" s="13">
        <v>0.30599999999999999</v>
      </c>
      <c r="Q80" s="24">
        <f t="shared" ref="Q80:Q82" si="806">M80*P80</f>
        <v>4675.9859999999999</v>
      </c>
      <c r="R80" s="15">
        <v>5.8999999999999997E-2</v>
      </c>
      <c r="S80" s="112">
        <v>0.25569999999999998</v>
      </c>
      <c r="T80" s="24">
        <f t="shared" ref="T80:T82" si="807">M80*R80</f>
        <v>901.57899999999995</v>
      </c>
      <c r="U80" s="25">
        <v>0.248</v>
      </c>
      <c r="V80" s="24">
        <f t="shared" ref="V80:V82" si="808">M80*U80</f>
        <v>3789.6880000000001</v>
      </c>
      <c r="W80" s="15">
        <v>0.48499999999999999</v>
      </c>
      <c r="X80" s="24">
        <f t="shared" ref="X80:X82" si="809">M80*W80</f>
        <v>7411.2849999999999</v>
      </c>
      <c r="Y80" s="15">
        <v>0.43</v>
      </c>
      <c r="Z80" s="24">
        <f t="shared" ref="Z80:Z82" si="810">Y80*M80</f>
        <v>6570.83</v>
      </c>
      <c r="AA80" s="116">
        <v>2.6199999999999999E-3</v>
      </c>
      <c r="AB80" s="18">
        <f t="shared" ref="AB80" si="811">M80*AA80</f>
        <v>40.03622</v>
      </c>
      <c r="AC80" s="16">
        <v>2.5999999999999999E-3</v>
      </c>
      <c r="AD80" s="17">
        <f t="shared" ref="AD80:AD82" si="812">M80*AC80</f>
        <v>39.730599999999995</v>
      </c>
      <c r="AE80" s="26">
        <f>IF(M80&gt;0,(AG80+AP80)/M80,0)</f>
        <v>2.8081708265165887E-3</v>
      </c>
      <c r="AF80" s="16">
        <v>2.5999999999999998E-4</v>
      </c>
      <c r="AG80" s="23">
        <f t="shared" ref="AG80:AG82" si="813">AF80*M80</f>
        <v>3.9730599999999998</v>
      </c>
      <c r="AH80" s="92">
        <v>0.21079999999999999</v>
      </c>
      <c r="AI80" s="29">
        <f t="shared" ref="AI80:AI82" si="814">AL80*(1-AM80)*AH80</f>
        <v>36.709555199999997</v>
      </c>
      <c r="AJ80" s="27">
        <f t="shared" ref="AJ80:AJ82" si="815">IF(AND(AH80&gt;0,AF80&gt;0,AC80&gt;0),((AC80-AF80)*AH80)/((AH80-AF80)*AC80),0)</f>
        <v>0.90111142775719588</v>
      </c>
      <c r="AK80" s="58">
        <f t="shared" si="683"/>
        <v>0.90846939976284258</v>
      </c>
      <c r="AL80" s="11">
        <v>192</v>
      </c>
      <c r="AM80" s="13">
        <v>9.2999999999999999E-2</v>
      </c>
      <c r="AN80" s="14">
        <v>0.22359999999999999</v>
      </c>
      <c r="AO80" s="101">
        <v>0.21240000000000001</v>
      </c>
      <c r="AP80" s="29">
        <f>AL80*(1-AM80)*AN80</f>
        <v>38.938598399999997</v>
      </c>
      <c r="AQ80" s="102">
        <f t="shared" ref="AQ80" si="816">AL80*(1-AM80)*AO80</f>
        <v>36.988185600000001</v>
      </c>
      <c r="AR80" s="18">
        <v>1.6</v>
      </c>
      <c r="AS80" s="18"/>
      <c r="AT80" s="79">
        <f>AT78+AL80-AS80</f>
        <v>1463.54</v>
      </c>
      <c r="AU80" s="80"/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0" t="s">
        <v>55</v>
      </c>
      <c r="D81" s="33">
        <v>19400</v>
      </c>
      <c r="E81" s="33">
        <v>1</v>
      </c>
      <c r="F81" s="33">
        <v>15858</v>
      </c>
      <c r="G81" s="34">
        <v>0.7</v>
      </c>
      <c r="H81" s="34">
        <v>5.0999999999999996</v>
      </c>
      <c r="I81" s="33">
        <v>15425</v>
      </c>
      <c r="J81" s="34">
        <v>0.9</v>
      </c>
      <c r="K81" s="33">
        <v>13607</v>
      </c>
      <c r="L81" s="35">
        <v>7.3999999999999996E-2</v>
      </c>
      <c r="M81" s="36">
        <f>ROUND(K81*(1-L81),0)</f>
        <v>12600</v>
      </c>
      <c r="N81" s="37">
        <v>0.66100000000000003</v>
      </c>
      <c r="O81" s="24">
        <f t="shared" si="805"/>
        <v>8328.6</v>
      </c>
      <c r="P81" s="35">
        <v>0.30499999999999999</v>
      </c>
      <c r="Q81" s="24">
        <f t="shared" si="806"/>
        <v>3843</v>
      </c>
      <c r="R81" s="38">
        <v>3.4000000000000002E-2</v>
      </c>
      <c r="S81" s="105">
        <v>0.25240000000000001</v>
      </c>
      <c r="T81" s="24">
        <f t="shared" si="807"/>
        <v>428.40000000000003</v>
      </c>
      <c r="U81" s="27">
        <v>0.24</v>
      </c>
      <c r="V81" s="24">
        <f t="shared" si="808"/>
        <v>3024</v>
      </c>
      <c r="W81" s="38">
        <v>0.46500000000000002</v>
      </c>
      <c r="X81" s="24">
        <f t="shared" si="809"/>
        <v>5859</v>
      </c>
      <c r="Y81" s="38">
        <v>0.43</v>
      </c>
      <c r="Z81" s="24">
        <f t="shared" si="810"/>
        <v>5418</v>
      </c>
      <c r="AA81" s="117">
        <v>2.7000000000000001E-3</v>
      </c>
      <c r="AB81" s="18">
        <f t="shared" si="767"/>
        <v>34.020000000000003</v>
      </c>
      <c r="AC81" s="39">
        <v>2.66E-3</v>
      </c>
      <c r="AD81" s="17">
        <f t="shared" si="812"/>
        <v>33.515999999999998</v>
      </c>
      <c r="AE81" s="26">
        <f>IF(M81&gt;0,(AG81+AP81)/M81,0)</f>
        <v>3.2692255555555549E-3</v>
      </c>
      <c r="AF81" s="39">
        <v>2.5999999999999998E-4</v>
      </c>
      <c r="AG81" s="36">
        <f t="shared" si="813"/>
        <v>3.2759999999999998</v>
      </c>
      <c r="AH81" s="27">
        <v>0.21790000000000001</v>
      </c>
      <c r="AI81" s="40">
        <f t="shared" si="814"/>
        <v>35.890309000000002</v>
      </c>
      <c r="AJ81" s="27">
        <f t="shared" si="815"/>
        <v>0.90333350376492616</v>
      </c>
      <c r="AK81" s="28">
        <f t="shared" si="683"/>
        <v>0.92151126474372269</v>
      </c>
      <c r="AL81" s="33">
        <v>181</v>
      </c>
      <c r="AM81" s="35">
        <v>0.09</v>
      </c>
      <c r="AN81" s="37">
        <v>0.23019999999999999</v>
      </c>
      <c r="AO81" s="103">
        <v>0.21829999999999999</v>
      </c>
      <c r="AP81" s="40">
        <f>AL81*(1-AM81)*AN81</f>
        <v>37.916241999999997</v>
      </c>
      <c r="AQ81" s="104">
        <f t="shared" si="728"/>
        <v>35.956192999999999</v>
      </c>
      <c r="AR81" s="41">
        <v>1.6</v>
      </c>
      <c r="AS81" s="41"/>
      <c r="AT81" s="129">
        <f>AT80+AL81-AS81</f>
        <v>1644.54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53</v>
      </c>
      <c r="D82" s="42">
        <v>11925</v>
      </c>
      <c r="E82" s="42">
        <v>1</v>
      </c>
      <c r="F82" s="42">
        <v>10275</v>
      </c>
      <c r="G82" s="36">
        <v>0.6</v>
      </c>
      <c r="H82" s="36">
        <v>3.9</v>
      </c>
      <c r="I82" s="42">
        <v>10738</v>
      </c>
      <c r="J82" s="36">
        <v>0.9</v>
      </c>
      <c r="K82" s="42">
        <v>8392</v>
      </c>
      <c r="L82" s="38">
        <v>6.7000000000000004E-2</v>
      </c>
      <c r="M82" s="36">
        <f>ROUND(K82*(1-L82),0)</f>
        <v>7830</v>
      </c>
      <c r="N82" s="27">
        <v>0.70199999999999996</v>
      </c>
      <c r="O82" s="24">
        <f t="shared" si="805"/>
        <v>5496.66</v>
      </c>
      <c r="P82" s="38">
        <v>0.27300000000000002</v>
      </c>
      <c r="Q82" s="24">
        <f t="shared" si="806"/>
        <v>2137.59</v>
      </c>
      <c r="R82" s="38">
        <v>2.5000000000000001E-2</v>
      </c>
      <c r="S82" s="105">
        <v>0.1991</v>
      </c>
      <c r="T82" s="24">
        <f t="shared" si="807"/>
        <v>195.75</v>
      </c>
      <c r="U82" s="27">
        <v>0.17299999999999999</v>
      </c>
      <c r="V82" s="24">
        <f t="shared" si="808"/>
        <v>1354.59</v>
      </c>
      <c r="W82" s="38">
        <v>0.52700000000000002</v>
      </c>
      <c r="X82" s="24">
        <f t="shared" si="809"/>
        <v>4126.41</v>
      </c>
      <c r="Y82" s="38">
        <v>0.44</v>
      </c>
      <c r="Z82" s="24">
        <f t="shared" si="810"/>
        <v>3445.2</v>
      </c>
      <c r="AA82" s="118">
        <v>2.7000000000000001E-3</v>
      </c>
      <c r="AB82" s="121">
        <f t="shared" si="767"/>
        <v>21.141000000000002</v>
      </c>
      <c r="AC82" s="45">
        <v>2.63E-3</v>
      </c>
      <c r="AD82" s="17">
        <f t="shared" si="812"/>
        <v>20.5929</v>
      </c>
      <c r="AE82" s="26">
        <f>IF(M82&gt;0,(AG82+AP82)/M82,0)</f>
        <v>2.6432911111111111E-3</v>
      </c>
      <c r="AF82" s="45">
        <v>2.7E-4</v>
      </c>
      <c r="AG82" s="36">
        <f t="shared" si="813"/>
        <v>2.1141000000000001</v>
      </c>
      <c r="AH82" s="27">
        <v>0.2102</v>
      </c>
      <c r="AI82" s="40">
        <f t="shared" si="814"/>
        <v>17.763161199999999</v>
      </c>
      <c r="AJ82" s="27">
        <f t="shared" si="815"/>
        <v>0.89849250854757134</v>
      </c>
      <c r="AK82" s="28">
        <f t="shared" si="683"/>
        <v>0.89895837935526102</v>
      </c>
      <c r="AL82" s="42">
        <v>94</v>
      </c>
      <c r="AM82" s="38">
        <v>0.10100000000000001</v>
      </c>
      <c r="AN82" s="27">
        <v>0.21990000000000001</v>
      </c>
      <c r="AO82" s="105">
        <v>0.20150000000000001</v>
      </c>
      <c r="AP82" s="40">
        <f>AL82*(1-AM82)*AN82</f>
        <v>18.5828694</v>
      </c>
      <c r="AQ82" s="106">
        <f t="shared" si="728"/>
        <v>17.027959000000003</v>
      </c>
      <c r="AR82" s="17">
        <v>1.5</v>
      </c>
      <c r="AS82" s="17"/>
      <c r="AT82" s="129">
        <f>AT81+AL82-AS82</f>
        <v>1738.54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7">SUM(D80:D82)</f>
        <v>38825</v>
      </c>
      <c r="E83" s="49"/>
      <c r="F83" s="49">
        <f t="shared" ref="F83" si="818">SUM(F80:F82)</f>
        <v>39360</v>
      </c>
      <c r="G83" s="50"/>
      <c r="H83" s="50"/>
      <c r="I83" s="49">
        <f t="shared" ref="I83:K83" si="819">SUM(I80:I82)</f>
        <v>38498</v>
      </c>
      <c r="J83" s="50"/>
      <c r="K83" s="49">
        <f t="shared" si="819"/>
        <v>38448</v>
      </c>
      <c r="L83" s="20">
        <f t="shared" ref="L83" si="820">IF(K83&gt;0,(K80*L80+K81*L81+K82*L82)/K83,0)</f>
        <v>7.1188644402829807E-2</v>
      </c>
      <c r="M83" s="50">
        <f t="shared" ref="M83" si="821">M80+M81+M82</f>
        <v>35711</v>
      </c>
      <c r="N83" s="51">
        <f t="shared" ref="N83" si="822">IF(M83&gt;0,O83/M83,0)</f>
        <v>0.65886407549494552</v>
      </c>
      <c r="O83" s="52">
        <f t="shared" ref="O83" si="823">O80+O81+O82</f>
        <v>23528.695</v>
      </c>
      <c r="P83" s="20">
        <f t="shared" ref="P83" si="824">IF(M83&gt;0,Q83/M83,0)</f>
        <v>0.29841158186553163</v>
      </c>
      <c r="Q83" s="52">
        <f t="shared" ref="Q83" si="825">Q80+Q81+Q82</f>
        <v>10656.576000000001</v>
      </c>
      <c r="R83" s="20">
        <f t="shared" ref="R83" si="826">IF(M83&gt;0,T83/M83,0)</f>
        <v>4.2724342639522836E-2</v>
      </c>
      <c r="S83" s="107"/>
      <c r="T83" s="52">
        <f t="shared" ref="T83" si="827">T80+T81+T82</f>
        <v>1525.729</v>
      </c>
      <c r="U83" s="20">
        <f t="shared" ref="U83" si="828">IF(M83&gt;0,V83/M83,0)</f>
        <v>0.22873282742012266</v>
      </c>
      <c r="V83" s="52">
        <f t="shared" ref="V83" si="829">V80+V81+V82</f>
        <v>8168.2780000000002</v>
      </c>
      <c r="W83" s="20">
        <f t="shared" ref="W83" si="830">IF(M83&gt;0,X83/M83,0)</f>
        <v>0.48715227800957689</v>
      </c>
      <c r="X83" s="52">
        <f t="shared" ref="X83" si="831">X80+X81+X82</f>
        <v>17396.695</v>
      </c>
      <c r="Y83" s="20">
        <f t="shared" ref="Y83" si="832">IF(M83&gt;0,Z83/M83,0)</f>
        <v>0.43219260171935814</v>
      </c>
      <c r="Z83" s="52">
        <f t="shared" ref="Z83" si="833">Z80+Z81+Z82</f>
        <v>15434.029999999999</v>
      </c>
      <c r="AA83" s="119">
        <f t="shared" ref="AA83" si="834">IF(M83&gt;0,AB83/M83,0)</f>
        <v>2.6657674106017755E-3</v>
      </c>
      <c r="AB83" s="54">
        <f t="shared" ref="AB83" si="835">SUM(AB80:AB82)</f>
        <v>95.197220000000002</v>
      </c>
      <c r="AC83" s="53">
        <f t="shared" ref="AC83" si="836">IF(M83&gt;0,AD83/M83,0)</f>
        <v>2.6277477527932571E-3</v>
      </c>
      <c r="AD83" s="54">
        <f t="shared" ref="AD83" si="837">SUM(AD80:AD82)</f>
        <v>93.839500000000001</v>
      </c>
      <c r="AE83" s="53">
        <f t="shared" ref="AE83" si="838">IF(M83&gt;0,(AE80*M80+AE81*M81+AE82*M82)/M83,0)</f>
        <v>2.9346943462798575E-3</v>
      </c>
      <c r="AF83" s="53">
        <f t="shared" ref="AF83" si="839">IF(K83&gt;0,(K80*AF80+K81*AF81+K82*AF82)/K83,0)</f>
        <v>2.6218268830628373E-4</v>
      </c>
      <c r="AG83" s="50">
        <f t="shared" ref="AG83" si="840">SUM(AG80:AG82)</f>
        <v>9.3631600000000006</v>
      </c>
      <c r="AH83" s="51">
        <f t="shared" ref="AH83" si="841">IF(K83&gt;0,(K80*AH80+K81*AH81+K82*AH82)/K83,0)</f>
        <v>0.21318177538493552</v>
      </c>
      <c r="AI83" s="56">
        <f t="shared" ref="AI83" si="842">SUM(AI80:AI82)</f>
        <v>90.363025399999998</v>
      </c>
      <c r="AJ83" s="51">
        <f t="shared" ref="AJ83" si="843">IF(AND(AD83&gt;0),((AD80*AJ80+AD81*AJ81+AD82*AJ82)/AD83),0)</f>
        <v>0.90133035430820274</v>
      </c>
      <c r="AK83" s="55">
        <f t="shared" si="683"/>
        <v>0.91172277560570314</v>
      </c>
      <c r="AL83" s="49">
        <f t="shared" ref="AL83" si="844">SUM(AL80:AL82)</f>
        <v>467</v>
      </c>
      <c r="AM83" s="20">
        <f t="shared" ref="AM83" si="845">IF(AL83&gt;0,(AM80*AL80+AM81*AL81+AM82*AL82)/AL83,0)</f>
        <v>9.3447537473233408E-2</v>
      </c>
      <c r="AN83" s="51">
        <f>IF(K83&gt;0,(AN80*K80+AN81*K81+AN82*K82)/K83,0)</f>
        <v>0.22512818872243032</v>
      </c>
      <c r="AO83" s="107">
        <f>IF(L83&gt;0,(AO80*K80+AO81*K81+AO82*K82)/K83,0)</f>
        <v>0.21210891853932584</v>
      </c>
      <c r="AP83" s="56">
        <f t="shared" ref="AP83" si="846">SUM(AP80:AP82)</f>
        <v>95.437709799999993</v>
      </c>
      <c r="AQ83" s="108">
        <f t="shared" si="758"/>
        <v>89.972337600000003</v>
      </c>
      <c r="AR83" s="54"/>
      <c r="AS83" s="54">
        <f t="shared" ref="AS83" si="847">SUM(AS80:AS82)</f>
        <v>0</v>
      </c>
      <c r="AT83" s="83"/>
      <c r="AU83" s="84">
        <f>AT82</f>
        <v>1738.54</v>
      </c>
      <c r="AV83" s="49">
        <f t="shared" ref="AV83" si="848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43" t="s">
        <v>59</v>
      </c>
      <c r="D84" s="11">
        <v>6700</v>
      </c>
      <c r="E84" s="11">
        <v>0</v>
      </c>
      <c r="F84" s="11">
        <v>10936</v>
      </c>
      <c r="G84" s="12">
        <v>0.6</v>
      </c>
      <c r="H84" s="12">
        <v>5.3</v>
      </c>
      <c r="I84" s="11">
        <v>10278</v>
      </c>
      <c r="J84" s="12">
        <v>2.6</v>
      </c>
      <c r="K84" s="11">
        <v>13865</v>
      </c>
      <c r="L84" s="13">
        <v>6.9000000000000006E-2</v>
      </c>
      <c r="M84" s="23">
        <f>ROUND(K84*(1-L84),0)</f>
        <v>12908</v>
      </c>
      <c r="N84" s="14">
        <v>0.66400000000000003</v>
      </c>
      <c r="O84" s="24">
        <f t="shared" ref="O84:O86" si="849">M84*N84</f>
        <v>8570.9120000000003</v>
      </c>
      <c r="P84" s="13">
        <v>0.311</v>
      </c>
      <c r="Q84" s="24">
        <f t="shared" ref="Q84:Q86" si="850">M84*P84</f>
        <v>4014.3879999999999</v>
      </c>
      <c r="R84" s="15">
        <v>2.5000000000000001E-2</v>
      </c>
      <c r="S84" s="112">
        <v>0.23630000000000001</v>
      </c>
      <c r="T84" s="24">
        <f t="shared" ref="T84:T86" si="851">M84*R84</f>
        <v>322.70000000000005</v>
      </c>
      <c r="U84" s="25">
        <v>0.24199999999999999</v>
      </c>
      <c r="V84" s="24">
        <f t="shared" ref="V84:V86" si="852">M84*U84</f>
        <v>3123.7359999999999</v>
      </c>
      <c r="W84" s="15">
        <v>0.47299999999999998</v>
      </c>
      <c r="X84" s="24">
        <f t="shared" ref="X84:X86" si="853">M84*W84</f>
        <v>6105.4839999999995</v>
      </c>
      <c r="Y84" s="15">
        <v>0.48</v>
      </c>
      <c r="Z84" s="24">
        <f t="shared" ref="Z84:Z86" si="854">Y84*M84</f>
        <v>6195.84</v>
      </c>
      <c r="AA84" s="116">
        <v>2.6800000000000001E-3</v>
      </c>
      <c r="AB84" s="18">
        <f t="shared" ref="AB84" si="855">M84*AA84</f>
        <v>34.593440000000001</v>
      </c>
      <c r="AC84" s="16">
        <v>2.6800000000000001E-3</v>
      </c>
      <c r="AD84" s="17">
        <f t="shared" ref="AD84:AD86" si="856">M84*AC84</f>
        <v>34.593440000000001</v>
      </c>
      <c r="AE84" s="26">
        <f>IF(M84&gt;0,(AG84+AP84)/M84,0)</f>
        <v>3.2025756120235517E-3</v>
      </c>
      <c r="AF84" s="16">
        <v>2.3000000000000001E-4</v>
      </c>
      <c r="AG84" s="23">
        <f t="shared" ref="AG84:AG86" si="857">AF84*M84</f>
        <v>2.9688400000000001</v>
      </c>
      <c r="AH84" s="92">
        <v>0.21179999999999999</v>
      </c>
      <c r="AI84" s="29">
        <f t="shared" ref="AI84:AI86" si="858">AL84*(1-AM84)*AH84</f>
        <v>36.459251999999999</v>
      </c>
      <c r="AJ84" s="27">
        <f t="shared" ref="AJ84:AJ86" si="859">IF(AND(AH84&gt;0,AF84&gt;0,AC84&gt;0),((AC84-AF84)*AH84)/((AH84-AF84)*AC84),0)</f>
        <v>0.91517291831714409</v>
      </c>
      <c r="AK84" s="58">
        <f t="shared" si="683"/>
        <v>0.92914154148189143</v>
      </c>
      <c r="AL84" s="11">
        <v>190</v>
      </c>
      <c r="AM84" s="13">
        <v>9.4E-2</v>
      </c>
      <c r="AN84" s="14">
        <v>0.22289999999999999</v>
      </c>
      <c r="AO84" s="101">
        <v>0.20649999999999999</v>
      </c>
      <c r="AP84" s="29">
        <f>AL84*(1-AM84)*AN84</f>
        <v>38.370006000000004</v>
      </c>
      <c r="AQ84" s="102">
        <f t="shared" ref="AQ84" si="860">AL84*(1-AM84)*AO84</f>
        <v>35.546910000000004</v>
      </c>
      <c r="AR84" s="18">
        <v>1.5</v>
      </c>
      <c r="AS84" s="18"/>
      <c r="AT84" s="79">
        <f>AT82+AL84-AS84</f>
        <v>1928.54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55</v>
      </c>
      <c r="D85" s="33">
        <v>11830</v>
      </c>
      <c r="E85" s="33">
        <v>0</v>
      </c>
      <c r="F85" s="33">
        <v>8588</v>
      </c>
      <c r="G85" s="34">
        <v>0.4</v>
      </c>
      <c r="H85" s="34">
        <v>4.7</v>
      </c>
      <c r="I85" s="33">
        <v>8001</v>
      </c>
      <c r="J85" s="34">
        <v>1</v>
      </c>
      <c r="K85" s="33">
        <v>5013</v>
      </c>
      <c r="L85" s="35">
        <v>7.2999999999999995E-2</v>
      </c>
      <c r="M85" s="36">
        <f>ROUND(K85*(1-L85),0)</f>
        <v>4647</v>
      </c>
      <c r="N85" s="37">
        <v>0.61799999999999999</v>
      </c>
      <c r="O85" s="24">
        <f t="shared" si="849"/>
        <v>2871.846</v>
      </c>
      <c r="P85" s="35">
        <v>0.35199999999999998</v>
      </c>
      <c r="Q85" s="24">
        <f t="shared" si="850"/>
        <v>1635.7439999999999</v>
      </c>
      <c r="R85" s="38">
        <v>0.03</v>
      </c>
      <c r="S85" s="105">
        <v>0.19969999999999999</v>
      </c>
      <c r="T85" s="24">
        <f t="shared" si="851"/>
        <v>139.41</v>
      </c>
      <c r="U85" s="27">
        <v>0.17299999999999999</v>
      </c>
      <c r="V85" s="24">
        <f t="shared" si="852"/>
        <v>803.93099999999993</v>
      </c>
      <c r="W85" s="38">
        <v>0.53</v>
      </c>
      <c r="X85" s="24">
        <f t="shared" si="853"/>
        <v>2462.9100000000003</v>
      </c>
      <c r="Y85" s="38">
        <v>0.48</v>
      </c>
      <c r="Z85" s="24">
        <f t="shared" si="854"/>
        <v>2230.56</v>
      </c>
      <c r="AA85" s="117">
        <v>2.6900000000000001E-3</v>
      </c>
      <c r="AB85" s="18">
        <f t="shared" si="767"/>
        <v>12.50043</v>
      </c>
      <c r="AC85" s="39">
        <v>2.6700000000000001E-3</v>
      </c>
      <c r="AD85" s="17">
        <f t="shared" si="856"/>
        <v>12.407490000000001</v>
      </c>
      <c r="AE85" s="26">
        <f>IF(M85&gt;0,(AG85+AP85)/M85,0)</f>
        <v>4.6120653324725636E-3</v>
      </c>
      <c r="AF85" s="39">
        <v>3.1E-4</v>
      </c>
      <c r="AG85" s="36">
        <f t="shared" si="857"/>
        <v>1.4405699999999999</v>
      </c>
      <c r="AH85" s="27">
        <v>0.21360000000000001</v>
      </c>
      <c r="AI85" s="40">
        <f t="shared" si="858"/>
        <v>19.480960800000002</v>
      </c>
      <c r="AJ85" s="27">
        <f t="shared" si="859"/>
        <v>0.88517980214731118</v>
      </c>
      <c r="AK85" s="28">
        <f t="shared" si="683"/>
        <v>0.93410603790494195</v>
      </c>
      <c r="AL85" s="33">
        <v>101</v>
      </c>
      <c r="AM85" s="35">
        <v>9.7000000000000003E-2</v>
      </c>
      <c r="AN85" s="37">
        <v>0.21920000000000001</v>
      </c>
      <c r="AO85" s="103">
        <v>0.19850000000000001</v>
      </c>
      <c r="AP85" s="40">
        <f>AL85*(1-AM85)*AN85</f>
        <v>19.991697600000002</v>
      </c>
      <c r="AQ85" s="104">
        <f t="shared" si="728"/>
        <v>18.1037955</v>
      </c>
      <c r="AR85" s="41">
        <v>1.5</v>
      </c>
      <c r="AS85" s="41"/>
      <c r="AT85" s="129">
        <f>AT84+AL85-AS85</f>
        <v>2029.54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57</v>
      </c>
      <c r="D86" s="42">
        <v>14890</v>
      </c>
      <c r="E86" s="42">
        <v>0</v>
      </c>
      <c r="F86" s="42">
        <v>16197</v>
      </c>
      <c r="G86" s="36">
        <v>0.6</v>
      </c>
      <c r="H86" s="36">
        <v>4.5999999999999996</v>
      </c>
      <c r="I86" s="42">
        <v>15536</v>
      </c>
      <c r="J86" s="133">
        <v>2</v>
      </c>
      <c r="K86" s="42">
        <v>16248</v>
      </c>
      <c r="L86" s="38">
        <v>7.2999999999999995E-2</v>
      </c>
      <c r="M86" s="36">
        <f>ROUND(K86*(1-L86),0)</f>
        <v>15062</v>
      </c>
      <c r="N86" s="27">
        <v>0.64200000000000002</v>
      </c>
      <c r="O86" s="24">
        <f t="shared" si="849"/>
        <v>9669.8040000000001</v>
      </c>
      <c r="P86" s="38">
        <v>0.31900000000000001</v>
      </c>
      <c r="Q86" s="24">
        <f t="shared" si="850"/>
        <v>4804.7780000000002</v>
      </c>
      <c r="R86" s="38">
        <v>3.9E-2</v>
      </c>
      <c r="S86" s="105">
        <v>0.2273</v>
      </c>
      <c r="T86" s="24">
        <f t="shared" si="851"/>
        <v>587.41800000000001</v>
      </c>
      <c r="U86" s="27">
        <v>0.214</v>
      </c>
      <c r="V86" s="24">
        <f t="shared" si="852"/>
        <v>3223.268</v>
      </c>
      <c r="W86" s="38">
        <v>0.51</v>
      </c>
      <c r="X86" s="24">
        <f t="shared" si="853"/>
        <v>7681.62</v>
      </c>
      <c r="Y86" s="38">
        <v>0.43</v>
      </c>
      <c r="Z86" s="24">
        <f t="shared" si="854"/>
        <v>6476.66</v>
      </c>
      <c r="AA86" s="118">
        <v>2.7100000000000002E-3</v>
      </c>
      <c r="AB86" s="121">
        <f t="shared" si="767"/>
        <v>40.818020000000004</v>
      </c>
      <c r="AC86" s="45">
        <v>2.7200000000000002E-3</v>
      </c>
      <c r="AD86" s="17">
        <f t="shared" si="856"/>
        <v>40.968640000000001</v>
      </c>
      <c r="AE86" s="26">
        <f>IF(M86&gt;0,(AG86+AP86)/M86,0)</f>
        <v>2.0690963749834018E-3</v>
      </c>
      <c r="AF86" s="45">
        <v>2.4000000000000001E-4</v>
      </c>
      <c r="AG86" s="36">
        <f t="shared" si="857"/>
        <v>3.6148799999999999</v>
      </c>
      <c r="AH86" s="27">
        <v>0.21179999999999999</v>
      </c>
      <c r="AI86" s="40">
        <f t="shared" si="858"/>
        <v>27.7068288</v>
      </c>
      <c r="AJ86" s="27">
        <f t="shared" si="859"/>
        <v>0.91279903907110205</v>
      </c>
      <c r="AK86" s="28">
        <f t="shared" si="683"/>
        <v>0.8850159014232245</v>
      </c>
      <c r="AL86" s="42">
        <v>146</v>
      </c>
      <c r="AM86" s="38">
        <v>0.104</v>
      </c>
      <c r="AN86" s="27">
        <v>0.21060000000000001</v>
      </c>
      <c r="AO86" s="105">
        <v>0.1883</v>
      </c>
      <c r="AP86" s="40">
        <f>AL86*(1-AM86)*AN86</f>
        <v>27.549849600000002</v>
      </c>
      <c r="AQ86" s="106">
        <f t="shared" si="728"/>
        <v>24.632652799999999</v>
      </c>
      <c r="AR86" s="17">
        <v>1.55</v>
      </c>
      <c r="AS86" s="17"/>
      <c r="AT86" s="129">
        <f>AT85+AL86-AS86</f>
        <v>2175.54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61">SUM(D84:D86)</f>
        <v>33420</v>
      </c>
      <c r="E87" s="49"/>
      <c r="F87" s="49">
        <f t="shared" ref="F87" si="862">SUM(F84:F86)</f>
        <v>35721</v>
      </c>
      <c r="G87" s="50"/>
      <c r="H87" s="50"/>
      <c r="I87" s="49">
        <f t="shared" ref="I87:K87" si="863">SUM(I84:I86)</f>
        <v>33815</v>
      </c>
      <c r="J87" s="50"/>
      <c r="K87" s="49">
        <f t="shared" si="863"/>
        <v>35126</v>
      </c>
      <c r="L87" s="20">
        <f t="shared" ref="L87" si="864">IF(K87&gt;0,(K84*L84+K85*L85+K86*L86)/K87,0)</f>
        <v>7.1421112566190284E-2</v>
      </c>
      <c r="M87" s="50">
        <f t="shared" ref="M87" si="865">M84+M85+M86</f>
        <v>32617</v>
      </c>
      <c r="N87" s="51">
        <f t="shared" ref="N87" si="866">IF(M87&gt;0,O87/M87,0)</f>
        <v>0.64728705889566784</v>
      </c>
      <c r="O87" s="52">
        <f t="shared" ref="O87" si="867">O84+O85+O86</f>
        <v>21112.561999999998</v>
      </c>
      <c r="P87" s="20">
        <f t="shared" ref="P87" si="868">IF(M87&gt;0,Q87/M87,0)</f>
        <v>0.32053561026458594</v>
      </c>
      <c r="Q87" s="52">
        <f t="shared" ref="Q87" si="869">Q84+Q85+Q86</f>
        <v>10454.91</v>
      </c>
      <c r="R87" s="20">
        <f t="shared" ref="R87" si="870">IF(M87&gt;0,T87/M87,0)</f>
        <v>3.2177330839746145E-2</v>
      </c>
      <c r="S87" s="107"/>
      <c r="T87" s="52">
        <f t="shared" ref="T87" si="871">T84+T85+T86</f>
        <v>1049.528</v>
      </c>
      <c r="U87" s="20">
        <f t="shared" ref="U87" si="872">IF(M87&gt;0,V87/M87,0)</f>
        <v>0.21923950700554923</v>
      </c>
      <c r="V87" s="52">
        <f t="shared" ref="V87" si="873">V84+V85+V86</f>
        <v>7150.9349999999995</v>
      </c>
      <c r="W87" s="20">
        <f t="shared" ref="W87" si="874">IF(M87&gt;0,X87/M87,0)</f>
        <v>0.49820688597970381</v>
      </c>
      <c r="X87" s="52">
        <f t="shared" ref="X87" si="875">X84+X85+X86</f>
        <v>16250.013999999999</v>
      </c>
      <c r="Y87" s="20">
        <f t="shared" ref="Y87" si="876">IF(M87&gt;0,Z87/M87,0)</f>
        <v>0.45691081337952599</v>
      </c>
      <c r="Z87" s="52">
        <f t="shared" ref="Z87" si="877">Z84+Z85+Z86</f>
        <v>14903.06</v>
      </c>
      <c r="AA87" s="119">
        <f t="shared" ref="AA87" si="878">IF(M87&gt;0,AB87/M87,0)</f>
        <v>2.6952782291443113E-3</v>
      </c>
      <c r="AB87" s="54">
        <f t="shared" ref="AB87" si="879">SUM(AB84:AB86)</f>
        <v>87.91189</v>
      </c>
      <c r="AC87" s="53">
        <f t="shared" ref="AC87" si="880">IF(M87&gt;0,AD87/M87,0)</f>
        <v>2.6970466321243527E-3</v>
      </c>
      <c r="AD87" s="54">
        <f t="shared" ref="AD87" si="881">SUM(AD84:AD86)</f>
        <v>87.969570000000004</v>
      </c>
      <c r="AE87" s="53">
        <f t="shared" ref="AE87" si="882">IF(M87&gt;0,(AE84*M84+AE85*M85+AE86*M86)/M87,0)</f>
        <v>2.879965760186406E-3</v>
      </c>
      <c r="AF87" s="53">
        <f t="shared" ref="AF87" si="883">IF(K87&gt;0,(K84*AF84+K85*AF85+K86*AF86)/K87,0)</f>
        <v>2.4604281728634063E-4</v>
      </c>
      <c r="AG87" s="50">
        <f t="shared" ref="AG87" si="884">SUM(AG84:AG86)</f>
        <v>8.0242900000000006</v>
      </c>
      <c r="AH87" s="51">
        <f t="shared" ref="AH87" si="885">IF(K87&gt;0,(K84*AH84+K85*AH85+K86*AH86)/K87,0)</f>
        <v>0.21205688663667938</v>
      </c>
      <c r="AI87" s="56">
        <f t="shared" ref="AI87" si="886">SUM(AI84:AI86)</f>
        <v>83.647041599999994</v>
      </c>
      <c r="AJ87" s="51">
        <f t="shared" ref="AJ87" si="887">IF(AND(AD87&gt;0),((AD84*AJ84+AD85*AJ85+AD86*AJ86)/AD87),0)</f>
        <v>0.90983705168530082</v>
      </c>
      <c r="AK87" s="55">
        <f t="shared" si="683"/>
        <v>0.91560712208678674</v>
      </c>
      <c r="AL87" s="49">
        <f t="shared" ref="AL87" si="888">SUM(AL84:AL86)</f>
        <v>437</v>
      </c>
      <c r="AM87" s="20">
        <f t="shared" ref="AM87" si="889">IF(AL87&gt;0,(AM84*AL84+AM85*AL85+AM86*AL86)/AL87,0)</f>
        <v>9.8034324942791767E-2</v>
      </c>
      <c r="AN87" s="51">
        <f>IF(K87&gt;0,(AN84*K84+AN85*K85+AN86*K86)/K87,0)</f>
        <v>0.21668242612309968</v>
      </c>
      <c r="AO87" s="107">
        <f>IF(L87&gt;0,(AO84*K84+AO85*K85+AO86*K86)/K87,0)</f>
        <v>0.19693962876501736</v>
      </c>
      <c r="AP87" s="56">
        <f t="shared" ref="AP87" si="890">SUM(AP84:AP86)</f>
        <v>85.911553200000014</v>
      </c>
      <c r="AQ87" s="108">
        <f t="shared" si="758"/>
        <v>78.283358300000003</v>
      </c>
      <c r="AR87" s="54"/>
      <c r="AS87" s="54">
        <f t="shared" ref="AS87" si="891">SUM(AS84:AS86)</f>
        <v>0</v>
      </c>
      <c r="AT87" s="83"/>
      <c r="AU87" s="84">
        <f>AT86</f>
        <v>2175.54</v>
      </c>
      <c r="AV87" s="49">
        <f t="shared" ref="AV87" si="892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43" t="s">
        <v>58</v>
      </c>
      <c r="D88" s="11">
        <v>4007</v>
      </c>
      <c r="E88" s="11">
        <v>0</v>
      </c>
      <c r="F88" s="11">
        <v>11495</v>
      </c>
      <c r="G88" s="12">
        <v>0.4</v>
      </c>
      <c r="H88" s="12">
        <v>4.7</v>
      </c>
      <c r="I88" s="11">
        <v>11620</v>
      </c>
      <c r="J88" s="131">
        <v>3.5</v>
      </c>
      <c r="K88" s="11">
        <v>16848</v>
      </c>
      <c r="L88" s="13">
        <v>7.1999999999999995E-2</v>
      </c>
      <c r="M88" s="23">
        <f>ROUND(K88*(1-L88),0)</f>
        <v>15635</v>
      </c>
      <c r="N88" s="14">
        <v>0.73499999999999999</v>
      </c>
      <c r="O88" s="24">
        <f t="shared" ref="O88:O90" si="893">M88*N88</f>
        <v>11491.725</v>
      </c>
      <c r="P88" s="13">
        <v>0.20599999999999999</v>
      </c>
      <c r="Q88" s="24">
        <f t="shared" ref="Q88:Q90" si="894">M88*P88</f>
        <v>3220.81</v>
      </c>
      <c r="R88" s="15">
        <v>5.8999999999999997E-2</v>
      </c>
      <c r="S88" s="112">
        <v>0.2417</v>
      </c>
      <c r="T88" s="24">
        <f t="shared" ref="T88:T90" si="895">M88*R88</f>
        <v>922.46499999999992</v>
      </c>
      <c r="U88" s="25">
        <v>0.245</v>
      </c>
      <c r="V88" s="24">
        <f t="shared" ref="V88:V90" si="896">M88*U88</f>
        <v>3830.5749999999998</v>
      </c>
      <c r="W88" s="15">
        <v>0.48199999999999998</v>
      </c>
      <c r="X88" s="24">
        <f t="shared" ref="X88:X90" si="897">M88*W88</f>
        <v>7536.07</v>
      </c>
      <c r="Y88" s="15">
        <v>0.43</v>
      </c>
      <c r="Z88" s="24">
        <f t="shared" ref="Z88:Z90" si="898">Y88*M88</f>
        <v>6723.05</v>
      </c>
      <c r="AA88" s="116">
        <v>2.81E-3</v>
      </c>
      <c r="AB88" s="18">
        <f t="shared" ref="AB88" si="899">M88*AA88</f>
        <v>43.934350000000002</v>
      </c>
      <c r="AC88" s="16">
        <v>2.7699999999999999E-3</v>
      </c>
      <c r="AD88" s="17">
        <f t="shared" ref="AD88:AD90" si="900">M88*AC88</f>
        <v>43.308949999999996</v>
      </c>
      <c r="AE88" s="26">
        <f>IF(M88&gt;0,(AG88+AP88)/M88,0)</f>
        <v>3.3327050079948834E-3</v>
      </c>
      <c r="AF88" s="16">
        <v>2.5000000000000001E-4</v>
      </c>
      <c r="AG88" s="23">
        <f t="shared" ref="AG88:AG90" si="901">AF88*M88</f>
        <v>3.9087499999999999</v>
      </c>
      <c r="AH88" s="92">
        <v>0.21060000000000001</v>
      </c>
      <c r="AI88" s="29">
        <f t="shared" ref="AI88:AI90" si="902">AL88*(1-AM88)*AH88</f>
        <v>44.364153600000002</v>
      </c>
      <c r="AJ88" s="27">
        <f t="shared" ref="AJ88:AJ90" si="903">IF(AND(AH88&gt;0,AF88&gt;0,AC88&gt;0),((AC88-AF88)*AH88)/((AH88-AF88)*AC88),0)</f>
        <v>0.91082852285901339</v>
      </c>
      <c r="AK88" s="58">
        <f t="shared" si="683"/>
        <v>0.92599765815499802</v>
      </c>
      <c r="AL88" s="11">
        <v>232</v>
      </c>
      <c r="AM88" s="13">
        <v>9.1999999999999998E-2</v>
      </c>
      <c r="AN88" s="14">
        <v>0.2288</v>
      </c>
      <c r="AO88" s="101">
        <v>0.2195</v>
      </c>
      <c r="AP88" s="29">
        <f>AL88*(1-AM88)*AN88</f>
        <v>48.198092800000005</v>
      </c>
      <c r="AQ88" s="102">
        <f t="shared" ref="AQ88" si="904">AL88*(1-AM88)*AO88</f>
        <v>46.238992000000003</v>
      </c>
      <c r="AR88" s="18">
        <v>1.55</v>
      </c>
      <c r="AS88" s="18">
        <v>1040.52</v>
      </c>
      <c r="AT88" s="79">
        <f>AT86+AL88-AS88</f>
        <v>1367.02</v>
      </c>
      <c r="AU88" s="80"/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55</v>
      </c>
      <c r="D89" s="33">
        <v>17340</v>
      </c>
      <c r="E89" s="33">
        <v>4</v>
      </c>
      <c r="F89" s="33">
        <v>15106</v>
      </c>
      <c r="G89" s="34">
        <v>0.3</v>
      </c>
      <c r="H89" s="34">
        <v>4.7</v>
      </c>
      <c r="I89" s="33">
        <v>14259</v>
      </c>
      <c r="J89" s="34">
        <v>3</v>
      </c>
      <c r="K89" s="33">
        <v>13874</v>
      </c>
      <c r="L89" s="35">
        <v>5.8999999999999997E-2</v>
      </c>
      <c r="M89" s="36">
        <f>ROUND(K89*(1-L89),0)</f>
        <v>13055</v>
      </c>
      <c r="N89" s="37">
        <v>0.72399999999999998</v>
      </c>
      <c r="O89" s="24">
        <f t="shared" si="893"/>
        <v>9451.82</v>
      </c>
      <c r="P89" s="35">
        <v>0.26400000000000001</v>
      </c>
      <c r="Q89" s="24">
        <f t="shared" si="894"/>
        <v>3446.52</v>
      </c>
      <c r="R89" s="38">
        <v>1.2E-2</v>
      </c>
      <c r="S89" s="105">
        <v>0.219</v>
      </c>
      <c r="T89" s="24">
        <f t="shared" si="895"/>
        <v>156.66</v>
      </c>
      <c r="U89" s="27">
        <v>0.23</v>
      </c>
      <c r="V89" s="24">
        <f t="shared" si="896"/>
        <v>3002.65</v>
      </c>
      <c r="W89" s="38">
        <v>0.497</v>
      </c>
      <c r="X89" s="24">
        <f t="shared" si="897"/>
        <v>6488.335</v>
      </c>
      <c r="Y89" s="38">
        <v>0.41</v>
      </c>
      <c r="Z89" s="24">
        <f t="shared" si="898"/>
        <v>5352.5499999999993</v>
      </c>
      <c r="AA89" s="117">
        <v>2.7000000000000001E-3</v>
      </c>
      <c r="AB89" s="18">
        <f t="shared" si="767"/>
        <v>35.2485</v>
      </c>
      <c r="AC89" s="39">
        <v>2.7899999999999999E-3</v>
      </c>
      <c r="AD89" s="17">
        <f t="shared" si="900"/>
        <v>36.423450000000003</v>
      </c>
      <c r="AE89" s="26">
        <f>IF(M89&gt;0,(AG89+AP89)/M89,0)</f>
        <v>3.4217980850248953E-3</v>
      </c>
      <c r="AF89" s="39">
        <v>2.5000000000000001E-4</v>
      </c>
      <c r="AG89" s="36">
        <f t="shared" si="901"/>
        <v>3.2637499999999999</v>
      </c>
      <c r="AH89" s="27">
        <v>0.21210000000000001</v>
      </c>
      <c r="AI89" s="40">
        <f t="shared" si="902"/>
        <v>37.856032200000001</v>
      </c>
      <c r="AJ89" s="27">
        <f t="shared" si="903"/>
        <v>0.91146860352095349</v>
      </c>
      <c r="AK89" s="28">
        <f t="shared" si="683"/>
        <v>0.92793893123855908</v>
      </c>
      <c r="AL89" s="33">
        <v>197</v>
      </c>
      <c r="AM89" s="35">
        <v>9.4E-2</v>
      </c>
      <c r="AN89" s="37">
        <v>0.23200000000000001</v>
      </c>
      <c r="AO89" s="103">
        <v>0.22059999999999999</v>
      </c>
      <c r="AP89" s="40">
        <f>AL89*(1-AM89)*AN89</f>
        <v>41.407824000000005</v>
      </c>
      <c r="AQ89" s="104">
        <f t="shared" si="728"/>
        <v>39.373129200000001</v>
      </c>
      <c r="AR89" s="41">
        <v>1.6</v>
      </c>
      <c r="AS89" s="41"/>
      <c r="AT89" s="129">
        <f>AT88+AL89-AS89</f>
        <v>1564.02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0" t="s">
        <v>57</v>
      </c>
      <c r="D90" s="42">
        <v>9800</v>
      </c>
      <c r="E90" s="42">
        <v>0</v>
      </c>
      <c r="F90" s="42">
        <v>6526</v>
      </c>
      <c r="G90" s="36">
        <v>0.4</v>
      </c>
      <c r="H90" s="36">
        <v>3.9</v>
      </c>
      <c r="I90" s="42">
        <v>6824</v>
      </c>
      <c r="J90" s="133">
        <v>1.8</v>
      </c>
      <c r="K90" s="42">
        <v>5263</v>
      </c>
      <c r="L90" s="38">
        <v>7.3999999999999996E-2</v>
      </c>
      <c r="M90" s="36">
        <f>ROUND(K90*(1-L90),0)</f>
        <v>4874</v>
      </c>
      <c r="N90" s="27">
        <v>0.7</v>
      </c>
      <c r="O90" s="24">
        <f t="shared" si="893"/>
        <v>3411.7999999999997</v>
      </c>
      <c r="P90" s="38">
        <v>0.25600000000000001</v>
      </c>
      <c r="Q90" s="24">
        <f t="shared" si="894"/>
        <v>1247.7439999999999</v>
      </c>
      <c r="R90" s="38">
        <v>4.3999999999999997E-2</v>
      </c>
      <c r="S90" s="105">
        <v>0.19170000000000001</v>
      </c>
      <c r="T90" s="24">
        <f t="shared" si="895"/>
        <v>214.45599999999999</v>
      </c>
      <c r="U90" s="27">
        <v>0.26200000000000001</v>
      </c>
      <c r="V90" s="24">
        <f t="shared" si="896"/>
        <v>1276.9880000000001</v>
      </c>
      <c r="W90" s="38">
        <v>0.47299999999999998</v>
      </c>
      <c r="X90" s="24">
        <f t="shared" si="897"/>
        <v>2305.402</v>
      </c>
      <c r="Y90" s="38">
        <v>0.48</v>
      </c>
      <c r="Z90" s="24">
        <f t="shared" si="898"/>
        <v>2339.52</v>
      </c>
      <c r="AA90" s="118">
        <v>2.5899999999999999E-3</v>
      </c>
      <c r="AB90" s="121">
        <f t="shared" si="767"/>
        <v>12.623659999999999</v>
      </c>
      <c r="AC90" s="45">
        <v>2.7200000000000002E-3</v>
      </c>
      <c r="AD90" s="17">
        <f t="shared" si="900"/>
        <v>13.257280000000002</v>
      </c>
      <c r="AE90" s="26">
        <f>IF(M90&gt;0,(AG90+AP90)/M90,0)</f>
        <v>3.3432574476815755E-3</v>
      </c>
      <c r="AF90" s="45">
        <v>2.4000000000000001E-4</v>
      </c>
      <c r="AG90" s="36">
        <f t="shared" si="901"/>
        <v>1.1697600000000001</v>
      </c>
      <c r="AH90" s="27">
        <v>0.2</v>
      </c>
      <c r="AI90" s="40">
        <f t="shared" si="902"/>
        <v>14.109400000000001</v>
      </c>
      <c r="AJ90" s="27">
        <f t="shared" si="903"/>
        <v>0.91286013804801047</v>
      </c>
      <c r="AK90" s="28">
        <f t="shared" si="683"/>
        <v>0.92925393418964908</v>
      </c>
      <c r="AL90" s="42">
        <v>79</v>
      </c>
      <c r="AM90" s="38">
        <v>0.107</v>
      </c>
      <c r="AN90" s="27">
        <v>0.21440000000000001</v>
      </c>
      <c r="AO90" s="105">
        <v>0.19489999999999999</v>
      </c>
      <c r="AP90" s="40">
        <f>AL90*(1-AM90)*AN90</f>
        <v>15.1252768</v>
      </c>
      <c r="AQ90" s="106">
        <f t="shared" si="728"/>
        <v>13.749610299999999</v>
      </c>
      <c r="AR90" s="17">
        <v>1.5</v>
      </c>
      <c r="AS90" s="17"/>
      <c r="AT90" s="129">
        <f>AT89+AL90-AS90</f>
        <v>1643.02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5">SUM(D88:D90)</f>
        <v>31147</v>
      </c>
      <c r="E91" s="49"/>
      <c r="F91" s="49">
        <f t="shared" ref="F91" si="906">SUM(F88:F90)</f>
        <v>33127</v>
      </c>
      <c r="G91" s="50"/>
      <c r="H91" s="50"/>
      <c r="I91" s="49">
        <f t="shared" ref="I91:K91" si="907">SUM(I88:I90)</f>
        <v>32703</v>
      </c>
      <c r="J91" s="50"/>
      <c r="K91" s="49">
        <f t="shared" si="907"/>
        <v>35985</v>
      </c>
      <c r="L91" s="20">
        <f t="shared" ref="L91" si="908">IF(K91&gt;0,(K88*L88+K89*L89+K90*L90)/K91,0)</f>
        <v>6.7280366819508122E-2</v>
      </c>
      <c r="M91" s="50">
        <f t="shared" ref="M91" si="909">M88+M89+M90</f>
        <v>33564</v>
      </c>
      <c r="N91" s="51">
        <f t="shared" ref="N91" si="910">IF(M91&gt;0,O91/M91,0)</f>
        <v>0.72563892861399115</v>
      </c>
      <c r="O91" s="52">
        <f t="shared" ref="O91" si="911">O88+O89+O90</f>
        <v>24355.344999999998</v>
      </c>
      <c r="P91" s="20">
        <f t="shared" ref="P91" si="912">IF(M91&gt;0,Q91/M91,0)</f>
        <v>0.23582034322488379</v>
      </c>
      <c r="Q91" s="52">
        <f t="shared" ref="Q91" si="913">Q88+Q89+Q90</f>
        <v>7915.0739999999996</v>
      </c>
      <c r="R91" s="20">
        <f t="shared" ref="R91" si="914">IF(M91&gt;0,T91/M91,0)</f>
        <v>3.8540728161125012E-2</v>
      </c>
      <c r="S91" s="107"/>
      <c r="T91" s="52">
        <f t="shared" ref="T91" si="915">T88+T89+T90</f>
        <v>1293.5809999999999</v>
      </c>
      <c r="U91" s="20">
        <f t="shared" ref="U91" si="916">IF(M91&gt;0,V91/M91,0)</f>
        <v>0.24163428077702301</v>
      </c>
      <c r="V91" s="52">
        <f t="shared" ref="V91" si="917">V88+V89+V90</f>
        <v>8110.2130000000006</v>
      </c>
      <c r="W91" s="20">
        <f t="shared" ref="W91" si="918">IF(M91&gt;0,X91/M91,0)</f>
        <v>0.48652744011440824</v>
      </c>
      <c r="X91" s="52">
        <f t="shared" ref="X91" si="919">X88+X89+X90</f>
        <v>16329.806999999999</v>
      </c>
      <c r="Y91" s="20">
        <f t="shared" ref="Y91" si="920">IF(M91&gt;0,Z91/M91,0)</f>
        <v>0.42948158741508757</v>
      </c>
      <c r="Z91" s="52">
        <f t="shared" ref="Z91" si="921">Z88+Z89+Z90</f>
        <v>14415.119999999999</v>
      </c>
      <c r="AA91" s="119">
        <f t="shared" ref="AA91" si="922">IF(M91&gt;0,AB91/M91,0)</f>
        <v>2.7352672506256704E-3</v>
      </c>
      <c r="AB91" s="54">
        <f t="shared" ref="AB91" si="923">SUM(AB88:AB90)</f>
        <v>91.806510000000003</v>
      </c>
      <c r="AC91" s="53">
        <f t="shared" ref="AC91" si="924">IF(M91&gt;0,AD91/M91,0)</f>
        <v>2.770518412584912E-3</v>
      </c>
      <c r="AD91" s="54">
        <f t="shared" ref="AD91" si="925">SUM(AD88:AD90)</f>
        <v>92.989679999999993</v>
      </c>
      <c r="AE91" s="53">
        <f t="shared" ref="AE91" si="926">IF(M91&gt;0,(AE88*M88+AE89*M89+AE90*M90)/M91,0)</f>
        <v>3.3688908830890236E-3</v>
      </c>
      <c r="AF91" s="53">
        <f t="shared" ref="AF91" si="927">IF(K91&gt;0,(K88*AF88+K89*AF89+K90*AF90)/K91,0)</f>
        <v>2.4853744615812147E-4</v>
      </c>
      <c r="AG91" s="50">
        <f t="shared" ref="AG91" si="928">SUM(AG88:AG90)</f>
        <v>8.3422599999999996</v>
      </c>
      <c r="AH91" s="51">
        <f t="shared" ref="AH91" si="929">IF(K91&gt;0,(K88*AH88+K89*AH89+K90*AH90)/K91,0)</f>
        <v>0.20962801722940114</v>
      </c>
      <c r="AI91" s="56">
        <f t="shared" ref="AI91" si="930">SUM(AI88:AI90)</f>
        <v>96.32958579999999</v>
      </c>
      <c r="AJ91" s="51">
        <f t="shared" ref="AJ91" si="931">IF(AND(AD91&gt;0),((AD88*AJ88+AD89*AJ89+AD90*AJ90)/AD91),0)</f>
        <v>0.91136887999755756</v>
      </c>
      <c r="AK91" s="55">
        <f t="shared" si="683"/>
        <v>0.92723681555639414</v>
      </c>
      <c r="AL91" s="49">
        <f t="shared" ref="AL91" si="932">SUM(AL88:AL90)</f>
        <v>508</v>
      </c>
      <c r="AM91" s="20">
        <f t="shared" ref="AM91" si="933">IF(AL91&gt;0,(AM88*AL88+AM89*AL89+AM90*AL90)/AL91,0)</f>
        <v>9.5108267716535425E-2</v>
      </c>
      <c r="AN91" s="51">
        <f>IF(K91&gt;0,(AN88*K88+AN89*K89+AN90*K90)/K91,0)</f>
        <v>0.22792768097818536</v>
      </c>
      <c r="AO91" s="107">
        <f>IF(L91&gt;0,(AO88*K88+AO89*K89+AO90*K90)/K91,0)</f>
        <v>0.21632622203695981</v>
      </c>
      <c r="AP91" s="56">
        <f t="shared" ref="AP91:AQ103" si="934">SUM(AP88:AP90)</f>
        <v>104.73119360000001</v>
      </c>
      <c r="AQ91" s="108">
        <f t="shared" si="934"/>
        <v>99.361731500000005</v>
      </c>
      <c r="AR91" s="54"/>
      <c r="AS91" s="54">
        <f t="shared" ref="AS91" si="935">SUM(AS88:AS90)</f>
        <v>1040.52</v>
      </c>
      <c r="AT91" s="83"/>
      <c r="AU91" s="84">
        <f>AT90</f>
        <v>1643.02</v>
      </c>
      <c r="AV91" s="49">
        <f t="shared" ref="AV91" si="936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43" t="s">
        <v>58</v>
      </c>
      <c r="D92" s="11">
        <v>3549</v>
      </c>
      <c r="E92" s="11">
        <v>0</v>
      </c>
      <c r="F92" s="11">
        <v>8089</v>
      </c>
      <c r="G92" s="12">
        <v>0.3</v>
      </c>
      <c r="H92" s="12">
        <v>4</v>
      </c>
      <c r="I92" s="11">
        <v>7990</v>
      </c>
      <c r="J92" s="12">
        <v>4.3</v>
      </c>
      <c r="K92" s="11">
        <v>9542</v>
      </c>
      <c r="L92" s="13">
        <v>7.2999999999999995E-2</v>
      </c>
      <c r="M92" s="23">
        <f>ROUND(K92*(1-L92),0)</f>
        <v>8845</v>
      </c>
      <c r="N92" s="14">
        <v>0.74099999999999999</v>
      </c>
      <c r="O92" s="24">
        <f t="shared" ref="O92:O94" si="937">M92*N92</f>
        <v>6554.1449999999995</v>
      </c>
      <c r="P92" s="13">
        <v>0.2</v>
      </c>
      <c r="Q92" s="24">
        <f t="shared" ref="Q92:Q94" si="938">M92*P92</f>
        <v>1769</v>
      </c>
      <c r="R92" s="15">
        <v>5.8999999999999997E-2</v>
      </c>
      <c r="S92" s="112">
        <v>0.15609999999999999</v>
      </c>
      <c r="T92" s="24">
        <f t="shared" ref="T92:T94" si="939">M92*R92</f>
        <v>521.85500000000002</v>
      </c>
      <c r="U92" s="25">
        <v>0.222</v>
      </c>
      <c r="V92" s="24">
        <f t="shared" ref="V92:V94" si="940">M92*U92</f>
        <v>1963.59</v>
      </c>
      <c r="W92" s="15">
        <v>0.499</v>
      </c>
      <c r="X92" s="24">
        <f t="shared" ref="X92:X94" si="941">M92*W92</f>
        <v>4413.6549999999997</v>
      </c>
      <c r="Y92" s="15">
        <v>0.48</v>
      </c>
      <c r="Z92" s="24">
        <f t="shared" ref="Z92:Z94" si="942">Y92*M92</f>
        <v>4245.5999999999995</v>
      </c>
      <c r="AA92" s="116">
        <v>2.7000000000000001E-3</v>
      </c>
      <c r="AB92" s="18">
        <f t="shared" ref="AB92" si="943">M92*AA92</f>
        <v>23.881500000000003</v>
      </c>
      <c r="AC92" s="16">
        <v>2.7399999999999998E-3</v>
      </c>
      <c r="AD92" s="17">
        <f t="shared" ref="AD92:AD94" si="944">M92*AC92</f>
        <v>24.235299999999999</v>
      </c>
      <c r="AE92" s="26">
        <f>IF(M92&gt;0,(AG92+AP92)/M92,0)</f>
        <v>2.6432003843979653E-3</v>
      </c>
      <c r="AF92" s="16">
        <v>2.7E-4</v>
      </c>
      <c r="AG92" s="23">
        <f t="shared" ref="AG92:AG94" si="945">AF92*M92</f>
        <v>2.38815</v>
      </c>
      <c r="AH92" s="92">
        <v>0.20050000000000001</v>
      </c>
      <c r="AI92" s="29">
        <f t="shared" ref="AI92:AI94" si="946">AL92*(1-AM92)*AH92</f>
        <v>18.467253000000003</v>
      </c>
      <c r="AJ92" s="27">
        <f t="shared" ref="AJ92:AJ94" si="947">IF(AND(AH92&gt;0,AF92&gt;0,AC92&gt;0),((AC92-AF92)*AH92)/((AH92-AF92)*AC92),0)</f>
        <v>0.90267542690869007</v>
      </c>
      <c r="AK92" s="58">
        <f t="shared" si="683"/>
        <v>0.89891607741835389</v>
      </c>
      <c r="AL92" s="11">
        <v>102</v>
      </c>
      <c r="AM92" s="13">
        <v>9.7000000000000003E-2</v>
      </c>
      <c r="AN92" s="14">
        <v>0.22789999999999999</v>
      </c>
      <c r="AO92" s="101">
        <v>0.21609999999999999</v>
      </c>
      <c r="AP92" s="29">
        <f>AL92*(1-AM92)*AN92</f>
        <v>20.990957400000003</v>
      </c>
      <c r="AQ92" s="102">
        <f t="shared" ref="AQ92" si="948">AL92*(1-AM92)*AO92</f>
        <v>19.904106600000002</v>
      </c>
      <c r="AR92" s="18">
        <v>1.5</v>
      </c>
      <c r="AS92" s="18">
        <v>986.32</v>
      </c>
      <c r="AT92" s="79">
        <f>AT90+AL92-AS92+4.06</f>
        <v>762.75999999999988</v>
      </c>
      <c r="AU92" s="130">
        <v>4.0599999999999996</v>
      </c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53</v>
      </c>
      <c r="D93" s="33">
        <v>18402</v>
      </c>
      <c r="E93" s="33">
        <v>2</v>
      </c>
      <c r="F93" s="33">
        <v>16471</v>
      </c>
      <c r="G93" s="34">
        <v>0.5</v>
      </c>
      <c r="H93" s="34">
        <v>4.9000000000000004</v>
      </c>
      <c r="I93" s="33">
        <v>15821</v>
      </c>
      <c r="J93" s="34">
        <v>3.3</v>
      </c>
      <c r="K93" s="33">
        <v>16049</v>
      </c>
      <c r="L93" s="35">
        <v>7.4999999999999997E-2</v>
      </c>
      <c r="M93" s="36">
        <f>ROUND(K93*(1-L93),0)</f>
        <v>14845</v>
      </c>
      <c r="N93" s="37">
        <v>0.69899999999999995</v>
      </c>
      <c r="O93" s="24">
        <f t="shared" si="937"/>
        <v>10376.654999999999</v>
      </c>
      <c r="P93" s="35">
        <v>0.28299999999999997</v>
      </c>
      <c r="Q93" s="24">
        <f t="shared" si="938"/>
        <v>4201.1349999999993</v>
      </c>
      <c r="R93" s="38">
        <v>1.7999999999999999E-2</v>
      </c>
      <c r="S93" s="105">
        <v>0.25890000000000002</v>
      </c>
      <c r="T93" s="24">
        <f t="shared" si="939"/>
        <v>267.20999999999998</v>
      </c>
      <c r="U93" s="27">
        <v>0.23499999999999999</v>
      </c>
      <c r="V93" s="24">
        <f t="shared" si="940"/>
        <v>3488.5749999999998</v>
      </c>
      <c r="W93" s="38">
        <v>0.495</v>
      </c>
      <c r="X93" s="24">
        <f t="shared" si="941"/>
        <v>7348.2749999999996</v>
      </c>
      <c r="Y93" s="38">
        <v>0.46</v>
      </c>
      <c r="Z93" s="24">
        <f t="shared" si="942"/>
        <v>6828.7000000000007</v>
      </c>
      <c r="AA93" s="117">
        <v>2.7000000000000001E-3</v>
      </c>
      <c r="AB93" s="18">
        <f t="shared" si="767"/>
        <v>40.081500000000005</v>
      </c>
      <c r="AC93" s="39">
        <v>2.7899999999999999E-3</v>
      </c>
      <c r="AD93" s="17">
        <f t="shared" si="944"/>
        <v>41.417549999999999</v>
      </c>
      <c r="AE93" s="26">
        <f>IF(M93&gt;0,(AG93+AP93)/M93,0)</f>
        <v>2.9006360929605931E-3</v>
      </c>
      <c r="AF93" s="39">
        <v>2.9E-4</v>
      </c>
      <c r="AG93" s="36">
        <f t="shared" si="945"/>
        <v>4.3050499999999996</v>
      </c>
      <c r="AH93" s="27">
        <v>0.2145</v>
      </c>
      <c r="AI93" s="40">
        <f t="shared" si="946"/>
        <v>37.395071999999999</v>
      </c>
      <c r="AJ93" s="27">
        <f t="shared" si="947"/>
        <v>0.89727044057359062</v>
      </c>
      <c r="AK93" s="28">
        <f t="shared" si="683"/>
        <v>0.9011975807949264</v>
      </c>
      <c r="AL93" s="33">
        <v>192</v>
      </c>
      <c r="AM93" s="35">
        <v>9.1999999999999998E-2</v>
      </c>
      <c r="AN93" s="37">
        <v>0.2223</v>
      </c>
      <c r="AO93" s="103">
        <v>0.21110000000000001</v>
      </c>
      <c r="AP93" s="40">
        <f>AL93*(1-AM93)*AN93</f>
        <v>38.7548928</v>
      </c>
      <c r="AQ93" s="104">
        <f t="shared" si="728"/>
        <v>36.802329600000007</v>
      </c>
      <c r="AR93" s="41">
        <v>1.55</v>
      </c>
      <c r="AS93" s="41"/>
      <c r="AT93" s="129">
        <f>AT92+AL93-AS93</f>
        <v>954.75999999999988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0" t="s">
        <v>57</v>
      </c>
      <c r="D94" s="42">
        <v>15300</v>
      </c>
      <c r="E94" s="42">
        <v>0</v>
      </c>
      <c r="F94" s="42">
        <v>15648</v>
      </c>
      <c r="G94" s="36">
        <v>0.7</v>
      </c>
      <c r="H94" s="36">
        <v>5</v>
      </c>
      <c r="I94" s="42">
        <v>15095</v>
      </c>
      <c r="J94" s="36">
        <v>3.7</v>
      </c>
      <c r="K94" s="42">
        <v>16791</v>
      </c>
      <c r="L94" s="38">
        <v>6.6000000000000003E-2</v>
      </c>
      <c r="M94" s="36">
        <f>ROUND(K94*(1-L94),0)</f>
        <v>15683</v>
      </c>
      <c r="N94" s="27">
        <v>0.68200000000000005</v>
      </c>
      <c r="O94" s="24">
        <f t="shared" si="937"/>
        <v>10695.806</v>
      </c>
      <c r="P94" s="38">
        <v>0.30499999999999999</v>
      </c>
      <c r="Q94" s="24">
        <f t="shared" si="938"/>
        <v>4783.3149999999996</v>
      </c>
      <c r="R94" s="38">
        <v>1.2999999999999999E-2</v>
      </c>
      <c r="S94" s="105">
        <v>0.24510000000000001</v>
      </c>
      <c r="T94" s="24">
        <f t="shared" si="939"/>
        <v>203.87899999999999</v>
      </c>
      <c r="U94" s="27">
        <v>0.246</v>
      </c>
      <c r="V94" s="24">
        <f t="shared" si="940"/>
        <v>3858.018</v>
      </c>
      <c r="W94" s="38">
        <v>0.48</v>
      </c>
      <c r="X94" s="24">
        <f t="shared" si="941"/>
        <v>7527.84</v>
      </c>
      <c r="Y94" s="38">
        <v>0.46</v>
      </c>
      <c r="Z94" s="24">
        <f t="shared" si="942"/>
        <v>7214.18</v>
      </c>
      <c r="AA94" s="118">
        <v>2.7699999999999999E-3</v>
      </c>
      <c r="AB94" s="121">
        <f t="shared" si="767"/>
        <v>43.44191</v>
      </c>
      <c r="AC94" s="45">
        <v>2.82E-3</v>
      </c>
      <c r="AD94" s="17">
        <f t="shared" si="944"/>
        <v>44.226060000000004</v>
      </c>
      <c r="AE94" s="26">
        <f>IF(M94&gt;0,(AG94+AP94)/M94,0)</f>
        <v>3.0071761142638526E-3</v>
      </c>
      <c r="AF94" s="45">
        <v>2.9E-4</v>
      </c>
      <c r="AG94" s="36">
        <f t="shared" si="945"/>
        <v>4.5480700000000001</v>
      </c>
      <c r="AH94" s="27">
        <v>0.2079</v>
      </c>
      <c r="AI94" s="40">
        <f t="shared" si="946"/>
        <v>38.485408500000005</v>
      </c>
      <c r="AJ94" s="27">
        <f t="shared" si="947"/>
        <v>0.89841632274918093</v>
      </c>
      <c r="AK94" s="28">
        <f t="shared" si="683"/>
        <v>0.90470373423106698</v>
      </c>
      <c r="AL94" s="42">
        <v>205</v>
      </c>
      <c r="AM94" s="38">
        <v>9.7000000000000003E-2</v>
      </c>
      <c r="AN94" s="27">
        <v>0.23019999999999999</v>
      </c>
      <c r="AO94" s="105">
        <v>0.21560000000000001</v>
      </c>
      <c r="AP94" s="40">
        <f>AL94*(1-AM94)*AN94</f>
        <v>42.613472999999999</v>
      </c>
      <c r="AQ94" s="106">
        <f t="shared" si="728"/>
        <v>39.910794000000003</v>
      </c>
      <c r="AR94" s="17">
        <v>1.6</v>
      </c>
      <c r="AS94" s="17"/>
      <c r="AT94" s="129">
        <f>AT93+AL94-AS94</f>
        <v>1159.7599999999998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49">SUM(D92:D94)</f>
        <v>37251</v>
      </c>
      <c r="E95" s="49"/>
      <c r="F95" s="49">
        <f t="shared" ref="F95" si="950">SUM(F92:F94)</f>
        <v>40208</v>
      </c>
      <c r="G95" s="50"/>
      <c r="H95" s="50"/>
      <c r="I95" s="49">
        <f t="shared" ref="I95:K95" si="951">SUM(I92:I94)</f>
        <v>38906</v>
      </c>
      <c r="J95" s="50"/>
      <c r="K95" s="49">
        <f t="shared" si="951"/>
        <v>42382</v>
      </c>
      <c r="L95" s="20">
        <f t="shared" ref="L95" si="952">IF(K95&gt;0,(K92*L92+K93*L93+K94*L94)/K95,0)</f>
        <v>7.0984073427398431E-2</v>
      </c>
      <c r="M95" s="50">
        <f t="shared" ref="M95" si="953">M92+M93+M94</f>
        <v>39373</v>
      </c>
      <c r="N95" s="51">
        <f t="shared" ref="N95" si="954">IF(M95&gt;0,O95/M95,0)</f>
        <v>0.70166372895131179</v>
      </c>
      <c r="O95" s="52">
        <f t="shared" ref="O95" si="955">O92+O93+O94</f>
        <v>27626.606</v>
      </c>
      <c r="P95" s="20">
        <f t="shared" ref="P95" si="956">IF(M95&gt;0,Q95/M95,0)</f>
        <v>0.27311736469153985</v>
      </c>
      <c r="Q95" s="52">
        <f t="shared" ref="Q95" si="957">Q92+Q93+Q94</f>
        <v>10753.449999999999</v>
      </c>
      <c r="R95" s="20">
        <f t="shared" ref="R95" si="958">IF(M95&gt;0,T95/M95,0)</f>
        <v>2.52189063571483E-2</v>
      </c>
      <c r="S95" s="107"/>
      <c r="T95" s="52">
        <f t="shared" ref="T95" si="959">T92+T93+T94</f>
        <v>992.94400000000007</v>
      </c>
      <c r="U95" s="20">
        <f t="shared" ref="U95" si="960">IF(M95&gt;0,V95/M95,0)</f>
        <v>0.2364611027861733</v>
      </c>
      <c r="V95" s="52">
        <f t="shared" ref="V95" si="961">V92+V93+V94</f>
        <v>9310.1830000000009</v>
      </c>
      <c r="W95" s="20">
        <f t="shared" ref="W95" si="962">IF(M95&gt;0,X95/M95,0)</f>
        <v>0.48992380565362054</v>
      </c>
      <c r="X95" s="52">
        <f t="shared" ref="X95" si="963">X92+X93+X94</f>
        <v>19289.77</v>
      </c>
      <c r="Y95" s="20">
        <f t="shared" ref="Y95" si="964">IF(M95&gt;0,Z95/M95,0)</f>
        <v>0.46449292662484443</v>
      </c>
      <c r="Z95" s="52">
        <f t="shared" ref="Z95" si="965">Z92+Z93+Z94</f>
        <v>18288.48</v>
      </c>
      <c r="AA95" s="119">
        <f t="shared" ref="AA95" si="966">IF(M95&gt;0,AB95/M95,0)</f>
        <v>2.7278823051329593E-3</v>
      </c>
      <c r="AB95" s="54">
        <f t="shared" ref="AB95" si="967">SUM(AB92:AB94)</f>
        <v>107.40491</v>
      </c>
      <c r="AC95" s="53">
        <f t="shared" ref="AC95" si="968">IF(M95&gt;0,AD95/M95,0)</f>
        <v>2.7907172427805859E-3</v>
      </c>
      <c r="AD95" s="54">
        <f t="shared" ref="AD95" si="969">SUM(AD92:AD94)</f>
        <v>109.87891</v>
      </c>
      <c r="AE95" s="53">
        <f t="shared" ref="AE95" si="970">IF(M95&gt;0,(AE92*M92+AE93*M93+AE94*M94)/M95,0)</f>
        <v>2.8852409823991059E-3</v>
      </c>
      <c r="AF95" s="53">
        <f t="shared" ref="AF95" si="971">IF(K95&gt;0,(K92*AF92+K93*AF93+K94*AF94)/K95,0)</f>
        <v>2.8549714501439292E-4</v>
      </c>
      <c r="AG95" s="50">
        <f t="shared" ref="AG95" si="972">SUM(AG92:AG94)</f>
        <v>11.24127</v>
      </c>
      <c r="AH95" s="51">
        <f t="shared" ref="AH95" si="973">IF(K95&gt;0,(K92*AH92+K93*AH93+K94*AH94)/K95,0)</f>
        <v>0.20873319805577839</v>
      </c>
      <c r="AI95" s="56">
        <f t="shared" ref="AI95" si="974">SUM(AI92:AI94)</f>
        <v>94.347733500000004</v>
      </c>
      <c r="AJ95" s="51">
        <f t="shared" ref="AJ95" si="975">IF(AND(AD95&gt;0),((AD92*AJ92+AD93*AJ93+AD94*AJ94)/AD95),0)</f>
        <v>0.89892379988683491</v>
      </c>
      <c r="AK95" s="55">
        <f t="shared" si="683"/>
        <v>0.90218534022929597</v>
      </c>
      <c r="AL95" s="49">
        <f t="shared" ref="AL95" si="976">SUM(AL92:AL94)</f>
        <v>499</v>
      </c>
      <c r="AM95" s="20">
        <f t="shared" ref="AM95" si="977">IF(AL95&gt;0,(AM92*AL92+AM93*AL93+AM94*AL94)/AL95,0)</f>
        <v>9.507615230460921E-2</v>
      </c>
      <c r="AN95" s="51">
        <f>IF(K95&gt;0,(AN92*K92+AN93*K93+AN94*K94)/K95,0)</f>
        <v>0.22669063989429475</v>
      </c>
      <c r="AO95" s="107">
        <f>IF(L95&gt;0,(AO92*K92+AO93*K93+AO94*K94)/K95,0)</f>
        <v>0.21400853428342223</v>
      </c>
      <c r="AP95" s="56">
        <f t="shared" ref="AP95" si="978">SUM(AP92:AP94)</f>
        <v>102.35932320000001</v>
      </c>
      <c r="AQ95" s="108">
        <f t="shared" si="934"/>
        <v>96.617230200000023</v>
      </c>
      <c r="AR95" s="54"/>
      <c r="AS95" s="54">
        <f t="shared" ref="AS95" si="979">SUM(AS92:AS94)</f>
        <v>986.32</v>
      </c>
      <c r="AT95" s="83"/>
      <c r="AU95" s="84">
        <f>AT94</f>
        <v>1159.7599999999998</v>
      </c>
      <c r="AV95" s="49">
        <f t="shared" ref="AV95" si="980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43" t="s">
        <v>58</v>
      </c>
      <c r="D96" s="11">
        <v>5200</v>
      </c>
      <c r="E96" s="11">
        <v>0</v>
      </c>
      <c r="F96" s="11">
        <v>12732</v>
      </c>
      <c r="G96" s="12">
        <v>0.4</v>
      </c>
      <c r="H96" s="12">
        <v>3.8</v>
      </c>
      <c r="I96" s="11">
        <v>13112</v>
      </c>
      <c r="J96" s="12">
        <v>4.9000000000000004</v>
      </c>
      <c r="K96" s="11">
        <v>16850</v>
      </c>
      <c r="L96" s="13">
        <v>7.0000000000000007E-2</v>
      </c>
      <c r="M96" s="23">
        <f>ROUND(K96*(1-L96),0)</f>
        <v>15671</v>
      </c>
      <c r="N96" s="14">
        <v>0.72099999999999997</v>
      </c>
      <c r="O96" s="24">
        <f t="shared" ref="O96:O98" si="981">M96*N96</f>
        <v>11298.790999999999</v>
      </c>
      <c r="P96" s="13">
        <v>0.254</v>
      </c>
      <c r="Q96" s="24">
        <f t="shared" ref="Q96:Q98" si="982">M96*P96</f>
        <v>3980.4340000000002</v>
      </c>
      <c r="R96" s="15">
        <v>2.5000000000000001E-2</v>
      </c>
      <c r="S96" s="112">
        <v>0.24079999999999999</v>
      </c>
      <c r="T96" s="24">
        <f t="shared" ref="T96:T98" si="983">M96*R96</f>
        <v>391.77500000000003</v>
      </c>
      <c r="U96" s="25">
        <v>0.255</v>
      </c>
      <c r="V96" s="24">
        <f t="shared" ref="V96:V98" si="984">M96*U96</f>
        <v>3996.105</v>
      </c>
      <c r="W96" s="15">
        <v>0.46300000000000002</v>
      </c>
      <c r="X96" s="24">
        <f t="shared" ref="X96:X98" si="985">M96*W96</f>
        <v>7255.6730000000007</v>
      </c>
      <c r="Y96" s="15">
        <v>0.46</v>
      </c>
      <c r="Z96" s="24">
        <f t="shared" ref="Z96:Z98" si="986">Y96*M96</f>
        <v>7208.6600000000008</v>
      </c>
      <c r="AA96" s="116">
        <v>2.7299999999999998E-3</v>
      </c>
      <c r="AB96" s="18">
        <f t="shared" ref="AB96" si="987">M96*AA96</f>
        <v>42.781829999999999</v>
      </c>
      <c r="AC96" s="16">
        <v>2.6900000000000001E-3</v>
      </c>
      <c r="AD96" s="17">
        <f t="shared" ref="AD96:AD98" si="988">M96*AC96</f>
        <v>42.154990000000005</v>
      </c>
      <c r="AE96" s="26">
        <f>IF(M96&gt;0,(AG96+AP96)/M96,0)</f>
        <v>2.8825129602450387E-3</v>
      </c>
      <c r="AF96" s="16">
        <v>2.7999999999999998E-4</v>
      </c>
      <c r="AG96" s="23">
        <f t="shared" ref="AG96:AG98" si="989">AF96*M96</f>
        <v>4.38788</v>
      </c>
      <c r="AH96" s="92">
        <v>0.2112</v>
      </c>
      <c r="AI96" s="29">
        <f t="shared" ref="AI96:AI98" si="990">AL96*(1-AM96)*AH96</f>
        <v>37.928563199999999</v>
      </c>
      <c r="AJ96" s="27">
        <f t="shared" ref="AJ96:AJ98" si="991">IF(AND(AH96&gt;0,AF96&gt;0,AC96&gt;0),((AC96-AF96)*AH96)/((AH96-AF96)*AC96),0)</f>
        <v>0.89710011794672606</v>
      </c>
      <c r="AK96" s="58">
        <f t="shared" si="683"/>
        <v>0.90397708244139163</v>
      </c>
      <c r="AL96" s="11">
        <v>198</v>
      </c>
      <c r="AM96" s="13">
        <v>9.2999999999999999E-2</v>
      </c>
      <c r="AN96" s="14">
        <v>0.2271</v>
      </c>
      <c r="AO96" s="101">
        <v>0.22090000000000001</v>
      </c>
      <c r="AP96" s="29">
        <f>AL96*(1-AM96)*AN96</f>
        <v>40.7839806</v>
      </c>
      <c r="AQ96" s="102">
        <f t="shared" ref="AQ96" si="992">AL96*(1-AM96)*AO96</f>
        <v>39.670547400000004</v>
      </c>
      <c r="AR96" s="18">
        <v>1.55</v>
      </c>
      <c r="AS96" s="18">
        <v>1107.32</v>
      </c>
      <c r="AT96" s="79">
        <f>AT94+AL96-AS96+AU96</f>
        <v>241.05999999999983</v>
      </c>
      <c r="AU96" s="130">
        <v>-9.3800000000000008</v>
      </c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53</v>
      </c>
      <c r="D97" s="33">
        <v>20707</v>
      </c>
      <c r="E97" s="33">
        <v>2</v>
      </c>
      <c r="F97" s="33">
        <v>14898</v>
      </c>
      <c r="G97" s="34">
        <v>0.4</v>
      </c>
      <c r="H97" s="34">
        <v>4.7</v>
      </c>
      <c r="I97" s="33">
        <v>14240</v>
      </c>
      <c r="J97" s="34">
        <v>5.3</v>
      </c>
      <c r="K97" s="33">
        <v>16852</v>
      </c>
      <c r="L97" s="35">
        <v>7.0999999999999994E-2</v>
      </c>
      <c r="M97" s="36">
        <f>ROUND(K97*(1-L97),0)</f>
        <v>15656</v>
      </c>
      <c r="N97" s="37">
        <v>0.71299999999999997</v>
      </c>
      <c r="O97" s="24">
        <f t="shared" si="981"/>
        <v>11162.727999999999</v>
      </c>
      <c r="P97" s="35">
        <v>0.253</v>
      </c>
      <c r="Q97" s="24">
        <f t="shared" si="982"/>
        <v>3960.9679999999998</v>
      </c>
      <c r="R97" s="38">
        <v>3.4000000000000002E-2</v>
      </c>
      <c r="S97" s="105">
        <v>0.24460000000000001</v>
      </c>
      <c r="T97" s="24">
        <f t="shared" si="983"/>
        <v>532.30400000000009</v>
      </c>
      <c r="U97" s="27">
        <v>0.253</v>
      </c>
      <c r="V97" s="24">
        <f t="shared" si="984"/>
        <v>3960.9679999999998</v>
      </c>
      <c r="W97" s="38">
        <v>0.47099999999999997</v>
      </c>
      <c r="X97" s="24">
        <f t="shared" si="985"/>
        <v>7373.9759999999997</v>
      </c>
      <c r="Y97" s="38">
        <v>0.44</v>
      </c>
      <c r="Z97" s="24">
        <f t="shared" si="986"/>
        <v>6888.64</v>
      </c>
      <c r="AA97" s="117">
        <v>2.6700000000000001E-3</v>
      </c>
      <c r="AB97" s="18">
        <f t="shared" si="767"/>
        <v>41.801520000000004</v>
      </c>
      <c r="AC97" s="39">
        <v>2.6700000000000001E-3</v>
      </c>
      <c r="AD97" s="17">
        <f t="shared" si="988"/>
        <v>41.801520000000004</v>
      </c>
      <c r="AE97" s="26">
        <f>IF(M97&gt;0,(AG97+AP97)/M97,0)</f>
        <v>2.7540740291262136E-3</v>
      </c>
      <c r="AF97" s="39">
        <v>2.4000000000000001E-4</v>
      </c>
      <c r="AG97" s="36">
        <f t="shared" si="989"/>
        <v>3.7574399999999999</v>
      </c>
      <c r="AH97" s="27">
        <v>0.20549999999999999</v>
      </c>
      <c r="AI97" s="40">
        <f t="shared" si="990"/>
        <v>35.648084999999995</v>
      </c>
      <c r="AJ97" s="27">
        <f t="shared" si="991"/>
        <v>0.91117650729630928</v>
      </c>
      <c r="AK97" s="28">
        <f t="shared" si="683"/>
        <v>0.91382295520817469</v>
      </c>
      <c r="AL97" s="33">
        <v>190</v>
      </c>
      <c r="AM97" s="35">
        <v>8.6999999999999994E-2</v>
      </c>
      <c r="AN97" s="37">
        <v>0.22689999999999999</v>
      </c>
      <c r="AO97" s="103">
        <v>0.22090000000000001</v>
      </c>
      <c r="AP97" s="40">
        <f>AL97*(1-AM97)*AN97</f>
        <v>39.360343</v>
      </c>
      <c r="AQ97" s="104">
        <f t="shared" si="728"/>
        <v>38.319523000000004</v>
      </c>
      <c r="AR97" s="41">
        <v>1.6</v>
      </c>
      <c r="AS97" s="41"/>
      <c r="AT97" s="129">
        <f>AT96+AL97-AS97</f>
        <v>431.05999999999983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0" t="s">
        <v>54</v>
      </c>
      <c r="D98" s="42">
        <v>17000</v>
      </c>
      <c r="E98" s="42">
        <v>0</v>
      </c>
      <c r="F98" s="42">
        <v>16265</v>
      </c>
      <c r="G98" s="36">
        <v>0.4</v>
      </c>
      <c r="H98" s="36">
        <v>4.5</v>
      </c>
      <c r="I98" s="42">
        <v>15633</v>
      </c>
      <c r="J98" s="36">
        <v>5</v>
      </c>
      <c r="K98" s="42">
        <v>16861</v>
      </c>
      <c r="L98" s="38">
        <v>6.8000000000000005E-2</v>
      </c>
      <c r="M98" s="36">
        <f>ROUND(K98*(1-L98),0)</f>
        <v>15714</v>
      </c>
      <c r="N98" s="27">
        <v>0.72699999999999998</v>
      </c>
      <c r="O98" s="24">
        <f t="shared" si="981"/>
        <v>11424.078</v>
      </c>
      <c r="P98" s="38">
        <v>0.245</v>
      </c>
      <c r="Q98" s="24">
        <f t="shared" si="982"/>
        <v>3849.93</v>
      </c>
      <c r="R98" s="38">
        <v>2.8000000000000001E-2</v>
      </c>
      <c r="S98" s="105">
        <v>0.25180000000000002</v>
      </c>
      <c r="T98" s="24">
        <f t="shared" si="983"/>
        <v>439.99200000000002</v>
      </c>
      <c r="U98" s="27">
        <v>0.26100000000000001</v>
      </c>
      <c r="V98" s="24">
        <f t="shared" si="984"/>
        <v>4101.3540000000003</v>
      </c>
      <c r="W98" s="38">
        <v>0.46800000000000003</v>
      </c>
      <c r="X98" s="24">
        <f t="shared" si="985"/>
        <v>7354.152</v>
      </c>
      <c r="Y98" s="38">
        <v>0.44</v>
      </c>
      <c r="Z98" s="24">
        <f t="shared" si="986"/>
        <v>6914.16</v>
      </c>
      <c r="AA98" s="118">
        <v>2.5799999999999998E-3</v>
      </c>
      <c r="AB98" s="121">
        <f t="shared" si="767"/>
        <v>40.542119999999997</v>
      </c>
      <c r="AC98" s="45">
        <v>2.5300000000000001E-3</v>
      </c>
      <c r="AD98" s="17">
        <f t="shared" si="988"/>
        <v>39.756419999999999</v>
      </c>
      <c r="AE98" s="26">
        <f>IF(M98&gt;0,(AG98+AP98)/M98,0)</f>
        <v>2.654364006618302E-3</v>
      </c>
      <c r="AF98" s="45">
        <v>2.1000000000000001E-4</v>
      </c>
      <c r="AG98" s="36">
        <f t="shared" si="989"/>
        <v>3.2999400000000003</v>
      </c>
      <c r="AH98" s="27">
        <v>0.2102</v>
      </c>
      <c r="AI98" s="40">
        <f t="shared" si="990"/>
        <v>35.195887999999997</v>
      </c>
      <c r="AJ98" s="27">
        <f t="shared" si="991"/>
        <v>0.91791308714681874</v>
      </c>
      <c r="AK98" s="28">
        <f t="shared" si="683"/>
        <v>0.92172878277648418</v>
      </c>
      <c r="AL98" s="42">
        <v>184</v>
      </c>
      <c r="AM98" s="38">
        <v>0.09</v>
      </c>
      <c r="AN98" s="27">
        <v>0.22939999999999999</v>
      </c>
      <c r="AO98" s="105">
        <v>0.22109999999999999</v>
      </c>
      <c r="AP98" s="40">
        <f>AL98*(1-AM98)*AN98</f>
        <v>38.410736</v>
      </c>
      <c r="AQ98" s="106">
        <f t="shared" si="728"/>
        <v>37.020983999999999</v>
      </c>
      <c r="AR98" s="17">
        <v>1.55</v>
      </c>
      <c r="AS98" s="17"/>
      <c r="AT98" s="129">
        <f>AT97+AL98-AS98</f>
        <v>615.05999999999983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93">SUM(D96:D98)</f>
        <v>42907</v>
      </c>
      <c r="E99" s="49"/>
      <c r="F99" s="49">
        <f t="shared" ref="F99" si="994">SUM(F96:F98)</f>
        <v>43895</v>
      </c>
      <c r="G99" s="50"/>
      <c r="H99" s="50"/>
      <c r="I99" s="49">
        <f t="shared" ref="I99:K99" si="995">SUM(I96:I98)</f>
        <v>42985</v>
      </c>
      <c r="J99" s="50"/>
      <c r="K99" s="49">
        <f t="shared" si="995"/>
        <v>50563</v>
      </c>
      <c r="L99" s="20">
        <f t="shared" ref="L99" si="996">IF(K99&gt;0,(K96*L96+K97*L97+K98*L98)/K99,0)</f>
        <v>6.9666356822182224E-2</v>
      </c>
      <c r="M99" s="50">
        <f t="shared" ref="M99" si="997">M96+M97+M98</f>
        <v>47041</v>
      </c>
      <c r="N99" s="51">
        <f t="shared" ref="N99" si="998">IF(M99&gt;0,O99/M99,0)</f>
        <v>0.72034176569375652</v>
      </c>
      <c r="O99" s="52">
        <f t="shared" ref="O99" si="999">O96+O97+O98</f>
        <v>33885.597000000002</v>
      </c>
      <c r="P99" s="20">
        <f t="shared" ref="P99" si="1000">IF(M99&gt;0,Q99/M99,0)</f>
        <v>0.25066074275631894</v>
      </c>
      <c r="Q99" s="52">
        <f t="shared" ref="Q99" si="1001">Q96+Q97+Q98</f>
        <v>11791.332</v>
      </c>
      <c r="R99" s="20">
        <f t="shared" ref="R99" si="1002">IF(M99&gt;0,T99/M99,0)</f>
        <v>2.8997491549924537E-2</v>
      </c>
      <c r="S99" s="107"/>
      <c r="T99" s="52">
        <f t="shared" ref="T99" si="1003">T96+T97+T98</f>
        <v>1364.0710000000001</v>
      </c>
      <c r="U99" s="20">
        <f t="shared" ref="U99" si="1004">IF(M99&gt;0,V99/M99,0)</f>
        <v>0.2563386620182394</v>
      </c>
      <c r="V99" s="52">
        <f t="shared" ref="V99" si="1005">V96+V97+V98</f>
        <v>12058.427</v>
      </c>
      <c r="W99" s="20">
        <f t="shared" ref="W99" si="1006">IF(M99&gt;0,X99/M99,0)</f>
        <v>0.46733277353797747</v>
      </c>
      <c r="X99" s="52">
        <f t="shared" ref="X99" si="1007">X96+X97+X98</f>
        <v>21983.800999999999</v>
      </c>
      <c r="Y99" s="20">
        <f t="shared" ref="Y99" si="1008">IF(M99&gt;0,Z99/M99,0)</f>
        <v>0.44666269849705575</v>
      </c>
      <c r="Z99" s="52">
        <f t="shared" ref="Z99" si="1009">Z96+Z97+Z98</f>
        <v>21011.46</v>
      </c>
      <c r="AA99" s="119">
        <f t="shared" ref="AA99" si="1010">IF(M99&gt;0,AB99/M99,0)</f>
        <v>2.6599236835951616E-3</v>
      </c>
      <c r="AB99" s="54">
        <f t="shared" ref="AB99" si="1011">SUM(AB96:AB98)</f>
        <v>125.12546999999999</v>
      </c>
      <c r="AC99" s="53">
        <f t="shared" ref="AC99" si="1012">IF(M99&gt;0,AD99/M99,0)</f>
        <v>2.6298958355477136E-3</v>
      </c>
      <c r="AD99" s="54">
        <f t="shared" ref="AD99" si="1013">SUM(AD96:AD98)</f>
        <v>123.71293</v>
      </c>
      <c r="AE99" s="53">
        <f t="shared" ref="AE99" si="1014">IF(M99&gt;0,(AE96*M96+AE97*M97+AE98*M98)/M99,0)</f>
        <v>2.7635534873833465E-3</v>
      </c>
      <c r="AF99" s="53">
        <f t="shared" ref="AF99" si="1015">IF(K99&gt;0,(K96*AF96+K97*AF97+K98*AF98)/K99,0)</f>
        <v>2.4332594980519353E-4</v>
      </c>
      <c r="AG99" s="50">
        <f t="shared" ref="AG99" si="1016">SUM(AG96:AG98)</f>
        <v>11.445260000000001</v>
      </c>
      <c r="AH99" s="51">
        <f t="shared" ref="AH99" si="1017">IF(K99&gt;0,(K96*AH96+K97*AH97+K98*AH98)/K99,0)</f>
        <v>0.20896679785613986</v>
      </c>
      <c r="AI99" s="56">
        <f t="shared" ref="AI99" si="1018">SUM(AI96:AI98)</f>
        <v>108.77253619999999</v>
      </c>
      <c r="AJ99" s="51">
        <f t="shared" ref="AJ99" si="1019">IF(AND(AD99&gt;0),((AD96*AJ96+AD97*AJ97+AD98*AJ98)/AD99),0)</f>
        <v>0.90854486843392546</v>
      </c>
      <c r="AK99" s="55">
        <f t="shared" si="683"/>
        <v>0.91292693275235737</v>
      </c>
      <c r="AL99" s="49">
        <f t="shared" ref="AL99" si="1020">SUM(AL96:AL98)</f>
        <v>572</v>
      </c>
      <c r="AM99" s="20">
        <f t="shared" ref="AM99" si="1021">IF(AL99&gt;0,(AM96*AL96+AM97*AL97+AM98*AL98)/AL99,0)</f>
        <v>9.0041958041958053E-2</v>
      </c>
      <c r="AN99" s="51">
        <f>IF(K99&gt;0,(AN96*K96+AN97*K97+AN98*K98)/K99,0)</f>
        <v>0.22780031248145874</v>
      </c>
      <c r="AO99" s="107">
        <f>IF(L99&gt;0,(AO96*K96+AO97*K97+AO98*K98)/K99,0)</f>
        <v>0.22096669303641003</v>
      </c>
      <c r="AP99" s="56">
        <f t="shared" ref="AP99" si="1022">SUM(AP96:AP98)</f>
        <v>118.55505960000001</v>
      </c>
      <c r="AQ99" s="108">
        <f t="shared" si="934"/>
        <v>115.01105440000001</v>
      </c>
      <c r="AR99" s="54"/>
      <c r="AS99" s="54">
        <f t="shared" ref="AS99" si="1023">SUM(AS96:AS98)</f>
        <v>1107.32</v>
      </c>
      <c r="AT99" s="83"/>
      <c r="AU99" s="84">
        <f>AT98</f>
        <v>615.05999999999983</v>
      </c>
      <c r="AV99" s="49">
        <f t="shared" ref="AV99" si="1024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43" t="s">
        <v>58</v>
      </c>
      <c r="D100" s="11">
        <v>5000</v>
      </c>
      <c r="E100" s="11">
        <v>0</v>
      </c>
      <c r="F100" s="11">
        <v>14025</v>
      </c>
      <c r="G100" s="12">
        <v>0.5</v>
      </c>
      <c r="H100" s="12">
        <v>5.8</v>
      </c>
      <c r="I100" s="11">
        <v>13205</v>
      </c>
      <c r="J100" s="12">
        <v>6.2</v>
      </c>
      <c r="K100" s="11">
        <v>15993</v>
      </c>
      <c r="L100" s="13">
        <v>6.8000000000000005E-2</v>
      </c>
      <c r="M100" s="23">
        <f>ROUND(K100*(1-L100),0)</f>
        <v>14905</v>
      </c>
      <c r="N100" s="14">
        <v>0.68600000000000005</v>
      </c>
      <c r="O100" s="24">
        <f t="shared" ref="O100:O102" si="1025">M100*N100</f>
        <v>10224.83</v>
      </c>
      <c r="P100" s="13">
        <v>0.29199999999999998</v>
      </c>
      <c r="Q100" s="24">
        <f t="shared" ref="Q100:Q102" si="1026">M100*P100</f>
        <v>4352.2599999999993</v>
      </c>
      <c r="R100" s="15">
        <v>2.1999999999999999E-2</v>
      </c>
      <c r="S100" s="112">
        <v>0.24390000000000001</v>
      </c>
      <c r="T100" s="24">
        <f t="shared" ref="T100:T102" si="1027">M100*R100</f>
        <v>327.90999999999997</v>
      </c>
      <c r="U100" s="25">
        <v>0.25700000000000001</v>
      </c>
      <c r="V100" s="24">
        <f t="shared" ref="V100:V102" si="1028">M100*U100</f>
        <v>3830.585</v>
      </c>
      <c r="W100" s="15">
        <v>0.44</v>
      </c>
      <c r="X100" s="24">
        <f t="shared" ref="X100:X102" si="1029">M100*W100</f>
        <v>6558.2</v>
      </c>
      <c r="Y100" s="15">
        <v>0.44</v>
      </c>
      <c r="Z100" s="24">
        <f t="shared" ref="Z100:Z102" si="1030">Y100*M100</f>
        <v>6558.2</v>
      </c>
      <c r="AA100" s="116">
        <v>2.6900000000000001E-3</v>
      </c>
      <c r="AB100" s="18">
        <f t="shared" ref="AB100" si="1031">M100*AA100</f>
        <v>40.094450000000002</v>
      </c>
      <c r="AC100" s="16">
        <v>2.8400000000000001E-3</v>
      </c>
      <c r="AD100" s="17">
        <f t="shared" ref="AD100:AD102" si="1032">M100*AC100</f>
        <v>42.330199999999998</v>
      </c>
      <c r="AE100" s="26">
        <f>IF(M100&gt;0,(AG100+AP100)/M100,0)</f>
        <v>2.718118349547132E-3</v>
      </c>
      <c r="AF100" s="16">
        <v>2.4000000000000001E-4</v>
      </c>
      <c r="AG100" s="23">
        <f t="shared" ref="AG100:AG102" si="1033">AF100*M100</f>
        <v>3.5771999999999999</v>
      </c>
      <c r="AH100" s="92">
        <v>0.20749999999999999</v>
      </c>
      <c r="AI100" s="29">
        <f t="shared" ref="AI100:AI102" si="1034">AL100*(1-AM100)*AH100</f>
        <v>34.554974999999999</v>
      </c>
      <c r="AJ100" s="27">
        <f t="shared" ref="AJ100:AJ102" si="1035">IF(AND(AH100&gt;0,AF100&gt;0,AC100&gt;0),((AC100-AF100)*AH100)/((AH100-AF100)*AC100),0)</f>
        <v>0.91655306731831687</v>
      </c>
      <c r="AK100" s="58">
        <f t="shared" si="683"/>
        <v>0.91269120683884952</v>
      </c>
      <c r="AL100" s="11">
        <v>183</v>
      </c>
      <c r="AM100" s="13">
        <v>0.09</v>
      </c>
      <c r="AN100" s="14">
        <v>0.2218</v>
      </c>
      <c r="AO100" s="101">
        <v>0.217</v>
      </c>
      <c r="AP100" s="29">
        <f>AL100*(1-AM100)*AN100</f>
        <v>36.936354000000001</v>
      </c>
      <c r="AQ100" s="102">
        <f t="shared" ref="AQ100" si="1036">AL100*(1-AM100)*AO100</f>
        <v>36.137009999999997</v>
      </c>
      <c r="AR100" s="18">
        <v>1.55</v>
      </c>
      <c r="AS100" s="18">
        <v>505.18</v>
      </c>
      <c r="AT100" s="79">
        <f>AT98+AL100-AS100+AU100</f>
        <v>309.51999999999981</v>
      </c>
      <c r="AU100" s="145">
        <v>16.64</v>
      </c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53</v>
      </c>
      <c r="D101" s="33">
        <v>17521</v>
      </c>
      <c r="E101" s="33">
        <v>5</v>
      </c>
      <c r="F101" s="33">
        <v>16241</v>
      </c>
      <c r="G101" s="34">
        <v>0.6</v>
      </c>
      <c r="H101" s="34">
        <v>5.4</v>
      </c>
      <c r="I101" s="33">
        <v>15807</v>
      </c>
      <c r="J101" s="34">
        <v>5.5</v>
      </c>
      <c r="K101" s="33">
        <v>15906</v>
      </c>
      <c r="L101" s="35">
        <v>7.0999999999999994E-2</v>
      </c>
      <c r="M101" s="36">
        <f>ROUND(K101*(1-L101),0)</f>
        <v>14777</v>
      </c>
      <c r="N101" s="37">
        <v>0.73899999999999999</v>
      </c>
      <c r="O101" s="24">
        <f t="shared" si="1025"/>
        <v>10920.203</v>
      </c>
      <c r="P101" s="35">
        <v>0.24099999999999999</v>
      </c>
      <c r="Q101" s="24">
        <f t="shared" si="1026"/>
        <v>3561.2570000000001</v>
      </c>
      <c r="R101" s="38">
        <v>0.02</v>
      </c>
      <c r="S101" s="105">
        <v>0.25819999999999999</v>
      </c>
      <c r="T101" s="24">
        <f t="shared" si="1027"/>
        <v>295.54000000000002</v>
      </c>
      <c r="U101" s="27">
        <v>0.26300000000000001</v>
      </c>
      <c r="V101" s="24">
        <f t="shared" si="1028"/>
        <v>3886.3510000000001</v>
      </c>
      <c r="W101" s="38">
        <v>0.45400000000000001</v>
      </c>
      <c r="X101" s="24">
        <f t="shared" si="1029"/>
        <v>6708.7579999999998</v>
      </c>
      <c r="Y101" s="38">
        <v>0.44</v>
      </c>
      <c r="Z101" s="24">
        <f t="shared" si="1030"/>
        <v>6501.88</v>
      </c>
      <c r="AA101" s="117">
        <v>2.8900000000000002E-3</v>
      </c>
      <c r="AB101" s="18">
        <f t="shared" si="767"/>
        <v>42.705530000000003</v>
      </c>
      <c r="AC101" s="39">
        <v>2.8900000000000002E-3</v>
      </c>
      <c r="AD101" s="17">
        <f t="shared" si="1032"/>
        <v>42.705530000000003</v>
      </c>
      <c r="AE101" s="26">
        <f>IF(M101&gt;0,(AG101+AP101)/M101,0)</f>
        <v>2.9699306692833457E-3</v>
      </c>
      <c r="AF101" s="39">
        <v>2.4000000000000001E-4</v>
      </c>
      <c r="AG101" s="36">
        <f t="shared" si="1033"/>
        <v>3.5464800000000003</v>
      </c>
      <c r="AH101" s="27">
        <v>0.20810000000000001</v>
      </c>
      <c r="AI101" s="40">
        <f t="shared" si="1034"/>
        <v>37.560593300000001</v>
      </c>
      <c r="AJ101" s="27">
        <f t="shared" si="1035"/>
        <v>0.9180137549328683</v>
      </c>
      <c r="AK101" s="28">
        <f t="shared" si="683"/>
        <v>0.92017814354842864</v>
      </c>
      <c r="AL101" s="33">
        <v>199</v>
      </c>
      <c r="AM101" s="35">
        <v>9.2999999999999999E-2</v>
      </c>
      <c r="AN101" s="37">
        <v>0.2235</v>
      </c>
      <c r="AO101" s="103">
        <v>0.2152</v>
      </c>
      <c r="AP101" s="40">
        <f>AL101*(1-AM101)*AN101</f>
        <v>40.340185499999997</v>
      </c>
      <c r="AQ101" s="104">
        <f t="shared" si="728"/>
        <v>38.842093599999998</v>
      </c>
      <c r="AR101" s="41">
        <v>1.6</v>
      </c>
      <c r="AS101" s="41"/>
      <c r="AT101" s="129">
        <f>AT100+AL101-AS101</f>
        <v>508.51999999999981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0" t="s">
        <v>54</v>
      </c>
      <c r="D102" s="42">
        <v>21900</v>
      </c>
      <c r="E102" s="42">
        <v>2</v>
      </c>
      <c r="F102" s="42">
        <v>16692</v>
      </c>
      <c r="G102" s="36">
        <v>0.7</v>
      </c>
      <c r="H102" s="36">
        <v>4.4000000000000004</v>
      </c>
      <c r="I102" s="42">
        <v>16417</v>
      </c>
      <c r="J102" s="36">
        <v>5.3</v>
      </c>
      <c r="K102" s="42">
        <v>16715</v>
      </c>
      <c r="L102" s="38">
        <v>6.9000000000000006E-2</v>
      </c>
      <c r="M102" s="36">
        <f>ROUND(K102*(1-L102),0)</f>
        <v>15562</v>
      </c>
      <c r="N102" s="27">
        <v>0.68100000000000005</v>
      </c>
      <c r="O102" s="24">
        <f t="shared" si="1025"/>
        <v>10597.722000000002</v>
      </c>
      <c r="P102" s="38">
        <v>0.28100000000000003</v>
      </c>
      <c r="Q102" s="24">
        <f t="shared" si="1026"/>
        <v>4372.9220000000005</v>
      </c>
      <c r="R102" s="38">
        <v>3.7999999999999999E-2</v>
      </c>
      <c r="S102" s="105">
        <v>0.24399999999999999</v>
      </c>
      <c r="T102" s="24">
        <f t="shared" si="1027"/>
        <v>591.35599999999999</v>
      </c>
      <c r="U102" s="27">
        <v>0.25900000000000001</v>
      </c>
      <c r="V102" s="24">
        <f t="shared" si="1028"/>
        <v>4030.558</v>
      </c>
      <c r="W102" s="38">
        <v>0.48</v>
      </c>
      <c r="X102" s="24">
        <f t="shared" si="1029"/>
        <v>7469.7599999999993</v>
      </c>
      <c r="Y102" s="38">
        <v>0.44</v>
      </c>
      <c r="Z102" s="24">
        <f t="shared" si="1030"/>
        <v>6847.28</v>
      </c>
      <c r="AA102" s="118">
        <v>2.7399999999999998E-3</v>
      </c>
      <c r="AB102" s="121">
        <f t="shared" si="767"/>
        <v>42.639879999999998</v>
      </c>
      <c r="AC102" s="45">
        <v>2.7399999999999998E-3</v>
      </c>
      <c r="AD102" s="17">
        <f t="shared" si="1032"/>
        <v>42.639879999999998</v>
      </c>
      <c r="AE102" s="26">
        <f>IF(M102&gt;0,(AG102+AP102)/M102,0)</f>
        <v>2.8579551535792315E-3</v>
      </c>
      <c r="AF102" s="45">
        <v>2.2000000000000001E-4</v>
      </c>
      <c r="AG102" s="36">
        <f t="shared" si="1033"/>
        <v>3.4236400000000002</v>
      </c>
      <c r="AH102" s="27">
        <v>0.20830000000000001</v>
      </c>
      <c r="AI102" s="40">
        <f t="shared" si="1034"/>
        <v>38.225757900000005</v>
      </c>
      <c r="AJ102" s="27">
        <f t="shared" si="1035"/>
        <v>0.92068042330715028</v>
      </c>
      <c r="AK102" s="28">
        <f t="shared" si="683"/>
        <v>0.9239305338815158</v>
      </c>
      <c r="AL102" s="42">
        <v>201</v>
      </c>
      <c r="AM102" s="38">
        <v>8.6999999999999994E-2</v>
      </c>
      <c r="AN102" s="27">
        <v>0.22370000000000001</v>
      </c>
      <c r="AO102" s="105">
        <v>0.21609999999999999</v>
      </c>
      <c r="AP102" s="40">
        <f>AL102*(1-AM102)*AN102</f>
        <v>41.051858100000004</v>
      </c>
      <c r="AQ102" s="106">
        <f t="shared" si="728"/>
        <v>39.657159299999996</v>
      </c>
      <c r="AR102" s="17">
        <v>1.55</v>
      </c>
      <c r="AS102" s="17"/>
      <c r="AT102" s="129">
        <f>AT101+AL102-AS102</f>
        <v>709.51999999999975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37">SUM(D100:D102)</f>
        <v>44421</v>
      </c>
      <c r="E103" s="49"/>
      <c r="F103" s="49">
        <f t="shared" ref="F103" si="1038">SUM(F100:F102)</f>
        <v>46958</v>
      </c>
      <c r="G103" s="50"/>
      <c r="H103" s="50"/>
      <c r="I103" s="49">
        <f t="shared" ref="I103:K103" si="1039">SUM(I100:I102)</f>
        <v>45429</v>
      </c>
      <c r="J103" s="50"/>
      <c r="K103" s="49">
        <f t="shared" si="1039"/>
        <v>48614</v>
      </c>
      <c r="L103" s="20">
        <f t="shared" ref="L103" si="1040">IF(K103&gt;0,(K100*L100+K101*L101+K102*L102)/K103,0)</f>
        <v>6.9325400090508901E-2</v>
      </c>
      <c r="M103" s="50">
        <f t="shared" ref="M103" si="1041">M100+M101+M102</f>
        <v>45244</v>
      </c>
      <c r="N103" s="51">
        <f t="shared" ref="N103" si="1042">IF(M103&gt;0,O103/M103,0)</f>
        <v>0.70159037662452484</v>
      </c>
      <c r="O103" s="52">
        <f t="shared" ref="O103" si="1043">O100+O101+O102</f>
        <v>31742.755000000001</v>
      </c>
      <c r="P103" s="20">
        <f t="shared" ref="P103" si="1044">IF(M103&gt;0,Q103/M103,0)</f>
        <v>0.2715595217045354</v>
      </c>
      <c r="Q103" s="52">
        <f t="shared" ref="Q103" si="1045">Q100+Q101+Q102</f>
        <v>12286.439</v>
      </c>
      <c r="R103" s="20">
        <f t="shared" ref="R103" si="1046">IF(M103&gt;0,T103/M103,0)</f>
        <v>2.6850101670939795E-2</v>
      </c>
      <c r="S103" s="107"/>
      <c r="T103" s="52">
        <f t="shared" ref="T103" si="1047">T100+T101+T102</f>
        <v>1214.806</v>
      </c>
      <c r="U103" s="20">
        <f t="shared" ref="U103" si="1048">IF(M103&gt;0,V103/M103,0)</f>
        <v>0.25964755547696927</v>
      </c>
      <c r="V103" s="52">
        <f t="shared" ref="V103" si="1049">V100+V101+V102</f>
        <v>11747.493999999999</v>
      </c>
      <c r="W103" s="20">
        <f t="shared" ref="W103" si="1050">IF(M103&gt;0,X103/M103,0)</f>
        <v>0.45833078419237905</v>
      </c>
      <c r="X103" s="52">
        <f t="shared" ref="X103" si="1051">X100+X101+X102</f>
        <v>20736.717999999997</v>
      </c>
      <c r="Y103" s="20">
        <f t="shared" ref="Y103" si="1052">IF(M103&gt;0,Z103/M103,0)</f>
        <v>0.44</v>
      </c>
      <c r="Z103" s="52">
        <f t="shared" ref="Z103" si="1053">Z100+Z101+Z102</f>
        <v>19907.36</v>
      </c>
      <c r="AA103" s="119">
        <f t="shared" ref="AA103" si="1054">IF(M103&gt;0,AB103/M103,0)</f>
        <v>2.7725192290690482E-3</v>
      </c>
      <c r="AB103" s="54">
        <f t="shared" ref="AB103" si="1055">SUM(AB100:AB102)</f>
        <v>125.43986000000001</v>
      </c>
      <c r="AC103" s="53">
        <f t="shared" ref="AC103" si="1056">IF(M103&gt;0,AD103/M103,0)</f>
        <v>2.8219346211652376E-3</v>
      </c>
      <c r="AD103" s="54">
        <f t="shared" ref="AD103" si="1057">SUM(AD100:AD102)</f>
        <v>127.67561000000001</v>
      </c>
      <c r="AE103" s="53">
        <f t="shared" ref="AE103" si="1058">IF(M103&gt;0,(AE100*M100+AE101*M101+AE102*M102)/M103,0)</f>
        <v>2.8484598532402088E-3</v>
      </c>
      <c r="AF103" s="53">
        <f t="shared" ref="AF103" si="1059">IF(K103&gt;0,(K100*AF100+K101*AF101+K102*AF102)/K103,0)</f>
        <v>2.3312338009626857E-4</v>
      </c>
      <c r="AG103" s="50">
        <f t="shared" ref="AG103" si="1060">SUM(AG100:AG102)</f>
        <v>10.547320000000001</v>
      </c>
      <c r="AH103" s="51">
        <f t="shared" ref="AH103" si="1061">IF(K103&gt;0,(K100*AH100+K101*AH101+K102*AH102)/K103,0)</f>
        <v>0.20797137861521375</v>
      </c>
      <c r="AI103" s="56">
        <f t="shared" ref="AI103" si="1062">SUM(AI100:AI102)</f>
        <v>110.34132620000001</v>
      </c>
      <c r="AJ103" s="51">
        <f t="shared" ref="AJ103" si="1063">IF(AND(AD103&gt;0),((AD100*AJ100+AD101*AJ101+AD102*AJ102)/AD103),0)</f>
        <v>0.91842005979107644</v>
      </c>
      <c r="AK103" s="55">
        <f t="shared" si="683"/>
        <v>0.91911889779321576</v>
      </c>
      <c r="AL103" s="49">
        <f t="shared" ref="AL103" si="1064">SUM(AL100:AL102)</f>
        <v>583</v>
      </c>
      <c r="AM103" s="20">
        <f t="shared" ref="AM103" si="1065">IF(AL103&gt;0,(AM100*AL100+AM101*AL101+AM102*AL102)/AL103,0)</f>
        <v>8.9989708404802748E-2</v>
      </c>
      <c r="AN103" s="51">
        <f>IF(K103&gt;0,(AN100*K100+AN101*K101+AN102*K102)/K103,0)</f>
        <v>0.22300950137820383</v>
      </c>
      <c r="AO103" s="107">
        <f>IF(L103&gt;0,(AO100*K100+AO101*K101+AO102*K102)/K103,0)</f>
        <v>0.21610161064713865</v>
      </c>
      <c r="AP103" s="56">
        <f t="shared" ref="AP103" si="1066">SUM(AP100:AP102)</f>
        <v>118.3283976</v>
      </c>
      <c r="AQ103" s="108">
        <f t="shared" si="934"/>
        <v>114.63626289999999</v>
      </c>
      <c r="AR103" s="54"/>
      <c r="AS103" s="54">
        <f t="shared" ref="AS103" si="1067">SUM(AS100:AS102)</f>
        <v>505.18</v>
      </c>
      <c r="AT103" s="136"/>
      <c r="AU103" s="84">
        <f>AT102</f>
        <v>709.51999999999975</v>
      </c>
      <c r="AV103" s="49">
        <f t="shared" ref="AV103" si="1068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43" t="s">
        <v>59</v>
      </c>
      <c r="D104" s="11">
        <v>5200</v>
      </c>
      <c r="E104" s="11">
        <v>0</v>
      </c>
      <c r="F104" s="11">
        <v>14455</v>
      </c>
      <c r="G104" s="12">
        <v>0.3</v>
      </c>
      <c r="H104" s="12">
        <v>4.5999999999999996</v>
      </c>
      <c r="I104" s="11">
        <v>13884</v>
      </c>
      <c r="J104" s="12">
        <v>6</v>
      </c>
      <c r="K104" s="11">
        <v>16563</v>
      </c>
      <c r="L104" s="13">
        <v>7.6999999999999999E-2</v>
      </c>
      <c r="M104" s="23">
        <f>ROUND(K104*(1-L104),0)</f>
        <v>15288</v>
      </c>
      <c r="N104" s="14">
        <v>0.70199999999999996</v>
      </c>
      <c r="O104" s="24">
        <f t="shared" ref="O104:O106" si="1069">M104*N104</f>
        <v>10732.175999999999</v>
      </c>
      <c r="P104" s="13">
        <v>0.254</v>
      </c>
      <c r="Q104" s="24">
        <f t="shared" ref="Q104:Q106" si="1070">M104*P104</f>
        <v>3883.152</v>
      </c>
      <c r="R104" s="15">
        <v>4.3999999999999997E-2</v>
      </c>
      <c r="S104" s="112">
        <v>0.25740000000000002</v>
      </c>
      <c r="T104" s="24">
        <f t="shared" ref="T104:T106" si="1071">M104*R104</f>
        <v>672.67199999999991</v>
      </c>
      <c r="U104" s="25">
        <v>0.23499999999999999</v>
      </c>
      <c r="V104" s="24">
        <f t="shared" ref="V104:V106" si="1072">M104*U104</f>
        <v>3592.68</v>
      </c>
      <c r="W104" s="15">
        <v>0.48699999999999999</v>
      </c>
      <c r="X104" s="24">
        <f t="shared" ref="X104:X106" si="1073">M104*W104</f>
        <v>7445.2559999999994</v>
      </c>
      <c r="Y104" s="15">
        <v>0.43</v>
      </c>
      <c r="Z104" s="24">
        <f t="shared" ref="Z104:Z106" si="1074">Y104*M104</f>
        <v>6573.84</v>
      </c>
      <c r="AA104" s="116">
        <v>2.7399999999999998E-3</v>
      </c>
      <c r="AB104" s="18">
        <f t="shared" ref="AB104" si="1075">M104*AA104</f>
        <v>41.889119999999998</v>
      </c>
      <c r="AC104" s="16">
        <v>2.7599999999999999E-3</v>
      </c>
      <c r="AD104" s="17">
        <f t="shared" ref="AD104:AD106" si="1076">M104*AC104</f>
        <v>42.194879999999998</v>
      </c>
      <c r="AE104" s="26">
        <f>IF(M104&gt;0,(AG104+AP104)/M104,0)</f>
        <v>2.8650578231292521E-3</v>
      </c>
      <c r="AF104" s="16">
        <v>2.3000000000000001E-4</v>
      </c>
      <c r="AG104" s="23">
        <f t="shared" ref="AG104:AG106" si="1077">AF104*M104</f>
        <v>3.5162400000000003</v>
      </c>
      <c r="AH104" s="92">
        <v>0.2112</v>
      </c>
      <c r="AI104" s="29">
        <f t="shared" ref="AI104:AI106" si="1078">AL104*(1-AM104)*AH104</f>
        <v>38.498380800000007</v>
      </c>
      <c r="AJ104" s="27">
        <f t="shared" ref="AJ104:AJ106" si="1079">IF(AND(AH104&gt;0,AF104&gt;0,AC104&gt;0),((AC104-AF104)*AH104)/((AH104-AF104)*AC104),0)</f>
        <v>0.91766601886524157</v>
      </c>
      <c r="AK104" s="58">
        <f t="shared" si="683"/>
        <v>0.92068056243968432</v>
      </c>
      <c r="AL104" s="11">
        <v>199</v>
      </c>
      <c r="AM104" s="13">
        <v>8.4000000000000005E-2</v>
      </c>
      <c r="AN104" s="14">
        <v>0.221</v>
      </c>
      <c r="AO104" s="101">
        <v>0.21240000000000001</v>
      </c>
      <c r="AP104" s="29">
        <f>AL104*(1-AM104)*AN104</f>
        <v>40.284764000000003</v>
      </c>
      <c r="AQ104" s="102">
        <f t="shared" ref="AQ104" si="1080">AL104*(1-AM104)*AO104</f>
        <v>38.717121600000006</v>
      </c>
      <c r="AR104" s="18">
        <v>1.55</v>
      </c>
      <c r="AS104" s="18">
        <v>566.36</v>
      </c>
      <c r="AT104" s="79">
        <f>AT102+AL104-AS104-3</f>
        <v>339.15999999999974</v>
      </c>
      <c r="AU104" s="130">
        <v>-3</v>
      </c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0" t="s">
        <v>57</v>
      </c>
      <c r="D105" s="33">
        <v>17978</v>
      </c>
      <c r="E105" s="33">
        <v>5</v>
      </c>
      <c r="F105" s="33">
        <v>16763</v>
      </c>
      <c r="G105" s="34">
        <v>0.6</v>
      </c>
      <c r="H105" s="34">
        <v>4.8</v>
      </c>
      <c r="I105" s="33">
        <v>15845</v>
      </c>
      <c r="J105" s="34">
        <v>5.8</v>
      </c>
      <c r="K105" s="33">
        <v>16840</v>
      </c>
      <c r="L105" s="35">
        <v>7.2999999999999995E-2</v>
      </c>
      <c r="M105" s="36">
        <f>ROUND(K105*(1-L105),0)</f>
        <v>15611</v>
      </c>
      <c r="N105" s="37">
        <v>0.68300000000000005</v>
      </c>
      <c r="O105" s="24">
        <f t="shared" si="1069"/>
        <v>10662.313</v>
      </c>
      <c r="P105" s="35">
        <v>0.26900000000000002</v>
      </c>
      <c r="Q105" s="24">
        <f t="shared" si="1070"/>
        <v>4199.3590000000004</v>
      </c>
      <c r="R105" s="38">
        <v>4.8000000000000001E-2</v>
      </c>
      <c r="S105" s="105">
        <v>0.24729999999999999</v>
      </c>
      <c r="T105" s="24">
        <f t="shared" si="1071"/>
        <v>749.32799999999997</v>
      </c>
      <c r="U105" s="27">
        <v>0.221</v>
      </c>
      <c r="V105" s="24">
        <f t="shared" si="1072"/>
        <v>3450.0309999999999</v>
      </c>
      <c r="W105" s="38">
        <v>0.52500000000000002</v>
      </c>
      <c r="X105" s="24">
        <f t="shared" si="1073"/>
        <v>8195.7749999999996</v>
      </c>
      <c r="Y105" s="38">
        <v>0.44</v>
      </c>
      <c r="Z105" s="24">
        <f t="shared" si="1074"/>
        <v>6868.84</v>
      </c>
      <c r="AA105" s="117">
        <v>2.7200000000000002E-3</v>
      </c>
      <c r="AB105" s="18">
        <f t="shared" si="767"/>
        <v>42.461920000000006</v>
      </c>
      <c r="AC105" s="39">
        <v>2.7799999999999999E-3</v>
      </c>
      <c r="AD105" s="17">
        <f t="shared" si="1076"/>
        <v>43.398579999999995</v>
      </c>
      <c r="AE105" s="26">
        <f>IF(M105&gt;0,(AG105+AP105)/M105,0)</f>
        <v>2.9175907052719236E-3</v>
      </c>
      <c r="AF105" s="39">
        <v>2.4000000000000001E-4</v>
      </c>
      <c r="AG105" s="36">
        <f t="shared" si="1077"/>
        <v>3.7466400000000002</v>
      </c>
      <c r="AH105" s="27">
        <v>0.21740000000000001</v>
      </c>
      <c r="AI105" s="40">
        <f t="shared" si="1078"/>
        <v>38.620023000000003</v>
      </c>
      <c r="AJ105" s="27">
        <f t="shared" si="1079"/>
        <v>0.91467882978568316</v>
      </c>
      <c r="AK105" s="28">
        <f t="shared" si="683"/>
        <v>0.9186773741572124</v>
      </c>
      <c r="AL105" s="33">
        <v>195</v>
      </c>
      <c r="AM105" s="35">
        <v>8.8999999999999996E-2</v>
      </c>
      <c r="AN105" s="37">
        <v>0.23530000000000001</v>
      </c>
      <c r="AO105" s="103">
        <v>0.22750000000000001</v>
      </c>
      <c r="AP105" s="40">
        <f>AL105*(1-AM105)*AN105</f>
        <v>41.799868500000002</v>
      </c>
      <c r="AQ105" s="104">
        <f t="shared" si="728"/>
        <v>40.414237500000006</v>
      </c>
      <c r="AR105" s="41">
        <v>1.55</v>
      </c>
      <c r="AS105" s="41"/>
      <c r="AT105" s="129">
        <f>AT104+AL105-AS105</f>
        <v>534.15999999999974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0" t="s">
        <v>54</v>
      </c>
      <c r="D106" s="42">
        <v>17500</v>
      </c>
      <c r="E106" s="42">
        <v>4</v>
      </c>
      <c r="F106" s="42">
        <v>15826</v>
      </c>
      <c r="G106" s="36">
        <v>0.9</v>
      </c>
      <c r="H106" s="36">
        <v>4.8</v>
      </c>
      <c r="I106" s="42">
        <v>15614</v>
      </c>
      <c r="J106" s="36">
        <v>6.2</v>
      </c>
      <c r="K106" s="42">
        <v>17130</v>
      </c>
      <c r="L106" s="38">
        <v>6.2E-2</v>
      </c>
      <c r="M106" s="36">
        <f>ROUND(K106*(1-L106),0)</f>
        <v>16068</v>
      </c>
      <c r="N106" s="27">
        <v>0.67</v>
      </c>
      <c r="O106" s="24">
        <f t="shared" si="1069"/>
        <v>10765.560000000001</v>
      </c>
      <c r="P106" s="38">
        <v>0.28299999999999997</v>
      </c>
      <c r="Q106" s="24">
        <f t="shared" si="1070"/>
        <v>4547.2439999999997</v>
      </c>
      <c r="R106" s="38">
        <v>4.7E-2</v>
      </c>
      <c r="S106" s="105">
        <v>0.23330000000000001</v>
      </c>
      <c r="T106" s="24">
        <f t="shared" si="1071"/>
        <v>755.19600000000003</v>
      </c>
      <c r="U106" s="27">
        <v>0.25600000000000001</v>
      </c>
      <c r="V106" s="24">
        <f t="shared" si="1072"/>
        <v>4113.4080000000004</v>
      </c>
      <c r="W106" s="38">
        <v>0.48</v>
      </c>
      <c r="X106" s="24">
        <f t="shared" si="1073"/>
        <v>7712.6399999999994</v>
      </c>
      <c r="Y106" s="38">
        <v>0.44</v>
      </c>
      <c r="Z106" s="24">
        <f t="shared" si="1074"/>
        <v>7069.92</v>
      </c>
      <c r="AA106" s="118">
        <v>2.6700000000000001E-3</v>
      </c>
      <c r="AB106" s="121">
        <f t="shared" si="767"/>
        <v>42.901560000000003</v>
      </c>
      <c r="AC106" s="45">
        <v>2.7299999999999998E-3</v>
      </c>
      <c r="AD106" s="17">
        <f t="shared" si="1076"/>
        <v>43.865639999999999</v>
      </c>
      <c r="AE106" s="26">
        <f>IF(M106&gt;0,(AG106+AP106)/M106,0)</f>
        <v>2.847746079163555E-3</v>
      </c>
      <c r="AF106" s="45">
        <v>2.5999999999999998E-4</v>
      </c>
      <c r="AG106" s="36">
        <f t="shared" si="1077"/>
        <v>4.1776799999999996</v>
      </c>
      <c r="AH106" s="27">
        <v>0.20680000000000001</v>
      </c>
      <c r="AI106" s="40">
        <f t="shared" si="1078"/>
        <v>38.663328000000007</v>
      </c>
      <c r="AJ106" s="27">
        <f t="shared" si="1079"/>
        <v>0.90590085167406753</v>
      </c>
      <c r="AK106" s="28">
        <f t="shared" si="683"/>
        <v>0.9097632972554428</v>
      </c>
      <c r="AL106" s="42">
        <v>205</v>
      </c>
      <c r="AM106" s="38">
        <v>8.7999999999999995E-2</v>
      </c>
      <c r="AN106" s="27">
        <v>0.22239999999999999</v>
      </c>
      <c r="AO106" s="105">
        <v>0.21379999999999999</v>
      </c>
      <c r="AP106" s="40">
        <f>AL106*(1-AM106)*AN106</f>
        <v>41.579903999999999</v>
      </c>
      <c r="AQ106" s="106">
        <f t="shared" si="728"/>
        <v>39.972048000000001</v>
      </c>
      <c r="AR106" s="17">
        <v>1.55</v>
      </c>
      <c r="AS106" s="17"/>
      <c r="AT106" s="129">
        <f>AT105+AL106-AS106</f>
        <v>739.15999999999974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81">SUM(D104:D106)</f>
        <v>40678</v>
      </c>
      <c r="E107" s="49"/>
      <c r="F107" s="49">
        <f t="shared" ref="F107" si="1082">SUM(F104:F106)</f>
        <v>47044</v>
      </c>
      <c r="G107" s="50"/>
      <c r="H107" s="50"/>
      <c r="I107" s="49">
        <f t="shared" ref="I107:K107" si="1083">SUM(I104:I106)</f>
        <v>45343</v>
      </c>
      <c r="J107" s="50"/>
      <c r="K107" s="49">
        <f t="shared" si="1083"/>
        <v>50533</v>
      </c>
      <c r="L107" s="20">
        <f t="shared" ref="L107" si="1084">IF(K107&gt;0,(K104*L104+K105*L105+K106*L106)/K107,0)</f>
        <v>7.0582213602992105E-2</v>
      </c>
      <c r="M107" s="50">
        <f t="shared" ref="M107" si="1085">M104+M105+M106</f>
        <v>46967</v>
      </c>
      <c r="N107" s="51">
        <f t="shared" ref="N107" si="1086">IF(M107&gt;0,O107/M107,0)</f>
        <v>0.68473713458385677</v>
      </c>
      <c r="O107" s="52">
        <f t="shared" ref="O107" si="1087">O104+O105+O106</f>
        <v>32160.049000000003</v>
      </c>
      <c r="P107" s="20">
        <f t="shared" ref="P107" si="1088">IF(M107&gt;0,Q107/M107,0)</f>
        <v>0.2689069985308834</v>
      </c>
      <c r="Q107" s="52">
        <f t="shared" ref="Q107" si="1089">Q104+Q105+Q106</f>
        <v>12629.755000000001</v>
      </c>
      <c r="R107" s="20">
        <f t="shared" ref="R107" si="1090">IF(M107&gt;0,T107/M107,0)</f>
        <v>4.6355866885259861E-2</v>
      </c>
      <c r="S107" s="107"/>
      <c r="T107" s="52">
        <f t="shared" ref="T107" si="1091">T104+T105+T106</f>
        <v>2177.1959999999999</v>
      </c>
      <c r="U107" s="20">
        <f t="shared" ref="U107" si="1092">IF(M107&gt;0,V107/M107,0)</f>
        <v>0.23753101113547809</v>
      </c>
      <c r="V107" s="52">
        <f t="shared" ref="V107" si="1093">V104+V105+V106</f>
        <v>11156.118999999999</v>
      </c>
      <c r="W107" s="20">
        <f t="shared" ref="W107" si="1094">IF(M107&gt;0,X107/M107,0)</f>
        <v>0.49723573998765086</v>
      </c>
      <c r="X107" s="52">
        <f t="shared" ref="X107" si="1095">X104+X105+X106</f>
        <v>23353.670999999998</v>
      </c>
      <c r="Y107" s="20">
        <f t="shared" ref="Y107" si="1096">IF(M107&gt;0,Z107/M107,0)</f>
        <v>0.4367449485809185</v>
      </c>
      <c r="Z107" s="52">
        <f t="shared" ref="Z107" si="1097">Z104+Z105+Z106</f>
        <v>20512.599999999999</v>
      </c>
      <c r="AA107" s="119">
        <f t="shared" ref="AA107" si="1098">IF(M107&gt;0,AB107/M107,0)</f>
        <v>2.7094044754827863E-3</v>
      </c>
      <c r="AB107" s="54">
        <f t="shared" ref="AB107" si="1099">SUM(AB104:AB106)</f>
        <v>127.25260000000002</v>
      </c>
      <c r="AC107" s="53">
        <f t="shared" ref="AC107" si="1100">IF(M107&gt;0,AD107/M107,0)</f>
        <v>2.7563842698064595E-3</v>
      </c>
      <c r="AD107" s="54">
        <f t="shared" ref="AD107" si="1101">SUM(AD104:AD106)</f>
        <v>129.45909999999998</v>
      </c>
      <c r="AE107" s="53">
        <f t="shared" ref="AE107" si="1102">IF(M107&gt;0,(AE104*M104+AE105*M105+AE106*M106)/M107,0)</f>
        <v>2.8765962590755209E-3</v>
      </c>
      <c r="AF107" s="53">
        <f t="shared" ref="AF107" si="1103">IF(K107&gt;0,(K104*AF104+K105*AF105+K106*AF106)/K107,0)</f>
        <v>2.4350206795559337E-4</v>
      </c>
      <c r="AG107" s="50">
        <f t="shared" ref="AG107" si="1104">SUM(AG104:AG106)</f>
        <v>11.440560000000001</v>
      </c>
      <c r="AH107" s="51">
        <f t="shared" ref="AH107" si="1105">IF(K107&gt;0,(K104*AH104+K105*AH105+K106*AH106)/K107,0)</f>
        <v>0.21177459481922706</v>
      </c>
      <c r="AI107" s="56">
        <f t="shared" ref="AI107" si="1106">SUM(AI104:AI106)</f>
        <v>115.78173180000002</v>
      </c>
      <c r="AJ107" s="51">
        <f t="shared" ref="AJ107" si="1107">IF(AND(AD107&gt;0),((AD104*AJ104+AD105*AJ105+AD106*AJ106)/AD107),0)</f>
        <v>0.9126781396602095</v>
      </c>
      <c r="AK107" s="55">
        <f t="shared" si="683"/>
        <v>0.91633688072127251</v>
      </c>
      <c r="AL107" s="49">
        <f t="shared" ref="AL107" si="1108">SUM(AL104:AL106)</f>
        <v>599</v>
      </c>
      <c r="AM107" s="20">
        <f t="shared" ref="AM107" si="1109">IF(AL107&gt;0,(AM104*AL104+AM105*AL105+AM106*AL106)/AL107,0)</f>
        <v>8.6996661101836389E-2</v>
      </c>
      <c r="AN107" s="51">
        <f>IF(K107&gt;0,(AN104*K104+AN105*K105+AN106*K106)/K107,0)</f>
        <v>0.22624002137217264</v>
      </c>
      <c r="AO107" s="107">
        <f>IF(L107&gt;0,(AO104*K104+AO105*K105+AO106*K106)/K107,0)</f>
        <v>0.2179066194368037</v>
      </c>
      <c r="AP107" s="56">
        <f t="shared" ref="AP107:AQ119" si="1110">SUM(AP104:AP106)</f>
        <v>123.6645365</v>
      </c>
      <c r="AQ107" s="108">
        <f t="shared" si="1110"/>
        <v>119.10340710000001</v>
      </c>
      <c r="AR107" s="54"/>
      <c r="AS107" s="54">
        <f t="shared" ref="AS107" si="1111">SUM(AS104:AS106)</f>
        <v>566.36</v>
      </c>
      <c r="AT107" s="83"/>
      <c r="AU107" s="84">
        <f>AT106</f>
        <v>739.15999999999974</v>
      </c>
      <c r="AV107" s="49">
        <f t="shared" ref="AV107" si="1112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43" t="s">
        <v>59</v>
      </c>
      <c r="D108" s="11">
        <v>15600</v>
      </c>
      <c r="E108" s="11">
        <v>0</v>
      </c>
      <c r="F108" s="11">
        <v>16852</v>
      </c>
      <c r="G108" s="12">
        <v>0.2</v>
      </c>
      <c r="H108" s="12">
        <v>5.9</v>
      </c>
      <c r="I108" s="11">
        <v>16203</v>
      </c>
      <c r="J108" s="12">
        <v>6.1</v>
      </c>
      <c r="K108" s="11">
        <v>16964</v>
      </c>
      <c r="L108" s="13">
        <v>6.8000000000000005E-2</v>
      </c>
      <c r="M108" s="23">
        <f>ROUND(K108*(1-L108),0)</f>
        <v>15810</v>
      </c>
      <c r="N108" s="14">
        <v>0.75700000000000001</v>
      </c>
      <c r="O108" s="24">
        <f t="shared" ref="O108:O110" si="1113">M108*N108</f>
        <v>11968.17</v>
      </c>
      <c r="P108" s="13">
        <v>0.22500000000000001</v>
      </c>
      <c r="Q108" s="24">
        <f t="shared" ref="Q108:Q110" si="1114">M108*P108</f>
        <v>3557.25</v>
      </c>
      <c r="R108" s="15">
        <v>1.7999999999999999E-2</v>
      </c>
      <c r="S108" s="112">
        <v>0.22170000000000001</v>
      </c>
      <c r="T108" s="24">
        <f t="shared" ref="T108:T110" si="1115">M108*R108</f>
        <v>284.58</v>
      </c>
      <c r="U108" s="25">
        <v>0.23599999999999999</v>
      </c>
      <c r="V108" s="24">
        <f t="shared" ref="V108:V110" si="1116">M108*U108</f>
        <v>3731.16</v>
      </c>
      <c r="W108" s="15">
        <v>0.501</v>
      </c>
      <c r="X108" s="24">
        <f t="shared" ref="X108:X110" si="1117">M108*W108</f>
        <v>7920.81</v>
      </c>
      <c r="Y108" s="15">
        <v>0.43</v>
      </c>
      <c r="Z108" s="24">
        <f t="shared" ref="Z108:Z110" si="1118">Y108*M108</f>
        <v>6798.3</v>
      </c>
      <c r="AA108" s="116">
        <v>2.6099999999999999E-3</v>
      </c>
      <c r="AB108" s="18">
        <f t="shared" ref="AB108" si="1119">M108*AA108</f>
        <v>41.264099999999999</v>
      </c>
      <c r="AC108" s="16">
        <v>2.63E-3</v>
      </c>
      <c r="AD108" s="17">
        <f t="shared" ref="AD108:AD110" si="1120">M108*AC108</f>
        <v>41.580300000000001</v>
      </c>
      <c r="AE108" s="26">
        <f>IF(M108&gt;0,(AG108+AP108)/M108,0)</f>
        <v>2.7769397849462365E-3</v>
      </c>
      <c r="AF108" s="16">
        <v>2.5999999999999998E-4</v>
      </c>
      <c r="AG108" s="23">
        <f t="shared" ref="AG108:AG110" si="1121">AF108*M108</f>
        <v>4.1105999999999998</v>
      </c>
      <c r="AH108" s="92">
        <v>0.20960000000000001</v>
      </c>
      <c r="AI108" s="29">
        <f t="shared" ref="AI108:AI110" si="1122">AL108*(1-AM108)*AH108</f>
        <v>37.740156800000001</v>
      </c>
      <c r="AJ108" s="27">
        <f t="shared" ref="AJ108:AJ110" si="1123">IF(AND(AH108&gt;0,AF108&gt;0,AC108&gt;0),((AC108-AF108)*AH108)/((AH108-AF108)*AC108),0)</f>
        <v>0.90225989993537548</v>
      </c>
      <c r="AK108" s="58">
        <f t="shared" si="683"/>
        <v>0.90743933015504608</v>
      </c>
      <c r="AL108" s="11">
        <v>197</v>
      </c>
      <c r="AM108" s="13">
        <v>8.5999999999999993E-2</v>
      </c>
      <c r="AN108" s="14">
        <v>0.221</v>
      </c>
      <c r="AO108" s="101">
        <v>0.21060000000000001</v>
      </c>
      <c r="AP108" s="29">
        <f>AL108*(1-AM108)*AN108</f>
        <v>39.792817999999997</v>
      </c>
      <c r="AQ108" s="102">
        <f t="shared" ref="AQ108" si="1124">AL108*(1-AM108)*AO108</f>
        <v>37.920214800000004</v>
      </c>
      <c r="AR108" s="18">
        <v>1.55</v>
      </c>
      <c r="AS108" s="18"/>
      <c r="AT108" s="79">
        <f>AT106+AL108-AS108</f>
        <v>936.15999999999974</v>
      </c>
      <c r="AU108" s="80"/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0" t="s">
        <v>57</v>
      </c>
      <c r="D109" s="33">
        <v>18766</v>
      </c>
      <c r="E109" s="33">
        <v>3</v>
      </c>
      <c r="F109" s="33">
        <v>16837</v>
      </c>
      <c r="G109" s="34">
        <v>0.5</v>
      </c>
      <c r="H109" s="34">
        <v>4.5</v>
      </c>
      <c r="I109" s="33">
        <v>16561</v>
      </c>
      <c r="J109" s="34">
        <v>2.8</v>
      </c>
      <c r="K109" s="33">
        <v>6252</v>
      </c>
      <c r="L109" s="35">
        <v>6.8000000000000005E-2</v>
      </c>
      <c r="M109" s="36">
        <f>ROUND(K109*(1-L109),0)</f>
        <v>5827</v>
      </c>
      <c r="N109" s="37">
        <v>0.76900000000000002</v>
      </c>
      <c r="O109" s="24">
        <f t="shared" si="1113"/>
        <v>4480.9629999999997</v>
      </c>
      <c r="P109" s="35">
        <v>0.21199999999999999</v>
      </c>
      <c r="Q109" s="24">
        <f t="shared" si="1114"/>
        <v>1235.3240000000001</v>
      </c>
      <c r="R109" s="38">
        <v>1.9E-2</v>
      </c>
      <c r="S109" s="105">
        <v>0.20780000000000001</v>
      </c>
      <c r="T109" s="24">
        <f t="shared" si="1115"/>
        <v>110.71299999999999</v>
      </c>
      <c r="U109" s="27">
        <v>0.222</v>
      </c>
      <c r="V109" s="24">
        <f t="shared" si="1116"/>
        <v>1293.5940000000001</v>
      </c>
      <c r="W109" s="38">
        <v>0.51800000000000002</v>
      </c>
      <c r="X109" s="24">
        <f t="shared" si="1117"/>
        <v>3018.386</v>
      </c>
      <c r="Y109" s="38">
        <v>0.46</v>
      </c>
      <c r="Z109" s="24">
        <f t="shared" si="1118"/>
        <v>2680.42</v>
      </c>
      <c r="AA109" s="117">
        <v>2.6700000000000001E-3</v>
      </c>
      <c r="AB109" s="18">
        <f t="shared" si="767"/>
        <v>15.55809</v>
      </c>
      <c r="AC109" s="39">
        <v>2.65E-3</v>
      </c>
      <c r="AD109" s="17">
        <f t="shared" si="1120"/>
        <v>15.441549999999999</v>
      </c>
      <c r="AE109" s="26">
        <f>IF(M109&gt;0,(AG109+AP109)/M109,0)</f>
        <v>4.1304670671014248E-3</v>
      </c>
      <c r="AF109" s="39">
        <v>3.1E-4</v>
      </c>
      <c r="AG109" s="36">
        <f t="shared" si="1121"/>
        <v>1.80637</v>
      </c>
      <c r="AH109" s="27">
        <v>0.2064</v>
      </c>
      <c r="AI109" s="40">
        <f t="shared" si="1122"/>
        <v>21.8594112</v>
      </c>
      <c r="AJ109" s="27">
        <f t="shared" si="1123"/>
        <v>0.88434710242914583</v>
      </c>
      <c r="AK109" s="28">
        <f t="shared" si="683"/>
        <v>0.9263140699925001</v>
      </c>
      <c r="AL109" s="33">
        <v>116</v>
      </c>
      <c r="AM109" s="35">
        <v>8.6999999999999994E-2</v>
      </c>
      <c r="AN109" s="37">
        <v>0.2102</v>
      </c>
      <c r="AO109" s="103">
        <v>0.1951</v>
      </c>
      <c r="AP109" s="40">
        <f>AL109*(1-AM109)*AN109</f>
        <v>22.2618616</v>
      </c>
      <c r="AQ109" s="104">
        <f t="shared" si="728"/>
        <v>20.662650800000002</v>
      </c>
      <c r="AR109" s="41">
        <v>1.5</v>
      </c>
      <c r="AS109" s="41"/>
      <c r="AT109" s="129">
        <f>AT108+AL109-AS109</f>
        <v>1052.1599999999999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43" t="s">
        <v>58</v>
      </c>
      <c r="D110" s="42">
        <v>18500</v>
      </c>
      <c r="E110" s="42">
        <v>1</v>
      </c>
      <c r="F110" s="42">
        <v>17148</v>
      </c>
      <c r="G110" s="36">
        <v>0.5</v>
      </c>
      <c r="H110" s="36">
        <v>5.0999999999999996</v>
      </c>
      <c r="I110" s="42">
        <v>16589</v>
      </c>
      <c r="J110" s="36">
        <v>1.6</v>
      </c>
      <c r="K110" s="42">
        <v>13219</v>
      </c>
      <c r="L110" s="38">
        <v>7.5999999999999998E-2</v>
      </c>
      <c r="M110" s="36">
        <f>ROUND(K110*(1-L110),0)</f>
        <v>12214</v>
      </c>
      <c r="N110" s="27">
        <v>0.73299999999999998</v>
      </c>
      <c r="O110" s="24">
        <f t="shared" si="1113"/>
        <v>8952.8619999999992</v>
      </c>
      <c r="P110" s="38">
        <v>0.23899999999999999</v>
      </c>
      <c r="Q110" s="24">
        <f t="shared" si="1114"/>
        <v>2919.1459999999997</v>
      </c>
      <c r="R110" s="38">
        <v>2.8000000000000001E-2</v>
      </c>
      <c r="S110" s="105">
        <v>0.21</v>
      </c>
      <c r="T110" s="24">
        <f t="shared" si="1115"/>
        <v>341.99200000000002</v>
      </c>
      <c r="U110" s="27">
        <v>0.22</v>
      </c>
      <c r="V110" s="24">
        <f t="shared" si="1116"/>
        <v>2687.08</v>
      </c>
      <c r="W110" s="38">
        <v>0.51600000000000001</v>
      </c>
      <c r="X110" s="24">
        <f t="shared" si="1117"/>
        <v>6302.424</v>
      </c>
      <c r="Y110" s="38">
        <v>0.46</v>
      </c>
      <c r="Z110" s="24">
        <f t="shared" si="1118"/>
        <v>5618.4400000000005</v>
      </c>
      <c r="AA110" s="118">
        <v>2.63E-3</v>
      </c>
      <c r="AB110" s="121">
        <f t="shared" si="767"/>
        <v>32.122819999999997</v>
      </c>
      <c r="AC110" s="45">
        <v>2.5799999999999998E-3</v>
      </c>
      <c r="AD110" s="17">
        <f t="shared" si="1120"/>
        <v>31.512119999999999</v>
      </c>
      <c r="AE110" s="26">
        <f>IF(M110&gt;0,(AG110+AP110)/M110,0)</f>
        <v>2.6081390207958084E-3</v>
      </c>
      <c r="AF110" s="45">
        <v>3.1E-4</v>
      </c>
      <c r="AG110" s="36">
        <f t="shared" si="1121"/>
        <v>3.78634</v>
      </c>
      <c r="AH110" s="27">
        <v>0.21579999999999999</v>
      </c>
      <c r="AI110" s="40">
        <f t="shared" si="1122"/>
        <v>27.773460000000004</v>
      </c>
      <c r="AJ110" s="27">
        <f t="shared" si="1123"/>
        <v>0.88111069022070132</v>
      </c>
      <c r="AK110" s="28">
        <f t="shared" si="683"/>
        <v>0.88239551243465575</v>
      </c>
      <c r="AL110" s="42">
        <v>143</v>
      </c>
      <c r="AM110" s="38">
        <v>0.1</v>
      </c>
      <c r="AN110" s="27">
        <v>0.21809999999999999</v>
      </c>
      <c r="AO110" s="105">
        <v>0.19370000000000001</v>
      </c>
      <c r="AP110" s="40">
        <f>AL110*(1-AM110)*AN110</f>
        <v>28.069470000000003</v>
      </c>
      <c r="AQ110" s="106">
        <f t="shared" si="728"/>
        <v>24.929190000000006</v>
      </c>
      <c r="AR110" s="17">
        <v>1.5</v>
      </c>
      <c r="AS110" s="17"/>
      <c r="AT110" s="129">
        <f>AT109+AL110-AS110</f>
        <v>1195.1599999999999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25">SUM(D108:D110)</f>
        <v>52866</v>
      </c>
      <c r="E111" s="49"/>
      <c r="F111" s="49">
        <f t="shared" ref="F111" si="1126">SUM(F108:F110)</f>
        <v>50837</v>
      </c>
      <c r="G111" s="50"/>
      <c r="H111" s="50"/>
      <c r="I111" s="49">
        <f t="shared" ref="I111:K111" si="1127">SUM(I108:I110)</f>
        <v>49353</v>
      </c>
      <c r="J111" s="50"/>
      <c r="K111" s="49">
        <f t="shared" si="1127"/>
        <v>36435</v>
      </c>
      <c r="L111" s="20">
        <f t="shared" ref="L111" si="1128">IF(K111&gt;0,(K108*L108+K109*L109+K110*L110)/K111,0)</f>
        <v>7.0902483875394551E-2</v>
      </c>
      <c r="M111" s="50">
        <f t="shared" ref="M111" si="1129">M108+M109+M110</f>
        <v>33851</v>
      </c>
      <c r="N111" s="51">
        <f t="shared" ref="N111" si="1130">IF(M111&gt;0,O111/M111,0)</f>
        <v>0.75040604413458989</v>
      </c>
      <c r="O111" s="52">
        <f t="shared" ref="O111" si="1131">O108+O109+O110</f>
        <v>25401.995000000003</v>
      </c>
      <c r="P111" s="20">
        <f t="shared" ref="P111" si="1132">IF(M111&gt;0,Q111/M111,0)</f>
        <v>0.22781365395409295</v>
      </c>
      <c r="Q111" s="52">
        <f t="shared" ref="Q111" si="1133">Q108+Q109+Q110</f>
        <v>7711.72</v>
      </c>
      <c r="R111" s="20">
        <f t="shared" ref="R111" si="1134">IF(M111&gt;0,T111/M111,0)</f>
        <v>2.1780301911317246E-2</v>
      </c>
      <c r="S111" s="107"/>
      <c r="T111" s="52">
        <f t="shared" ref="T111" si="1135">T108+T109+T110</f>
        <v>737.28500000000008</v>
      </c>
      <c r="U111" s="20">
        <f t="shared" ref="U111" si="1136">IF(M111&gt;0,V111/M111,0)</f>
        <v>0.22781702165371776</v>
      </c>
      <c r="V111" s="52">
        <f t="shared" ref="V111" si="1137">V108+V109+V110</f>
        <v>7711.8339999999998</v>
      </c>
      <c r="W111" s="20">
        <f t="shared" ref="W111" si="1138">IF(M111&gt;0,X111/M111,0)</f>
        <v>0.50933857197719412</v>
      </c>
      <c r="X111" s="52">
        <f t="shared" ref="X111" si="1139">X108+X109+X110</f>
        <v>17241.62</v>
      </c>
      <c r="Y111" s="20">
        <f t="shared" ref="Y111" si="1140">IF(M111&gt;0,Z111/M111,0)</f>
        <v>0.44598859708723526</v>
      </c>
      <c r="Z111" s="52">
        <f t="shared" ref="Z111" si="1141">Z108+Z109+Z110</f>
        <v>15097.160000000002</v>
      </c>
      <c r="AA111" s="119">
        <f t="shared" ref="AA111" si="1142">IF(M111&gt;0,AB111/M111,0)</f>
        <v>2.6275445333963543E-3</v>
      </c>
      <c r="AB111" s="54">
        <f t="shared" ref="AB111" si="1143">SUM(AB108:AB110)</f>
        <v>88.945009999999996</v>
      </c>
      <c r="AC111" s="53">
        <f t="shared" ref="AC111" si="1144">IF(M111&gt;0,AD111/M111,0)</f>
        <v>2.6154019083631207E-3</v>
      </c>
      <c r="AD111" s="54">
        <f t="shared" ref="AD111" si="1145">SUM(AD108:AD110)</f>
        <v>88.533969999999997</v>
      </c>
      <c r="AE111" s="53">
        <f t="shared" ref="AE111" si="1146">IF(M111&gt;0,(AE108*M108+AE109*M109+AE110*M110)/M111,0)</f>
        <v>2.9490254231780448E-3</v>
      </c>
      <c r="AF111" s="53">
        <f t="shared" ref="AF111" si="1147">IF(K111&gt;0,(K108*AF108+K109*AF109+K110*AF110)/K111,0)</f>
        <v>2.8672018663373128E-4</v>
      </c>
      <c r="AG111" s="50">
        <f t="shared" ref="AG111" si="1148">SUM(AG108:AG110)</f>
        <v>9.7033100000000001</v>
      </c>
      <c r="AH111" s="51">
        <f t="shared" ref="AH111" si="1149">IF(K111&gt;0,(K108*AH108+K109*AH109+K110*AH110)/K111,0)</f>
        <v>0.21130032660902978</v>
      </c>
      <c r="AI111" s="56">
        <f t="shared" ref="AI111" si="1150">SUM(AI108:AI110)</f>
        <v>87.373028000000005</v>
      </c>
      <c r="AJ111" s="51">
        <f t="shared" ref="AJ111" si="1151">IF(AND(AD111&gt;0),((AD108*AJ108+AD109*AJ109+AD110*AJ110)/AD111),0)</f>
        <v>0.8916079683348126</v>
      </c>
      <c r="AK111" s="55">
        <f t="shared" si="683"/>
        <v>0.90396300003899721</v>
      </c>
      <c r="AL111" s="49">
        <f t="shared" ref="AL111" si="1152">SUM(AL108:AL110)</f>
        <v>456</v>
      </c>
      <c r="AM111" s="20">
        <f t="shared" ref="AM111" si="1153">IF(AL111&gt;0,(AM108*AL108+AM109*AL109+AM110*AL110)/AL111,0)</f>
        <v>9.0644736842105264E-2</v>
      </c>
      <c r="AN111" s="51">
        <f>IF(K111&gt;0,(AN108*K108+AN109*K109+AN110*K110)/K111,0)</f>
        <v>0.21809464251406616</v>
      </c>
      <c r="AO111" s="107">
        <f>IF(L111&gt;0,(AO108*K108+AO109*K109+AO110*K110)/K111,0)</f>
        <v>0.20180880746534927</v>
      </c>
      <c r="AP111" s="56">
        <f t="shared" ref="AP111" si="1154">SUM(AP108:AP110)</f>
        <v>90.12414960000001</v>
      </c>
      <c r="AQ111" s="108">
        <f t="shared" si="1110"/>
        <v>83.512055600000011</v>
      </c>
      <c r="AR111" s="54"/>
      <c r="AS111" s="54">
        <f t="shared" ref="AS111" si="1155">SUM(AS108:AS110)</f>
        <v>0</v>
      </c>
      <c r="AT111" s="83"/>
      <c r="AU111" s="84">
        <f>AT110</f>
        <v>1195.1599999999999</v>
      </c>
      <c r="AV111" s="49">
        <f t="shared" ref="AV111" si="1156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53</v>
      </c>
      <c r="D112" s="11">
        <v>12901</v>
      </c>
      <c r="E112" s="11">
        <v>0</v>
      </c>
      <c r="F112" s="11">
        <v>15280</v>
      </c>
      <c r="G112" s="12">
        <v>0.4</v>
      </c>
      <c r="H112" s="12">
        <v>4.0999999999999996</v>
      </c>
      <c r="I112" s="11">
        <v>14439</v>
      </c>
      <c r="J112" s="12">
        <v>2.2999999999999998</v>
      </c>
      <c r="K112" s="11">
        <v>16543</v>
      </c>
      <c r="L112" s="13">
        <v>6.0999999999999999E-2</v>
      </c>
      <c r="M112" s="23">
        <f>ROUND(K112*(1-L112),0)</f>
        <v>15534</v>
      </c>
      <c r="N112" s="14">
        <v>0.78100000000000003</v>
      </c>
      <c r="O112" s="24">
        <f t="shared" ref="O112:O114" si="1157">M112*N112</f>
        <v>12132.054</v>
      </c>
      <c r="P112" s="13">
        <v>0.19500000000000001</v>
      </c>
      <c r="Q112" s="24">
        <f t="shared" ref="Q112:Q114" si="1158">M112*P112</f>
        <v>3029.13</v>
      </c>
      <c r="R112" s="15">
        <v>2.4E-2</v>
      </c>
      <c r="S112" s="112">
        <v>0.23369999999999999</v>
      </c>
      <c r="T112" s="24">
        <f t="shared" ref="T112:T114" si="1159">M112*R112</f>
        <v>372.81600000000003</v>
      </c>
      <c r="U112" s="25">
        <v>0.22900000000000001</v>
      </c>
      <c r="V112" s="24">
        <f t="shared" ref="V112:V114" si="1160">M112*U112</f>
        <v>3557.2860000000001</v>
      </c>
      <c r="W112" s="15">
        <v>0.501</v>
      </c>
      <c r="X112" s="24">
        <f t="shared" ref="X112:X114" si="1161">M112*W112</f>
        <v>7782.5339999999997</v>
      </c>
      <c r="Y112" s="15">
        <v>0.44</v>
      </c>
      <c r="Z112" s="24">
        <f t="shared" ref="Z112:Z114" si="1162">Y112*M112</f>
        <v>6834.96</v>
      </c>
      <c r="AA112" s="116">
        <v>2.7699999999999999E-3</v>
      </c>
      <c r="AB112" s="18">
        <f t="shared" ref="AB112" si="1163">M112*AA112</f>
        <v>43.029179999999997</v>
      </c>
      <c r="AC112" s="16">
        <v>2.82E-3</v>
      </c>
      <c r="AD112" s="17">
        <f t="shared" ref="AD112:AD114" si="1164">M112*AC112</f>
        <v>43.805880000000002</v>
      </c>
      <c r="AE112" s="26">
        <f>IF(M112&gt;0,(AG112+AP112)/M112,0)</f>
        <v>2.8850020857473934E-3</v>
      </c>
      <c r="AF112" s="16">
        <v>3.2000000000000003E-4</v>
      </c>
      <c r="AG112" s="23">
        <f t="shared" ref="AG112:AG114" si="1165">AF112*M112</f>
        <v>4.9708800000000002</v>
      </c>
      <c r="AH112" s="92">
        <v>0.2157</v>
      </c>
      <c r="AI112" s="29">
        <f t="shared" ref="AI112:AI114" si="1166">AL112*(1-AM112)*AH112</f>
        <v>37.645689600000004</v>
      </c>
      <c r="AJ112" s="27">
        <f t="shared" ref="AJ112:AJ114" si="1167">IF(AND(AH112&gt;0,AF112&gt;0,AC112&gt;0),((AC112-AF112)*AH112)/((AH112-AF112)*AC112),0)</f>
        <v>0.8878419735134141</v>
      </c>
      <c r="AK112" s="58">
        <f t="shared" si="683"/>
        <v>0.89032947919923788</v>
      </c>
      <c r="AL112" s="11">
        <v>192</v>
      </c>
      <c r="AM112" s="13">
        <v>9.0999999999999998E-2</v>
      </c>
      <c r="AN112" s="14">
        <v>0.2283</v>
      </c>
      <c r="AO112" s="101">
        <v>0.21240000000000001</v>
      </c>
      <c r="AP112" s="29">
        <f>AL112*(1-AM112)*AN112</f>
        <v>39.844742400000008</v>
      </c>
      <c r="AQ112" s="102">
        <f t="shared" ref="AQ112" si="1168">AL112*(1-AM112)*AO112</f>
        <v>37.069747200000002</v>
      </c>
      <c r="AR112" s="18">
        <v>1.65</v>
      </c>
      <c r="AS112" s="18"/>
      <c r="AT112" s="79">
        <f>AT110+AL112-AS112</f>
        <v>1387.1599999999999</v>
      </c>
      <c r="AU112" s="80"/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0" t="s">
        <v>57</v>
      </c>
      <c r="D113" s="33">
        <v>19159</v>
      </c>
      <c r="E113" s="33">
        <v>3</v>
      </c>
      <c r="F113" s="33">
        <v>16640</v>
      </c>
      <c r="G113" s="34">
        <v>0.8</v>
      </c>
      <c r="H113" s="34">
        <v>4.7</v>
      </c>
      <c r="I113" s="33">
        <v>16191</v>
      </c>
      <c r="J113" s="34">
        <v>2.5</v>
      </c>
      <c r="K113" s="33">
        <v>16832</v>
      </c>
      <c r="L113" s="35">
        <v>6.0999999999999999E-2</v>
      </c>
      <c r="M113" s="36">
        <f>ROUND(K113*(1-L113),0)</f>
        <v>15805</v>
      </c>
      <c r="N113" s="37">
        <v>0.73899999999999999</v>
      </c>
      <c r="O113" s="24">
        <f t="shared" si="1157"/>
        <v>11679.895</v>
      </c>
      <c r="P113" s="35">
        <v>0.24199999999999999</v>
      </c>
      <c r="Q113" s="24">
        <f t="shared" si="1158"/>
        <v>3824.81</v>
      </c>
      <c r="R113" s="38">
        <v>1.9E-2</v>
      </c>
      <c r="S113" s="105">
        <v>0.24360000000000001</v>
      </c>
      <c r="T113" s="24">
        <f t="shared" si="1159"/>
        <v>300.29500000000002</v>
      </c>
      <c r="U113" s="27">
        <v>0.245</v>
      </c>
      <c r="V113" s="24">
        <f t="shared" si="1160"/>
        <v>3872.2249999999999</v>
      </c>
      <c r="W113" s="38">
        <v>0.46600000000000003</v>
      </c>
      <c r="X113" s="24">
        <f t="shared" si="1161"/>
        <v>7365.13</v>
      </c>
      <c r="Y113" s="38">
        <v>0.45</v>
      </c>
      <c r="Z113" s="24">
        <f t="shared" si="1162"/>
        <v>7112.25</v>
      </c>
      <c r="AA113" s="117">
        <v>2.8500000000000001E-3</v>
      </c>
      <c r="AB113" s="18">
        <f t="shared" si="767"/>
        <v>45.044249999999998</v>
      </c>
      <c r="AC113" s="39">
        <v>2.97E-3</v>
      </c>
      <c r="AD113" s="17">
        <f t="shared" si="1164"/>
        <v>46.940849999999998</v>
      </c>
      <c r="AE113" s="26">
        <f>IF(M113&gt;0,(AG113+AP113)/M113,0)</f>
        <v>3.2369132173362862E-3</v>
      </c>
      <c r="AF113" s="39">
        <v>2.9999999999999997E-4</v>
      </c>
      <c r="AG113" s="36">
        <f t="shared" si="1165"/>
        <v>4.7414999999999994</v>
      </c>
      <c r="AH113" s="27">
        <v>0.21310000000000001</v>
      </c>
      <c r="AI113" s="40">
        <f t="shared" si="1166"/>
        <v>43.826572200000001</v>
      </c>
      <c r="AJ113" s="27">
        <f t="shared" si="1167"/>
        <v>0.90025727196779837</v>
      </c>
      <c r="AK113" s="28">
        <f t="shared" si="683"/>
        <v>0.90852672127806311</v>
      </c>
      <c r="AL113" s="33">
        <v>227</v>
      </c>
      <c r="AM113" s="35">
        <v>9.4E-2</v>
      </c>
      <c r="AN113" s="37">
        <v>0.22570000000000001</v>
      </c>
      <c r="AO113" s="103">
        <v>0.20430000000000001</v>
      </c>
      <c r="AP113" s="40">
        <f>AL113*(1-AM113)*AN113</f>
        <v>46.417913400000003</v>
      </c>
      <c r="AQ113" s="104">
        <f t="shared" si="728"/>
        <v>42.016746600000005</v>
      </c>
      <c r="AR113" s="41">
        <v>1.6</v>
      </c>
      <c r="AS113" s="41"/>
      <c r="AT113" s="129">
        <f>AT112+AL113-AS113</f>
        <v>1614.1599999999999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43" t="s">
        <v>58</v>
      </c>
      <c r="D114" s="42">
        <v>15000</v>
      </c>
      <c r="E114" s="42">
        <v>2</v>
      </c>
      <c r="F114" s="42">
        <v>16171</v>
      </c>
      <c r="G114" s="36">
        <v>0.5</v>
      </c>
      <c r="H114" s="36">
        <v>5.8</v>
      </c>
      <c r="I114" s="42">
        <v>15972</v>
      </c>
      <c r="J114" s="36">
        <v>2</v>
      </c>
      <c r="K114" s="42">
        <v>16977</v>
      </c>
      <c r="L114" s="38">
        <v>6.7000000000000004E-2</v>
      </c>
      <c r="M114" s="36">
        <f>ROUND(K114*(1-L114),0)</f>
        <v>15840</v>
      </c>
      <c r="N114" s="27">
        <v>0.70199999999999996</v>
      </c>
      <c r="O114" s="24">
        <f t="shared" si="1157"/>
        <v>11119.679999999998</v>
      </c>
      <c r="P114" s="38">
        <v>0.27400000000000002</v>
      </c>
      <c r="Q114" s="24">
        <f t="shared" si="1158"/>
        <v>4340.1600000000008</v>
      </c>
      <c r="R114" s="38">
        <v>2.4E-2</v>
      </c>
      <c r="S114" s="105">
        <v>0.23480000000000001</v>
      </c>
      <c r="T114" s="24">
        <f t="shared" si="1159"/>
        <v>380.16</v>
      </c>
      <c r="U114" s="27">
        <v>0.24299999999999999</v>
      </c>
      <c r="V114" s="24">
        <f t="shared" si="1160"/>
        <v>3849.12</v>
      </c>
      <c r="W114" s="38">
        <v>0.45500000000000002</v>
      </c>
      <c r="X114" s="24">
        <f t="shared" si="1161"/>
        <v>7207.2</v>
      </c>
      <c r="Y114" s="38">
        <v>0.45</v>
      </c>
      <c r="Z114" s="24">
        <f t="shared" si="1162"/>
        <v>7128</v>
      </c>
      <c r="AA114" s="118">
        <v>2.8600000000000001E-3</v>
      </c>
      <c r="AB114" s="121">
        <f t="shared" si="767"/>
        <v>45.302399999999999</v>
      </c>
      <c r="AC114" s="45">
        <v>3.0000000000000001E-3</v>
      </c>
      <c r="AD114" s="17">
        <f t="shared" si="1164"/>
        <v>47.52</v>
      </c>
      <c r="AE114" s="26">
        <f>IF(M114&gt;0,(AG114+AP114)/M114,0)</f>
        <v>3.2161818686868688E-3</v>
      </c>
      <c r="AF114" s="45">
        <v>2.9999999999999997E-4</v>
      </c>
      <c r="AG114" s="36">
        <f t="shared" si="1165"/>
        <v>4.7519999999999998</v>
      </c>
      <c r="AH114" s="27">
        <v>0.21229999999999999</v>
      </c>
      <c r="AI114" s="40">
        <f t="shared" si="1166"/>
        <v>43.565658399999997</v>
      </c>
      <c r="AJ114" s="27">
        <f t="shared" si="1167"/>
        <v>0.90127358490566045</v>
      </c>
      <c r="AK114" s="28">
        <f t="shared" si="683"/>
        <v>0.90793173075786204</v>
      </c>
      <c r="AL114" s="42">
        <v>227</v>
      </c>
      <c r="AM114" s="38">
        <v>9.6000000000000002E-2</v>
      </c>
      <c r="AN114" s="27">
        <v>0.22509999999999999</v>
      </c>
      <c r="AO114" s="105">
        <v>0.20669999999999999</v>
      </c>
      <c r="AP114" s="40">
        <f>AL114*(1-AM114)*AN114</f>
        <v>46.192320799999997</v>
      </c>
      <c r="AQ114" s="106">
        <f t="shared" si="728"/>
        <v>42.416493599999995</v>
      </c>
      <c r="AR114" s="17">
        <v>1.55</v>
      </c>
      <c r="AS114" s="17"/>
      <c r="AT114" s="129">
        <f>AT113+AL114-AS114</f>
        <v>1841.1599999999999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69">SUM(D112:D114)</f>
        <v>47060</v>
      </c>
      <c r="E115" s="49"/>
      <c r="F115" s="49">
        <f t="shared" ref="F115" si="1170">SUM(F112:F114)</f>
        <v>48091</v>
      </c>
      <c r="G115" s="50"/>
      <c r="H115" s="50"/>
      <c r="I115" s="49">
        <f t="shared" ref="I115:K115" si="1171">SUM(I112:I114)</f>
        <v>46602</v>
      </c>
      <c r="J115" s="50"/>
      <c r="K115" s="49">
        <f t="shared" si="1171"/>
        <v>50352</v>
      </c>
      <c r="L115" s="20">
        <f t="shared" ref="L115" si="1172">IF(K115&gt;0,(K112*L112+K113*L113+K114*L114)/K115,0)</f>
        <v>6.3022998093422308E-2</v>
      </c>
      <c r="M115" s="50">
        <f t="shared" ref="M115" si="1173">M112+M113+M114</f>
        <v>47179</v>
      </c>
      <c r="N115" s="51">
        <f t="shared" ref="N115" si="1174">IF(M115&gt;0,O115/M115,0)</f>
        <v>0.74040630365204863</v>
      </c>
      <c r="O115" s="52">
        <f t="shared" ref="O115" si="1175">O112+O113+O114</f>
        <v>34931.629000000001</v>
      </c>
      <c r="P115" s="20">
        <f t="shared" ref="P115" si="1176">IF(M115&gt;0,Q115/M115,0)</f>
        <v>0.23726870005722889</v>
      </c>
      <c r="Q115" s="52">
        <f t="shared" ref="Q115" si="1177">Q112+Q113+Q114</f>
        <v>11194.100000000002</v>
      </c>
      <c r="R115" s="20">
        <f t="shared" ref="R115" si="1178">IF(M115&gt;0,T115/M115,0)</f>
        <v>2.2324996290722571E-2</v>
      </c>
      <c r="S115" s="107"/>
      <c r="T115" s="52">
        <f t="shared" ref="T115" si="1179">T112+T113+T114</f>
        <v>1053.2710000000002</v>
      </c>
      <c r="U115" s="20">
        <f t="shared" ref="U115" si="1180">IF(M115&gt;0,V115/M115,0)</f>
        <v>0.23906040823247635</v>
      </c>
      <c r="V115" s="52">
        <f t="shared" ref="V115" si="1181">V112+V113+V114</f>
        <v>11278.631000000001</v>
      </c>
      <c r="W115" s="20">
        <f t="shared" ref="W115" si="1182">IF(M115&gt;0,X115/M115,0)</f>
        <v>0.47383081455732429</v>
      </c>
      <c r="X115" s="52">
        <f t="shared" ref="X115" si="1183">X112+X113+X114</f>
        <v>22354.864000000001</v>
      </c>
      <c r="Y115" s="20">
        <f t="shared" ref="Y115" si="1184">IF(M115&gt;0,Z115/M115,0)</f>
        <v>0.44670743339197522</v>
      </c>
      <c r="Z115" s="52">
        <f t="shared" ref="Z115" si="1185">Z112+Z113+Z114</f>
        <v>21075.21</v>
      </c>
      <c r="AA115" s="119">
        <f t="shared" ref="AA115" si="1186">IF(M115&gt;0,AB115/M115,0)</f>
        <v>2.8270168931092223E-3</v>
      </c>
      <c r="AB115" s="54">
        <f t="shared" ref="AB115" si="1187">SUM(AB112:AB114)</f>
        <v>133.37583000000001</v>
      </c>
      <c r="AC115" s="53">
        <f t="shared" ref="AC115" si="1188">IF(M115&gt;0,AD115/M115,0)</f>
        <v>2.9306837787998895E-3</v>
      </c>
      <c r="AD115" s="54">
        <f t="shared" ref="AD115" si="1189">SUM(AD112:AD114)</f>
        <v>138.26673</v>
      </c>
      <c r="AE115" s="53">
        <f t="shared" ref="AE115" si="1190">IF(M115&gt;0,(AE112*M112+AE113*M113+AE114*M114)/M115,0)</f>
        <v>3.1140837364081481E-3</v>
      </c>
      <c r="AF115" s="53">
        <f t="shared" ref="AF115" si="1191">IF(K115&gt;0,(K112*AF112+K113*AF113+K114*AF114)/K115,0)</f>
        <v>3.0657094057832859E-4</v>
      </c>
      <c r="AG115" s="50">
        <f t="shared" ref="AG115" si="1192">SUM(AG112:AG114)</f>
        <v>14.464379999999998</v>
      </c>
      <c r="AH115" s="51">
        <f t="shared" ref="AH115" si="1193">IF(K115&gt;0,(K112*AH112+K113*AH113+K114*AH114)/K115,0)</f>
        <v>0.21368448919605973</v>
      </c>
      <c r="AI115" s="56">
        <f t="shared" ref="AI115" si="1194">SUM(AI112:AI114)</f>
        <v>125.0379202</v>
      </c>
      <c r="AJ115" s="51">
        <f t="shared" ref="AJ115" si="1195">IF(AND(AD115&gt;0),((AD112*AJ112+AD113*AJ113+AD114*AJ114)/AD115),0)</f>
        <v>0.89667312787579789</v>
      </c>
      <c r="AK115" s="55">
        <f t="shared" si="683"/>
        <v>0.90277612451229317</v>
      </c>
      <c r="AL115" s="49">
        <f t="shared" ref="AL115" si="1196">SUM(AL112:AL114)</f>
        <v>646</v>
      </c>
      <c r="AM115" s="20">
        <f t="shared" ref="AM115" si="1197">IF(AL115&gt;0,(AM112*AL112+AM113*AL113+AM114*AL114)/AL115,0)</f>
        <v>9.3811145510835914E-2</v>
      </c>
      <c r="AN115" s="51">
        <f>IF(K115&gt;0,(AN112*K112+AN113*K113+AN114*K114)/K115,0)</f>
        <v>0.22635192246584049</v>
      </c>
      <c r="AO115" s="107">
        <f>IF(L115&gt;0,(AO112*K112+AO113*K113+AO114*K114)/K115,0)</f>
        <v>0.207770430171592</v>
      </c>
      <c r="AP115" s="56">
        <f t="shared" ref="AP115" si="1198">SUM(AP112:AP114)</f>
        <v>132.45497660000001</v>
      </c>
      <c r="AQ115" s="108">
        <f t="shared" si="1110"/>
        <v>121.50298739999999</v>
      </c>
      <c r="AR115" s="54"/>
      <c r="AS115" s="54">
        <f t="shared" ref="AS115" si="1199">SUM(AS112:AS114)</f>
        <v>0</v>
      </c>
      <c r="AT115" s="83"/>
      <c r="AU115" s="84">
        <f>AT114</f>
        <v>1841.1599999999999</v>
      </c>
      <c r="AV115" s="49">
        <f t="shared" ref="AV115" si="1200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53</v>
      </c>
      <c r="D116" s="11">
        <v>6744</v>
      </c>
      <c r="E116" s="11">
        <v>0</v>
      </c>
      <c r="F116" s="11">
        <v>15254</v>
      </c>
      <c r="G116" s="12">
        <v>0.6</v>
      </c>
      <c r="H116" s="12">
        <v>4.8</v>
      </c>
      <c r="I116" s="11">
        <v>14788</v>
      </c>
      <c r="J116" s="12">
        <v>3.1</v>
      </c>
      <c r="K116" s="11">
        <v>17058</v>
      </c>
      <c r="L116" s="13">
        <v>7.0999999999999994E-2</v>
      </c>
      <c r="M116" s="23">
        <f>ROUND(K116*(1-L116),0)</f>
        <v>15847</v>
      </c>
      <c r="N116" s="14">
        <v>0.72799999999999998</v>
      </c>
      <c r="O116" s="24">
        <f t="shared" ref="O116:O118" si="1201">M116*N116</f>
        <v>11536.616</v>
      </c>
      <c r="P116" s="13">
        <v>0.251</v>
      </c>
      <c r="Q116" s="24">
        <f t="shared" ref="Q116:Q118" si="1202">M116*P116</f>
        <v>3977.5970000000002</v>
      </c>
      <c r="R116" s="15">
        <v>2.1000000000000001E-2</v>
      </c>
      <c r="S116" s="112">
        <v>0.25669999999999998</v>
      </c>
      <c r="T116" s="24">
        <f t="shared" ref="T116:T118" si="1203">M116*R116</f>
        <v>332.78700000000003</v>
      </c>
      <c r="U116" s="25">
        <v>0.253</v>
      </c>
      <c r="V116" s="24">
        <f t="shared" ref="V116:V118" si="1204">M116*U116</f>
        <v>4009.2910000000002</v>
      </c>
      <c r="W116" s="15">
        <v>0.45900000000000002</v>
      </c>
      <c r="X116" s="24">
        <f t="shared" ref="X116:X118" si="1205">M116*W116</f>
        <v>7273.7730000000001</v>
      </c>
      <c r="Y116" s="15">
        <v>0.45</v>
      </c>
      <c r="Z116" s="24">
        <f t="shared" ref="Z116:Z118" si="1206">Y116*M116</f>
        <v>7131.1500000000005</v>
      </c>
      <c r="AA116" s="116">
        <v>2.9399999999999999E-3</v>
      </c>
      <c r="AB116" s="18">
        <f t="shared" ref="AB116" si="1207">M116*AA116</f>
        <v>46.590179999999997</v>
      </c>
      <c r="AC116" s="16">
        <v>2.99E-3</v>
      </c>
      <c r="AD116" s="17">
        <f t="shared" ref="AD116:AD118" si="1208">M116*AC116</f>
        <v>47.382530000000003</v>
      </c>
      <c r="AE116" s="26">
        <f>IF(M116&gt;0,(AG116+AP116)/M116,0)</f>
        <v>3.0912821669716668E-3</v>
      </c>
      <c r="AF116" s="16">
        <v>3.1E-4</v>
      </c>
      <c r="AG116" s="23">
        <f t="shared" ref="AG116:AG118" si="1209">AF116*M116</f>
        <v>4.9125699999999997</v>
      </c>
      <c r="AH116" s="92">
        <v>0.2044</v>
      </c>
      <c r="AI116" s="29">
        <f t="shared" ref="AI116:AI118" si="1210">AL116*(1-AM116)*AH116</f>
        <v>43.374701999999999</v>
      </c>
      <c r="AJ116" s="27">
        <f t="shared" ref="AJ116:AJ118" si="1211">IF(AND(AH116&gt;0,AF116&gt;0,AC116&gt;0),((AC116-AF116)*AH116)/((AH116-AF116)*AC116),0)</f>
        <v>0.8976825261201079</v>
      </c>
      <c r="AK116" s="58">
        <f t="shared" si="683"/>
        <v>0.90106285643515971</v>
      </c>
      <c r="AL116" s="11">
        <v>235</v>
      </c>
      <c r="AM116" s="13">
        <v>9.7000000000000003E-2</v>
      </c>
      <c r="AN116" s="14">
        <v>0.2077</v>
      </c>
      <c r="AO116" s="101">
        <v>0.189</v>
      </c>
      <c r="AP116" s="29">
        <f>AL116*(1-AM116)*AN116</f>
        <v>44.0749785</v>
      </c>
      <c r="AQ116" s="102">
        <f t="shared" ref="AQ116" si="1212">AL116*(1-AM116)*AO116</f>
        <v>40.106745000000004</v>
      </c>
      <c r="AR116" s="18">
        <v>1.65</v>
      </c>
      <c r="AS116" s="18">
        <v>1069.26</v>
      </c>
      <c r="AT116" s="79">
        <f>AT114+AL116-AS116</f>
        <v>1006.8999999999999</v>
      </c>
      <c r="AU116" s="134"/>
      <c r="AV116" s="11"/>
      <c r="AW116" s="30"/>
      <c r="AX116" s="19"/>
      <c r="AY116" s="19"/>
      <c r="AZ116" s="19"/>
      <c r="BA116" s="19"/>
      <c r="BB116" s="31"/>
    </row>
    <row r="117" spans="1:54">
      <c r="A117" s="147"/>
      <c r="B117" s="32">
        <v>2</v>
      </c>
      <c r="C117" s="10" t="s">
        <v>54</v>
      </c>
      <c r="D117" s="33">
        <v>20600</v>
      </c>
      <c r="E117" s="33">
        <v>5</v>
      </c>
      <c r="F117" s="33">
        <v>16704</v>
      </c>
      <c r="G117" s="34">
        <v>0.8</v>
      </c>
      <c r="H117" s="34">
        <v>5.2</v>
      </c>
      <c r="I117" s="33">
        <v>16414</v>
      </c>
      <c r="J117" s="34">
        <v>3.1</v>
      </c>
      <c r="K117" s="33">
        <v>17026</v>
      </c>
      <c r="L117" s="35">
        <v>6.5000000000000002E-2</v>
      </c>
      <c r="M117" s="36">
        <f>ROUND(K117*(1-L117),0)</f>
        <v>15919</v>
      </c>
      <c r="N117" s="37">
        <v>0.70299999999999996</v>
      </c>
      <c r="O117" s="24">
        <f t="shared" si="1201"/>
        <v>11191.056999999999</v>
      </c>
      <c r="P117" s="35">
        <v>0.27600000000000002</v>
      </c>
      <c r="Q117" s="24">
        <f t="shared" si="1202"/>
        <v>4393.6440000000002</v>
      </c>
      <c r="R117" s="38">
        <v>2.1000000000000001E-2</v>
      </c>
      <c r="S117" s="105">
        <v>0.2651</v>
      </c>
      <c r="T117" s="24">
        <f t="shared" si="1203"/>
        <v>334.29900000000004</v>
      </c>
      <c r="U117" s="27">
        <v>0.25</v>
      </c>
      <c r="V117" s="24">
        <f t="shared" si="1204"/>
        <v>3979.75</v>
      </c>
      <c r="W117" s="38">
        <v>0.47699999999999998</v>
      </c>
      <c r="X117" s="24">
        <f t="shared" si="1205"/>
        <v>7593.3629999999994</v>
      </c>
      <c r="Y117" s="38">
        <v>0.45</v>
      </c>
      <c r="Z117" s="24">
        <f t="shared" si="1206"/>
        <v>7163.55</v>
      </c>
      <c r="AA117" s="117">
        <v>2.6199999999999999E-3</v>
      </c>
      <c r="AB117" s="18">
        <f t="shared" si="767"/>
        <v>41.70778</v>
      </c>
      <c r="AC117" s="39">
        <v>2.6800000000000001E-3</v>
      </c>
      <c r="AD117" s="17">
        <f t="shared" si="1208"/>
        <v>42.66292</v>
      </c>
      <c r="AE117" s="26">
        <f>IF(M117&gt;0,(AG117+AP117)/M117,0)</f>
        <v>2.9432586720271377E-3</v>
      </c>
      <c r="AF117" s="39">
        <v>3.1E-4</v>
      </c>
      <c r="AG117" s="36">
        <f t="shared" si="1209"/>
        <v>4.9348900000000002</v>
      </c>
      <c r="AH117" s="27">
        <v>0.2094</v>
      </c>
      <c r="AI117" s="40">
        <f t="shared" si="1210"/>
        <v>40.941259799999997</v>
      </c>
      <c r="AJ117" s="27">
        <f t="shared" si="1211"/>
        <v>0.88563947682316335</v>
      </c>
      <c r="AK117" s="28">
        <f t="shared" si="683"/>
        <v>0.89597004405749436</v>
      </c>
      <c r="AL117" s="33">
        <v>217</v>
      </c>
      <c r="AM117" s="35">
        <v>9.9000000000000005E-2</v>
      </c>
      <c r="AN117" s="37">
        <v>0.21440000000000001</v>
      </c>
      <c r="AO117" s="103">
        <v>0.19489999999999999</v>
      </c>
      <c r="AP117" s="40">
        <f>AL117*(1-AM117)*AN117</f>
        <v>41.918844800000002</v>
      </c>
      <c r="AQ117" s="104">
        <f t="shared" si="728"/>
        <v>38.106263299999995</v>
      </c>
      <c r="AR117" s="41">
        <v>1.6</v>
      </c>
      <c r="AS117" s="41"/>
      <c r="AT117" s="129">
        <f>AT116+AL117-AS117</f>
        <v>1223.8999999999999</v>
      </c>
      <c r="AU117" s="82"/>
      <c r="AV117" s="42"/>
      <c r="AW117" s="43"/>
      <c r="AX117" s="44"/>
      <c r="AY117" s="44"/>
      <c r="AZ117" s="44"/>
      <c r="BA117" s="44"/>
      <c r="BB117" s="31"/>
    </row>
    <row r="118" spans="1:54">
      <c r="A118" s="147"/>
      <c r="B118" s="32">
        <v>3</v>
      </c>
      <c r="C118" s="143" t="s">
        <v>59</v>
      </c>
      <c r="D118" s="42">
        <v>20000</v>
      </c>
      <c r="E118" s="42">
        <v>2</v>
      </c>
      <c r="F118" s="42">
        <v>17594</v>
      </c>
      <c r="G118" s="36">
        <v>0.5</v>
      </c>
      <c r="H118" s="36">
        <v>4.7</v>
      </c>
      <c r="I118" s="42">
        <v>17237</v>
      </c>
      <c r="J118" s="36">
        <v>2.2999999999999998</v>
      </c>
      <c r="K118" s="42">
        <v>17081</v>
      </c>
      <c r="L118" s="38">
        <v>7.5999999999999998E-2</v>
      </c>
      <c r="M118" s="36">
        <f>ROUND(K118*(1-L118),0)</f>
        <v>15783</v>
      </c>
      <c r="N118" s="27">
        <v>0.76200000000000001</v>
      </c>
      <c r="O118" s="24">
        <f t="shared" si="1201"/>
        <v>12026.646000000001</v>
      </c>
      <c r="P118" s="38">
        <v>0.21299999999999999</v>
      </c>
      <c r="Q118" s="24">
        <f t="shared" si="1202"/>
        <v>3361.779</v>
      </c>
      <c r="R118" s="38">
        <v>2.5000000000000001E-2</v>
      </c>
      <c r="S118" s="105">
        <v>0.24440000000000001</v>
      </c>
      <c r="T118" s="24">
        <f t="shared" si="1203"/>
        <v>394.57500000000005</v>
      </c>
      <c r="U118" s="27">
        <v>0.252</v>
      </c>
      <c r="V118" s="24">
        <f t="shared" si="1204"/>
        <v>3977.3159999999998</v>
      </c>
      <c r="W118" s="38">
        <v>0.47799999999999998</v>
      </c>
      <c r="X118" s="24">
        <f t="shared" si="1205"/>
        <v>7544.2739999999994</v>
      </c>
      <c r="Y118" s="38">
        <v>0.46</v>
      </c>
      <c r="Z118" s="24">
        <f t="shared" si="1206"/>
        <v>7260.18</v>
      </c>
      <c r="AA118" s="118">
        <v>2.47E-3</v>
      </c>
      <c r="AB118" s="121">
        <f t="shared" si="767"/>
        <v>38.984009999999998</v>
      </c>
      <c r="AC118" s="45">
        <v>2.4499999999999999E-3</v>
      </c>
      <c r="AD118" s="17">
        <f t="shared" si="1208"/>
        <v>38.668349999999997</v>
      </c>
      <c r="AE118" s="26">
        <f>IF(M118&gt;0,(AG118+AP118)/M118,0)</f>
        <v>2.6737443198377999E-3</v>
      </c>
      <c r="AF118" s="45">
        <v>3.3E-4</v>
      </c>
      <c r="AG118" s="36">
        <f t="shared" si="1209"/>
        <v>5.2083899999999996</v>
      </c>
      <c r="AH118" s="27">
        <v>0.2077</v>
      </c>
      <c r="AI118" s="40">
        <f t="shared" si="1210"/>
        <v>33.980966199999997</v>
      </c>
      <c r="AJ118" s="27">
        <f t="shared" si="1211"/>
        <v>0.8666831346513626</v>
      </c>
      <c r="AK118" s="28">
        <f t="shared" si="683"/>
        <v>0.87785884026119065</v>
      </c>
      <c r="AL118" s="42">
        <v>179</v>
      </c>
      <c r="AM118" s="38">
        <v>8.5999999999999993E-2</v>
      </c>
      <c r="AN118" s="27">
        <v>0.2261</v>
      </c>
      <c r="AO118" s="105">
        <v>0.2102</v>
      </c>
      <c r="AP118" s="40">
        <f>AL118*(1-AM118)*AN118</f>
        <v>36.991316599999998</v>
      </c>
      <c r="AQ118" s="106">
        <f t="shared" si="728"/>
        <v>34.389981200000001</v>
      </c>
      <c r="AR118" s="17">
        <v>1.55</v>
      </c>
      <c r="AS118" s="17"/>
      <c r="AT118" s="129">
        <f>AT117+AL118-AS118</f>
        <v>1402.8999999999999</v>
      </c>
      <c r="AU118" s="82"/>
      <c r="AV118" s="42"/>
      <c r="AW118" s="46"/>
      <c r="AX118" s="40"/>
      <c r="AY118" s="40"/>
      <c r="AZ118" s="40"/>
      <c r="BA118" s="40"/>
      <c r="BB118" s="31"/>
    </row>
    <row r="119" spans="1:54">
      <c r="A119" s="148"/>
      <c r="B119" s="47" t="s">
        <v>56</v>
      </c>
      <c r="C119" s="48"/>
      <c r="D119" s="49">
        <f t="shared" ref="D119" si="1213">SUM(D116:D118)</f>
        <v>47344</v>
      </c>
      <c r="E119" s="49"/>
      <c r="F119" s="49">
        <f t="shared" ref="F119" si="1214">SUM(F116:F118)</f>
        <v>49552</v>
      </c>
      <c r="G119" s="50"/>
      <c r="H119" s="50"/>
      <c r="I119" s="49">
        <f t="shared" ref="I119:K119" si="1215">SUM(I116:I118)</f>
        <v>48439</v>
      </c>
      <c r="J119" s="50"/>
      <c r="K119" s="49">
        <f t="shared" si="1215"/>
        <v>51165</v>
      </c>
      <c r="L119" s="20">
        <f t="shared" ref="L119" si="1216">IF(K119&gt;0,(K116*L116+K117*L117+K118*L118)/K119,0)</f>
        <v>7.0672608228281045E-2</v>
      </c>
      <c r="M119" s="50">
        <f t="shared" ref="M119" si="1217">M116+M117+M118</f>
        <v>47549</v>
      </c>
      <c r="N119" s="51">
        <f t="shared" ref="N119" si="1218">IF(M119&gt;0,O119/M119,0)</f>
        <v>0.7309158762539697</v>
      </c>
      <c r="O119" s="52">
        <f t="shared" ref="O119" si="1219">O116+O117+O118</f>
        <v>34754.319000000003</v>
      </c>
      <c r="P119" s="20">
        <f t="shared" ref="P119" si="1220">IF(M119&gt;0,Q119/M119,0)</f>
        <v>0.24675639866243246</v>
      </c>
      <c r="Q119" s="52">
        <f t="shared" ref="Q119" si="1221">Q116+Q117+Q118</f>
        <v>11733.02</v>
      </c>
      <c r="R119" s="20">
        <f t="shared" ref="R119" si="1222">IF(M119&gt;0,T119/M119,0)</f>
        <v>2.2327725083597975E-2</v>
      </c>
      <c r="S119" s="107"/>
      <c r="T119" s="52">
        <f t="shared" ref="T119" si="1223">T116+T117+T118</f>
        <v>1061.6610000000001</v>
      </c>
      <c r="U119" s="20">
        <f t="shared" ref="U119" si="1224">IF(M119&gt;0,V119/M119,0)</f>
        <v>0.25166369429430691</v>
      </c>
      <c r="V119" s="52">
        <f t="shared" ref="V119" si="1225">V116+V117+V118</f>
        <v>11966.357</v>
      </c>
      <c r="W119" s="20">
        <f t="shared" ref="W119" si="1226">IF(M119&gt;0,X119/M119,0)</f>
        <v>0.4713329407558518</v>
      </c>
      <c r="X119" s="52">
        <f t="shared" ref="X119" si="1227">X116+X117+X118</f>
        <v>22411.409999999996</v>
      </c>
      <c r="Y119" s="20">
        <f t="shared" ref="Y119" si="1228">IF(M119&gt;0,Z119/M119,0)</f>
        <v>0.45331931270899495</v>
      </c>
      <c r="Z119" s="52">
        <f t="shared" ref="Z119" si="1229">Z116+Z117+Z118</f>
        <v>21554.880000000001</v>
      </c>
      <c r="AA119" s="119">
        <f t="shared" ref="AA119" si="1230">IF(M119&gt;0,AB119/M119,0)</f>
        <v>2.6768590296325891E-3</v>
      </c>
      <c r="AB119" s="54">
        <f t="shared" ref="AB119" si="1231">SUM(AB116:AB118)</f>
        <v>127.28196999999999</v>
      </c>
      <c r="AC119" s="53">
        <f t="shared" ref="AC119" si="1232">IF(M119&gt;0,AD119/M119,0)</f>
        <v>2.70697175545227E-3</v>
      </c>
      <c r="AD119" s="54">
        <f t="shared" ref="AD119" si="1233">SUM(AD116:AD118)</f>
        <v>128.71379999999999</v>
      </c>
      <c r="AE119" s="53">
        <f t="shared" ref="AE119" si="1234">IF(M119&gt;0,(AE116*M116+AE117*M117+AE118*M118)/M119,0)</f>
        <v>2.9031312940335234E-3</v>
      </c>
      <c r="AF119" s="53">
        <f t="shared" ref="AF119" si="1235">IF(K119&gt;0,(K116*AF116+K117*AF117+K118*AF118)/K119,0)</f>
        <v>3.1667682986416496E-4</v>
      </c>
      <c r="AG119" s="50">
        <f t="shared" ref="AG119" si="1236">SUM(AG116:AG118)</f>
        <v>15.05585</v>
      </c>
      <c r="AH119" s="51">
        <f t="shared" ref="AH119" si="1237">IF(K119&gt;0,(K116*AH116+K117*AH117+K118*AH118)/K119,0)</f>
        <v>0.20716550962572072</v>
      </c>
      <c r="AI119" s="56">
        <f t="shared" ref="AI119" si="1238">SUM(AI116:AI118)</f>
        <v>118.29692799999999</v>
      </c>
      <c r="AJ119" s="51">
        <f t="shared" ref="AJ119" si="1239">IF(AND(AD119&gt;0),((AD116*AJ116+AD117*AJ117+AD118*AJ118)/AD119),0)</f>
        <v>0.8843779156757573</v>
      </c>
      <c r="AK119" s="55">
        <f t="shared" si="683"/>
        <v>0.89222652713015038</v>
      </c>
      <c r="AL119" s="49">
        <f t="shared" ref="AL119" si="1240">SUM(AL116:AL118)</f>
        <v>631</v>
      </c>
      <c r="AM119" s="20">
        <f t="shared" ref="AM119" si="1241">IF(AL119&gt;0,(AM116*AL116+AM117*AL117+AM118*AL118)/AL119,0)</f>
        <v>9.4567353407290028E-2</v>
      </c>
      <c r="AN119" s="51">
        <f>IF(K119&gt;0,(AN116*K116+AN117*K117+AN118*K118)/K119,0)</f>
        <v>0.21607221929053064</v>
      </c>
      <c r="AO119" s="107">
        <f>IF(L119&gt;0,(AO116*K116+AO117*K117+AO118*K118)/K119,0)</f>
        <v>0.19804076223981237</v>
      </c>
      <c r="AP119" s="56">
        <f t="shared" ref="AP119" si="1242">SUM(AP116:AP118)</f>
        <v>122.98513990000001</v>
      </c>
      <c r="AQ119" s="108">
        <f t="shared" si="1110"/>
        <v>112.60298950000001</v>
      </c>
      <c r="AR119" s="54"/>
      <c r="AS119" s="54">
        <f t="shared" ref="AS119" si="1243">SUM(AS116:AS118)</f>
        <v>1069.26</v>
      </c>
      <c r="AT119" s="83"/>
      <c r="AU119" s="84">
        <f>AT118</f>
        <v>1402.8999999999999</v>
      </c>
      <c r="AV119" s="49">
        <f t="shared" ref="AV119" si="1244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53</v>
      </c>
      <c r="D120" s="11">
        <v>5155</v>
      </c>
      <c r="E120" s="11">
        <v>1</v>
      </c>
      <c r="F120" s="11">
        <v>5466</v>
      </c>
      <c r="G120" s="12">
        <v>2</v>
      </c>
      <c r="H120" s="12">
        <v>5.3</v>
      </c>
      <c r="I120" s="11">
        <v>6257</v>
      </c>
      <c r="J120" s="12">
        <v>4.3</v>
      </c>
      <c r="K120" s="11">
        <v>8243</v>
      </c>
      <c r="L120" s="13">
        <v>7.2999999999999995E-2</v>
      </c>
      <c r="M120" s="36">
        <f>ROUND(K120*(1-L120),0)</f>
        <v>7641</v>
      </c>
      <c r="N120" s="14">
        <v>0.68899999999999995</v>
      </c>
      <c r="O120" s="24">
        <f t="shared" ref="O120:O122" si="1245">M120*N120</f>
        <v>5264.6489999999994</v>
      </c>
      <c r="P120" s="13">
        <v>0.249</v>
      </c>
      <c r="Q120" s="24">
        <f t="shared" ref="Q120:Q122" si="1246">M120*P120</f>
        <v>1902.6089999999999</v>
      </c>
      <c r="R120" s="15">
        <v>6.2E-2</v>
      </c>
      <c r="S120" s="112">
        <v>0.19919999999999999</v>
      </c>
      <c r="T120" s="24">
        <f t="shared" ref="T120:T122" si="1247">M120*R120</f>
        <v>473.74200000000002</v>
      </c>
      <c r="U120" s="25">
        <v>0.19800000000000001</v>
      </c>
      <c r="V120" s="24">
        <f t="shared" ref="V120:V122" si="1248">M120*U120</f>
        <v>1512.9180000000001</v>
      </c>
      <c r="W120" s="15">
        <v>0.499</v>
      </c>
      <c r="X120" s="24">
        <f t="shared" ref="X120:X122" si="1249">M120*W120</f>
        <v>3812.8589999999999</v>
      </c>
      <c r="Y120" s="15">
        <v>0.46</v>
      </c>
      <c r="Z120" s="24">
        <f t="shared" ref="Z120:Z122" si="1250">Y120*M120</f>
        <v>3514.86</v>
      </c>
      <c r="AA120" s="116">
        <v>2.5200000000000001E-3</v>
      </c>
      <c r="AB120" s="18">
        <f t="shared" ref="AB120" si="1251">M120*AA120</f>
        <v>19.255320000000001</v>
      </c>
      <c r="AC120" s="16">
        <v>2.33E-3</v>
      </c>
      <c r="AD120" s="17">
        <f t="shared" ref="AD120:AD122" si="1252">M120*AC120</f>
        <v>17.803530000000002</v>
      </c>
      <c r="AE120" s="26">
        <f>IF(M120&gt;0,(AG120+AP120)/M120,0)</f>
        <v>3.6908648606203383E-3</v>
      </c>
      <c r="AF120" s="16">
        <v>2.9999999999999997E-4</v>
      </c>
      <c r="AG120" s="23">
        <f t="shared" ref="AG120:AG122" si="1253">AF120*M120</f>
        <v>2.2923</v>
      </c>
      <c r="AH120" s="92">
        <v>0.20180000000000001</v>
      </c>
      <c r="AI120" s="29">
        <f t="shared" ref="AI120:AI122" si="1254">AL120*(1-AM120)*AH120</f>
        <v>23.637237600000002</v>
      </c>
      <c r="AJ120" s="27">
        <f t="shared" ref="AJ120:AJ122" si="1255">IF(AND(AH120&gt;0,AF120&gt;0,AC120&gt;0),((AC120-AF120)*AH120)/((AH120-AF120)*AC120),0)</f>
        <v>0.8725417736078126</v>
      </c>
      <c r="AK120" s="58">
        <f t="shared" si="683"/>
        <v>0.91996593117321235</v>
      </c>
      <c r="AL120" s="11">
        <v>129</v>
      </c>
      <c r="AM120" s="13">
        <v>9.1999999999999998E-2</v>
      </c>
      <c r="AN120" s="14">
        <v>0.22120000000000001</v>
      </c>
      <c r="AO120" s="101">
        <v>0.18779999999999999</v>
      </c>
      <c r="AP120" s="29">
        <f>AL120*(1-AM120)*AN120</f>
        <v>25.909598400000004</v>
      </c>
      <c r="AQ120" s="102">
        <f t="shared" ref="AQ120" si="1256">AL120*(1-AM120)*AO120</f>
        <v>21.997389600000002</v>
      </c>
      <c r="AR120" s="18">
        <v>1.5</v>
      </c>
      <c r="AS120" s="18">
        <v>534.12</v>
      </c>
      <c r="AT120" s="79">
        <f>AT118+AL120-AS120+AU120</f>
        <v>1030.6999999999998</v>
      </c>
      <c r="AU120" s="80">
        <v>32.92</v>
      </c>
      <c r="AV120" s="11"/>
      <c r="AW120" s="30"/>
      <c r="AX120" s="19"/>
      <c r="AY120" s="19"/>
      <c r="AZ120" s="19"/>
      <c r="BA120" s="19"/>
      <c r="BB120" s="31"/>
    </row>
    <row r="121" spans="1:54">
      <c r="A121" s="147"/>
      <c r="B121" s="32">
        <v>2</v>
      </c>
      <c r="C121" s="10" t="s">
        <v>54</v>
      </c>
      <c r="D121" s="33">
        <v>13500</v>
      </c>
      <c r="E121" s="33">
        <v>2</v>
      </c>
      <c r="F121" s="33">
        <v>11487</v>
      </c>
      <c r="G121" s="34">
        <v>1.8</v>
      </c>
      <c r="H121" s="34">
        <v>5.0999999999999996</v>
      </c>
      <c r="I121" s="33">
        <v>11972</v>
      </c>
      <c r="J121" s="34">
        <v>4.8</v>
      </c>
      <c r="K121" s="33">
        <v>16725</v>
      </c>
      <c r="L121" s="35">
        <v>7.1999999999999995E-2</v>
      </c>
      <c r="M121" s="36">
        <f>ROUND(K121*(1-L121),0)</f>
        <v>15521</v>
      </c>
      <c r="N121" s="37">
        <v>0.63300000000000001</v>
      </c>
      <c r="O121" s="24">
        <f t="shared" si="1245"/>
        <v>9824.7929999999997</v>
      </c>
      <c r="P121" s="35">
        <v>0.27300000000000002</v>
      </c>
      <c r="Q121" s="24">
        <f t="shared" si="1246"/>
        <v>4237.2330000000002</v>
      </c>
      <c r="R121" s="38">
        <v>9.4E-2</v>
      </c>
      <c r="S121" s="105">
        <v>0.23269999999999999</v>
      </c>
      <c r="T121" s="24">
        <f t="shared" si="1247"/>
        <v>1458.9739999999999</v>
      </c>
      <c r="U121" s="27">
        <v>0.23200000000000001</v>
      </c>
      <c r="V121" s="24">
        <f t="shared" si="1248"/>
        <v>3600.8720000000003</v>
      </c>
      <c r="W121" s="38">
        <v>0.504</v>
      </c>
      <c r="X121" s="24">
        <f t="shared" si="1249"/>
        <v>7822.5839999999998</v>
      </c>
      <c r="Y121" s="38">
        <v>0.44</v>
      </c>
      <c r="Z121" s="24">
        <f t="shared" si="1250"/>
        <v>6829.24</v>
      </c>
      <c r="AA121" s="117">
        <v>2.47E-3</v>
      </c>
      <c r="AB121" s="18">
        <f t="shared" si="767"/>
        <v>38.336869999999998</v>
      </c>
      <c r="AC121" s="39">
        <v>2.48E-3</v>
      </c>
      <c r="AD121" s="17">
        <f t="shared" si="1252"/>
        <v>38.492080000000001</v>
      </c>
      <c r="AE121" s="26">
        <f>IF(M121&gt;0,(AG121+AP121)/M121,0)</f>
        <v>2.4009063526834614E-3</v>
      </c>
      <c r="AF121" s="39">
        <v>3.6000000000000002E-4</v>
      </c>
      <c r="AG121" s="36">
        <f t="shared" si="1253"/>
        <v>5.5875600000000007</v>
      </c>
      <c r="AH121" s="27">
        <v>0.20480000000000001</v>
      </c>
      <c r="AI121" s="40">
        <f t="shared" si="1254"/>
        <v>32.291840000000001</v>
      </c>
      <c r="AJ121" s="27">
        <f t="shared" si="1255"/>
        <v>0.85634400186820325</v>
      </c>
      <c r="AK121" s="28">
        <f t="shared" si="683"/>
        <v>0.85158260743360037</v>
      </c>
      <c r="AL121" s="33">
        <v>175</v>
      </c>
      <c r="AM121" s="35">
        <v>9.9000000000000005E-2</v>
      </c>
      <c r="AN121" s="37">
        <v>0.2009</v>
      </c>
      <c r="AO121" s="103">
        <v>0.18390000000000001</v>
      </c>
      <c r="AP121" s="40">
        <f>AL121*(1-AM121)*AN121</f>
        <v>31.676907500000002</v>
      </c>
      <c r="AQ121" s="104">
        <f t="shared" si="728"/>
        <v>28.996432500000004</v>
      </c>
      <c r="AR121" s="41">
        <v>1.58</v>
      </c>
      <c r="AS121" s="41"/>
      <c r="AT121" s="129">
        <f>AT120+AL121-AS121</f>
        <v>1205.6999999999998</v>
      </c>
      <c r="AU121" s="82"/>
      <c r="AV121" s="42"/>
      <c r="AW121" s="43"/>
      <c r="AX121" s="44"/>
      <c r="AY121" s="44"/>
      <c r="AZ121" s="44"/>
      <c r="BA121" s="44"/>
      <c r="BB121" s="31"/>
    </row>
    <row r="122" spans="1:54">
      <c r="A122" s="147"/>
      <c r="B122" s="32">
        <v>3</v>
      </c>
      <c r="C122" s="143" t="s">
        <v>58</v>
      </c>
      <c r="D122" s="42">
        <v>16300</v>
      </c>
      <c r="E122" s="42">
        <v>1</v>
      </c>
      <c r="F122" s="42">
        <v>17205</v>
      </c>
      <c r="G122" s="36">
        <v>1</v>
      </c>
      <c r="H122" s="36">
        <v>5.8</v>
      </c>
      <c r="I122" s="42">
        <v>16846</v>
      </c>
      <c r="J122" s="36">
        <v>4.5</v>
      </c>
      <c r="K122" s="42">
        <v>16612</v>
      </c>
      <c r="L122" s="38">
        <v>6.9000000000000006E-2</v>
      </c>
      <c r="M122" s="36">
        <f>ROUND(K122*(1-L122),0)</f>
        <v>15466</v>
      </c>
      <c r="N122" s="27">
        <v>0.66200000000000003</v>
      </c>
      <c r="O122" s="24">
        <f t="shared" si="1245"/>
        <v>10238.492</v>
      </c>
      <c r="P122" s="38">
        <v>0.25</v>
      </c>
      <c r="Q122" s="24">
        <f t="shared" si="1246"/>
        <v>3866.5</v>
      </c>
      <c r="R122" s="38">
        <v>8.7999999999999995E-2</v>
      </c>
      <c r="S122" s="105">
        <v>0.2278</v>
      </c>
      <c r="T122" s="24">
        <f t="shared" si="1247"/>
        <v>1361.0079999999998</v>
      </c>
      <c r="U122" s="27">
        <v>0.246</v>
      </c>
      <c r="V122" s="24">
        <f t="shared" si="1248"/>
        <v>3804.636</v>
      </c>
      <c r="W122" s="38">
        <v>0.46200000000000002</v>
      </c>
      <c r="X122" s="24">
        <f t="shared" si="1249"/>
        <v>7145.2920000000004</v>
      </c>
      <c r="Y122" s="38">
        <v>0.45</v>
      </c>
      <c r="Z122" s="24">
        <f t="shared" si="1250"/>
        <v>6959.7</v>
      </c>
      <c r="AA122" s="118">
        <v>2.5400000000000002E-3</v>
      </c>
      <c r="AB122" s="121">
        <f t="shared" si="767"/>
        <v>39.283640000000005</v>
      </c>
      <c r="AC122" s="45">
        <v>2.7299999999999998E-3</v>
      </c>
      <c r="AD122" s="17">
        <f t="shared" si="1252"/>
        <v>42.222179999999994</v>
      </c>
      <c r="AE122" s="26">
        <f>IF(M122&gt;0,(AG122+AP122)/M122,0)</f>
        <v>2.8574535755851549E-3</v>
      </c>
      <c r="AF122" s="45">
        <v>3.2000000000000003E-4</v>
      </c>
      <c r="AG122" s="36">
        <f t="shared" si="1253"/>
        <v>4.9491200000000006</v>
      </c>
      <c r="AH122" s="27">
        <v>0.2177</v>
      </c>
      <c r="AI122" s="40">
        <f t="shared" si="1254"/>
        <v>38.588413500000001</v>
      </c>
      <c r="AJ122" s="27">
        <f t="shared" si="1255"/>
        <v>0.88408340823466403</v>
      </c>
      <c r="AK122" s="28">
        <f t="shared" si="683"/>
        <v>0.8892975230452218</v>
      </c>
      <c r="AL122" s="42">
        <v>195</v>
      </c>
      <c r="AM122" s="38">
        <v>9.0999999999999998E-2</v>
      </c>
      <c r="AN122" s="27">
        <v>0.22140000000000001</v>
      </c>
      <c r="AO122" s="105">
        <v>0.20669999999999999</v>
      </c>
      <c r="AP122" s="40">
        <f>AL122*(1-AM122)*AN122</f>
        <v>39.244257000000005</v>
      </c>
      <c r="AQ122" s="106">
        <f t="shared" si="728"/>
        <v>36.638608499999997</v>
      </c>
      <c r="AR122" s="17">
        <v>1.55</v>
      </c>
      <c r="AS122" s="17"/>
      <c r="AT122" s="129">
        <f>AT121+AL122-AS122</f>
        <v>1400.6999999999998</v>
      </c>
      <c r="AU122" s="82"/>
      <c r="AV122" s="42"/>
      <c r="AW122" s="46"/>
      <c r="AX122" s="40"/>
      <c r="AY122" s="40"/>
      <c r="AZ122" s="40"/>
      <c r="BA122" s="40"/>
      <c r="BB122" s="31"/>
    </row>
    <row r="123" spans="1:54">
      <c r="A123" s="148"/>
      <c r="B123" s="47" t="s">
        <v>56</v>
      </c>
      <c r="C123" s="48"/>
      <c r="D123" s="49">
        <f t="shared" ref="D123" si="1257">SUM(D120:D122)</f>
        <v>34955</v>
      </c>
      <c r="E123" s="49"/>
      <c r="F123" s="49">
        <f t="shared" ref="F123" si="1258">SUM(F120:F122)</f>
        <v>34158</v>
      </c>
      <c r="G123" s="50"/>
      <c r="H123" s="50"/>
      <c r="I123" s="49">
        <f t="shared" ref="I123:K123" si="1259">SUM(I120:I122)</f>
        <v>35075</v>
      </c>
      <c r="J123" s="50"/>
      <c r="K123" s="49">
        <f t="shared" si="1259"/>
        <v>41580</v>
      </c>
      <c r="L123" s="20">
        <f t="shared" ref="L123" si="1260">IF(K123&gt;0,(K120*L120+K121*L121+K122*L122)/K123,0)</f>
        <v>7.0999687349687354E-2</v>
      </c>
      <c r="M123" s="50">
        <f t="shared" ref="M123" si="1261">M120+M121+M122</f>
        <v>38628</v>
      </c>
      <c r="N123" s="51">
        <f t="shared" ref="N123" si="1262">IF(M123&gt;0,O123/M123,0)</f>
        <v>0.65568846432639538</v>
      </c>
      <c r="O123" s="52">
        <f t="shared" ref="O123" si="1263">O120+O121+O122</f>
        <v>25327.934000000001</v>
      </c>
      <c r="P123" s="20">
        <f t="shared" ref="P123" si="1264">IF(M123&gt;0,Q123/M123,0)</f>
        <v>0.25904375064719892</v>
      </c>
      <c r="Q123" s="52">
        <f t="shared" ref="Q123" si="1265">Q120+Q121+Q122</f>
        <v>10006.342000000001</v>
      </c>
      <c r="R123" s="20">
        <f t="shared" ref="R123" si="1266">IF(M123&gt;0,T123/M123,0)</f>
        <v>8.526778502640571E-2</v>
      </c>
      <c r="S123" s="107"/>
      <c r="T123" s="52">
        <f t="shared" ref="T123" si="1267">T120+T121+T122</f>
        <v>3293.7239999999997</v>
      </c>
      <c r="U123" s="20">
        <f t="shared" ref="U123" si="1268">IF(M123&gt;0,V123/M123,0)</f>
        <v>0.23087982810396607</v>
      </c>
      <c r="V123" s="52">
        <f t="shared" ref="V123" si="1269">V120+V121+V122</f>
        <v>8918.4260000000013</v>
      </c>
      <c r="W123" s="20">
        <f t="shared" ref="W123" si="1270">IF(M123&gt;0,X123/M123,0)</f>
        <v>0.48619485865175521</v>
      </c>
      <c r="X123" s="52">
        <f t="shared" ref="X123" si="1271">X120+X121+X122</f>
        <v>18780.735000000001</v>
      </c>
      <c r="Y123" s="20">
        <f t="shared" ref="Y123" si="1272">IF(M123&gt;0,Z123/M123,0)</f>
        <v>0.44796002899451176</v>
      </c>
      <c r="Z123" s="52">
        <f t="shared" ref="Z123" si="1273">Z120+Z121+Z122</f>
        <v>17303.8</v>
      </c>
      <c r="AA123" s="119">
        <f t="shared" ref="AA123" si="1274">IF(M123&gt;0,AB123/M123,0)</f>
        <v>2.5079173138655899E-3</v>
      </c>
      <c r="AB123" s="54">
        <f t="shared" ref="AB123" si="1275">SUM(AB120:AB122)</f>
        <v>96.875830000000008</v>
      </c>
      <c r="AC123" s="53">
        <f t="shared" ref="AC123" si="1276">IF(M123&gt;0,AD123/M123,0)</f>
        <v>2.5504243036139585E-3</v>
      </c>
      <c r="AD123" s="54">
        <f t="shared" ref="AD123" si="1277">SUM(AD120:AD122)</f>
        <v>98.517789999999991</v>
      </c>
      <c r="AE123" s="53">
        <f t="shared" ref="AE123" si="1278">IF(M123&gt;0,(AE120*M120+AE121*M121+AE122*M122)/M123,0)</f>
        <v>2.8388667003210106E-3</v>
      </c>
      <c r="AF123" s="53">
        <f t="shared" ref="AF123" si="1279">IF(K123&gt;0,(K120*AF120+K121*AF121+K122*AF122)/K123,0)</f>
        <v>3.3212457912457918E-4</v>
      </c>
      <c r="AG123" s="50">
        <f t="shared" ref="AG123" si="1280">SUM(AG120:AG122)</f>
        <v>12.828980000000001</v>
      </c>
      <c r="AH123" s="51">
        <f t="shared" ref="AH123" si="1281">IF(K123&gt;0,(K120*AH120+K121*AH121+K122*AH122)/K123,0)</f>
        <v>0.20935906204906207</v>
      </c>
      <c r="AI123" s="56">
        <f t="shared" ref="AI123" si="1282">SUM(AI120:AI122)</f>
        <v>94.517491100000001</v>
      </c>
      <c r="AJ123" s="51">
        <f t="shared" ref="AJ123" si="1283">IF(AND(AD123&gt;0),((AD120*AJ120+AD121*AJ121+AD122*AJ122)/AD123),0)</f>
        <v>0.87115955674207057</v>
      </c>
      <c r="AK123" s="55">
        <f t="shared" si="683"/>
        <v>0.8843862965298277</v>
      </c>
      <c r="AL123" s="49">
        <f t="shared" ref="AL123" si="1284">SUM(AL120:AL122)</f>
        <v>499</v>
      </c>
      <c r="AM123" s="20">
        <f t="shared" ref="AM123" si="1285">IF(AL123&gt;0,(AM120*AL120+AM121*AL121+AM122*AL122)/AL123,0)</f>
        <v>9.406412825651303E-2</v>
      </c>
      <c r="AN123" s="51">
        <f>IF(K123&gt;0,(AN120*K120+AN121*K121+AN122*K122)/K123,0)</f>
        <v>0.21311449975949975</v>
      </c>
      <c r="AO123" s="107">
        <f>IF(L123&gt;0,(AO120*K120+AO121*K121+AO122*K122)/K123,0)</f>
        <v>0.19378218614718615</v>
      </c>
      <c r="AP123" s="56">
        <f t="shared" ref="AP123:AQ123" si="1286">SUM(AP120:AP122)</f>
        <v>96.830762900000011</v>
      </c>
      <c r="AQ123" s="108">
        <f t="shared" si="1286"/>
        <v>87.632430599999992</v>
      </c>
      <c r="AR123" s="54"/>
      <c r="AS123" s="54">
        <f t="shared" ref="AS123" si="1287">SUM(AS120:AS122)</f>
        <v>534.12</v>
      </c>
      <c r="AT123" s="83"/>
      <c r="AU123" s="84">
        <f>AT122</f>
        <v>1400.6999999999998</v>
      </c>
      <c r="AV123" s="49">
        <f t="shared" ref="AV123" si="1288">SUM(AV120:AV122)</f>
        <v>0</v>
      </c>
      <c r="AW123" s="57"/>
      <c r="AX123" s="56"/>
      <c r="AY123" s="56"/>
      <c r="AZ123" s="56"/>
      <c r="BA123" s="56"/>
      <c r="BB123" s="21"/>
    </row>
  </sheetData>
  <protectedRanges>
    <protectedRange sqref="Q1 V1 X1 Z1 O1 T1 AG1 AD1:AE1 AP1:AQ1 M1 AK1" name="Range1_1_1_1_1_1_1_1_1"/>
    <protectedRange sqref="AI1:AJ1" name="Range1_1_1_1_1_1_1"/>
    <protectedRange sqref="AB1" name="Range1_1_1_1_1_1_1_1_1_1_1_1_1"/>
    <protectedRange sqref="Q2:Q3 V2:V3 X2:X3 Z2:Z3 AP2:AQ3 O2:O3 T2:T3 AG2:AG3 AK2:AK3 AD2:AE3 M2:M3" name="Range1_1_1_1_1_1_1_1_1_1"/>
    <protectedRange sqref="AH3:AJ3 AI2:AJ2" name="Range1_1_1_1_1_1_1_1"/>
    <protectedRange sqref="AA3" name="Range1_1_1_1_1_1_1_1_1_1_1"/>
    <protectedRange sqref="AB3" name="Range1_1_1_1_1_1_1_1_1_1_1_1"/>
    <protectedRange sqref="AP4:AQ123 AK4:AK123 M4:M123" name="Range1_1_1_1_1_1_1_1_1_2"/>
    <protectedRange sqref="AH7:AJ7 AH4:AI6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" name="Range1_1_1_1_1_1_1_2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" name="Range1_1_1_1_1_2_2_1"/>
    <protectedRange sqref="O4:O123" name="Range1_1_1_1_1_5_1_1"/>
    <protectedRange sqref="Q4:Q123" name="Range1_1_1_1_1_7_1_1"/>
    <protectedRange sqref="T4:T123" name="Range1_1_1_1_1_8_1_1"/>
    <protectedRange sqref="V4:V123" name="Range1_1_1_1_1_10_1_1"/>
    <protectedRange sqref="X4:X123" name="Range1_1_1_1_1_12_1_1"/>
    <protectedRange sqref="Z4:Z123" name="Range1_1_1_1_1_16_1_1"/>
    <protectedRange sqref="AG4:AG123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B4:AB123" name="Range1_1_1_1_1_2_2_1_1_1_1"/>
  </protectedRanges>
  <mergeCells count="32">
    <mergeCell ref="A116:A119"/>
    <mergeCell ref="A120:A123"/>
    <mergeCell ref="A92:A95"/>
    <mergeCell ref="A96:A99"/>
    <mergeCell ref="A100:A103"/>
    <mergeCell ref="A104:A107"/>
    <mergeCell ref="A108:A111"/>
    <mergeCell ref="A112:A115"/>
    <mergeCell ref="A88:A91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40:A43"/>
    <mergeCell ref="AX1:AY1"/>
    <mergeCell ref="AZ1:BA1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B4D8-624B-43A1-82D0-C6F52F4105F5}">
  <dimension ref="A1:BB126"/>
  <sheetViews>
    <sheetView workbookViewId="0">
      <selection sqref="A1:XFD3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57</v>
      </c>
      <c r="D4" s="11">
        <v>4867</v>
      </c>
      <c r="E4" s="11">
        <v>0</v>
      </c>
      <c r="F4" s="11">
        <v>14526</v>
      </c>
      <c r="G4" s="12">
        <v>1.8</v>
      </c>
      <c r="H4" s="12">
        <v>4.8</v>
      </c>
      <c r="I4" s="11">
        <v>14364</v>
      </c>
      <c r="J4" s="12">
        <v>4.0999999999999996</v>
      </c>
      <c r="K4" s="11">
        <v>15196</v>
      </c>
      <c r="L4" s="13">
        <v>6.5000000000000002E-2</v>
      </c>
      <c r="M4" s="23">
        <f>ROUND(K4*(1-L4),0)</f>
        <v>14208</v>
      </c>
      <c r="N4" s="14">
        <v>0.68100000000000005</v>
      </c>
      <c r="O4" s="24">
        <f t="shared" ref="O4:O6" si="0">M4*N4</f>
        <v>9675.648000000001</v>
      </c>
      <c r="P4" s="13">
        <v>0.27700000000000002</v>
      </c>
      <c r="Q4" s="24">
        <f t="shared" ref="Q4:Q6" si="1">M4*P4</f>
        <v>3935.6160000000004</v>
      </c>
      <c r="R4" s="15">
        <v>4.2000000000000003E-2</v>
      </c>
      <c r="S4" s="111">
        <v>0.21190000000000001</v>
      </c>
      <c r="T4" s="24">
        <f t="shared" ref="T4:T6" si="2">M4*R4</f>
        <v>596.73599999999999</v>
      </c>
      <c r="U4" s="25">
        <v>0.223</v>
      </c>
      <c r="V4" s="24">
        <f t="shared" ref="V4:V6" si="3">M4*U4</f>
        <v>3168.384</v>
      </c>
      <c r="W4" s="15">
        <v>0.48499999999999999</v>
      </c>
      <c r="X4" s="24">
        <f>M4*W4</f>
        <v>6890.88</v>
      </c>
      <c r="Y4" s="15">
        <v>0.41</v>
      </c>
      <c r="Z4" s="96">
        <f t="shared" ref="Z4:Z6" si="4">Y4*M4</f>
        <v>5825.28</v>
      </c>
      <c r="AA4" s="116">
        <v>2.8700000000000002E-3</v>
      </c>
      <c r="AB4" s="18">
        <f>M4*AA4</f>
        <v>40.776960000000003</v>
      </c>
      <c r="AC4" s="16">
        <v>2.9399999999999999E-3</v>
      </c>
      <c r="AD4" s="18">
        <f>M4*AC4</f>
        <v>41.771519999999995</v>
      </c>
      <c r="AE4" s="26">
        <f>IF(M4&gt;0,(AG4+AP4)/M4,0)</f>
        <v>2.8253344172297296E-3</v>
      </c>
      <c r="AF4" s="16">
        <v>3.1E-4</v>
      </c>
      <c r="AG4" s="23">
        <f t="shared" ref="AG4:AG6" si="5">AF4*M4</f>
        <v>4.4044800000000004</v>
      </c>
      <c r="AH4" s="92">
        <v>0.21690000000000001</v>
      </c>
      <c r="AI4" s="29">
        <f>AL4*(1-AM4)*AH4</f>
        <v>33.455089799999996</v>
      </c>
      <c r="AJ4" s="27">
        <f>IF(AND(AH4&gt;0,AF4&gt;0,AC4&gt;0),((AC4-AF4)*AH4)/((AH4-AF4)*AC4),0)</f>
        <v>0.89583818198778653</v>
      </c>
      <c r="AK4" s="58">
        <f t="shared" ref="AK4:AK67" si="6">IF(AND(AE4&gt;0,AN4&gt;0,AF4&gt;0),((AN4*(AE4-AF4))/(AE4*(AN4-AF4))),0)</f>
        <v>0.891471207618171</v>
      </c>
      <c r="AL4" s="11">
        <v>171</v>
      </c>
      <c r="AM4" s="13">
        <v>9.8000000000000004E-2</v>
      </c>
      <c r="AN4" s="14">
        <v>0.23169999999999999</v>
      </c>
      <c r="AO4" s="101">
        <v>0.21809999999999999</v>
      </c>
      <c r="AP4" s="29">
        <f>AL4*(1-AM4)*AN4</f>
        <v>35.737871399999996</v>
      </c>
      <c r="AQ4" s="102">
        <f>AL4*(1-AM4)*AO4</f>
        <v>33.640180199999996</v>
      </c>
      <c r="AR4" s="18">
        <v>1.55</v>
      </c>
      <c r="AS4" s="18">
        <v>1030.7</v>
      </c>
      <c r="AT4" s="88">
        <f>AT3+AL4-AS4</f>
        <v>586.75999999999931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54</v>
      </c>
      <c r="D5" s="33">
        <v>22100</v>
      </c>
      <c r="E5" s="33">
        <v>5</v>
      </c>
      <c r="F5" s="33">
        <v>16556</v>
      </c>
      <c r="G5" s="34">
        <v>0.7</v>
      </c>
      <c r="H5" s="34">
        <v>5.0999999999999996</v>
      </c>
      <c r="I5" s="33">
        <v>15976</v>
      </c>
      <c r="J5" s="34">
        <v>4</v>
      </c>
      <c r="K5" s="33">
        <v>15203</v>
      </c>
      <c r="L5" s="35">
        <v>6.6000000000000003E-2</v>
      </c>
      <c r="M5" s="36">
        <f>ROUND(K5*(1-L5),0)</f>
        <v>14200</v>
      </c>
      <c r="N5" s="37">
        <v>0.65900000000000003</v>
      </c>
      <c r="O5" s="24">
        <f t="shared" si="0"/>
        <v>9357.8000000000011</v>
      </c>
      <c r="P5" s="35">
        <v>0.28599999999999998</v>
      </c>
      <c r="Q5" s="24">
        <f t="shared" si="1"/>
        <v>4061.2</v>
      </c>
      <c r="R5" s="38">
        <v>5.5E-2</v>
      </c>
      <c r="S5" s="105">
        <v>0.20660000000000001</v>
      </c>
      <c r="T5" s="24">
        <f t="shared" si="2"/>
        <v>781</v>
      </c>
      <c r="U5" s="27">
        <v>0.20300000000000001</v>
      </c>
      <c r="V5" s="24">
        <f t="shared" si="3"/>
        <v>2882.6000000000004</v>
      </c>
      <c r="W5" s="38">
        <v>0.51400000000000001</v>
      </c>
      <c r="X5" s="24">
        <f>M5*W5</f>
        <v>7298.8</v>
      </c>
      <c r="Y5" s="38">
        <v>0.4</v>
      </c>
      <c r="Z5" s="24">
        <f t="shared" si="4"/>
        <v>5680</v>
      </c>
      <c r="AA5" s="117">
        <v>2.9399999999999999E-3</v>
      </c>
      <c r="AB5" s="18">
        <f t="shared" ref="AB5:AB6" si="7">M5*AA5</f>
        <v>41.747999999999998</v>
      </c>
      <c r="AC5" s="39">
        <v>2.97E-3</v>
      </c>
      <c r="AD5" s="17">
        <f>M5*AC5</f>
        <v>42.173999999999999</v>
      </c>
      <c r="AE5" s="26">
        <f>IF(M5&gt;0,(AG5+AP5)/M5,0)</f>
        <v>3.2332040563380284E-3</v>
      </c>
      <c r="AF5" s="39">
        <v>3.1E-4</v>
      </c>
      <c r="AG5" s="36">
        <f t="shared" si="5"/>
        <v>4.4020000000000001</v>
      </c>
      <c r="AH5" s="27">
        <v>0.21940000000000001</v>
      </c>
      <c r="AI5" s="40">
        <f>AL5*(1-AM5)*AH5</f>
        <v>37.617446400000006</v>
      </c>
      <c r="AJ5" s="27">
        <f>IF(AND(AH5&gt;0,AF5&gt;0,AC5&gt;0),((AC5-AF5)*AH5)/((AH5-AF5)*AC5),0)</f>
        <v>0.8968901515343618</v>
      </c>
      <c r="AK5" s="28">
        <f t="shared" si="6"/>
        <v>0.90527905379386908</v>
      </c>
      <c r="AL5" s="33">
        <v>188</v>
      </c>
      <c r="AM5" s="35">
        <v>8.7999999999999995E-2</v>
      </c>
      <c r="AN5" s="37">
        <v>0.24210000000000001</v>
      </c>
      <c r="AO5" s="103">
        <v>0.22289999999999999</v>
      </c>
      <c r="AP5" s="40">
        <f>AL5*(1-AM5)*AN5</f>
        <v>41.509497600000003</v>
      </c>
      <c r="AQ5" s="104">
        <f t="shared" ref="AQ5:AQ6" si="8">AL5*(1-AM5)*AO5</f>
        <v>38.217542399999999</v>
      </c>
      <c r="AR5" s="41">
        <v>1.55</v>
      </c>
      <c r="AS5" s="41"/>
      <c r="AT5" s="88">
        <f>AT4+AL5-AS5</f>
        <v>774.75999999999931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53</v>
      </c>
      <c r="D6" s="42">
        <v>18800</v>
      </c>
      <c r="E6" s="42">
        <v>1</v>
      </c>
      <c r="F6" s="42">
        <v>17390</v>
      </c>
      <c r="G6" s="36">
        <v>0.9</v>
      </c>
      <c r="H6" s="36">
        <v>5.3</v>
      </c>
      <c r="I6" s="42">
        <v>17206</v>
      </c>
      <c r="J6" s="36">
        <v>2.5</v>
      </c>
      <c r="K6" s="42">
        <v>15190</v>
      </c>
      <c r="L6" s="38">
        <v>7.3999999999999996E-2</v>
      </c>
      <c r="M6" s="36">
        <f>ROUND(K6*(1-L6),0)</f>
        <v>14066</v>
      </c>
      <c r="N6" s="27">
        <v>0.69199999999999995</v>
      </c>
      <c r="O6" s="24">
        <f t="shared" si="0"/>
        <v>9733.6719999999987</v>
      </c>
      <c r="P6" s="38">
        <v>0.29499999999999998</v>
      </c>
      <c r="Q6" s="24">
        <f t="shared" si="1"/>
        <v>4149.4699999999993</v>
      </c>
      <c r="R6" s="38">
        <v>1.2999999999999999E-2</v>
      </c>
      <c r="S6" s="105">
        <v>0.2319</v>
      </c>
      <c r="T6" s="24">
        <f t="shared" si="2"/>
        <v>182.858</v>
      </c>
      <c r="U6" s="27">
        <v>0.21199999999999999</v>
      </c>
      <c r="V6" s="24">
        <f t="shared" si="3"/>
        <v>2981.9919999999997</v>
      </c>
      <c r="W6" s="38">
        <v>0.51100000000000001</v>
      </c>
      <c r="X6" s="24">
        <f>M6*W6</f>
        <v>7187.7260000000006</v>
      </c>
      <c r="Y6" s="38">
        <v>0.41</v>
      </c>
      <c r="Z6" s="24">
        <f t="shared" si="4"/>
        <v>5767.0599999999995</v>
      </c>
      <c r="AA6" s="118">
        <v>2.81E-3</v>
      </c>
      <c r="AB6" s="121">
        <f t="shared" si="7"/>
        <v>39.525460000000002</v>
      </c>
      <c r="AC6" s="45">
        <v>2.8600000000000001E-3</v>
      </c>
      <c r="AD6" s="17">
        <f>M6*AC6</f>
        <v>40.228760000000001</v>
      </c>
      <c r="AE6" s="26">
        <f>IF(M6&gt;0,(AG6+AP6)/M6,0)</f>
        <v>3.1365403099672968E-3</v>
      </c>
      <c r="AF6" s="45">
        <v>2.7E-4</v>
      </c>
      <c r="AG6" s="36">
        <f t="shared" si="5"/>
        <v>3.7978200000000002</v>
      </c>
      <c r="AH6" s="27">
        <v>0.2127</v>
      </c>
      <c r="AI6" s="40">
        <f>AL6*(1-AM6)*AH6</f>
        <v>35.615551499999995</v>
      </c>
      <c r="AJ6" s="27">
        <f>IF(AND(AH6&gt;0,AF6&gt;0,AC6&gt;0),((AC6-AF6)*AH6)/((AH6-AF6)*AC6),0)</f>
        <v>0.90674542235056299</v>
      </c>
      <c r="AK6" s="28">
        <f t="shared" si="6"/>
        <v>0.91494378466220827</v>
      </c>
      <c r="AL6" s="42">
        <v>183</v>
      </c>
      <c r="AM6" s="38">
        <v>8.5000000000000006E-2</v>
      </c>
      <c r="AN6" s="27">
        <v>0.24079999999999999</v>
      </c>
      <c r="AO6" s="105">
        <v>0.22559999999999999</v>
      </c>
      <c r="AP6" s="40">
        <f>AL6*(1-AM6)*AN6</f>
        <v>40.320755999999996</v>
      </c>
      <c r="AQ6" s="106">
        <f t="shared" si="8"/>
        <v>37.775591999999996</v>
      </c>
      <c r="AR6" s="17">
        <v>1.56</v>
      </c>
      <c r="AS6" s="17"/>
      <c r="AT6" s="88">
        <f>AT5+AL6-AS6</f>
        <v>957.75999999999931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45767</v>
      </c>
      <c r="E7" s="49"/>
      <c r="F7" s="49">
        <f>SUM(F4:F6)</f>
        <v>48472</v>
      </c>
      <c r="G7" s="50"/>
      <c r="H7" s="50"/>
      <c r="I7" s="49">
        <f>SUM(I4:I6)</f>
        <v>47546</v>
      </c>
      <c r="J7" s="50"/>
      <c r="K7" s="49">
        <f>SUM(K4:K6)</f>
        <v>45589</v>
      </c>
      <c r="L7" s="20">
        <f>IF(K7&gt;0,(K4*L4+K5*L5+K6*L6)/K7,0)</f>
        <v>6.833222926583167E-2</v>
      </c>
      <c r="M7" s="50">
        <f>M4+M5+M6</f>
        <v>42474</v>
      </c>
      <c r="N7" s="51">
        <f>IF(M7&gt;0,O7/M7,0)</f>
        <v>0.67728775250741635</v>
      </c>
      <c r="O7" s="52">
        <f>O4+O5+O6</f>
        <v>28767.120000000003</v>
      </c>
      <c r="P7" s="20">
        <f>IF(M7&gt;0,Q7/M7,0)</f>
        <v>0.28596991100437913</v>
      </c>
      <c r="Q7" s="52">
        <f>Q4+Q5+Q6</f>
        <v>12146.286</v>
      </c>
      <c r="R7" s="20">
        <f>IF(M7&gt;0,T7/M7,0)</f>
        <v>3.6742336488204547E-2</v>
      </c>
      <c r="S7" s="107"/>
      <c r="T7" s="52">
        <f>T4+T5+T6</f>
        <v>1560.5939999999998</v>
      </c>
      <c r="U7" s="20">
        <f>IF(M7&gt;0,V7/M7,0)</f>
        <v>0.21267071620285352</v>
      </c>
      <c r="V7" s="52">
        <f>V4+V5+V6</f>
        <v>9032.9760000000006</v>
      </c>
      <c r="W7" s="20">
        <f>IF(M7&gt;0,X7/M7,0)</f>
        <v>0.50330569289447669</v>
      </c>
      <c r="X7" s="52">
        <f>X4+X5+X6</f>
        <v>21377.406000000003</v>
      </c>
      <c r="Y7" s="20">
        <f>IF(M7&gt;0,Z7/M7,0)</f>
        <v>0.40665677826434987</v>
      </c>
      <c r="Z7" s="52">
        <f>Z4+Z5+Z6</f>
        <v>17272.339999999997</v>
      </c>
      <c r="AA7" s="119">
        <f>IF(M7&gt;0,AB7/M7,0)</f>
        <v>2.8735325140085699E-3</v>
      </c>
      <c r="AB7" s="54">
        <f t="shared" ref="AB7" si="9">SUM(AB4:AB6)</f>
        <v>122.05042</v>
      </c>
      <c r="AC7" s="53">
        <f>IF(M7&gt;0,AD7/M7,0)</f>
        <v>2.9235362810189759E-3</v>
      </c>
      <c r="AD7" s="54">
        <f>SUM(AD4:AD6)</f>
        <v>124.17427999999998</v>
      </c>
      <c r="AE7" s="53">
        <f>IF(M7&gt;0,(AE4*M4+AE5*M5+AE6*M6)/M7,0)</f>
        <v>3.0647554974808119E-3</v>
      </c>
      <c r="AF7" s="53">
        <f>IF(K7&gt;0,(K4*AF4+K5*AF5+K6*AF6)/K7,0)</f>
        <v>2.9667222356270155E-4</v>
      </c>
      <c r="AG7" s="50">
        <f>SUM(AG4:AG6)</f>
        <v>12.6043</v>
      </c>
      <c r="AH7" s="51">
        <f>IF(K7&gt;0,(K4*AH4+K5*AH5+K6*AH6)/K7,0)</f>
        <v>0.21633428239268246</v>
      </c>
      <c r="AI7" s="56">
        <f>SUM(AI4:AI6)</f>
        <v>106.6880877</v>
      </c>
      <c r="AJ7" s="51">
        <f>IF(AND(AD7&gt;0),((AD4*AJ4+AD5*AJ5+AD6*AJ6)/AD7),0)</f>
        <v>0.89972908853037914</v>
      </c>
      <c r="AK7" s="55">
        <f t="shared" si="6"/>
        <v>0.90432504359019339</v>
      </c>
      <c r="AL7" s="49">
        <f>SUM(AL4:AL6)</f>
        <v>542</v>
      </c>
      <c r="AM7" s="20">
        <f>IF(AL7&gt;0,(AM4*AL4+AM5*AL5+AM6*AL6)/AL7,0)</f>
        <v>9.0142066420664205E-2</v>
      </c>
      <c r="AN7" s="51">
        <f>IF(K7&gt;0,(AN4*K4+AN5*K5+AN6*K6)/K7,0)</f>
        <v>0.23820025664085634</v>
      </c>
      <c r="AO7" s="107">
        <f>IF(K7&gt;0,(AO4*K4+AO5*K5+AO6*K6)/K7,0)</f>
        <v>0.2221996600057031</v>
      </c>
      <c r="AP7" s="56">
        <f>SUM(AP4:AP6)</f>
        <v>117.56812499999998</v>
      </c>
      <c r="AQ7" s="108">
        <f t="shared" ref="AQ7" si="10">SUM(AQ4:AQ6)</f>
        <v>109.63331459999998</v>
      </c>
      <c r="AR7" s="54"/>
      <c r="AS7" s="54">
        <f>SUM(AS4:AS6)</f>
        <v>1030.7</v>
      </c>
      <c r="AT7" s="83"/>
      <c r="AU7" s="84">
        <f>AT6</f>
        <v>957.75999999999931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0" t="s">
        <v>57</v>
      </c>
      <c r="D8" s="11">
        <v>6000</v>
      </c>
      <c r="E8" s="11">
        <v>0</v>
      </c>
      <c r="F8" s="11">
        <v>10426</v>
      </c>
      <c r="G8" s="12">
        <v>0.5</v>
      </c>
      <c r="H8" s="12">
        <v>4.4000000000000004</v>
      </c>
      <c r="I8" s="11">
        <v>10540</v>
      </c>
      <c r="J8" s="12">
        <v>5.3</v>
      </c>
      <c r="K8" s="11">
        <v>15132</v>
      </c>
      <c r="L8" s="13">
        <v>6.7000000000000004E-2</v>
      </c>
      <c r="M8" s="23">
        <f>ROUND(K8*(1-L8),0)</f>
        <v>14118</v>
      </c>
      <c r="N8" s="14">
        <v>0.63200000000000001</v>
      </c>
      <c r="O8" s="24">
        <f t="shared" ref="O8:O10" si="11">M8*N8</f>
        <v>8922.5760000000009</v>
      </c>
      <c r="P8" s="13">
        <v>0.30299999999999999</v>
      </c>
      <c r="Q8" s="24">
        <f t="shared" ref="Q8:Q10" si="12">M8*P8</f>
        <v>4277.7539999999999</v>
      </c>
      <c r="R8" s="15">
        <v>6.5000000000000002E-2</v>
      </c>
      <c r="S8" s="112">
        <v>0.253</v>
      </c>
      <c r="T8" s="24">
        <f t="shared" ref="T8:T10" si="13">M8*R8</f>
        <v>917.67000000000007</v>
      </c>
      <c r="U8" s="25">
        <v>0.22800000000000001</v>
      </c>
      <c r="V8" s="24">
        <f t="shared" ref="V8:V10" si="14">M8*U8</f>
        <v>3218.904</v>
      </c>
      <c r="W8" s="15">
        <v>0.496</v>
      </c>
      <c r="X8" s="24">
        <f t="shared" ref="X8:X10" si="15">M8*W8</f>
        <v>7002.5280000000002</v>
      </c>
      <c r="Y8" s="15">
        <v>0.4</v>
      </c>
      <c r="Z8" s="24">
        <f t="shared" ref="Z8:Z10" si="16">Y8*M8</f>
        <v>5647.2000000000007</v>
      </c>
      <c r="AA8" s="116">
        <v>2.8500000000000001E-3</v>
      </c>
      <c r="AB8" s="18">
        <f>M8*AA8</f>
        <v>40.2363</v>
      </c>
      <c r="AC8" s="16">
        <v>2.8300000000000001E-3</v>
      </c>
      <c r="AD8" s="17">
        <f t="shared" ref="AD8:AD10" si="17">M8*AC8</f>
        <v>39.953940000000003</v>
      </c>
      <c r="AE8" s="26">
        <f>IF(M8&gt;0,(AG8+AP8)/M8,0)</f>
        <v>2.9038561410964728E-3</v>
      </c>
      <c r="AF8" s="16">
        <v>2.5999999999999998E-4</v>
      </c>
      <c r="AG8" s="23">
        <f t="shared" ref="AG8:AG10" si="18">AF8*M8</f>
        <v>3.6706799999999995</v>
      </c>
      <c r="AH8" s="92">
        <v>0.21390000000000001</v>
      </c>
      <c r="AI8" s="29">
        <f t="shared" ref="AI8:AI10" si="19">AL8*(1-AM8)*AH8</f>
        <v>33.859300500000003</v>
      </c>
      <c r="AJ8" s="27">
        <f t="shared" ref="AJ8:AJ10" si="20">IF(AND(AH8&gt;0,AF8&gt;0,AC8&gt;0),((AC8-AF8)*AH8)/((AH8-AF8)*AC8),0)</f>
        <v>0.90923239980337467</v>
      </c>
      <c r="AK8" s="58">
        <f t="shared" si="6"/>
        <v>0.9114688964561376</v>
      </c>
      <c r="AL8" s="11">
        <v>173</v>
      </c>
      <c r="AM8" s="13">
        <v>8.5000000000000006E-2</v>
      </c>
      <c r="AN8" s="14">
        <v>0.23580000000000001</v>
      </c>
      <c r="AO8" s="101">
        <v>0.21879999999999999</v>
      </c>
      <c r="AP8" s="29">
        <f>AL8*(1-AM8)*AN8</f>
        <v>37.325961000000007</v>
      </c>
      <c r="AQ8" s="102">
        <f t="shared" ref="AQ8:AQ27" si="21">AL8*(1-AM8)*AO8</f>
        <v>34.634945999999999</v>
      </c>
      <c r="AR8" s="18">
        <v>1.55</v>
      </c>
      <c r="AS8" s="18">
        <v>1002.98</v>
      </c>
      <c r="AT8" s="79">
        <f>AT6+AL8-AS8+AU8</f>
        <v>147.8999999999993</v>
      </c>
      <c r="AU8" s="80">
        <v>20.12</v>
      </c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43" t="s">
        <v>58</v>
      </c>
      <c r="D9" s="33">
        <v>19200</v>
      </c>
      <c r="E9" s="33">
        <v>1</v>
      </c>
      <c r="F9" s="33">
        <v>13613</v>
      </c>
      <c r="G9" s="34">
        <v>0.9</v>
      </c>
      <c r="H9" s="34">
        <v>6</v>
      </c>
      <c r="I9" s="33">
        <v>13030</v>
      </c>
      <c r="J9" s="34">
        <v>5</v>
      </c>
      <c r="K9" s="33">
        <v>15152</v>
      </c>
      <c r="L9" s="35">
        <v>6.5000000000000002E-2</v>
      </c>
      <c r="M9" s="36">
        <f>ROUND(K9*(1-L9),0)</f>
        <v>14167</v>
      </c>
      <c r="N9" s="37">
        <v>0.66600000000000004</v>
      </c>
      <c r="O9" s="24">
        <f t="shared" si="11"/>
        <v>9435.2219999999998</v>
      </c>
      <c r="P9" s="35">
        <v>0.29599999999999999</v>
      </c>
      <c r="Q9" s="24">
        <f t="shared" si="12"/>
        <v>4193.4319999999998</v>
      </c>
      <c r="R9" s="38">
        <v>3.7999999999999999E-2</v>
      </c>
      <c r="S9" s="105">
        <v>0.25829999999999997</v>
      </c>
      <c r="T9" s="24">
        <f t="shared" si="13"/>
        <v>538.346</v>
      </c>
      <c r="U9" s="27">
        <v>0.22500000000000001</v>
      </c>
      <c r="V9" s="24">
        <f t="shared" si="14"/>
        <v>3187.5750000000003</v>
      </c>
      <c r="W9" s="38">
        <v>0.48699999999999999</v>
      </c>
      <c r="X9" s="24">
        <f t="shared" si="15"/>
        <v>6899.3289999999997</v>
      </c>
      <c r="Y9" s="38">
        <v>0.4</v>
      </c>
      <c r="Z9" s="24">
        <f t="shared" si="16"/>
        <v>5666.8</v>
      </c>
      <c r="AA9" s="117">
        <v>2.8600000000000001E-3</v>
      </c>
      <c r="AB9" s="18">
        <f t="shared" ref="AB9:AB10" si="22">M9*AA9</f>
        <v>40.517620000000001</v>
      </c>
      <c r="AC9" s="39">
        <v>2.8400000000000001E-3</v>
      </c>
      <c r="AD9" s="17">
        <f t="shared" si="17"/>
        <v>40.234279999999998</v>
      </c>
      <c r="AE9" s="26">
        <f>IF(M9&gt;0,(AG9+AP9)/M9,0)</f>
        <v>3.1747677419354842E-3</v>
      </c>
      <c r="AF9" s="39">
        <v>2.2000000000000001E-4</v>
      </c>
      <c r="AG9" s="36">
        <f t="shared" si="18"/>
        <v>3.1167400000000001</v>
      </c>
      <c r="AH9" s="27">
        <v>0.20730000000000001</v>
      </c>
      <c r="AI9" s="40">
        <f t="shared" si="19"/>
        <v>36.568134600000008</v>
      </c>
      <c r="AJ9" s="27">
        <f t="shared" si="20"/>
        <v>0.92351530469274978</v>
      </c>
      <c r="AK9" s="28">
        <f t="shared" si="6"/>
        <v>0.93156724497084997</v>
      </c>
      <c r="AL9" s="33">
        <v>193</v>
      </c>
      <c r="AM9" s="35">
        <v>8.5999999999999993E-2</v>
      </c>
      <c r="AN9" s="37">
        <v>0.23730000000000001</v>
      </c>
      <c r="AO9" s="103">
        <v>0.20599999999999999</v>
      </c>
      <c r="AP9" s="40">
        <f>AL9*(1-AM9)*AN9</f>
        <v>41.860194600000007</v>
      </c>
      <c r="AQ9" s="104">
        <f t="shared" si="21"/>
        <v>36.338812000000004</v>
      </c>
      <c r="AR9" s="41">
        <v>1.55</v>
      </c>
      <c r="AS9" s="41"/>
      <c r="AT9" s="88">
        <f>AT8+AL9-AS9</f>
        <v>340.8999999999993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54</v>
      </c>
      <c r="D10" s="42">
        <v>13100</v>
      </c>
      <c r="E10" s="42">
        <v>1</v>
      </c>
      <c r="F10" s="42">
        <v>16496</v>
      </c>
      <c r="G10" s="36">
        <v>0.4</v>
      </c>
      <c r="H10" s="36">
        <v>5</v>
      </c>
      <c r="I10" s="42">
        <v>15663</v>
      </c>
      <c r="J10" s="36">
        <v>4.2</v>
      </c>
      <c r="K10" s="42">
        <v>15162</v>
      </c>
      <c r="L10" s="38">
        <v>6.9000000000000006E-2</v>
      </c>
      <c r="M10" s="36">
        <f>ROUND(K10*(1-L10),0)</f>
        <v>14116</v>
      </c>
      <c r="N10" s="27">
        <v>0.70399999999999996</v>
      </c>
      <c r="O10" s="24">
        <f t="shared" si="11"/>
        <v>9937.6639999999989</v>
      </c>
      <c r="P10" s="38">
        <v>0.26800000000000002</v>
      </c>
      <c r="Q10" s="24">
        <f t="shared" si="12"/>
        <v>3783.0880000000002</v>
      </c>
      <c r="R10" s="38">
        <v>2.8000000000000001E-2</v>
      </c>
      <c r="S10" s="105">
        <v>0.25679999999999997</v>
      </c>
      <c r="T10" s="24">
        <f t="shared" si="13"/>
        <v>395.24799999999999</v>
      </c>
      <c r="U10" s="27">
        <v>0.217</v>
      </c>
      <c r="V10" s="24">
        <f t="shared" si="14"/>
        <v>3063.172</v>
      </c>
      <c r="W10" s="38">
        <v>0.499</v>
      </c>
      <c r="X10" s="24">
        <f t="shared" si="15"/>
        <v>7043.884</v>
      </c>
      <c r="Y10" s="38">
        <v>0.4</v>
      </c>
      <c r="Z10" s="24">
        <f t="shared" si="16"/>
        <v>5646.4000000000005</v>
      </c>
      <c r="AA10" s="118">
        <v>3.0200000000000001E-3</v>
      </c>
      <c r="AB10" s="121">
        <f t="shared" si="22"/>
        <v>42.630320000000005</v>
      </c>
      <c r="AC10" s="45">
        <v>2.96E-3</v>
      </c>
      <c r="AD10" s="17">
        <f t="shared" si="17"/>
        <v>41.783360000000002</v>
      </c>
      <c r="AE10" s="26">
        <f>IF(M10&gt;0,(AG10+AP10)/M10,0)</f>
        <v>3.1366409322754318E-3</v>
      </c>
      <c r="AF10" s="45">
        <v>2.7999999999999998E-4</v>
      </c>
      <c r="AG10" s="36">
        <f t="shared" si="18"/>
        <v>3.9524799999999995</v>
      </c>
      <c r="AH10" s="27">
        <v>0.2099</v>
      </c>
      <c r="AI10" s="40">
        <f t="shared" si="19"/>
        <v>36.032693399999999</v>
      </c>
      <c r="AJ10" s="27">
        <f t="shared" si="20"/>
        <v>0.90661480104281378</v>
      </c>
      <c r="AK10" s="28">
        <f t="shared" si="6"/>
        <v>0.91181941574104675</v>
      </c>
      <c r="AL10" s="42">
        <v>187</v>
      </c>
      <c r="AM10" s="38">
        <v>8.2000000000000003E-2</v>
      </c>
      <c r="AN10" s="27">
        <v>0.2349</v>
      </c>
      <c r="AO10" s="105">
        <v>0.22320000000000001</v>
      </c>
      <c r="AP10" s="40">
        <f>AL10*(1-AM10)*AN10</f>
        <v>40.324343399999997</v>
      </c>
      <c r="AQ10" s="106">
        <f t="shared" si="21"/>
        <v>38.315851200000004</v>
      </c>
      <c r="AR10" s="17">
        <v>1.55</v>
      </c>
      <c r="AS10" s="17"/>
      <c r="AT10" s="88">
        <f>AT9+AL10-AS10</f>
        <v>527.8999999999993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38300</v>
      </c>
      <c r="E11" s="49"/>
      <c r="F11" s="49">
        <f t="shared" ref="F11" si="24">SUM(F8:F10)</f>
        <v>40535</v>
      </c>
      <c r="G11" s="50"/>
      <c r="H11" s="50"/>
      <c r="I11" s="49">
        <f t="shared" ref="I11:K11" si="25">SUM(I8:I10)</f>
        <v>39233</v>
      </c>
      <c r="J11" s="50"/>
      <c r="K11" s="49">
        <f t="shared" si="25"/>
        <v>45446</v>
      </c>
      <c r="L11" s="20">
        <f t="shared" ref="L11" si="26">IF(K11&gt;0,(K8*L8+K9*L9+K10*L10)/K11,0)</f>
        <v>6.7000440082735549E-2</v>
      </c>
      <c r="M11" s="50">
        <f t="shared" ref="M11" si="27">M8+M9+M10</f>
        <v>42401</v>
      </c>
      <c r="N11" s="51">
        <f t="shared" ref="N11" si="28">IF(M11&gt;0,O11/M11,0)</f>
        <v>0.66733006297021291</v>
      </c>
      <c r="O11" s="52">
        <f t="shared" ref="O11" si="29">O8+O9+O10</f>
        <v>28295.462</v>
      </c>
      <c r="P11" s="20">
        <f t="shared" ref="P11" si="30">IF(M11&gt;0,Q11/M11,0)</f>
        <v>0.2890090799745289</v>
      </c>
      <c r="Q11" s="52">
        <f t="shared" ref="Q11" si="31">Q8+Q9+Q10</f>
        <v>12254.273999999999</v>
      </c>
      <c r="R11" s="20">
        <f t="shared" ref="R11" si="32">IF(M11&gt;0,T11/M11,0)</f>
        <v>4.3660857055258136E-2</v>
      </c>
      <c r="S11" s="107"/>
      <c r="T11" s="52">
        <f t="shared" ref="T11" si="33">T8+T9+T10</f>
        <v>1851.2640000000001</v>
      </c>
      <c r="U11" s="20">
        <f t="shared" ref="U11" si="34">IF(M11&gt;0,V11/M11,0)</f>
        <v>0.22333555812362915</v>
      </c>
      <c r="V11" s="52">
        <f t="shared" ref="V11" si="35">V8+V9+V10</f>
        <v>9469.6509999999998</v>
      </c>
      <c r="W11" s="20">
        <f t="shared" ref="W11" si="36">IF(M11&gt;0,X11/M11,0)</f>
        <v>0.49399167472465277</v>
      </c>
      <c r="X11" s="52">
        <f t="shared" ref="X11" si="37">X8+X9+X10</f>
        <v>20945.741000000002</v>
      </c>
      <c r="Y11" s="20">
        <f t="shared" ref="Y11" si="38">IF(M11&gt;0,Z11/M11,0)</f>
        <v>0.4</v>
      </c>
      <c r="Z11" s="52">
        <f t="shared" ref="Z11" si="39">Z8+Z9+Z10</f>
        <v>16960.400000000001</v>
      </c>
      <c r="AA11" s="119">
        <f t="shared" ref="AA11" si="40">IF(M11&gt;0,AB11/M11,0)</f>
        <v>2.9099370297870335E-3</v>
      </c>
      <c r="AB11" s="54">
        <f t="shared" ref="AB11" si="41">SUM(AB8:AB10)</f>
        <v>123.38424000000001</v>
      </c>
      <c r="AC11" s="53">
        <f t="shared" ref="AC11" si="42">IF(M11&gt;0,AD11/M11,0)</f>
        <v>2.8766203627272943E-3</v>
      </c>
      <c r="AD11" s="54">
        <f t="shared" ref="AD11" si="43">SUM(AD8:AD10)</f>
        <v>121.97158</v>
      </c>
      <c r="AE11" s="53">
        <f t="shared" ref="AE11" si="44">IF(M11&gt;0,(AE8*M8+AE9*M9+AE10*M10)/M11,0)</f>
        <v>3.0718709228555936E-3</v>
      </c>
      <c r="AF11" s="53">
        <f t="shared" ref="AF11" si="45">IF(K11&gt;0,(K8*AF8+K9*AF9+K10*AF10)/K11,0)</f>
        <v>2.5333626721823701E-4</v>
      </c>
      <c r="AG11" s="50">
        <f t="shared" ref="AG11" si="46">SUM(AG8:AG10)</f>
        <v>10.739899999999999</v>
      </c>
      <c r="AH11" s="51">
        <f t="shared" ref="AH11" si="47">IF(K11&gt;0,(K8*AH8+K9*AH9+K10*AH10)/K11,0)</f>
        <v>0.21036500902169608</v>
      </c>
      <c r="AI11" s="56">
        <f t="shared" ref="AI11" si="48">SUM(AI8:AI10)</f>
        <v>106.46012850000001</v>
      </c>
      <c r="AJ11" s="51">
        <f t="shared" ref="AJ11" si="49">IF(AND(AD11&gt;0),((AD8*AJ8+AD9*AJ9+AD10*AJ10)/AD11),0)</f>
        <v>0.9130471435591283</v>
      </c>
      <c r="AK11" s="55">
        <f t="shared" si="6"/>
        <v>0.9185162920304073</v>
      </c>
      <c r="AL11" s="49">
        <f t="shared" ref="AL11" si="50">SUM(AL8:AL10)</f>
        <v>553</v>
      </c>
      <c r="AM11" s="20">
        <f t="shared" ref="AM11" si="51">IF(AL11&gt;0,(AM8*AL8+AM9*AL9+AM10*AL10)/AL11,0)</f>
        <v>8.433453887884268E-2</v>
      </c>
      <c r="AN11" s="51">
        <f>IF(K11&gt;0,(AN8*K8+AN9*K9+AN10*K10)/K11,0)</f>
        <v>0.23599984597104254</v>
      </c>
      <c r="AO11" s="107">
        <f>IF(K11&gt;0,(AO8*K8+AO9*K9+AO10*K10)/K11,0)</f>
        <v>0.21600035206618842</v>
      </c>
      <c r="AP11" s="56">
        <f t="shared" ref="AP11:AQ23" si="52">SUM(AP8:AP10)</f>
        <v>119.51049900000001</v>
      </c>
      <c r="AQ11" s="108">
        <f t="shared" si="52"/>
        <v>109.2896092</v>
      </c>
      <c r="AR11" s="54"/>
      <c r="AS11" s="54">
        <f t="shared" ref="AS11" si="53">SUM(AS8:AS10)</f>
        <v>1002.98</v>
      </c>
      <c r="AT11" s="83"/>
      <c r="AU11" s="84">
        <f>AT10</f>
        <v>527.8999999999993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53</v>
      </c>
      <c r="D12" s="11">
        <v>5400</v>
      </c>
      <c r="E12" s="11">
        <v>0</v>
      </c>
      <c r="F12" s="11">
        <v>11628</v>
      </c>
      <c r="G12" s="12">
        <v>0.4</v>
      </c>
      <c r="H12" s="12">
        <v>4.4000000000000004</v>
      </c>
      <c r="I12" s="11">
        <v>11742</v>
      </c>
      <c r="J12" s="12">
        <v>5.4</v>
      </c>
      <c r="K12" s="11">
        <v>15146</v>
      </c>
      <c r="L12" s="13">
        <v>7.1999999999999995E-2</v>
      </c>
      <c r="M12" s="23">
        <f>ROUND(K12*(1-L12),0)</f>
        <v>14055</v>
      </c>
      <c r="N12" s="14">
        <v>0.63400000000000001</v>
      </c>
      <c r="O12" s="24">
        <f t="shared" ref="O12:O14" si="55">M12*N12</f>
        <v>8910.8700000000008</v>
      </c>
      <c r="P12" s="13">
        <v>0.32400000000000001</v>
      </c>
      <c r="Q12" s="24">
        <f t="shared" ref="Q12:Q14" si="56">M12*P12</f>
        <v>4553.82</v>
      </c>
      <c r="R12" s="15">
        <v>4.2000000000000003E-2</v>
      </c>
      <c r="S12" s="112">
        <v>0.25690000000000002</v>
      </c>
      <c r="T12" s="24">
        <f t="shared" ref="T12:T14" si="57">M12*R12</f>
        <v>590.31000000000006</v>
      </c>
      <c r="U12" s="25">
        <v>0.224</v>
      </c>
      <c r="V12" s="24">
        <f t="shared" ref="V12:V14" si="58">M12*U12</f>
        <v>3148.32</v>
      </c>
      <c r="W12" s="15">
        <v>0.5</v>
      </c>
      <c r="X12" s="24">
        <f t="shared" ref="X12:X14" si="59">M12*W12</f>
        <v>7027.5</v>
      </c>
      <c r="Y12" s="15">
        <v>0.4</v>
      </c>
      <c r="Z12" s="24">
        <f t="shared" ref="Z12:Z14" si="60">Y12*M12</f>
        <v>5622</v>
      </c>
      <c r="AA12" s="116">
        <v>3.0500000000000002E-3</v>
      </c>
      <c r="AB12" s="18">
        <f t="shared" ref="AB12:AB27" si="61">M12*AA12</f>
        <v>42.867750000000001</v>
      </c>
      <c r="AC12" s="16">
        <v>2.9199999999999999E-3</v>
      </c>
      <c r="AD12" s="17">
        <f t="shared" ref="AD12:AD14" si="62">M12*AC12</f>
        <v>41.040599999999998</v>
      </c>
      <c r="AE12" s="26">
        <f>IF(M12&gt;0,(AG12+AP12)/M12,0)</f>
        <v>3.0085387406616863E-3</v>
      </c>
      <c r="AF12" s="16">
        <v>2.7999999999999998E-4</v>
      </c>
      <c r="AG12" s="23">
        <f t="shared" ref="AG12:AG14" si="63">AF12*M12</f>
        <v>3.9353999999999996</v>
      </c>
      <c r="AH12" s="92">
        <v>0.2107</v>
      </c>
      <c r="AI12" s="29">
        <f t="shared" ref="AI12:AI14" si="64">AL12*(1-AM12)*AH12</f>
        <v>34.664363999999999</v>
      </c>
      <c r="AJ12" s="27">
        <v>5.3999999999999999E-2</v>
      </c>
      <c r="AK12" s="58">
        <f t="shared" si="6"/>
        <v>0.90802227987073347</v>
      </c>
      <c r="AL12" s="11">
        <v>180</v>
      </c>
      <c r="AM12" s="13">
        <v>8.5999999999999993E-2</v>
      </c>
      <c r="AN12" s="14">
        <v>0.2331</v>
      </c>
      <c r="AO12" s="101">
        <v>0.222</v>
      </c>
      <c r="AP12" s="29">
        <f>AL12*(1-AM12)*AN12</f>
        <v>38.349612</v>
      </c>
      <c r="AQ12" s="102">
        <f t="shared" ref="AQ12" si="65">AL12*(1-AM12)*AO12</f>
        <v>36.523440000000001</v>
      </c>
      <c r="AR12" s="18">
        <v>1.55</v>
      </c>
      <c r="AS12" s="18">
        <v>509.08</v>
      </c>
      <c r="AT12" s="79">
        <f>AT10+AL12-AS12+AU12</f>
        <v>202.9599999999993</v>
      </c>
      <c r="AU12" s="80">
        <v>4.1399999999999997</v>
      </c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43" t="s">
        <v>58</v>
      </c>
      <c r="D13" s="33">
        <v>19000</v>
      </c>
      <c r="E13" s="33">
        <v>4</v>
      </c>
      <c r="F13" s="33">
        <v>15589</v>
      </c>
      <c r="G13" s="34">
        <v>2.4</v>
      </c>
      <c r="H13" s="34">
        <v>6.2</v>
      </c>
      <c r="I13" s="33">
        <v>15357</v>
      </c>
      <c r="J13" s="34">
        <v>5.3</v>
      </c>
      <c r="K13" s="33">
        <v>14649</v>
      </c>
      <c r="L13" s="35">
        <v>7.0999999999999994E-2</v>
      </c>
      <c r="M13" s="36">
        <f>ROUND(K13*(1-L13),0)</f>
        <v>13609</v>
      </c>
      <c r="N13" s="37">
        <v>0.66400000000000003</v>
      </c>
      <c r="O13" s="24">
        <f t="shared" si="55"/>
        <v>9036.3760000000002</v>
      </c>
      <c r="P13" s="35">
        <v>0.26</v>
      </c>
      <c r="Q13" s="24">
        <f t="shared" si="56"/>
        <v>3538.34</v>
      </c>
      <c r="R13" s="38">
        <v>7.5999999999999998E-2</v>
      </c>
      <c r="S13" s="105">
        <v>0.19950000000000001</v>
      </c>
      <c r="T13" s="24">
        <f t="shared" si="57"/>
        <v>1034.2839999999999</v>
      </c>
      <c r="U13" s="27">
        <v>0.20799999999999999</v>
      </c>
      <c r="V13" s="24">
        <f t="shared" si="58"/>
        <v>2830.672</v>
      </c>
      <c r="W13" s="38">
        <v>0.47199999999999998</v>
      </c>
      <c r="X13" s="24">
        <f t="shared" si="59"/>
        <v>6423.4479999999994</v>
      </c>
      <c r="Y13" s="38">
        <v>0.4</v>
      </c>
      <c r="Z13" s="24">
        <f t="shared" si="60"/>
        <v>5443.6</v>
      </c>
      <c r="AA13" s="117">
        <v>2.8400000000000001E-3</v>
      </c>
      <c r="AB13" s="18">
        <f t="shared" si="61"/>
        <v>38.649560000000001</v>
      </c>
      <c r="AC13" s="39">
        <v>2.7899999999999999E-3</v>
      </c>
      <c r="AD13" s="17">
        <f t="shared" si="62"/>
        <v>37.969110000000001</v>
      </c>
      <c r="AE13" s="26">
        <f>IF(M13&gt;0,(AG13+AP13)/M13,0)</f>
        <v>3.0842114483062679E-3</v>
      </c>
      <c r="AF13" s="39">
        <v>2.7999999999999998E-4</v>
      </c>
      <c r="AG13" s="36">
        <f t="shared" si="63"/>
        <v>3.8105199999999995</v>
      </c>
      <c r="AH13" s="27">
        <v>0.21110000000000001</v>
      </c>
      <c r="AI13" s="40">
        <f t="shared" si="64"/>
        <v>34.310505200000001</v>
      </c>
      <c r="AJ13" s="27">
        <f t="shared" ref="AJ13:AJ14" si="66">IF(AND(AH13&gt;0,AF13&gt;0,AC13&gt;0),((AC13-AF13)*AH13)/((AH13-AF13)*AC13),0)</f>
        <v>0.90083643353364351</v>
      </c>
      <c r="AK13" s="28">
        <f t="shared" si="6"/>
        <v>0.91030058152438731</v>
      </c>
      <c r="AL13" s="33">
        <v>179</v>
      </c>
      <c r="AM13" s="35">
        <v>9.1999999999999998E-2</v>
      </c>
      <c r="AN13" s="37">
        <v>0.23480000000000001</v>
      </c>
      <c r="AO13" s="103">
        <v>0.22470000000000001</v>
      </c>
      <c r="AP13" s="40">
        <f>AL13*(1-AM13)*AN13</f>
        <v>38.162513600000004</v>
      </c>
      <c r="AQ13" s="104">
        <f t="shared" si="21"/>
        <v>36.520940400000001</v>
      </c>
      <c r="AR13" s="41">
        <v>1.55</v>
      </c>
      <c r="AS13" s="41"/>
      <c r="AT13" s="88">
        <f>AT12+AL13-AS13</f>
        <v>381.9599999999993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57</v>
      </c>
      <c r="D14" s="42">
        <v>16400</v>
      </c>
      <c r="E14" s="42">
        <v>1</v>
      </c>
      <c r="F14" s="42">
        <v>13403</v>
      </c>
      <c r="G14" s="36">
        <v>2.9</v>
      </c>
      <c r="H14" s="36">
        <v>5.5</v>
      </c>
      <c r="I14" s="42">
        <v>12583</v>
      </c>
      <c r="J14" s="36">
        <v>5.7</v>
      </c>
      <c r="K14" s="42">
        <v>16291</v>
      </c>
      <c r="L14" s="38">
        <v>7.0999999999999994E-2</v>
      </c>
      <c r="M14" s="36">
        <f>ROUND(K14*(1-L14),0)</f>
        <v>15134</v>
      </c>
      <c r="N14" s="27">
        <v>0.65400000000000003</v>
      </c>
      <c r="O14" s="24">
        <f t="shared" si="55"/>
        <v>9897.6360000000004</v>
      </c>
      <c r="P14" s="38">
        <v>0.24199999999999999</v>
      </c>
      <c r="Q14" s="24">
        <f t="shared" si="56"/>
        <v>3662.4279999999999</v>
      </c>
      <c r="R14" s="38">
        <v>0.104</v>
      </c>
      <c r="S14" s="105">
        <v>0.24560000000000001</v>
      </c>
      <c r="T14" s="24">
        <f t="shared" si="57"/>
        <v>1573.9359999999999</v>
      </c>
      <c r="U14" s="27">
        <v>0.22900000000000001</v>
      </c>
      <c r="V14" s="24">
        <f t="shared" si="58"/>
        <v>3465.6860000000001</v>
      </c>
      <c r="W14" s="38">
        <v>0.46200000000000002</v>
      </c>
      <c r="X14" s="24">
        <f t="shared" si="59"/>
        <v>6991.9080000000004</v>
      </c>
      <c r="Y14" s="38">
        <v>0.42</v>
      </c>
      <c r="Z14" s="24">
        <f t="shared" si="60"/>
        <v>6356.28</v>
      </c>
      <c r="AA14" s="118">
        <v>2.8300000000000001E-3</v>
      </c>
      <c r="AB14" s="121">
        <f t="shared" si="61"/>
        <v>42.829219999999999</v>
      </c>
      <c r="AC14" s="45">
        <v>2.9299999999999999E-3</v>
      </c>
      <c r="AD14" s="17">
        <f t="shared" si="62"/>
        <v>44.342619999999997</v>
      </c>
      <c r="AE14" s="26">
        <f>IF(M14&gt;0,(AG14+AP14)/M14,0)</f>
        <v>2.9172870093828467E-3</v>
      </c>
      <c r="AF14" s="45">
        <v>2.9E-4</v>
      </c>
      <c r="AG14" s="36">
        <f t="shared" si="63"/>
        <v>4.3888600000000002</v>
      </c>
      <c r="AH14" s="27">
        <v>0.21240000000000001</v>
      </c>
      <c r="AI14" s="40">
        <f t="shared" si="64"/>
        <v>35.604187200000005</v>
      </c>
      <c r="AJ14" s="27">
        <f t="shared" si="66"/>
        <v>0.90225578427575515</v>
      </c>
      <c r="AK14" s="28">
        <f t="shared" si="6"/>
        <v>0.90169498097789713</v>
      </c>
      <c r="AL14" s="42">
        <v>183</v>
      </c>
      <c r="AM14" s="38">
        <v>8.4000000000000005E-2</v>
      </c>
      <c r="AN14" s="27">
        <v>0.23719999999999999</v>
      </c>
      <c r="AO14" s="105">
        <v>0.22470000000000001</v>
      </c>
      <c r="AP14" s="40">
        <f>AL14*(1-AM14)*AN14</f>
        <v>39.761361600000001</v>
      </c>
      <c r="AQ14" s="106">
        <f t="shared" si="21"/>
        <v>37.666011600000004</v>
      </c>
      <c r="AR14" s="17">
        <v>1.6</v>
      </c>
      <c r="AS14" s="17"/>
      <c r="AT14" s="88">
        <f>AT13+AL14-AS14</f>
        <v>564.95999999999935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40800</v>
      </c>
      <c r="E15" s="49"/>
      <c r="F15" s="49">
        <f t="shared" ref="F15" si="68">SUM(F12:F14)</f>
        <v>40620</v>
      </c>
      <c r="G15" s="50"/>
      <c r="H15" s="50"/>
      <c r="I15" s="49">
        <f t="shared" ref="I15:K15" si="69">SUM(I12:I14)</f>
        <v>39682</v>
      </c>
      <c r="J15" s="50"/>
      <c r="K15" s="49">
        <f t="shared" si="69"/>
        <v>46086</v>
      </c>
      <c r="L15" s="20">
        <f t="shared" ref="L15" si="70">IF(K15&gt;0,(K12*L12+K13*L13+K14*L14)/K15,0)</f>
        <v>7.1328646443605426E-2</v>
      </c>
      <c r="M15" s="50">
        <f t="shared" ref="M15" si="71">M12+M13+M14</f>
        <v>42798</v>
      </c>
      <c r="N15" s="51">
        <f t="shared" ref="N15" si="72">IF(M15&gt;0,O15/M15,0)</f>
        <v>0.65061175755876433</v>
      </c>
      <c r="O15" s="52">
        <f t="shared" ref="O15" si="73">O12+O13+O14</f>
        <v>27844.881999999998</v>
      </c>
      <c r="P15" s="20">
        <f t="shared" ref="P15" si="74">IF(M15&gt;0,Q15/M15,0)</f>
        <v>0.27465274078227953</v>
      </c>
      <c r="Q15" s="52">
        <f t="shared" ref="Q15" si="75">Q12+Q13+Q14</f>
        <v>11754.588</v>
      </c>
      <c r="R15" s="20">
        <f t="shared" ref="R15" si="76">IF(M15&gt;0,T15/M15,0)</f>
        <v>7.4735501658956024E-2</v>
      </c>
      <c r="S15" s="107"/>
      <c r="T15" s="52">
        <f t="shared" ref="T15" si="77">T12+T13+T14</f>
        <v>3198.5299999999997</v>
      </c>
      <c r="U15" s="20">
        <f t="shared" ref="U15" si="78">IF(M15&gt;0,V15/M15,0)</f>
        <v>0.22068035889527549</v>
      </c>
      <c r="V15" s="52">
        <f t="shared" ref="V15" si="79">V12+V13+V14</f>
        <v>9444.6779999999999</v>
      </c>
      <c r="W15" s="20">
        <f t="shared" ref="W15" si="80">IF(M15&gt;0,X15/M15,0)</f>
        <v>0.47765914295060519</v>
      </c>
      <c r="X15" s="52">
        <f t="shared" ref="X15" si="81">X12+X13+X14</f>
        <v>20442.856</v>
      </c>
      <c r="Y15" s="20">
        <f t="shared" ref="Y15" si="82">IF(M15&gt;0,Z15/M15,0)</f>
        <v>0.40707229309780835</v>
      </c>
      <c r="Z15" s="52">
        <f t="shared" ref="Z15" si="83">Z12+Z13+Z14</f>
        <v>17421.88</v>
      </c>
      <c r="AA15" s="119">
        <f t="shared" ref="AA15" si="84">IF(M15&gt;0,AB15/M15,0)</f>
        <v>2.905428524697416E-3</v>
      </c>
      <c r="AB15" s="54">
        <f t="shared" ref="AB15" si="85">SUM(AB12:AB14)</f>
        <v>124.34653</v>
      </c>
      <c r="AC15" s="53">
        <f t="shared" ref="AC15" si="86">IF(M15&gt;0,AD15/M15,0)</f>
        <v>2.8821984672180944E-3</v>
      </c>
      <c r="AD15" s="54">
        <f t="shared" ref="AD15" si="87">SUM(AD12:AD14)</f>
        <v>123.35232999999999</v>
      </c>
      <c r="AE15" s="53">
        <f t="shared" ref="AE15" si="88">IF(M15&gt;0,(AE12*M12+AE13*M13+AE14*M14)/M15,0)</f>
        <v>3.0003333613720269E-3</v>
      </c>
      <c r="AF15" s="53">
        <f t="shared" ref="AF15" si="89">IF(K15&gt;0,(K12*AF12+K13*AF13+K14*AF14)/K15,0)</f>
        <v>2.8353491298876011E-4</v>
      </c>
      <c r="AG15" s="50">
        <f t="shared" ref="AG15" si="90">SUM(AG12:AG14)</f>
        <v>12.134779999999999</v>
      </c>
      <c r="AH15" s="51">
        <f t="shared" ref="AH15" si="91">IF(K15&gt;0,(K12*AH12+K13*AH13+K14*AH14)/K15,0)</f>
        <v>0.21142808011109665</v>
      </c>
      <c r="AI15" s="56">
        <f t="shared" ref="AI15" si="92">SUM(AI12:AI14)</f>
        <v>104.57905640000001</v>
      </c>
      <c r="AJ15" s="51">
        <f t="shared" ref="AJ15" si="93">IF(AND(AD15&gt;0),((AD12*AJ12+AD13*AJ13+AD14*AJ14)/AD15),0)</f>
        <v>0.6195953933078393</v>
      </c>
      <c r="AK15" s="55">
        <f t="shared" si="6"/>
        <v>0.90659227826194577</v>
      </c>
      <c r="AL15" s="49">
        <f t="shared" ref="AL15" si="94">SUM(AL12:AL14)</f>
        <v>542</v>
      </c>
      <c r="AM15" s="20">
        <f t="shared" ref="AM15" si="95">IF(AL15&gt;0,(AM12*AL12+AM13*AL13+AM14*AL14)/AL15,0)</f>
        <v>8.730627306273063E-2</v>
      </c>
      <c r="AN15" s="51">
        <f>IF(K15&gt;0,(AN12*K12+AN13*K13+AN14*K14)/K15,0)</f>
        <v>0.23508968016317322</v>
      </c>
      <c r="AO15" s="107">
        <f>IF(K15&gt;0,(AO12*K12+AO13*K13+AO14*K14)/K15,0)</f>
        <v>0.22381265460226535</v>
      </c>
      <c r="AP15" s="56">
        <f t="shared" ref="AP15" si="96">SUM(AP12:AP14)</f>
        <v>116.27348720000001</v>
      </c>
      <c r="AQ15" s="108">
        <f t="shared" si="52"/>
        <v>110.710392</v>
      </c>
      <c r="AR15" s="54"/>
      <c r="AS15" s="54">
        <f t="shared" ref="AS15" si="97">SUM(AS12:AS14)</f>
        <v>509.08</v>
      </c>
      <c r="AT15" s="83"/>
      <c r="AU15" s="84">
        <f>AT14</f>
        <v>564.95999999999935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0" t="s">
        <v>54</v>
      </c>
      <c r="D16" s="11">
        <v>13600</v>
      </c>
      <c r="E16" s="11">
        <v>0</v>
      </c>
      <c r="F16" s="11">
        <v>17966</v>
      </c>
      <c r="G16" s="12">
        <v>2</v>
      </c>
      <c r="H16" s="12">
        <v>7.1</v>
      </c>
      <c r="I16" s="11">
        <v>17988</v>
      </c>
      <c r="J16" s="12">
        <v>4.8</v>
      </c>
      <c r="K16" s="11">
        <v>16458</v>
      </c>
      <c r="L16" s="13">
        <v>5.8000000000000003E-2</v>
      </c>
      <c r="M16" s="23">
        <f>ROUND(K16*(1-L16),0)</f>
        <v>15503</v>
      </c>
      <c r="N16" s="14">
        <v>0.77400000000000002</v>
      </c>
      <c r="O16" s="24">
        <f t="shared" ref="O16:O18" si="99">M16*N16</f>
        <v>11999.322</v>
      </c>
      <c r="P16" s="13">
        <v>0.19700000000000001</v>
      </c>
      <c r="Q16" s="24">
        <f t="shared" ref="Q16:Q18" si="100">M16*P16</f>
        <v>3054.0910000000003</v>
      </c>
      <c r="R16" s="15">
        <v>2.9000000000000001E-2</v>
      </c>
      <c r="S16" s="112">
        <v>0.2349</v>
      </c>
      <c r="T16" s="24">
        <f t="shared" ref="T16:T18" si="101">M16*R16</f>
        <v>449.58700000000005</v>
      </c>
      <c r="U16" s="25">
        <v>0.23899999999999999</v>
      </c>
      <c r="V16" s="24">
        <f t="shared" ref="V16:V18" si="102">M16*U16</f>
        <v>3705.2169999999996</v>
      </c>
      <c r="W16" s="15">
        <v>0.46200000000000002</v>
      </c>
      <c r="X16" s="24">
        <f t="shared" ref="X16:X18" si="103">M16*W16</f>
        <v>7162.3860000000004</v>
      </c>
      <c r="Y16" s="15">
        <v>0.43</v>
      </c>
      <c r="Z16" s="24">
        <f t="shared" ref="Z16:Z18" si="104">Y16*M16</f>
        <v>6666.29</v>
      </c>
      <c r="AA16" s="116">
        <v>2.98E-3</v>
      </c>
      <c r="AB16" s="18">
        <f t="shared" ref="AB16" si="105">M16*AA16</f>
        <v>46.19894</v>
      </c>
      <c r="AC16" s="16">
        <v>3.1700000000000001E-3</v>
      </c>
      <c r="AD16" s="17">
        <f t="shared" ref="AD16:AD18" si="106">M16*AC16</f>
        <v>49.144510000000004</v>
      </c>
      <c r="AE16" s="26">
        <f>IF(M16&gt;0,(AG16+AP16)/M16,0)</f>
        <v>3.204435683416113E-3</v>
      </c>
      <c r="AF16" s="16">
        <v>2.7999999999999998E-4</v>
      </c>
      <c r="AG16" s="23">
        <f t="shared" ref="AG16:AG18" si="107">AF16*M16</f>
        <v>4.34084</v>
      </c>
      <c r="AH16" s="92">
        <v>0.21360000000000001</v>
      </c>
      <c r="AI16" s="29">
        <f t="shared" ref="AI16:AI18" si="108">AL16*(1-AM16)*AH16</f>
        <v>41.687884800000006</v>
      </c>
      <c r="AJ16" s="27">
        <f t="shared" ref="AJ16:AJ18" si="109">IF(AND(AH16&gt;0,AF16&gt;0,AC16&gt;0),((AC16-AF16)*AH16)/((AH16-AF16)*AC16),0)</f>
        <v>0.91286856848111364</v>
      </c>
      <c r="AK16" s="58">
        <f t="shared" si="6"/>
        <v>0.91372246466701446</v>
      </c>
      <c r="AL16" s="11">
        <v>214</v>
      </c>
      <c r="AM16" s="13">
        <v>8.7999999999999995E-2</v>
      </c>
      <c r="AN16" s="14">
        <v>0.23230000000000001</v>
      </c>
      <c r="AO16" s="101">
        <v>0.21879999999999999</v>
      </c>
      <c r="AP16" s="29">
        <f>AL16*(1-AM16)*AN16</f>
        <v>45.337526400000002</v>
      </c>
      <c r="AQ16" s="102">
        <f t="shared" ref="AQ16" si="110">AL16*(1-AM16)*AO16</f>
        <v>42.7027584</v>
      </c>
      <c r="AR16" s="18">
        <v>1.58</v>
      </c>
      <c r="AS16" s="18"/>
      <c r="AT16" s="79">
        <f>AT14+AL16-AS16</f>
        <v>778.95999999999935</v>
      </c>
      <c r="AU16" s="80"/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0" t="s">
        <v>58</v>
      </c>
      <c r="D17" s="33">
        <v>20000</v>
      </c>
      <c r="E17" s="33">
        <v>2</v>
      </c>
      <c r="F17" s="33">
        <v>16542</v>
      </c>
      <c r="G17" s="34">
        <v>1.3</v>
      </c>
      <c r="H17" s="34">
        <v>5.4</v>
      </c>
      <c r="I17" s="33">
        <v>16225</v>
      </c>
      <c r="J17" s="34">
        <v>4.7</v>
      </c>
      <c r="K17" s="33">
        <v>16467</v>
      </c>
      <c r="L17" s="35">
        <v>6.8000000000000005E-2</v>
      </c>
      <c r="M17" s="36">
        <f>ROUND(K17*(1-L17),0)</f>
        <v>15347</v>
      </c>
      <c r="N17" s="37">
        <v>0.76800000000000002</v>
      </c>
      <c r="O17" s="24">
        <f t="shared" si="99"/>
        <v>11786.496000000001</v>
      </c>
      <c r="P17" s="35">
        <v>0.19700000000000001</v>
      </c>
      <c r="Q17" s="24">
        <f t="shared" si="100"/>
        <v>3023.3589999999999</v>
      </c>
      <c r="R17" s="38">
        <v>3.5000000000000003E-2</v>
      </c>
      <c r="S17" s="105">
        <v>0.2432</v>
      </c>
      <c r="T17" s="24">
        <f t="shared" si="101"/>
        <v>537.1450000000001</v>
      </c>
      <c r="U17" s="27">
        <v>0.23699999999999999</v>
      </c>
      <c r="V17" s="24">
        <f t="shared" si="102"/>
        <v>3637.239</v>
      </c>
      <c r="W17" s="38">
        <v>0.45500000000000002</v>
      </c>
      <c r="X17" s="24">
        <f t="shared" si="103"/>
        <v>6982.8850000000002</v>
      </c>
      <c r="Y17" s="38">
        <v>0.43</v>
      </c>
      <c r="Z17" s="24">
        <f t="shared" si="104"/>
        <v>6599.21</v>
      </c>
      <c r="AA17" s="117">
        <v>2.97E-3</v>
      </c>
      <c r="AB17" s="18">
        <f t="shared" si="61"/>
        <v>45.580590000000001</v>
      </c>
      <c r="AC17" s="39">
        <v>3.1700000000000001E-3</v>
      </c>
      <c r="AD17" s="17">
        <f t="shared" si="106"/>
        <v>48.649990000000003</v>
      </c>
      <c r="AE17" s="26">
        <f>IF(M17&gt;0,(AG17+AP17)/M17,0)</f>
        <v>3.2703153189548449E-3</v>
      </c>
      <c r="AF17" s="39">
        <v>2.5000000000000001E-4</v>
      </c>
      <c r="AG17" s="36">
        <f t="shared" si="107"/>
        <v>3.8367499999999999</v>
      </c>
      <c r="AH17" s="27">
        <v>0.2094</v>
      </c>
      <c r="AI17" s="40">
        <f t="shared" si="108"/>
        <v>41.023972800000003</v>
      </c>
      <c r="AJ17" s="27">
        <f t="shared" si="109"/>
        <v>0.92223669336076397</v>
      </c>
      <c r="AK17" s="28">
        <f t="shared" si="6"/>
        <v>0.9245316651952713</v>
      </c>
      <c r="AL17" s="33">
        <v>216</v>
      </c>
      <c r="AM17" s="35">
        <v>9.2999999999999999E-2</v>
      </c>
      <c r="AN17" s="37">
        <v>0.2366</v>
      </c>
      <c r="AO17" s="103">
        <v>0.22650000000000001</v>
      </c>
      <c r="AP17" s="40">
        <f>AL17*(1-AM17)*AN17</f>
        <v>46.352779200000001</v>
      </c>
      <c r="AQ17" s="104">
        <f t="shared" si="21"/>
        <v>44.374068000000001</v>
      </c>
      <c r="AR17" s="41">
        <v>1.55</v>
      </c>
      <c r="AS17" s="41"/>
      <c r="AT17" s="88">
        <f>AT16+AL17-AS17</f>
        <v>994.95999999999935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57</v>
      </c>
      <c r="D18" s="42">
        <v>15999</v>
      </c>
      <c r="E18" s="42">
        <v>1</v>
      </c>
      <c r="F18" s="42">
        <v>17678</v>
      </c>
      <c r="G18" s="36">
        <v>1</v>
      </c>
      <c r="H18" s="36">
        <v>5.4</v>
      </c>
      <c r="I18" s="42">
        <v>17072</v>
      </c>
      <c r="J18" s="36">
        <v>4.3</v>
      </c>
      <c r="K18" s="42">
        <v>16620</v>
      </c>
      <c r="L18" s="38">
        <v>6.9000000000000006E-2</v>
      </c>
      <c r="M18" s="36">
        <f>ROUND(K18*(1-L18),0)</f>
        <v>15473</v>
      </c>
      <c r="N18" s="27">
        <v>0.69299999999999995</v>
      </c>
      <c r="O18" s="24">
        <f t="shared" si="99"/>
        <v>10722.788999999999</v>
      </c>
      <c r="P18" s="38">
        <v>0.22500000000000001</v>
      </c>
      <c r="Q18" s="24">
        <f t="shared" si="100"/>
        <v>3481.4250000000002</v>
      </c>
      <c r="R18" s="38">
        <v>8.2000000000000003E-2</v>
      </c>
      <c r="S18" s="105">
        <v>0.23430000000000001</v>
      </c>
      <c r="T18" s="24">
        <f t="shared" si="101"/>
        <v>1268.7860000000001</v>
      </c>
      <c r="U18" s="27">
        <v>0.23200000000000001</v>
      </c>
      <c r="V18" s="24">
        <f t="shared" si="102"/>
        <v>3589.7360000000003</v>
      </c>
      <c r="W18" s="38">
        <v>0.46899999999999997</v>
      </c>
      <c r="X18" s="24">
        <f t="shared" si="103"/>
        <v>7256.8369999999995</v>
      </c>
      <c r="Y18" s="38">
        <v>0.43</v>
      </c>
      <c r="Z18" s="24">
        <f t="shared" si="104"/>
        <v>6653.39</v>
      </c>
      <c r="AA18" s="118">
        <v>2.8999999999999998E-3</v>
      </c>
      <c r="AB18" s="121">
        <f t="shared" si="61"/>
        <v>44.871699999999997</v>
      </c>
      <c r="AC18" s="45">
        <v>3.0899999999999999E-3</v>
      </c>
      <c r="AD18" s="17">
        <f t="shared" si="106"/>
        <v>47.811569999999996</v>
      </c>
      <c r="AE18" s="26">
        <f>IF(M18&gt;0,(AG18+AP18)/M18,0)</f>
        <v>2.9052506301299034E-3</v>
      </c>
      <c r="AF18" s="45">
        <v>2.5999999999999998E-4</v>
      </c>
      <c r="AG18" s="36">
        <f t="shared" si="107"/>
        <v>4.0229799999999996</v>
      </c>
      <c r="AH18" s="27">
        <v>0.20630000000000001</v>
      </c>
      <c r="AI18" s="40">
        <f t="shared" si="108"/>
        <v>36.054019500000003</v>
      </c>
      <c r="AJ18" s="27">
        <f t="shared" si="109"/>
        <v>0.91701331755105842</v>
      </c>
      <c r="AK18" s="28">
        <f t="shared" si="6"/>
        <v>0.91151879423368443</v>
      </c>
      <c r="AL18" s="42">
        <v>191</v>
      </c>
      <c r="AM18" s="38">
        <v>8.5000000000000006E-2</v>
      </c>
      <c r="AN18" s="27">
        <v>0.23419999999999999</v>
      </c>
      <c r="AO18" s="105">
        <v>0.2243</v>
      </c>
      <c r="AP18" s="40">
        <f>AL18*(1-AM18)*AN18</f>
        <v>40.929963000000001</v>
      </c>
      <c r="AQ18" s="106">
        <f t="shared" si="21"/>
        <v>39.199789500000001</v>
      </c>
      <c r="AR18" s="17">
        <v>1.55</v>
      </c>
      <c r="AS18" s="17"/>
      <c r="AT18" s="88">
        <f>AT17+AL18-AS18</f>
        <v>1185.9599999999994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49599</v>
      </c>
      <c r="E19" s="49"/>
      <c r="F19" s="49">
        <f t="shared" ref="F19" si="112">SUM(F16:F18)</f>
        <v>52186</v>
      </c>
      <c r="G19" s="50"/>
      <c r="H19" s="50"/>
      <c r="I19" s="49">
        <f t="shared" ref="I19:K19" si="113">SUM(I16:I18)</f>
        <v>51285</v>
      </c>
      <c r="J19" s="50"/>
      <c r="K19" s="49">
        <f t="shared" si="113"/>
        <v>49545</v>
      </c>
      <c r="L19" s="20">
        <f t="shared" ref="L19" si="114">IF(K19&gt;0,(K16*L16+K17*L17+K18*L18)/K19,0)</f>
        <v>6.5013623978201637E-2</v>
      </c>
      <c r="M19" s="50">
        <f t="shared" ref="M19" si="115">M16+M17+M18</f>
        <v>46323</v>
      </c>
      <c r="N19" s="51">
        <f t="shared" ref="N19" si="116">IF(M19&gt;0,O19/M19,0)</f>
        <v>0.74495622045204313</v>
      </c>
      <c r="O19" s="52">
        <f t="shared" ref="O19" si="117">O16+O17+O18</f>
        <v>34508.606999999996</v>
      </c>
      <c r="P19" s="20">
        <f t="shared" ref="P19" si="118">IF(M19&gt;0,Q19/M19,0)</f>
        <v>0.20635267577661204</v>
      </c>
      <c r="Q19" s="52">
        <f t="shared" ref="Q19" si="119">Q16+Q17+Q18</f>
        <v>9558.875</v>
      </c>
      <c r="R19" s="20">
        <f t="shared" ref="R19" si="120">IF(M19&gt;0,T19/M19,0)</f>
        <v>4.8691103771344689E-2</v>
      </c>
      <c r="S19" s="107"/>
      <c r="T19" s="52">
        <f t="shared" ref="T19" si="121">T16+T17+T18</f>
        <v>2255.518</v>
      </c>
      <c r="U19" s="20">
        <f t="shared" ref="U19" si="122">IF(M19&gt;0,V19/M19,0)</f>
        <v>0.23599922284826114</v>
      </c>
      <c r="V19" s="52">
        <f t="shared" ref="V19" si="123">V16+V17+V18</f>
        <v>10932.192000000001</v>
      </c>
      <c r="W19" s="20">
        <f t="shared" ref="W19" si="124">IF(M19&gt;0,X19/M19,0)</f>
        <v>0.46201904021760248</v>
      </c>
      <c r="X19" s="52">
        <f t="shared" ref="X19" si="125">X16+X17+X18</f>
        <v>21402.108</v>
      </c>
      <c r="Y19" s="20">
        <f t="shared" ref="Y19" si="126">IF(M19&gt;0,Z19/M19,0)</f>
        <v>0.43</v>
      </c>
      <c r="Z19" s="52">
        <f t="shared" ref="Z19" si="127">Z16+Z17+Z18</f>
        <v>19918.89</v>
      </c>
      <c r="AA19" s="119">
        <f t="shared" ref="AA19" si="128">IF(M19&gt;0,AB19/M19,0)</f>
        <v>2.9499650281717507E-3</v>
      </c>
      <c r="AB19" s="54">
        <f t="shared" ref="AB19" si="129">SUM(AB16:AB18)</f>
        <v>136.65123</v>
      </c>
      <c r="AC19" s="53">
        <f t="shared" ref="AC19" si="130">IF(M19&gt;0,AD19/M19,0)</f>
        <v>3.1432780692096794E-3</v>
      </c>
      <c r="AD19" s="54">
        <f t="shared" ref="AD19" si="131">SUM(AD16:AD18)</f>
        <v>145.60606999999999</v>
      </c>
      <c r="AE19" s="53">
        <f t="shared" ref="AE19" si="132">IF(M19&gt;0,(AE16*M16+AE17*M17+AE18*M18)/M19,0)</f>
        <v>3.1263268484338232E-3</v>
      </c>
      <c r="AF19" s="53">
        <f t="shared" ref="AF19" si="133">IF(K19&gt;0,(K16*AF16+K17*AF17+K18*AF18)/K19,0)</f>
        <v>2.6332001211020281E-4</v>
      </c>
      <c r="AG19" s="50">
        <f t="shared" ref="AG19" si="134">SUM(AG16:AG18)</f>
        <v>12.200569999999999</v>
      </c>
      <c r="AH19" s="51">
        <f t="shared" ref="AH19" si="135">IF(K19&gt;0,(K16*AH16+K17*AH17+K18*AH18)/K19,0)</f>
        <v>0.20975526491068724</v>
      </c>
      <c r="AI19" s="56">
        <f t="shared" ref="AI19" si="136">SUM(AI16:AI18)</f>
        <v>118.76587710000001</v>
      </c>
      <c r="AJ19" s="51">
        <f t="shared" ref="AJ19" si="137">IF(AND(AD19&gt;0),((AD16*AJ16+AD17*AJ17+AD18*AJ18)/AD19),0)</f>
        <v>0.9173596322259413</v>
      </c>
      <c r="AK19" s="55">
        <f t="shared" si="6"/>
        <v>0.91680342274790461</v>
      </c>
      <c r="AL19" s="49">
        <f t="shared" ref="AL19" si="138">SUM(AL16:AL18)</f>
        <v>621</v>
      </c>
      <c r="AM19" s="20">
        <f t="shared" ref="AM19" si="139">IF(AL19&gt;0,(AM16*AL16+AM17*AL17+AM18*AL18)/AL19,0)</f>
        <v>8.8816425120772952E-2</v>
      </c>
      <c r="AN19" s="51">
        <f>IF(K19&gt;0,(AN16*K16+AN17*K17+AN18*K18)/K19,0)</f>
        <v>0.23436652739933395</v>
      </c>
      <c r="AO19" s="107">
        <f>IF(K19&gt;0,(AO16*K16+AO17*K17+AO18*K18)/K19,0)</f>
        <v>0.22320419618528611</v>
      </c>
      <c r="AP19" s="56">
        <f t="shared" ref="AP19" si="140">SUM(AP16:AP18)</f>
        <v>132.6202686</v>
      </c>
      <c r="AQ19" s="108">
        <f t="shared" si="52"/>
        <v>126.2766159</v>
      </c>
      <c r="AR19" s="54"/>
      <c r="AS19" s="54">
        <f t="shared" ref="AS19" si="141">SUM(AS16:AS18)</f>
        <v>0</v>
      </c>
      <c r="AT19" s="83"/>
      <c r="AU19" s="84">
        <f>AT18</f>
        <v>1185.9599999999994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54</v>
      </c>
      <c r="D20" s="11">
        <v>14000</v>
      </c>
      <c r="E20" s="11">
        <v>0</v>
      </c>
      <c r="F20" s="11">
        <v>17463</v>
      </c>
      <c r="G20" s="12">
        <v>0.4</v>
      </c>
      <c r="H20" s="12">
        <v>5</v>
      </c>
      <c r="I20" s="11">
        <v>16519</v>
      </c>
      <c r="J20" s="12">
        <v>4.3</v>
      </c>
      <c r="K20" s="11">
        <v>16568</v>
      </c>
      <c r="L20" s="13">
        <v>6.5000000000000002E-2</v>
      </c>
      <c r="M20" s="23">
        <f>ROUND(K20*(1-L20),0)</f>
        <v>15491</v>
      </c>
      <c r="N20" s="14">
        <v>0.67700000000000005</v>
      </c>
      <c r="O20" s="24">
        <f t="shared" ref="O20:O22" si="143">M20*N20</f>
        <v>10487.407000000001</v>
      </c>
      <c r="P20" s="13">
        <v>0.23899999999999999</v>
      </c>
      <c r="Q20" s="24">
        <f t="shared" ref="Q20:Q22" si="144">M20*P20</f>
        <v>3702.3489999999997</v>
      </c>
      <c r="R20" s="15">
        <v>8.4000000000000005E-2</v>
      </c>
      <c r="S20" s="112">
        <v>0.23100000000000001</v>
      </c>
      <c r="T20" s="24">
        <f t="shared" ref="T20:T22" si="145">M20*R20</f>
        <v>1301.2440000000001</v>
      </c>
      <c r="U20" s="25">
        <v>0.23100000000000001</v>
      </c>
      <c r="V20" s="24">
        <f t="shared" ref="V20:V22" si="146">M20*U20</f>
        <v>3578.4210000000003</v>
      </c>
      <c r="W20" s="15">
        <v>0.47599999999999998</v>
      </c>
      <c r="X20" s="24">
        <f t="shared" ref="X20:X22" si="147">M20*W20</f>
        <v>7373.7159999999994</v>
      </c>
      <c r="Y20" s="15">
        <v>0.43</v>
      </c>
      <c r="Z20" s="24">
        <f t="shared" ref="Z20:Z22" si="148">Y20*M20</f>
        <v>6661.13</v>
      </c>
      <c r="AA20" s="116">
        <v>2.8700000000000002E-3</v>
      </c>
      <c r="AB20" s="18">
        <f t="shared" ref="AB20" si="149">M20*AA20</f>
        <v>44.45917</v>
      </c>
      <c r="AC20" s="16">
        <v>3.0200000000000001E-3</v>
      </c>
      <c r="AD20" s="17">
        <f t="shared" ref="AD20:AD22" si="150">M20*AC20</f>
        <v>46.782820000000001</v>
      </c>
      <c r="AE20" s="26">
        <f>IF(M20&gt;0,(AG20+AP20)/M20,0)</f>
        <v>3.1478481699051064E-3</v>
      </c>
      <c r="AF20" s="16">
        <v>2.7999999999999998E-4</v>
      </c>
      <c r="AG20" s="23">
        <f t="shared" ref="AG20:AG22" si="151">AF20*M20</f>
        <v>4.3374799999999993</v>
      </c>
      <c r="AH20" s="92">
        <v>0.2109</v>
      </c>
      <c r="AI20" s="29">
        <f t="shared" ref="AI20:AI22" si="152">AL20*(1-AM20)*AH20</f>
        <v>40.878747000000004</v>
      </c>
      <c r="AJ20" s="27">
        <f t="shared" ref="AJ20:AJ22" si="153">IF(AND(AH20&gt;0,AF20&gt;0,AC20&gt;0),((AC20-AF20)*AH20)/((AH20-AF20)*AC20),0)</f>
        <v>0.90849092021600053</v>
      </c>
      <c r="AK20" s="58">
        <f t="shared" si="6"/>
        <v>0.91216468507713366</v>
      </c>
      <c r="AL20" s="11">
        <v>213</v>
      </c>
      <c r="AM20" s="13">
        <v>0.09</v>
      </c>
      <c r="AN20" s="14">
        <v>0.22919999999999999</v>
      </c>
      <c r="AO20" s="101">
        <v>0.21609999999999999</v>
      </c>
      <c r="AP20" s="29">
        <f>AL20*(1-AM20)*AN20</f>
        <v>44.425836000000004</v>
      </c>
      <c r="AQ20" s="102">
        <f t="shared" ref="AQ20" si="154">AL20*(1-AM20)*AO20</f>
        <v>41.886662999999999</v>
      </c>
      <c r="AR20" s="18">
        <v>1.58</v>
      </c>
      <c r="AS20" s="18"/>
      <c r="AT20" s="79">
        <f>AT18+AL20-AS20</f>
        <v>1398.9599999999994</v>
      </c>
      <c r="AU20" s="80"/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55</v>
      </c>
      <c r="D21" s="33">
        <v>20000</v>
      </c>
      <c r="E21" s="33">
        <v>1</v>
      </c>
      <c r="F21" s="33">
        <v>15859</v>
      </c>
      <c r="G21" s="34">
        <v>0.7</v>
      </c>
      <c r="H21" s="34">
        <v>5.5</v>
      </c>
      <c r="I21" s="33">
        <v>15528</v>
      </c>
      <c r="J21" s="34">
        <v>4.5999999999999996</v>
      </c>
      <c r="K21" s="33">
        <v>16586</v>
      </c>
      <c r="L21" s="35">
        <v>6.6000000000000003E-2</v>
      </c>
      <c r="M21" s="36">
        <f>ROUND(K21*(1-L21),0)</f>
        <v>15491</v>
      </c>
      <c r="N21" s="37">
        <v>0.71799999999999997</v>
      </c>
      <c r="O21" s="24">
        <f t="shared" si="143"/>
        <v>11122.538</v>
      </c>
      <c r="P21" s="35">
        <v>0.19800000000000001</v>
      </c>
      <c r="Q21" s="24">
        <f t="shared" si="144"/>
        <v>3067.2180000000003</v>
      </c>
      <c r="R21" s="38">
        <v>8.4000000000000005E-2</v>
      </c>
      <c r="S21" s="105">
        <v>0.23039999999999999</v>
      </c>
      <c r="T21" s="24">
        <f t="shared" si="145"/>
        <v>1301.2440000000001</v>
      </c>
      <c r="U21" s="27">
        <v>0.22900000000000001</v>
      </c>
      <c r="V21" s="24">
        <f t="shared" si="146"/>
        <v>3547.4390000000003</v>
      </c>
      <c r="W21" s="38">
        <v>0.46500000000000002</v>
      </c>
      <c r="X21" s="24">
        <f t="shared" si="147"/>
        <v>7203.3150000000005</v>
      </c>
      <c r="Y21" s="38">
        <v>0.43</v>
      </c>
      <c r="Z21" s="24">
        <f t="shared" si="148"/>
        <v>6661.13</v>
      </c>
      <c r="AA21" s="117">
        <v>2.8300000000000001E-3</v>
      </c>
      <c r="AB21" s="18">
        <f t="shared" si="61"/>
        <v>43.839530000000003</v>
      </c>
      <c r="AC21" s="39">
        <v>3.0200000000000001E-3</v>
      </c>
      <c r="AD21" s="17">
        <f t="shared" si="150"/>
        <v>46.782820000000001</v>
      </c>
      <c r="AE21" s="26">
        <f>IF(M21&gt;0,(AG21+AP21)/M21,0)</f>
        <v>2.9365229358982638E-3</v>
      </c>
      <c r="AF21" s="39">
        <v>2.7999999999999998E-4</v>
      </c>
      <c r="AG21" s="36">
        <f t="shared" si="151"/>
        <v>4.3374799999999993</v>
      </c>
      <c r="AH21" s="27">
        <v>0.2092</v>
      </c>
      <c r="AI21" s="40">
        <f t="shared" si="152"/>
        <v>37.626921200000005</v>
      </c>
      <c r="AJ21" s="27">
        <f t="shared" si="153"/>
        <v>0.90850073477854587</v>
      </c>
      <c r="AK21" s="28">
        <f t="shared" si="6"/>
        <v>0.9057575802826302</v>
      </c>
      <c r="AL21" s="33">
        <v>197</v>
      </c>
      <c r="AM21" s="35">
        <v>8.6999999999999994E-2</v>
      </c>
      <c r="AN21" s="37">
        <v>0.2288</v>
      </c>
      <c r="AO21" s="103">
        <v>0.21790000000000001</v>
      </c>
      <c r="AP21" s="40">
        <f>AL21*(1-AM21)*AN21</f>
        <v>41.152196800000006</v>
      </c>
      <c r="AQ21" s="104">
        <f t="shared" si="21"/>
        <v>39.191711900000008</v>
      </c>
      <c r="AR21" s="41">
        <v>1.58</v>
      </c>
      <c r="AS21" s="41"/>
      <c r="AT21" s="129">
        <f>AT20+AL21-AS21</f>
        <v>1595.9599999999994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53</v>
      </c>
      <c r="D22" s="42">
        <v>13795</v>
      </c>
      <c r="E22" s="42">
        <v>0</v>
      </c>
      <c r="F22" s="42">
        <v>16714</v>
      </c>
      <c r="G22" s="36">
        <v>1.3</v>
      </c>
      <c r="H22" s="36">
        <v>5.6</v>
      </c>
      <c r="I22" s="42">
        <v>16283</v>
      </c>
      <c r="J22" s="36">
        <v>4.3</v>
      </c>
      <c r="K22" s="42">
        <v>16382</v>
      </c>
      <c r="L22" s="38">
        <v>6.9000000000000006E-2</v>
      </c>
      <c r="M22" s="36">
        <f>ROUND(K22*(1-L22),0)</f>
        <v>15252</v>
      </c>
      <c r="N22" s="27">
        <v>0.67200000000000004</v>
      </c>
      <c r="O22" s="24">
        <f t="shared" si="143"/>
        <v>10249.344000000001</v>
      </c>
      <c r="P22" s="38">
        <v>0.26700000000000002</v>
      </c>
      <c r="Q22" s="24">
        <f t="shared" si="144"/>
        <v>4072.2840000000001</v>
      </c>
      <c r="R22" s="38">
        <v>6.0999999999999999E-2</v>
      </c>
      <c r="S22" s="105">
        <v>0.22309999999999999</v>
      </c>
      <c r="T22" s="24">
        <f t="shared" si="145"/>
        <v>930.37199999999996</v>
      </c>
      <c r="U22" s="27">
        <v>0.23300000000000001</v>
      </c>
      <c r="V22" s="24">
        <f t="shared" si="146"/>
        <v>3553.7160000000003</v>
      </c>
      <c r="W22" s="38">
        <v>0.46100000000000002</v>
      </c>
      <c r="X22" s="24">
        <f t="shared" si="147"/>
        <v>7031.1720000000005</v>
      </c>
      <c r="Y22" s="38">
        <v>0.43</v>
      </c>
      <c r="Z22" s="24">
        <f t="shared" si="148"/>
        <v>6558.36</v>
      </c>
      <c r="AA22" s="118">
        <v>2.82E-3</v>
      </c>
      <c r="AB22" s="121">
        <f t="shared" si="61"/>
        <v>43.010640000000002</v>
      </c>
      <c r="AC22" s="45">
        <v>2.8999999999999998E-3</v>
      </c>
      <c r="AD22" s="17">
        <f t="shared" si="150"/>
        <v>44.230799999999995</v>
      </c>
      <c r="AE22" s="26">
        <f>IF(M22&gt;0,(AG22+AP22)/M22,0)</f>
        <v>2.8483342250196697E-3</v>
      </c>
      <c r="AF22" s="45">
        <v>2.7E-4</v>
      </c>
      <c r="AG22" s="36">
        <f t="shared" si="151"/>
        <v>4.1180399999999997</v>
      </c>
      <c r="AH22" s="27">
        <v>0.20760000000000001</v>
      </c>
      <c r="AI22" s="40">
        <f t="shared" si="152"/>
        <v>36.380654400000005</v>
      </c>
      <c r="AJ22" s="27">
        <f t="shared" si="153"/>
        <v>0.90807757747518936</v>
      </c>
      <c r="AK22" s="28">
        <f t="shared" si="6"/>
        <v>0.90629821926216758</v>
      </c>
      <c r="AL22" s="42">
        <v>193</v>
      </c>
      <c r="AM22" s="38">
        <v>9.1999999999999998E-2</v>
      </c>
      <c r="AN22" s="27">
        <v>0.22439999999999999</v>
      </c>
      <c r="AO22" s="105">
        <v>0.2152</v>
      </c>
      <c r="AP22" s="40">
        <f>AL22*(1-AM22)*AN22</f>
        <v>39.324753600000001</v>
      </c>
      <c r="AQ22" s="106">
        <f t="shared" si="21"/>
        <v>37.712508800000002</v>
      </c>
      <c r="AR22" s="17">
        <v>1.6</v>
      </c>
      <c r="AS22" s="17"/>
      <c r="AT22" s="129">
        <f>AT21+AL22-AS22</f>
        <v>1788.9599999999994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47795</v>
      </c>
      <c r="E23" s="49"/>
      <c r="F23" s="49">
        <f t="shared" ref="F23" si="156">SUM(F20:F22)</f>
        <v>50036</v>
      </c>
      <c r="G23" s="50"/>
      <c r="H23" s="50"/>
      <c r="I23" s="49">
        <f t="shared" ref="I23:K23" si="157">SUM(I20:I22)</f>
        <v>48330</v>
      </c>
      <c r="J23" s="50"/>
      <c r="K23" s="49">
        <f t="shared" si="157"/>
        <v>49536</v>
      </c>
      <c r="L23" s="20">
        <f t="shared" ref="L23" si="158">IF(K23&gt;0,(K20*L20+K21*L21+K22*L22)/K23,0)</f>
        <v>6.6657663113695101E-2</v>
      </c>
      <c r="M23" s="50">
        <f t="shared" ref="M23" si="159">M20+M21+M22</f>
        <v>46234</v>
      </c>
      <c r="N23" s="51">
        <f t="shared" ref="N23" si="160">IF(M23&gt;0,O23/M23,0)</f>
        <v>0.68908787905004976</v>
      </c>
      <c r="O23" s="52">
        <f t="shared" ref="O23" si="161">O20+O21+O22</f>
        <v>31859.289000000001</v>
      </c>
      <c r="P23" s="20">
        <f t="shared" ref="P23" si="162">IF(M23&gt;0,Q23/M23,0)</f>
        <v>0.23449952415970932</v>
      </c>
      <c r="Q23" s="52">
        <f t="shared" ref="Q23" si="163">Q20+Q21+Q22</f>
        <v>10841.851000000001</v>
      </c>
      <c r="R23" s="20">
        <f t="shared" ref="R23" si="164">IF(M23&gt;0,T23/M23,0)</f>
        <v>7.6412596790240955E-2</v>
      </c>
      <c r="S23" s="107"/>
      <c r="T23" s="52">
        <f t="shared" ref="T23" si="165">T20+T21+T22</f>
        <v>3532.86</v>
      </c>
      <c r="U23" s="20">
        <f t="shared" ref="U23" si="166">IF(M23&gt;0,V23/M23,0)</f>
        <v>0.23098966128822945</v>
      </c>
      <c r="V23" s="52">
        <f t="shared" ref="V23" si="167">V20+V21+V22</f>
        <v>10679.576000000001</v>
      </c>
      <c r="W23" s="20">
        <f t="shared" ref="W23" si="168">IF(M23&gt;0,X23/M23,0)</f>
        <v>0.46736607258727347</v>
      </c>
      <c r="X23" s="52">
        <f t="shared" ref="X23" si="169">X20+X21+X22</f>
        <v>21608.203000000001</v>
      </c>
      <c r="Y23" s="20">
        <f t="shared" ref="Y23" si="170">IF(M23&gt;0,Z23/M23,0)</f>
        <v>0.43</v>
      </c>
      <c r="Z23" s="52">
        <f t="shared" ref="Z23" si="171">Z20+Z21+Z22</f>
        <v>19880.62</v>
      </c>
      <c r="AA23" s="119">
        <f t="shared" ref="AA23" si="172">IF(M23&gt;0,AB23/M23,0)</f>
        <v>2.8401033871177056E-3</v>
      </c>
      <c r="AB23" s="54">
        <f t="shared" ref="AB23" si="173">SUM(AB20:AB22)</f>
        <v>131.30933999999999</v>
      </c>
      <c r="AC23" s="53">
        <f t="shared" ref="AC23" si="174">IF(M23&gt;0,AD23/M23,0)</f>
        <v>2.980413548470822E-3</v>
      </c>
      <c r="AD23" s="54">
        <f t="shared" ref="AD23" si="175">SUM(AD20:AD22)</f>
        <v>137.79643999999999</v>
      </c>
      <c r="AE23" s="53">
        <f t="shared" ref="AE23" si="176">IF(M23&gt;0,(AE20*M20+AE21*M21+AE22*M22)/M23,0)</f>
        <v>2.9782365012761178E-3</v>
      </c>
      <c r="AF23" s="53">
        <f t="shared" ref="AF23" si="177">IF(K23&gt;0,(K20*AF20+K21*AF21+K22*AF22)/K23,0)</f>
        <v>2.7669291020671836E-4</v>
      </c>
      <c r="AG23" s="50">
        <f t="shared" ref="AG23" si="178">SUM(AG20:AG22)</f>
        <v>12.792999999999999</v>
      </c>
      <c r="AH23" s="51">
        <f t="shared" ref="AH23" si="179">IF(K23&gt;0,(K20*AH20+K21*AH21+K22*AH22)/K23,0)</f>
        <v>0.20923945413436695</v>
      </c>
      <c r="AI23" s="56">
        <f t="shared" ref="AI23" si="180">SUM(AI20:AI22)</f>
        <v>114.8863226</v>
      </c>
      <c r="AJ23" s="51">
        <f t="shared" ref="AJ23" si="181">IF(AND(AD23&gt;0),((AD20*AJ20+AD21*AJ21+AD22*AJ22)/AD23),0)</f>
        <v>0.90836157487741753</v>
      </c>
      <c r="AK23" s="55">
        <f t="shared" si="6"/>
        <v>0.90819973671291421</v>
      </c>
      <c r="AL23" s="49">
        <f t="shared" ref="AL23" si="182">SUM(AL20:AL22)</f>
        <v>603</v>
      </c>
      <c r="AM23" s="20">
        <f t="shared" ref="AM23" si="183">IF(AL23&gt;0,(AM20*AL20+AM21*AL21+AM22*AL22)/AL23,0)</f>
        <v>8.9660033167495851E-2</v>
      </c>
      <c r="AN23" s="51">
        <f>IF(K23&gt;0,(AN20*K20+AN21*K21+AN22*K22)/K23,0)</f>
        <v>0.22747866602067185</v>
      </c>
      <c r="AO23" s="107">
        <f>IF(K23&gt;0,(AO20*K20+AO21*K21+AO22*K22)/K23,0)</f>
        <v>0.21640505087209302</v>
      </c>
      <c r="AP23" s="56">
        <f t="shared" ref="AP23" si="184">SUM(AP20:AP22)</f>
        <v>124.90278640000002</v>
      </c>
      <c r="AQ23" s="108">
        <f t="shared" si="52"/>
        <v>118.79088369999999</v>
      </c>
      <c r="AR23" s="54"/>
      <c r="AS23" s="54">
        <f t="shared" ref="AS23" si="185">SUM(AS20:AS22)</f>
        <v>0</v>
      </c>
      <c r="AT23" s="83"/>
      <c r="AU23" s="84">
        <f>AT22</f>
        <v>1788.9599999999994</v>
      </c>
      <c r="AV23" s="49">
        <f t="shared" ref="AV23" si="186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54</v>
      </c>
      <c r="D24" s="11">
        <v>3784</v>
      </c>
      <c r="E24" s="11">
        <v>1</v>
      </c>
      <c r="F24" s="11">
        <v>12845</v>
      </c>
      <c r="G24" s="12">
        <v>0.3</v>
      </c>
      <c r="H24" s="12">
        <v>4.0999999999999996</v>
      </c>
      <c r="I24" s="11">
        <v>12979</v>
      </c>
      <c r="J24" s="12">
        <v>5</v>
      </c>
      <c r="K24" s="11">
        <v>14960</v>
      </c>
      <c r="L24" s="13">
        <v>7.1999999999999995E-2</v>
      </c>
      <c r="M24" s="23">
        <f>ROUND(K24*(1-L24),0)</f>
        <v>13883</v>
      </c>
      <c r="N24" s="14">
        <v>0.67600000000000005</v>
      </c>
      <c r="O24" s="24">
        <f t="shared" ref="O24:O26" si="187">M24*N24</f>
        <v>9384.9080000000013</v>
      </c>
      <c r="P24" s="13">
        <v>0.26500000000000001</v>
      </c>
      <c r="Q24" s="24">
        <f t="shared" ref="Q24:Q26" si="188">M24*P24</f>
        <v>3678.9950000000003</v>
      </c>
      <c r="R24" s="15">
        <v>5.8999999999999997E-2</v>
      </c>
      <c r="S24" s="112">
        <v>0.2482</v>
      </c>
      <c r="T24" s="24">
        <f t="shared" ref="T24:T26" si="189">M24*R24</f>
        <v>819.09699999999998</v>
      </c>
      <c r="U24" s="25">
        <v>0.246</v>
      </c>
      <c r="V24" s="24">
        <f t="shared" ref="V24:V26" si="190">M24*U24</f>
        <v>3415.2179999999998</v>
      </c>
      <c r="W24" s="15">
        <v>0.47299999999999998</v>
      </c>
      <c r="X24" s="24">
        <f t="shared" ref="X24:X26" si="191">M24*W24</f>
        <v>6566.6589999999997</v>
      </c>
      <c r="Y24" s="15">
        <v>0.43</v>
      </c>
      <c r="Z24" s="24">
        <f t="shared" ref="Z24:Z26" si="192">Y24*M24</f>
        <v>5969.69</v>
      </c>
      <c r="AA24" s="116">
        <v>2.8999999999999998E-3</v>
      </c>
      <c r="AB24" s="18">
        <f t="shared" ref="AB24" si="193">M24*AA24</f>
        <v>40.2607</v>
      </c>
      <c r="AC24" s="16">
        <v>2.97E-3</v>
      </c>
      <c r="AD24" s="17">
        <f t="shared" ref="AD24:AD26" si="194">M24*AC24</f>
        <v>41.232509999999998</v>
      </c>
      <c r="AE24" s="26">
        <f>IF(M24&gt;0,(AG24+AP24)/M24,0)</f>
        <v>3.1449780018727941E-3</v>
      </c>
      <c r="AF24" s="16">
        <v>2.7999999999999998E-4</v>
      </c>
      <c r="AG24" s="23">
        <f t="shared" ref="AG24:AG26" si="195">AF24*M24</f>
        <v>3.8872399999999998</v>
      </c>
      <c r="AH24" s="92">
        <v>0.21049999999999999</v>
      </c>
      <c r="AI24" s="29">
        <f t="shared" ref="AI24:AI26" si="196">AL24*(1-AM24)*AH24</f>
        <v>36.657311999999997</v>
      </c>
      <c r="AJ24" s="27">
        <f t="shared" ref="AJ24:AJ26" si="197">IF(AND(AH24&gt;0,AF24&gt;0,AC24&gt;0),((AC24-AF24)*AH24)/((AH24-AF24)*AC24),0)</f>
        <v>0.90693027378404623</v>
      </c>
      <c r="AK24" s="58">
        <f t="shared" si="6"/>
        <v>0.9120873161560451</v>
      </c>
      <c r="AL24" s="11">
        <v>192</v>
      </c>
      <c r="AM24" s="13">
        <v>9.2999999999999999E-2</v>
      </c>
      <c r="AN24" s="14">
        <v>0.22839999999999999</v>
      </c>
      <c r="AO24" s="101">
        <v>0.21240000000000001</v>
      </c>
      <c r="AP24" s="29">
        <f>AL24*(1-AM24)*AN24</f>
        <v>39.774489600000003</v>
      </c>
      <c r="AQ24" s="102">
        <f t="shared" ref="AQ24" si="198">AL24*(1-AM24)*AO24</f>
        <v>36.988185600000001</v>
      </c>
      <c r="AR24" s="18">
        <v>1.55</v>
      </c>
      <c r="AS24" s="18">
        <v>1007.64</v>
      </c>
      <c r="AT24" s="79">
        <f>AT22+AL24-AS24</f>
        <v>973.31999999999937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55</v>
      </c>
      <c r="D25" s="33">
        <v>20500</v>
      </c>
      <c r="E25" s="33">
        <v>4</v>
      </c>
      <c r="F25" s="33">
        <v>14541</v>
      </c>
      <c r="G25" s="34">
        <v>0.5</v>
      </c>
      <c r="H25" s="34">
        <v>4.2</v>
      </c>
      <c r="I25" s="33">
        <v>14585</v>
      </c>
      <c r="J25" s="34">
        <v>4.8</v>
      </c>
      <c r="K25" s="33">
        <v>14727</v>
      </c>
      <c r="L25" s="35">
        <v>6.4000000000000001E-2</v>
      </c>
      <c r="M25" s="36">
        <f>ROUND(K25*(1-L25),0)</f>
        <v>13784</v>
      </c>
      <c r="N25" s="37">
        <v>0.63800000000000001</v>
      </c>
      <c r="O25" s="24">
        <f t="shared" si="187"/>
        <v>8794.1920000000009</v>
      </c>
      <c r="P25" s="35">
        <v>0.28000000000000003</v>
      </c>
      <c r="Q25" s="24">
        <f t="shared" si="188"/>
        <v>3859.5200000000004</v>
      </c>
      <c r="R25" s="38">
        <v>8.2000000000000003E-2</v>
      </c>
      <c r="S25" s="105">
        <v>0.20860000000000001</v>
      </c>
      <c r="T25" s="24">
        <f t="shared" si="189"/>
        <v>1130.288</v>
      </c>
      <c r="U25" s="27">
        <v>0.23499999999999999</v>
      </c>
      <c r="V25" s="24">
        <f t="shared" si="190"/>
        <v>3239.24</v>
      </c>
      <c r="W25" s="38">
        <v>0.47899999999999998</v>
      </c>
      <c r="X25" s="24">
        <f t="shared" si="191"/>
        <v>6602.5360000000001</v>
      </c>
      <c r="Y25" s="38">
        <v>0.41</v>
      </c>
      <c r="Z25" s="24">
        <f t="shared" si="192"/>
        <v>5651.44</v>
      </c>
      <c r="AA25" s="117"/>
      <c r="AB25" s="18">
        <f t="shared" si="61"/>
        <v>0</v>
      </c>
      <c r="AC25" s="39">
        <v>2.9499999999999999E-3</v>
      </c>
      <c r="AD25" s="17">
        <f t="shared" si="194"/>
        <v>40.662799999999997</v>
      </c>
      <c r="AE25" s="26">
        <f>IF(M25&gt;0,(AG25+AP25)/M25,0)</f>
        <v>2.9907309924550205E-3</v>
      </c>
      <c r="AF25" s="39">
        <v>2.7E-4</v>
      </c>
      <c r="AG25" s="36">
        <f t="shared" si="195"/>
        <v>3.7216800000000001</v>
      </c>
      <c r="AH25" s="27">
        <v>0.20349999999999999</v>
      </c>
      <c r="AI25" s="40">
        <f t="shared" si="196"/>
        <v>33.888855</v>
      </c>
      <c r="AJ25" s="27">
        <f t="shared" si="197"/>
        <v>0.9096815247315182</v>
      </c>
      <c r="AK25" s="28">
        <f t="shared" si="6"/>
        <v>0.91081307298239444</v>
      </c>
      <c r="AL25" s="33">
        <v>183</v>
      </c>
      <c r="AM25" s="35">
        <v>0.09</v>
      </c>
      <c r="AN25" s="37">
        <v>0.22520000000000001</v>
      </c>
      <c r="AO25" s="103"/>
      <c r="AP25" s="40">
        <f>AL25*(1-AM25)*AN25</f>
        <v>37.502556000000006</v>
      </c>
      <c r="AQ25" s="104">
        <f t="shared" si="21"/>
        <v>0</v>
      </c>
      <c r="AR25" s="41">
        <v>1.6</v>
      </c>
      <c r="AS25" s="41"/>
      <c r="AT25" s="129">
        <f>AT24+AL25-AS25</f>
        <v>1156.3199999999993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53</v>
      </c>
      <c r="D26" s="42">
        <v>20306</v>
      </c>
      <c r="E26" s="42">
        <v>1</v>
      </c>
      <c r="F26" s="42">
        <v>17795</v>
      </c>
      <c r="G26" s="36">
        <v>0.7</v>
      </c>
      <c r="H26" s="36">
        <v>4.8</v>
      </c>
      <c r="I26" s="42">
        <v>17556</v>
      </c>
      <c r="J26" s="36">
        <v>3.5</v>
      </c>
      <c r="K26" s="42">
        <v>14902</v>
      </c>
      <c r="L26" s="38">
        <v>6.2E-2</v>
      </c>
      <c r="M26" s="36">
        <f>ROUND(K26*(1-L26),0)</f>
        <v>13978</v>
      </c>
      <c r="N26" s="27">
        <v>0.64</v>
      </c>
      <c r="O26" s="24">
        <f t="shared" si="187"/>
        <v>8945.92</v>
      </c>
      <c r="P26" s="38">
        <v>0.314</v>
      </c>
      <c r="Q26" s="24">
        <f t="shared" si="188"/>
        <v>4389.0919999999996</v>
      </c>
      <c r="R26" s="38">
        <v>4.5999999999999999E-2</v>
      </c>
      <c r="S26" s="105">
        <v>0.2082</v>
      </c>
      <c r="T26" s="24">
        <f t="shared" si="189"/>
        <v>642.98799999999994</v>
      </c>
      <c r="U26" s="27"/>
      <c r="V26" s="24">
        <f t="shared" si="190"/>
        <v>0</v>
      </c>
      <c r="W26" s="38"/>
      <c r="X26" s="24">
        <f t="shared" si="191"/>
        <v>0</v>
      </c>
      <c r="Y26" s="38">
        <v>0.41</v>
      </c>
      <c r="Z26" s="24">
        <f t="shared" si="192"/>
        <v>5730.98</v>
      </c>
      <c r="AA26" s="118"/>
      <c r="AB26" s="121">
        <f t="shared" si="61"/>
        <v>0</v>
      </c>
      <c r="AC26" s="45">
        <v>2.96E-3</v>
      </c>
      <c r="AD26" s="17">
        <f t="shared" si="194"/>
        <v>41.374879999999997</v>
      </c>
      <c r="AE26" s="26">
        <f>IF(M26&gt;0,(AG26+AP26)/M26,0)</f>
        <v>2.7999999999999998E-4</v>
      </c>
      <c r="AF26" s="45">
        <v>2.7999999999999998E-4</v>
      </c>
      <c r="AG26" s="36">
        <f t="shared" si="195"/>
        <v>3.9138399999999995</v>
      </c>
      <c r="AH26" s="27">
        <v>0.21290000000000001</v>
      </c>
      <c r="AI26" s="40">
        <f t="shared" si="196"/>
        <v>34.679281000000003</v>
      </c>
      <c r="AJ26" s="27">
        <f t="shared" si="197"/>
        <v>0.90659773685829559</v>
      </c>
      <c r="AK26" s="28">
        <f t="shared" si="6"/>
        <v>0</v>
      </c>
      <c r="AL26" s="42">
        <v>179</v>
      </c>
      <c r="AM26" s="38">
        <v>0.09</v>
      </c>
      <c r="AN26" s="27"/>
      <c r="AO26" s="105"/>
      <c r="AP26" s="40">
        <f>AL26*(1-AM26)*AN26</f>
        <v>0</v>
      </c>
      <c r="AQ26" s="106">
        <f t="shared" si="21"/>
        <v>0</v>
      </c>
      <c r="AR26" s="17">
        <v>1.55</v>
      </c>
      <c r="AS26" s="17"/>
      <c r="AT26" s="129">
        <f>AT25+AL26-AS26</f>
        <v>1335.3199999999993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9">SUM(D24:D26)</f>
        <v>44590</v>
      </c>
      <c r="E27" s="49"/>
      <c r="F27" s="49">
        <f t="shared" ref="F27" si="200">SUM(F24:F26)</f>
        <v>45181</v>
      </c>
      <c r="G27" s="50"/>
      <c r="H27" s="50"/>
      <c r="I27" s="49">
        <f t="shared" ref="I27:K27" si="201">SUM(I24:I26)</f>
        <v>45120</v>
      </c>
      <c r="J27" s="50"/>
      <c r="K27" s="49">
        <f t="shared" si="201"/>
        <v>44589</v>
      </c>
      <c r="L27" s="20">
        <f t="shared" ref="L27" si="202">IF(K27&gt;0,(K24*L24+K25*L25+K26*L26)/K27,0)</f>
        <v>6.6015654085088249E-2</v>
      </c>
      <c r="M27" s="50">
        <f t="shared" ref="M27" si="203">M24+M25+M26</f>
        <v>41645</v>
      </c>
      <c r="N27" s="51">
        <f t="shared" ref="N27" si="204">IF(M27&gt;0,O27/M27,0)</f>
        <v>0.65133917637171335</v>
      </c>
      <c r="O27" s="52">
        <f t="shared" ref="O27" si="205">O24+O25+O26</f>
        <v>27125.020000000004</v>
      </c>
      <c r="P27" s="20">
        <f t="shared" ref="P27" si="206">IF(M27&gt;0,Q27/M27,0)</f>
        <v>0.28641150198103016</v>
      </c>
      <c r="Q27" s="52">
        <f t="shared" ref="Q27" si="207">Q24+Q25+Q26</f>
        <v>11927.607</v>
      </c>
      <c r="R27" s="20">
        <f t="shared" ref="R27" si="208">IF(M27&gt;0,T27/M27,0)</f>
        <v>6.2249321647256578E-2</v>
      </c>
      <c r="S27" s="107"/>
      <c r="T27" s="52">
        <f t="shared" ref="T27" si="209">T24+T25+T26</f>
        <v>2592.373</v>
      </c>
      <c r="U27" s="20">
        <f t="shared" ref="U27" si="210">IF(M27&gt;0,V27/M27,0)</f>
        <v>0.15979008284307838</v>
      </c>
      <c r="V27" s="52">
        <f t="shared" ref="V27" si="211">V24+V25+V26</f>
        <v>6654.4579999999996</v>
      </c>
      <c r="W27" s="20">
        <f t="shared" ref="W27" si="212">IF(M27&gt;0,X27/M27,0)</f>
        <v>0.31622511706087164</v>
      </c>
      <c r="X27" s="52">
        <f t="shared" ref="X27" si="213">X24+X25+X26</f>
        <v>13169.195</v>
      </c>
      <c r="Y27" s="20">
        <f t="shared" ref="Y27" si="214">IF(M27&gt;0,Z27/M27,0)</f>
        <v>0.41666730699963983</v>
      </c>
      <c r="Z27" s="52">
        <f t="shared" ref="Z27" si="215">Z24+Z25+Z26</f>
        <v>17352.11</v>
      </c>
      <c r="AA27" s="119">
        <f t="shared" ref="AA27" si="216">IF(M27&gt;0,AB27/M27,0)</f>
        <v>9.6675951494777288E-4</v>
      </c>
      <c r="AB27" s="54">
        <f t="shared" ref="AB27" si="217">SUM(AB24:AB26)</f>
        <v>40.2607</v>
      </c>
      <c r="AC27" s="53">
        <f t="shared" ref="AC27" si="218">IF(M27&gt;0,AD27/M27,0)</f>
        <v>2.9600237723616278E-3</v>
      </c>
      <c r="AD27" s="54">
        <f t="shared" ref="AD27" si="219">SUM(AD24:AD26)</f>
        <v>123.27018999999999</v>
      </c>
      <c r="AE27" s="53">
        <f t="shared" ref="AE27" si="220">IF(M27&gt;0,(AE24*M24+AE25*M25+AE26*M26)/M27,0)</f>
        <v>2.1323041325489256E-3</v>
      </c>
      <c r="AF27" s="53">
        <f t="shared" ref="AF27" si="221">IF(K27&gt;0,(K24*AF24+K25*AF25+K26*AF26)/K27,0)</f>
        <v>2.7669716746282714E-4</v>
      </c>
      <c r="AG27" s="50">
        <f t="shared" ref="AG27" si="222">SUM(AG24:AG26)</f>
        <v>11.522759999999998</v>
      </c>
      <c r="AH27" s="51">
        <f t="shared" ref="AH27" si="223">IF(K27&gt;0,(K24*AH24+K25*AH25+K26*AH26)/K27,0)</f>
        <v>0.20899011639642062</v>
      </c>
      <c r="AI27" s="56">
        <f t="shared" ref="AI27" si="224">SUM(AI24:AI26)</f>
        <v>105.225448</v>
      </c>
      <c r="AJ27" s="51">
        <f t="shared" ref="AJ27" si="225">IF(AND(AD27&gt;0),((AD24*AJ24+AD25*AJ25+AD26*AJ26)/AD27),0)</f>
        <v>0.90772620742889876</v>
      </c>
      <c r="AK27" s="55">
        <f t="shared" si="6"/>
        <v>0.87183306825504936</v>
      </c>
      <c r="AL27" s="49">
        <f t="shared" ref="AL27" si="226">SUM(AL24:AL26)</f>
        <v>554</v>
      </c>
      <c r="AM27" s="20">
        <f t="shared" ref="AM27" si="227">IF(AL27&gt;0,(AM24*AL24+AM25*AL25+AM26*AL26)/AL27,0)</f>
        <v>9.1039711191335734E-2</v>
      </c>
      <c r="AN27" s="51">
        <f>IF(K27&gt;0,(AN24*K24+AN25*K25+AN26*K26)/K27,0)</f>
        <v>0.15100998901074258</v>
      </c>
      <c r="AO27" s="107">
        <f>IF(K27&gt;0,(AO24*K24+AO25*K25+AO26*K26)/K27,0)</f>
        <v>7.126206014936419E-2</v>
      </c>
      <c r="AP27" s="56">
        <f t="shared" ref="AP27:AQ27" si="228">SUM(AP24:AP26)</f>
        <v>77.277045600000008</v>
      </c>
      <c r="AQ27" s="108">
        <f t="shared" si="228"/>
        <v>36.988185600000001</v>
      </c>
      <c r="AR27" s="54"/>
      <c r="AS27" s="54">
        <f t="shared" ref="AS27" si="229">SUM(AS24:AS26)</f>
        <v>1007.64</v>
      </c>
      <c r="AT27" s="83"/>
      <c r="AU27" s="84">
        <f>AT26</f>
        <v>1335.3199999999993</v>
      </c>
      <c r="AV27" s="49">
        <f t="shared" ref="AV27" si="230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58</v>
      </c>
      <c r="D28" s="11">
        <v>6915</v>
      </c>
      <c r="E28" s="11">
        <v>2</v>
      </c>
      <c r="F28" s="11">
        <v>13683</v>
      </c>
      <c r="G28" s="12">
        <v>1.2</v>
      </c>
      <c r="H28" s="12">
        <v>5.3</v>
      </c>
      <c r="I28" s="11">
        <v>13505</v>
      </c>
      <c r="J28" s="12">
        <v>4.2</v>
      </c>
      <c r="K28" s="11">
        <v>14742</v>
      </c>
      <c r="L28" s="13">
        <v>5.7000000000000002E-2</v>
      </c>
      <c r="M28" s="23">
        <f>ROUND(K28*(1-L28),0)</f>
        <v>13902</v>
      </c>
      <c r="N28" s="14">
        <v>0.75</v>
      </c>
      <c r="O28" s="24">
        <f t="shared" ref="O28:O30" si="231">M28*N28</f>
        <v>10426.5</v>
      </c>
      <c r="P28" s="13">
        <v>0.21</v>
      </c>
      <c r="Q28" s="24">
        <f t="shared" ref="Q28:Q30" si="232">M28*P28</f>
        <v>2919.42</v>
      </c>
      <c r="R28" s="15">
        <v>3.6999999999999998E-2</v>
      </c>
      <c r="S28" s="112">
        <v>0.19689999999999999</v>
      </c>
      <c r="T28" s="24">
        <f t="shared" ref="T28:T30" si="233">M28*R28</f>
        <v>514.37400000000002</v>
      </c>
      <c r="U28" s="25">
        <v>0.224</v>
      </c>
      <c r="V28" s="24">
        <f t="shared" ref="V28:V30" si="234">M28*U28</f>
        <v>3114.0480000000002</v>
      </c>
      <c r="W28" s="15">
        <v>0.496</v>
      </c>
      <c r="X28" s="24">
        <f t="shared" ref="X28:X30" si="235">M28*W28</f>
        <v>6895.3919999999998</v>
      </c>
      <c r="Y28" s="15">
        <v>0.4</v>
      </c>
      <c r="Z28" s="24">
        <f t="shared" ref="Z28:Z30" si="236">Y28*M28</f>
        <v>5560.8</v>
      </c>
      <c r="AA28" s="116">
        <v>2.7599999999999999E-3</v>
      </c>
      <c r="AB28" s="18">
        <f t="shared" ref="AB28:AB77" si="237">M28*AA28</f>
        <v>38.369520000000001</v>
      </c>
      <c r="AC28" s="16">
        <v>2.82E-3</v>
      </c>
      <c r="AD28" s="17">
        <f t="shared" ref="AD28:AD30" si="238">M28*AC28</f>
        <v>39.20364</v>
      </c>
      <c r="AE28" s="26">
        <f>IF(M28&gt;0,(AG28+AP28)/M28,0)</f>
        <v>3.0157838152783775E-3</v>
      </c>
      <c r="AF28" s="16">
        <v>2.9E-4</v>
      </c>
      <c r="AG28" s="23">
        <f t="shared" ref="AG28:AG30" si="239">AF28*M28</f>
        <v>4.0315799999999999</v>
      </c>
      <c r="AH28" s="92">
        <v>0.20610000000000001</v>
      </c>
      <c r="AI28" s="29">
        <f t="shared" ref="AI28:AI30" si="240">AL28*(1-AM28)*AH28</f>
        <v>34.284116700000006</v>
      </c>
      <c r="AJ28" s="27">
        <f t="shared" ref="AJ28:AJ30" si="241">IF(AND(AH28&gt;0,AF28&gt;0,AC28&gt;0),((AC28-AF28)*AH28)/((AH28-AF28)*AC28),0)</f>
        <v>0.8984272831686323</v>
      </c>
      <c r="AK28" s="58">
        <f t="shared" si="6"/>
        <v>0.90499135722205004</v>
      </c>
      <c r="AL28" s="11">
        <v>183</v>
      </c>
      <c r="AM28" s="13">
        <v>9.0999999999999998E-2</v>
      </c>
      <c r="AN28" s="14">
        <v>0.2278</v>
      </c>
      <c r="AO28" s="101">
        <v>0.2175</v>
      </c>
      <c r="AP28" s="29">
        <f>AL28*(1-AM28)*AN28</f>
        <v>37.893846600000003</v>
      </c>
      <c r="AQ28" s="102">
        <f t="shared" ref="AQ28:AQ73" si="242">AL28*(1-AM28)*AO28</f>
        <v>36.1804725</v>
      </c>
      <c r="AR28" s="18">
        <v>1.55</v>
      </c>
      <c r="AS28" s="18">
        <v>1005.52</v>
      </c>
      <c r="AT28" s="79">
        <f>AT26+AL28-AS28+AU28</f>
        <v>519.81999999999925</v>
      </c>
      <c r="AU28" s="80">
        <v>7.02</v>
      </c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55</v>
      </c>
      <c r="D29" s="33">
        <v>19800</v>
      </c>
      <c r="E29" s="33">
        <v>4</v>
      </c>
      <c r="F29" s="33">
        <v>13750</v>
      </c>
      <c r="G29" s="34">
        <v>1.7</v>
      </c>
      <c r="H29" s="34">
        <v>5.8</v>
      </c>
      <c r="I29" s="33">
        <v>13337</v>
      </c>
      <c r="J29" s="34">
        <v>3.6</v>
      </c>
      <c r="K29" s="33">
        <v>12194</v>
      </c>
      <c r="L29" s="35">
        <v>7.1999999999999995E-2</v>
      </c>
      <c r="M29" s="36">
        <f>ROUND(K29*(1-L29),0)</f>
        <v>11316</v>
      </c>
      <c r="N29" s="37">
        <v>0.68600000000000005</v>
      </c>
      <c r="O29" s="24">
        <f t="shared" si="231"/>
        <v>7762.7760000000007</v>
      </c>
      <c r="P29" s="35">
        <v>0.28000000000000003</v>
      </c>
      <c r="Q29" s="24">
        <f t="shared" si="232"/>
        <v>3168.4800000000005</v>
      </c>
      <c r="R29" s="38">
        <v>3.4000000000000002E-2</v>
      </c>
      <c r="S29" s="105"/>
      <c r="T29" s="24">
        <f t="shared" si="233"/>
        <v>384.74400000000003</v>
      </c>
      <c r="U29" s="27">
        <v>0.20799999999999999</v>
      </c>
      <c r="V29" s="24">
        <f t="shared" si="234"/>
        <v>2353.7280000000001</v>
      </c>
      <c r="W29" s="38">
        <v>0.50700000000000001</v>
      </c>
      <c r="X29" s="24">
        <f t="shared" si="235"/>
        <v>5737.2120000000004</v>
      </c>
      <c r="Y29" s="38">
        <v>0.41</v>
      </c>
      <c r="Z29" s="24">
        <f t="shared" si="236"/>
        <v>4639.5599999999995</v>
      </c>
      <c r="AA29" s="117">
        <v>2.82E-3</v>
      </c>
      <c r="AB29" s="18">
        <f t="shared" si="237"/>
        <v>31.91112</v>
      </c>
      <c r="AC29" s="39">
        <v>2.8400000000000001E-3</v>
      </c>
      <c r="AD29" s="17">
        <f t="shared" si="238"/>
        <v>32.137439999999998</v>
      </c>
      <c r="AE29" s="26">
        <f>IF(M29&gt;0,(AG29+AP29)/M29,0)</f>
        <v>2.931205938494167E-3</v>
      </c>
      <c r="AF29" s="39">
        <v>2.7999999999999998E-4</v>
      </c>
      <c r="AG29" s="36">
        <f t="shared" si="239"/>
        <v>3.1684799999999997</v>
      </c>
      <c r="AH29" s="27">
        <v>0.2029</v>
      </c>
      <c r="AI29" s="40">
        <f t="shared" si="240"/>
        <v>28.7403792</v>
      </c>
      <c r="AJ29" s="27">
        <f t="shared" si="241"/>
        <v>0.90265410447086813</v>
      </c>
      <c r="AK29" s="28">
        <f t="shared" si="6"/>
        <v>0.90567347810869581</v>
      </c>
      <c r="AL29" s="33">
        <v>156</v>
      </c>
      <c r="AM29" s="35">
        <v>9.1999999999999998E-2</v>
      </c>
      <c r="AN29" s="37">
        <v>0.21179999999999999</v>
      </c>
      <c r="AO29" s="103">
        <v>0.2029</v>
      </c>
      <c r="AP29" s="40">
        <f>AL29*(1-AM29)*AN29</f>
        <v>30.001046399999996</v>
      </c>
      <c r="AQ29" s="104">
        <f t="shared" si="242"/>
        <v>28.7403792</v>
      </c>
      <c r="AR29" s="41">
        <v>1.55</v>
      </c>
      <c r="AS29" s="41"/>
      <c r="AT29" s="129">
        <f>AT28+AL29-AS29</f>
        <v>675.81999999999925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0" t="s">
        <v>57</v>
      </c>
      <c r="D30" s="42">
        <v>19990</v>
      </c>
      <c r="E30" s="42">
        <v>1</v>
      </c>
      <c r="F30" s="42">
        <v>18040</v>
      </c>
      <c r="G30" s="36">
        <v>1</v>
      </c>
      <c r="H30" s="36">
        <v>7.2</v>
      </c>
      <c r="I30" s="42">
        <v>17441</v>
      </c>
      <c r="J30" s="36">
        <v>2.2000000000000002</v>
      </c>
      <c r="K30" s="42">
        <v>15186</v>
      </c>
      <c r="L30" s="38">
        <v>5.7000000000000002E-2</v>
      </c>
      <c r="M30" s="36">
        <f>ROUND(K30*(1-L30),0)</f>
        <v>14320</v>
      </c>
      <c r="N30" s="27">
        <v>0.68899999999999995</v>
      </c>
      <c r="O30" s="24">
        <f t="shared" si="231"/>
        <v>9866.48</v>
      </c>
      <c r="P30" s="38">
        <v>0.28000000000000003</v>
      </c>
      <c r="Q30" s="24">
        <f t="shared" si="232"/>
        <v>4009.6000000000004</v>
      </c>
      <c r="R30" s="38">
        <v>3.1E-2</v>
      </c>
      <c r="S30" s="105"/>
      <c r="T30" s="24">
        <f t="shared" si="233"/>
        <v>443.92</v>
      </c>
      <c r="U30" s="27">
        <v>0.23100000000000001</v>
      </c>
      <c r="V30" s="24">
        <f t="shared" si="234"/>
        <v>3307.92</v>
      </c>
      <c r="W30" s="38">
        <v>0.49099999999999999</v>
      </c>
      <c r="X30" s="24">
        <f t="shared" si="235"/>
        <v>7031.12</v>
      </c>
      <c r="Y30" s="38">
        <v>0.41</v>
      </c>
      <c r="Z30" s="24">
        <f t="shared" si="236"/>
        <v>5871.2</v>
      </c>
      <c r="AA30" s="118">
        <v>2.6900000000000001E-3</v>
      </c>
      <c r="AB30" s="121">
        <f t="shared" si="237"/>
        <v>38.520800000000001</v>
      </c>
      <c r="AC30" s="45">
        <v>2.6700000000000001E-3</v>
      </c>
      <c r="AD30" s="17">
        <f t="shared" si="238"/>
        <v>38.234400000000001</v>
      </c>
      <c r="AE30" s="26">
        <f>IF(M30&gt;0,(AG30+AP30)/M30,0)</f>
        <v>2.734578212290503E-3</v>
      </c>
      <c r="AF30" s="45">
        <v>3.1E-4</v>
      </c>
      <c r="AG30" s="36">
        <f t="shared" si="239"/>
        <v>4.4391999999999996</v>
      </c>
      <c r="AH30" s="27">
        <v>0.2087</v>
      </c>
      <c r="AI30" s="40">
        <f t="shared" si="240"/>
        <v>33.3151984</v>
      </c>
      <c r="AJ30" s="27">
        <f t="shared" si="241"/>
        <v>0.88521000939429884</v>
      </c>
      <c r="AK30" s="28">
        <f t="shared" si="6"/>
        <v>0.88790251252395247</v>
      </c>
      <c r="AL30" s="42">
        <v>176</v>
      </c>
      <c r="AM30" s="38">
        <v>9.2999999999999999E-2</v>
      </c>
      <c r="AN30" s="27">
        <v>0.2175</v>
      </c>
      <c r="AO30" s="105">
        <v>0.2084</v>
      </c>
      <c r="AP30" s="40">
        <f>AL30*(1-AM30)*AN30</f>
        <v>34.71996</v>
      </c>
      <c r="AQ30" s="106">
        <f t="shared" si="242"/>
        <v>33.267308800000002</v>
      </c>
      <c r="AR30" s="17">
        <v>1.55</v>
      </c>
      <c r="AS30" s="17"/>
      <c r="AT30" s="129">
        <f>AT29+AL30-AS30</f>
        <v>851.81999999999925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3">SUM(D28:D30)</f>
        <v>46705</v>
      </c>
      <c r="E31" s="49"/>
      <c r="F31" s="49">
        <f t="shared" ref="F31" si="244">SUM(F28:F30)</f>
        <v>45473</v>
      </c>
      <c r="G31" s="50"/>
      <c r="H31" s="50"/>
      <c r="I31" s="49">
        <f t="shared" ref="I31:K31" si="245">SUM(I28:I30)</f>
        <v>44283</v>
      </c>
      <c r="J31" s="50"/>
      <c r="K31" s="49">
        <f t="shared" si="245"/>
        <v>42122</v>
      </c>
      <c r="L31" s="20">
        <f t="shared" ref="L31" si="246">IF(K31&gt;0,(K28*L28+K29*L29+K30*L30)/K31,0)</f>
        <v>6.1342386401405442E-2</v>
      </c>
      <c r="M31" s="50">
        <f t="shared" ref="M31" si="247">M28+M29+M30</f>
        <v>39538</v>
      </c>
      <c r="N31" s="51">
        <f t="shared" ref="N31" si="248">IF(M31&gt;0,O31/M31,0)</f>
        <v>0.70958966057969552</v>
      </c>
      <c r="O31" s="52">
        <f t="shared" ref="O31" si="249">O28+O29+O30</f>
        <v>28055.756000000001</v>
      </c>
      <c r="P31" s="20">
        <f t="shared" ref="P31" si="250">IF(M31&gt;0,Q31/M31,0)</f>
        <v>0.25538722241893874</v>
      </c>
      <c r="Q31" s="52">
        <f t="shared" ref="Q31" si="251">Q28+Q29+Q30</f>
        <v>10097.5</v>
      </c>
      <c r="R31" s="20">
        <f t="shared" ref="R31" si="252">IF(M31&gt;0,T31/M31,0)</f>
        <v>3.3968283676463151E-2</v>
      </c>
      <c r="S31" s="107"/>
      <c r="T31" s="52">
        <f t="shared" ref="T31" si="253">T28+T29+T30</f>
        <v>1343.038</v>
      </c>
      <c r="U31" s="20">
        <f t="shared" ref="U31" si="254">IF(M31&gt;0,V31/M31,0)</f>
        <v>0.22195599170418331</v>
      </c>
      <c r="V31" s="52">
        <f t="shared" ref="V31" si="255">V28+V29+V30</f>
        <v>8775.6959999999999</v>
      </c>
      <c r="W31" s="20">
        <f t="shared" ref="W31" si="256">IF(M31&gt;0,X31/M31,0)</f>
        <v>0.49733734635034649</v>
      </c>
      <c r="X31" s="52">
        <f t="shared" ref="X31" si="257">X28+X29+X30</f>
        <v>19663.723999999998</v>
      </c>
      <c r="Y31" s="20">
        <f t="shared" ref="Y31" si="258">IF(M31&gt;0,Z31/M31,0)</f>
        <v>0.40648388891699128</v>
      </c>
      <c r="Z31" s="52">
        <f t="shared" ref="Z31" si="259">Z28+Z29+Z30</f>
        <v>16071.560000000001</v>
      </c>
      <c r="AA31" s="119">
        <f t="shared" ref="AA31" si="260">IF(M31&gt;0,AB31/M31,0)</f>
        <v>2.7518195154029039E-3</v>
      </c>
      <c r="AB31" s="54">
        <f t="shared" ref="AB31" si="261">SUM(AB28:AB30)</f>
        <v>108.80144000000001</v>
      </c>
      <c r="AC31" s="53">
        <f t="shared" ref="AC31" si="262">IF(M31&gt;0,AD31/M31,0)</f>
        <v>2.7713966310890788E-3</v>
      </c>
      <c r="AD31" s="54">
        <f t="shared" ref="AD31" si="263">SUM(AD28:AD30)</f>
        <v>109.57548</v>
      </c>
      <c r="AE31" s="53">
        <f t="shared" ref="AE31" si="264">IF(M31&gt;0,(AE28*M28+AE29*M29+AE30*M30)/M31,0)</f>
        <v>2.8897291972279832E-3</v>
      </c>
      <c r="AF31" s="53">
        <f t="shared" ref="AF31" si="265">IF(K31&gt;0,(K28*AF28+K29*AF29+K30*AF30)/K31,0)</f>
        <v>2.943155595650729E-4</v>
      </c>
      <c r="AG31" s="50">
        <f t="shared" ref="AG31" si="266">SUM(AG28:AG30)</f>
        <v>11.63926</v>
      </c>
      <c r="AH31" s="51">
        <f t="shared" ref="AH31" si="267">IF(K31&gt;0,(K28*AH28+K29*AH29+K30*AH30)/K31,0)</f>
        <v>0.2061109871326148</v>
      </c>
      <c r="AI31" s="56">
        <f t="shared" ref="AI31" si="268">SUM(AI28:AI30)</f>
        <v>96.339694300000005</v>
      </c>
      <c r="AJ31" s="51">
        <f t="shared" ref="AJ31" si="269">IF(AND(AD31&gt;0),((AD28*AJ28+AD29*AJ29+AD30*AJ30)/AD31),0)</f>
        <v>0.89505503860802382</v>
      </c>
      <c r="AK31" s="55">
        <f t="shared" si="6"/>
        <v>0.89935731034308719</v>
      </c>
      <c r="AL31" s="49">
        <f t="shared" ref="AL31" si="270">SUM(AL28:AL30)</f>
        <v>515</v>
      </c>
      <c r="AM31" s="20">
        <f t="shared" ref="AM31" si="271">IF(AL31&gt;0,(AM28*AL28+AM29*AL29+AM30*AL30)/AL31,0)</f>
        <v>9.1986407766990283E-2</v>
      </c>
      <c r="AN31" s="51">
        <f>IF(K31&gt;0,(AN28*K28+AN29*K29+AN30*K30)/K31,0)</f>
        <v>0.21945472199800581</v>
      </c>
      <c r="AO31" s="107">
        <f>IF(L31&gt;0,(AO28*K28+AO29*K29+AO30*K30)/K31,0)</f>
        <v>0.20999264042543087</v>
      </c>
      <c r="AP31" s="56">
        <f t="shared" ref="AP31:AQ43" si="272">SUM(AP28:AP30)</f>
        <v>102.614853</v>
      </c>
      <c r="AQ31" s="108">
        <f t="shared" si="272"/>
        <v>98.188160500000009</v>
      </c>
      <c r="AR31" s="54"/>
      <c r="AS31" s="54">
        <f t="shared" ref="AS31" si="273">SUM(AS28:AS30)</f>
        <v>1005.52</v>
      </c>
      <c r="AT31" s="83"/>
      <c r="AU31" s="84">
        <f>AT30</f>
        <v>851.81999999999925</v>
      </c>
      <c r="AV31" s="49">
        <f t="shared" ref="AV31" si="274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58</v>
      </c>
      <c r="D32" s="11">
        <v>4000</v>
      </c>
      <c r="E32" s="11">
        <v>0</v>
      </c>
      <c r="F32" s="11">
        <v>8758</v>
      </c>
      <c r="G32" s="12">
        <v>1.4</v>
      </c>
      <c r="H32" s="12">
        <v>5.2</v>
      </c>
      <c r="I32" s="11">
        <v>8910</v>
      </c>
      <c r="J32" s="12">
        <v>5.0999999999999996</v>
      </c>
      <c r="K32" s="11">
        <v>15109</v>
      </c>
      <c r="L32" s="13">
        <v>7.2999999999999995E-2</v>
      </c>
      <c r="M32" s="23">
        <f>ROUND(K32*(1-L32),0)</f>
        <v>14006</v>
      </c>
      <c r="N32" s="14">
        <v>0.74399999999999999</v>
      </c>
      <c r="O32" s="24">
        <f t="shared" ref="O32:O34" si="275">M32*N32</f>
        <v>10420.464</v>
      </c>
      <c r="P32" s="13">
        <v>0.17499999999999999</v>
      </c>
      <c r="Q32" s="24">
        <f t="shared" ref="Q32:Q34" si="276">M32*P32</f>
        <v>2451.0499999999997</v>
      </c>
      <c r="R32" s="15">
        <v>8.1000000000000003E-2</v>
      </c>
      <c r="S32" s="112"/>
      <c r="T32" s="24">
        <f t="shared" ref="T32:T34" si="277">M32*R32</f>
        <v>1134.4860000000001</v>
      </c>
      <c r="U32" s="25">
        <v>0.21299999999999999</v>
      </c>
      <c r="V32" s="24">
        <f t="shared" ref="V32:V34" si="278">M32*U32</f>
        <v>2983.2779999999998</v>
      </c>
      <c r="W32" s="15">
        <v>0.503</v>
      </c>
      <c r="X32" s="24">
        <f t="shared" ref="X32:X34" si="279">M32*W32</f>
        <v>7045.018</v>
      </c>
      <c r="Y32" s="15">
        <v>0.4</v>
      </c>
      <c r="Z32" s="24">
        <f t="shared" ref="Z32:Z34" si="280">Y32*M32</f>
        <v>5602.4000000000005</v>
      </c>
      <c r="AA32" s="116">
        <v>2.5899999999999999E-3</v>
      </c>
      <c r="AB32" s="18">
        <f t="shared" ref="AB32" si="281">M32*AA32</f>
        <v>36.275539999999999</v>
      </c>
      <c r="AC32" s="16">
        <v>2.5600000000000002E-3</v>
      </c>
      <c r="AD32" s="17">
        <f t="shared" ref="AD32:AD34" si="282">M32*AC32</f>
        <v>35.855360000000005</v>
      </c>
      <c r="AE32" s="26">
        <f>IF(M32&gt;0,(AG32+AP32)/M32,0)</f>
        <v>2.8630097743824073E-3</v>
      </c>
      <c r="AF32" s="16">
        <v>3.3E-4</v>
      </c>
      <c r="AG32" s="23">
        <f t="shared" ref="AG32:AG34" si="283">AF32*M32</f>
        <v>4.6219799999999998</v>
      </c>
      <c r="AH32" s="92">
        <v>0.2094</v>
      </c>
      <c r="AI32" s="29">
        <f t="shared" ref="AI32:AI34" si="284">AL32*(1-AM32)*AH32</f>
        <v>32.712258599999998</v>
      </c>
      <c r="AJ32" s="27">
        <f t="shared" ref="AJ32:AJ34" si="285">IF(AND(AH32&gt;0,AF32&gt;0,AC32&gt;0),((AC32-AF32)*AH32)/((AH32-AF32)*AC32),0)</f>
        <v>0.87246870067441529</v>
      </c>
      <c r="AK32" s="58">
        <f t="shared" si="6"/>
        <v>0.88602416970071285</v>
      </c>
      <c r="AL32" s="11">
        <v>173</v>
      </c>
      <c r="AM32" s="13">
        <v>9.7000000000000003E-2</v>
      </c>
      <c r="AN32" s="14">
        <v>0.2271</v>
      </c>
      <c r="AO32" s="101">
        <v>0.2122</v>
      </c>
      <c r="AP32" s="29">
        <f>AL32*(1-AM32)*AN32</f>
        <v>35.477334899999995</v>
      </c>
      <c r="AQ32" s="102">
        <f t="shared" ref="AQ32" si="286">AL32*(1-AM32)*AO32</f>
        <v>33.1496718</v>
      </c>
      <c r="AR32" s="18">
        <v>1.55</v>
      </c>
      <c r="AS32" s="18">
        <v>513.70000000000005</v>
      </c>
      <c r="AT32" s="79">
        <f>AT30+AL32-AS32+AU32</f>
        <v>508.09999999999923</v>
      </c>
      <c r="AU32" s="130">
        <v>-3.02</v>
      </c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53</v>
      </c>
      <c r="D33" s="33">
        <v>20700</v>
      </c>
      <c r="E33" s="33">
        <v>0</v>
      </c>
      <c r="F33" s="33">
        <v>15744</v>
      </c>
      <c r="G33" s="34">
        <v>2.1</v>
      </c>
      <c r="H33" s="34">
        <v>5</v>
      </c>
      <c r="I33" s="33">
        <v>15262</v>
      </c>
      <c r="J33" s="34">
        <v>4</v>
      </c>
      <c r="K33" s="33">
        <v>14924</v>
      </c>
      <c r="L33" s="35">
        <v>7.3999999999999996E-2</v>
      </c>
      <c r="M33" s="36">
        <f>ROUND(K33*(1-L33),0)</f>
        <v>13820</v>
      </c>
      <c r="N33" s="37">
        <v>0.71899999999999997</v>
      </c>
      <c r="O33" s="24">
        <f t="shared" si="275"/>
        <v>9936.58</v>
      </c>
      <c r="P33" s="35">
        <v>0.248</v>
      </c>
      <c r="Q33" s="24">
        <f t="shared" si="276"/>
        <v>3427.36</v>
      </c>
      <c r="R33" s="38">
        <v>3.4000000000000002E-2</v>
      </c>
      <c r="S33" s="105"/>
      <c r="T33" s="24">
        <f t="shared" si="277"/>
        <v>469.88000000000005</v>
      </c>
      <c r="U33" s="27">
        <v>0.214</v>
      </c>
      <c r="V33" s="24">
        <f t="shared" si="278"/>
        <v>2957.48</v>
      </c>
      <c r="W33" s="38">
        <v>0.505</v>
      </c>
      <c r="X33" s="24">
        <f t="shared" si="279"/>
        <v>6979.1</v>
      </c>
      <c r="Y33" s="38">
        <v>0.4</v>
      </c>
      <c r="Z33" s="24">
        <f t="shared" si="280"/>
        <v>5528</v>
      </c>
      <c r="AA33" s="117">
        <v>2.4199999999999998E-3</v>
      </c>
      <c r="AB33" s="18">
        <f t="shared" si="237"/>
        <v>33.444399999999995</v>
      </c>
      <c r="AC33" s="39">
        <v>2.4299999999999999E-3</v>
      </c>
      <c r="AD33" s="17">
        <f t="shared" si="282"/>
        <v>33.582599999999999</v>
      </c>
      <c r="AE33" s="26">
        <f>IF(M33&gt;0,(AG33+AP33)/M33,0)</f>
        <v>2.7017014182344431E-3</v>
      </c>
      <c r="AF33" s="39">
        <v>3.1E-4</v>
      </c>
      <c r="AG33" s="36">
        <f t="shared" si="283"/>
        <v>4.2842000000000002</v>
      </c>
      <c r="AH33" s="27">
        <v>0.20960000000000001</v>
      </c>
      <c r="AI33" s="40">
        <f t="shared" si="284"/>
        <v>30.695500800000001</v>
      </c>
      <c r="AJ33" s="27">
        <f t="shared" si="285"/>
        <v>0.87372022241767056</v>
      </c>
      <c r="AK33" s="28">
        <f t="shared" si="6"/>
        <v>0.88647506837028245</v>
      </c>
      <c r="AL33" s="33">
        <v>162</v>
      </c>
      <c r="AM33" s="35">
        <v>9.6000000000000002E-2</v>
      </c>
      <c r="AN33" s="37">
        <v>0.22570000000000001</v>
      </c>
      <c r="AO33" s="103">
        <v>0.21290000000000001</v>
      </c>
      <c r="AP33" s="40">
        <f>AL33*(1-AM33)*AN33</f>
        <v>33.053313600000003</v>
      </c>
      <c r="AQ33" s="104">
        <f t="shared" si="242"/>
        <v>31.178779200000001</v>
      </c>
      <c r="AR33" s="41">
        <v>1.55</v>
      </c>
      <c r="AS33" s="41"/>
      <c r="AT33" s="129">
        <f>AT32+AL33-AS33</f>
        <v>670.09999999999923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0" t="s">
        <v>57</v>
      </c>
      <c r="D34" s="42">
        <v>15000</v>
      </c>
      <c r="E34" s="42">
        <v>2</v>
      </c>
      <c r="F34" s="42">
        <v>17307</v>
      </c>
      <c r="G34" s="36">
        <v>1.8</v>
      </c>
      <c r="H34" s="36">
        <v>5.3</v>
      </c>
      <c r="I34" s="42">
        <v>16744</v>
      </c>
      <c r="J34" s="36">
        <v>3.4</v>
      </c>
      <c r="K34" s="42">
        <v>14999</v>
      </c>
      <c r="L34" s="38">
        <v>6.9000000000000006E-2</v>
      </c>
      <c r="M34" s="36">
        <f>ROUND(K34*(1-L34),0)</f>
        <v>13964</v>
      </c>
      <c r="N34" s="27">
        <v>0.66300000000000003</v>
      </c>
      <c r="O34" s="24">
        <f t="shared" si="275"/>
        <v>9258.1319999999996</v>
      </c>
      <c r="P34" s="38">
        <v>0.27700000000000002</v>
      </c>
      <c r="Q34" s="24">
        <f t="shared" si="276"/>
        <v>3868.0280000000002</v>
      </c>
      <c r="R34" s="38">
        <v>0.06</v>
      </c>
      <c r="S34" s="105">
        <v>0.19270000000000001</v>
      </c>
      <c r="T34" s="24">
        <f t="shared" si="277"/>
        <v>837.83999999999992</v>
      </c>
      <c r="U34" s="27">
        <v>0.22600000000000001</v>
      </c>
      <c r="V34" s="24">
        <f t="shared" si="278"/>
        <v>3155.864</v>
      </c>
      <c r="W34" s="38">
        <v>0.49099999999999999</v>
      </c>
      <c r="X34" s="24">
        <f t="shared" si="279"/>
        <v>6856.3239999999996</v>
      </c>
      <c r="Y34" s="38">
        <v>0.4</v>
      </c>
      <c r="Z34" s="24">
        <f t="shared" si="280"/>
        <v>5585.6</v>
      </c>
      <c r="AA34" s="118">
        <v>2.4499999999999999E-3</v>
      </c>
      <c r="AB34" s="121">
        <f t="shared" si="237"/>
        <v>34.211799999999997</v>
      </c>
      <c r="AC34" s="45">
        <v>2.49E-3</v>
      </c>
      <c r="AD34" s="17">
        <f t="shared" si="282"/>
        <v>34.770360000000004</v>
      </c>
      <c r="AE34" s="26">
        <f>IF(M34&gt;0,(AG34+AP34)/M34,0)</f>
        <v>2.7113002148381553E-3</v>
      </c>
      <c r="AF34" s="45">
        <v>2.9E-4</v>
      </c>
      <c r="AG34" s="36">
        <f t="shared" si="283"/>
        <v>4.0495599999999996</v>
      </c>
      <c r="AH34" s="27">
        <v>0.21279999999999999</v>
      </c>
      <c r="AI34" s="40">
        <f t="shared" si="284"/>
        <v>30.630006400000003</v>
      </c>
      <c r="AJ34" s="27">
        <f t="shared" si="285"/>
        <v>0.88473984404041295</v>
      </c>
      <c r="AK34" s="28">
        <f t="shared" si="6"/>
        <v>0.89414412911590924</v>
      </c>
      <c r="AL34" s="42">
        <v>158</v>
      </c>
      <c r="AM34" s="38">
        <v>8.8999999999999996E-2</v>
      </c>
      <c r="AN34" s="27">
        <v>0.2349</v>
      </c>
      <c r="AO34" s="105">
        <v>0.2238</v>
      </c>
      <c r="AP34" s="40">
        <f>AL34*(1-AM34)*AN34</f>
        <v>33.811036200000004</v>
      </c>
      <c r="AQ34" s="106">
        <f t="shared" si="242"/>
        <v>32.213324400000005</v>
      </c>
      <c r="AR34" s="17">
        <v>1.55</v>
      </c>
      <c r="AS34" s="17"/>
      <c r="AT34" s="129">
        <f>AT33+AL34-AS34</f>
        <v>828.09999999999923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7">SUM(D32:D34)</f>
        <v>39700</v>
      </c>
      <c r="E35" s="49"/>
      <c r="F35" s="49">
        <f t="shared" ref="F35" si="288">SUM(F32:F34)</f>
        <v>41809</v>
      </c>
      <c r="G35" s="50"/>
      <c r="H35" s="50"/>
      <c r="I35" s="49">
        <f t="shared" ref="I35:K35" si="289">SUM(I32:I34)</f>
        <v>40916</v>
      </c>
      <c r="J35" s="50"/>
      <c r="K35" s="49">
        <f t="shared" si="289"/>
        <v>45032</v>
      </c>
      <c r="L35" s="20">
        <f t="shared" ref="L35" si="290">IF(K35&gt;0,(K32*L32+K33*L33+K34*L34)/K35,0)</f>
        <v>7.1999111742760691E-2</v>
      </c>
      <c r="M35" s="50">
        <f t="shared" ref="M35" si="291">M32+M33+M34</f>
        <v>41790</v>
      </c>
      <c r="N35" s="51">
        <f t="shared" ref="N35" si="292">IF(M35&gt;0,O35/M35,0)</f>
        <v>0.70866657094998797</v>
      </c>
      <c r="O35" s="52">
        <f t="shared" ref="O35" si="293">O32+O33+O34</f>
        <v>29615.175999999999</v>
      </c>
      <c r="P35" s="20">
        <f t="shared" ref="P35" si="294">IF(M35&gt;0,Q35/M35,0)</f>
        <v>0.23322416846135438</v>
      </c>
      <c r="Q35" s="52">
        <f t="shared" ref="Q35" si="295">Q32+Q33+Q34</f>
        <v>9746.4380000000001</v>
      </c>
      <c r="R35" s="20">
        <f t="shared" ref="R35" si="296">IF(M35&gt;0,T35/M35,0)</f>
        <v>5.8439961713328548E-2</v>
      </c>
      <c r="S35" s="107"/>
      <c r="T35" s="52">
        <f t="shared" ref="T35" si="297">T32+T33+T34</f>
        <v>2442.2060000000001</v>
      </c>
      <c r="U35" s="20">
        <f t="shared" ref="U35" si="298">IF(M35&gt;0,V35/M35,0)</f>
        <v>0.21767461115099304</v>
      </c>
      <c r="V35" s="52">
        <f t="shared" ref="V35" si="299">V32+V33+V34</f>
        <v>9096.6219999999994</v>
      </c>
      <c r="W35" s="20">
        <f t="shared" ref="W35" si="300">IF(M35&gt;0,X35/M35,0)</f>
        <v>0.49965163914812155</v>
      </c>
      <c r="X35" s="52">
        <f t="shared" ref="X35" si="301">X32+X33+X34</f>
        <v>20880.441999999999</v>
      </c>
      <c r="Y35" s="20">
        <f t="shared" ref="Y35" si="302">IF(M35&gt;0,Z35/M35,0)</f>
        <v>0.4</v>
      </c>
      <c r="Z35" s="52">
        <f t="shared" ref="Z35" si="303">Z32+Z33+Z34</f>
        <v>16716</v>
      </c>
      <c r="AA35" s="119">
        <f t="shared" ref="AA35" si="304">IF(M35&gt;0,AB35/M35,0)</f>
        <v>2.4870002392916963E-3</v>
      </c>
      <c r="AB35" s="54">
        <f t="shared" ref="AB35" si="305">SUM(AB32:AB34)</f>
        <v>103.93173999999999</v>
      </c>
      <c r="AC35" s="53">
        <f t="shared" ref="AC35" si="306">IF(M35&gt;0,AD35/M35,0)</f>
        <v>2.4936185690356549E-3</v>
      </c>
      <c r="AD35" s="54">
        <f t="shared" ref="AD35" si="307">SUM(AD32:AD34)</f>
        <v>104.20832000000001</v>
      </c>
      <c r="AE35" s="53">
        <f t="shared" ref="AE35" si="308">IF(M35&gt;0,(AE32*M32+AE33*M33+AE34*M34)/M35,0)</f>
        <v>2.7589716367552044E-3</v>
      </c>
      <c r="AF35" s="53">
        <f t="shared" ref="AF35" si="309">IF(K35&gt;0,(K32*AF32+K33*AF33+K34*AF34)/K35,0)</f>
        <v>3.1004885414816132E-4</v>
      </c>
      <c r="AG35" s="50">
        <f t="shared" ref="AG35" si="310">SUM(AG32:AG34)</f>
        <v>12.955739999999999</v>
      </c>
      <c r="AH35" s="51">
        <f t="shared" ref="AH35" si="311">IF(K35&gt;0,(K32*AH32+K33*AH33+K34*AH34)/K35,0)</f>
        <v>0.21059873423343398</v>
      </c>
      <c r="AI35" s="56">
        <f t="shared" ref="AI35" si="312">SUM(AI32:AI34)</f>
        <v>94.037765800000003</v>
      </c>
      <c r="AJ35" s="51">
        <f t="shared" ref="AJ35" si="313">IF(AND(AD35&gt;0),((AD32*AJ32+AD33*AJ33+AD34*AJ34)/AD35),0)</f>
        <v>0.87696643585086187</v>
      </c>
      <c r="AK35" s="55">
        <f t="shared" si="6"/>
        <v>0.88882375932906676</v>
      </c>
      <c r="AL35" s="49">
        <f t="shared" ref="AL35" si="314">SUM(AL32:AL34)</f>
        <v>493</v>
      </c>
      <c r="AM35" s="20">
        <f t="shared" ref="AM35" si="315">IF(AL35&gt;0,(AM32*AL32+AM33*AL33+AM34*AL34)/AL35,0)</f>
        <v>9.4107505070993913E-2</v>
      </c>
      <c r="AN35" s="51">
        <f>IF(K35&gt;0,(AN32*K32+AN33*K33+AN34*K34)/K35,0)</f>
        <v>0.22923400692840651</v>
      </c>
      <c r="AO35" s="107">
        <f>IF(L35&gt;0,(AO32*K32+AO33*K33+AO34*K34)/K35,0)</f>
        <v>0.21629564753952743</v>
      </c>
      <c r="AP35" s="56">
        <f t="shared" ref="AP35" si="316">SUM(AP32:AP34)</f>
        <v>102.3416847</v>
      </c>
      <c r="AQ35" s="108">
        <f t="shared" si="272"/>
        <v>96.541775400000006</v>
      </c>
      <c r="AR35" s="54"/>
      <c r="AS35" s="54">
        <f t="shared" ref="AS35" si="317">SUM(AS32:AS34)</f>
        <v>513.70000000000005</v>
      </c>
      <c r="AT35" s="83"/>
      <c r="AU35" s="84">
        <f>AT34</f>
        <v>828.09999999999923</v>
      </c>
      <c r="AV35" s="49">
        <f t="shared" ref="AV35" si="318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58</v>
      </c>
      <c r="D36" s="11">
        <v>4200</v>
      </c>
      <c r="E36" s="11">
        <v>0</v>
      </c>
      <c r="F36" s="11">
        <v>11461</v>
      </c>
      <c r="G36" s="12">
        <v>1.5</v>
      </c>
      <c r="H36" s="12">
        <v>5.6</v>
      </c>
      <c r="I36" s="11">
        <v>11691</v>
      </c>
      <c r="J36" s="12">
        <v>4.4000000000000004</v>
      </c>
      <c r="K36" s="11">
        <v>14966</v>
      </c>
      <c r="L36" s="13">
        <v>7.0999999999999994E-2</v>
      </c>
      <c r="M36" s="23">
        <f>ROUND(K36*(1-L36),0)</f>
        <v>13903</v>
      </c>
      <c r="N36" s="14">
        <v>0.74199999999999999</v>
      </c>
      <c r="O36" s="24">
        <f t="shared" ref="O36:O38" si="319">M36*N36</f>
        <v>10316.026</v>
      </c>
      <c r="P36" s="13">
        <v>0.22500000000000001</v>
      </c>
      <c r="Q36" s="24">
        <f t="shared" ref="Q36:Q38" si="320">M36*P36</f>
        <v>3128.1750000000002</v>
      </c>
      <c r="R36" s="15">
        <v>3.3000000000000002E-2</v>
      </c>
      <c r="S36" s="112">
        <v>0.19159999999999999</v>
      </c>
      <c r="T36" s="24">
        <f t="shared" ref="T36:T38" si="321">M36*R36</f>
        <v>458.79900000000004</v>
      </c>
      <c r="U36" s="25">
        <v>0.217</v>
      </c>
      <c r="V36" s="24">
        <f t="shared" ref="V36:V38" si="322">M36*U36</f>
        <v>3016.951</v>
      </c>
      <c r="W36" s="15">
        <v>0.48299999999999998</v>
      </c>
      <c r="X36" s="24">
        <f t="shared" ref="X36:X38" si="323">M36*W36</f>
        <v>6715.1489999999994</v>
      </c>
      <c r="Y36" s="15">
        <v>0.42</v>
      </c>
      <c r="Z36" s="24">
        <f t="shared" ref="Z36:Z38" si="324">Y36*M36</f>
        <v>5839.26</v>
      </c>
      <c r="AA36" s="116">
        <v>2.5699999999999998E-3</v>
      </c>
      <c r="AB36" s="18">
        <f t="shared" ref="AB36" si="325">M36*AA36</f>
        <v>35.730709999999995</v>
      </c>
      <c r="AC36" s="16">
        <v>2.6199999999999999E-3</v>
      </c>
      <c r="AD36" s="17">
        <f t="shared" ref="AD36:AD38" si="326">M36*AC36</f>
        <v>36.42586</v>
      </c>
      <c r="AE36" s="26">
        <f>IF(M36&gt;0,(AG36+AP36)/M36,0)</f>
        <v>2.8649895274401207E-3</v>
      </c>
      <c r="AF36" s="16">
        <v>2.5999999999999998E-4</v>
      </c>
      <c r="AG36" s="23">
        <f t="shared" ref="AG36:AG38" si="327">AF36*M36</f>
        <v>3.6147799999999997</v>
      </c>
      <c r="AH36" s="92">
        <v>0.2072</v>
      </c>
      <c r="AI36" s="29">
        <f t="shared" ref="AI36:AI38" si="328">AL36*(1-AM36)*AH36</f>
        <v>32.6553416</v>
      </c>
      <c r="AJ36" s="27">
        <f t="shared" ref="AJ36:AJ38" si="329">IF(AND(AH36&gt;0,AF36&gt;0,AC36&gt;0),((AC36-AF36)*AH36)/((AH36-AF36)*AC36),0)</f>
        <v>0.90189508040461652</v>
      </c>
      <c r="AK36" s="58">
        <f t="shared" si="6"/>
        <v>0.91027913874599886</v>
      </c>
      <c r="AL36" s="11">
        <v>173</v>
      </c>
      <c r="AM36" s="13">
        <v>8.8999999999999996E-2</v>
      </c>
      <c r="AN36" s="14">
        <v>0.2298</v>
      </c>
      <c r="AO36" s="101">
        <v>0.21740000000000001</v>
      </c>
      <c r="AP36" s="29">
        <f>AL36*(1-AM36)*AN36</f>
        <v>36.217169400000003</v>
      </c>
      <c r="AQ36" s="102">
        <f t="shared" ref="AQ36" si="330">AL36*(1-AM36)*AO36</f>
        <v>34.262892200000003</v>
      </c>
      <c r="AR36" s="18">
        <v>1.55</v>
      </c>
      <c r="AS36" s="18">
        <v>509.56</v>
      </c>
      <c r="AT36" s="79">
        <f>AT34+AL36-AS36+AU36</f>
        <v>495.23999999999921</v>
      </c>
      <c r="AU36" s="130">
        <v>3.7</v>
      </c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53</v>
      </c>
      <c r="D37" s="33">
        <v>19449</v>
      </c>
      <c r="E37" s="33">
        <v>3</v>
      </c>
      <c r="F37" s="33">
        <v>15246</v>
      </c>
      <c r="G37" s="34">
        <v>1.8</v>
      </c>
      <c r="H37" s="34">
        <v>6.5</v>
      </c>
      <c r="I37" s="33">
        <v>14866</v>
      </c>
      <c r="J37" s="34">
        <v>4.5</v>
      </c>
      <c r="K37" s="33">
        <v>14999</v>
      </c>
      <c r="L37" s="35">
        <v>6.7000000000000004E-2</v>
      </c>
      <c r="M37" s="36">
        <f>ROUND(K37*(1-L37),0)</f>
        <v>13994</v>
      </c>
      <c r="N37" s="37">
        <v>0.71699999999999997</v>
      </c>
      <c r="O37" s="24">
        <f t="shared" si="319"/>
        <v>10033.698</v>
      </c>
      <c r="P37" s="35">
        <v>0.26500000000000001</v>
      </c>
      <c r="Q37" s="24">
        <f t="shared" si="320"/>
        <v>3708.4100000000003</v>
      </c>
      <c r="R37" s="38">
        <v>1.7999999999999999E-2</v>
      </c>
      <c r="S37" s="105">
        <v>0.1875</v>
      </c>
      <c r="T37" s="24">
        <f t="shared" si="321"/>
        <v>251.89199999999997</v>
      </c>
      <c r="U37" s="27">
        <v>0.217</v>
      </c>
      <c r="V37" s="24">
        <f t="shared" si="322"/>
        <v>3036.6979999999999</v>
      </c>
      <c r="W37" s="38">
        <v>0.496</v>
      </c>
      <c r="X37" s="24">
        <f t="shared" si="323"/>
        <v>6941.0240000000003</v>
      </c>
      <c r="Y37" s="38">
        <v>0.4</v>
      </c>
      <c r="Z37" s="24">
        <f t="shared" si="324"/>
        <v>5597.6</v>
      </c>
      <c r="AA37" s="117">
        <v>2.5799999999999998E-3</v>
      </c>
      <c r="AB37" s="18">
        <f t="shared" si="237"/>
        <v>36.104520000000001</v>
      </c>
      <c r="AC37" s="39">
        <v>2.6199999999999999E-3</v>
      </c>
      <c r="AD37" s="17">
        <f t="shared" si="326"/>
        <v>36.664279999999998</v>
      </c>
      <c r="AE37" s="26">
        <f>IF(M37&gt;0,(AG37+AP37)/M37,0)</f>
        <v>2.6597876232671148E-3</v>
      </c>
      <c r="AF37" s="39">
        <v>2.5000000000000001E-4</v>
      </c>
      <c r="AG37" s="36">
        <f t="shared" si="327"/>
        <v>3.4984999999999999</v>
      </c>
      <c r="AH37" s="27">
        <v>0.20619999999999999</v>
      </c>
      <c r="AI37" s="40">
        <f t="shared" si="328"/>
        <v>31.028976000000004</v>
      </c>
      <c r="AJ37" s="27">
        <f t="shared" si="329"/>
        <v>0.90567821063809673</v>
      </c>
      <c r="AK37" s="28">
        <f t="shared" si="6"/>
        <v>0.90701937985073444</v>
      </c>
      <c r="AL37" s="33">
        <v>165</v>
      </c>
      <c r="AM37" s="35">
        <v>8.7999999999999995E-2</v>
      </c>
      <c r="AN37" s="37">
        <v>0.22409999999999999</v>
      </c>
      <c r="AO37" s="103">
        <v>0.2097</v>
      </c>
      <c r="AP37" s="40">
        <f>AL37*(1-AM37)*AN37</f>
        <v>33.722568000000003</v>
      </c>
      <c r="AQ37" s="104">
        <f t="shared" si="242"/>
        <v>31.555656000000003</v>
      </c>
      <c r="AR37" s="41">
        <v>1.6</v>
      </c>
      <c r="AS37" s="41"/>
      <c r="AT37" s="129">
        <f>AT36+AL37-AS37</f>
        <v>660.23999999999921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0" t="s">
        <v>54</v>
      </c>
      <c r="D38" s="42">
        <v>19500</v>
      </c>
      <c r="E38" s="42">
        <v>2</v>
      </c>
      <c r="F38" s="42">
        <v>17474</v>
      </c>
      <c r="G38" s="36">
        <v>1.3</v>
      </c>
      <c r="H38" s="36">
        <v>6.6</v>
      </c>
      <c r="I38" s="42">
        <v>17318</v>
      </c>
      <c r="J38" s="36">
        <v>3.5</v>
      </c>
      <c r="K38" s="42">
        <v>14980</v>
      </c>
      <c r="L38" s="38">
        <v>6.2E-2</v>
      </c>
      <c r="M38" s="36">
        <f>ROUND(K38*(1-L38),0)</f>
        <v>14051</v>
      </c>
      <c r="N38" s="27">
        <v>0.73899999999999999</v>
      </c>
      <c r="O38" s="24">
        <f t="shared" si="319"/>
        <v>10383.689</v>
      </c>
      <c r="P38" s="38">
        <v>0.24099999999999999</v>
      </c>
      <c r="Q38" s="24">
        <f t="shared" si="320"/>
        <v>3386.2909999999997</v>
      </c>
      <c r="R38" s="38">
        <v>0.02</v>
      </c>
      <c r="S38" s="105"/>
      <c r="T38" s="24">
        <f t="shared" si="321"/>
        <v>281.02</v>
      </c>
      <c r="U38" s="27">
        <v>0.218</v>
      </c>
      <c r="V38" s="24">
        <f t="shared" si="322"/>
        <v>3063.1179999999999</v>
      </c>
      <c r="W38" s="38">
        <v>0.49399999999999999</v>
      </c>
      <c r="X38" s="24">
        <f t="shared" si="323"/>
        <v>6941.1939999999995</v>
      </c>
      <c r="Y38" s="38">
        <v>0.43</v>
      </c>
      <c r="Z38" s="24">
        <f t="shared" si="324"/>
        <v>6041.93</v>
      </c>
      <c r="AA38" s="118">
        <v>2.6199999999999999E-3</v>
      </c>
      <c r="AB38" s="121">
        <f t="shared" si="237"/>
        <v>36.81362</v>
      </c>
      <c r="AC38" s="45">
        <v>2.7599999999999999E-3</v>
      </c>
      <c r="AD38" s="17">
        <f t="shared" si="326"/>
        <v>38.780760000000001</v>
      </c>
      <c r="AE38" s="26">
        <f>IF(M38&gt;0,(AG38+AP38)/M38,0)</f>
        <v>2.7966761084620311E-3</v>
      </c>
      <c r="AF38" s="45">
        <v>2.4000000000000001E-4</v>
      </c>
      <c r="AG38" s="36">
        <f t="shared" si="327"/>
        <v>3.3722400000000001</v>
      </c>
      <c r="AH38" s="27">
        <v>0.20810000000000001</v>
      </c>
      <c r="AI38" s="40">
        <f t="shared" si="328"/>
        <v>32.334578</v>
      </c>
      <c r="AJ38" s="27">
        <f t="shared" si="329"/>
        <v>0.9140976995385689</v>
      </c>
      <c r="AK38" s="28">
        <f t="shared" si="6"/>
        <v>0.91513380746051687</v>
      </c>
      <c r="AL38" s="42">
        <v>170</v>
      </c>
      <c r="AM38" s="38">
        <v>8.5999999999999993E-2</v>
      </c>
      <c r="AN38" s="27">
        <v>0.23119999999999999</v>
      </c>
      <c r="AO38" s="105">
        <v>0.2165</v>
      </c>
      <c r="AP38" s="40">
        <f>AL38*(1-AM38)*AN38</f>
        <v>35.923856000000001</v>
      </c>
      <c r="AQ38" s="106">
        <f t="shared" si="242"/>
        <v>33.639769999999999</v>
      </c>
      <c r="AR38" s="17">
        <v>1.55</v>
      </c>
      <c r="AS38" s="17"/>
      <c r="AT38" s="129">
        <f>AT37+AL38-AS38</f>
        <v>830.23999999999921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1">SUM(D36:D38)</f>
        <v>43149</v>
      </c>
      <c r="E39" s="49"/>
      <c r="F39" s="49">
        <f t="shared" ref="F39" si="332">SUM(F36:F38)</f>
        <v>44181</v>
      </c>
      <c r="G39" s="50"/>
      <c r="H39" s="50"/>
      <c r="I39" s="49">
        <f t="shared" ref="I39:K39" si="333">SUM(I36:I38)</f>
        <v>43875</v>
      </c>
      <c r="J39" s="50"/>
      <c r="K39" s="49">
        <f t="shared" si="333"/>
        <v>44945</v>
      </c>
      <c r="L39" s="20">
        <f t="shared" ref="L39" si="334">IF(K39&gt;0,(K36*L36+K37*L37+K38*L38)/K39,0)</f>
        <v>6.6665457781733245E-2</v>
      </c>
      <c r="M39" s="50">
        <f t="shared" ref="M39" si="335">M36+M37+M38</f>
        <v>41948</v>
      </c>
      <c r="N39" s="51">
        <f t="shared" ref="N39" si="336">IF(M39&gt;0,O39/M39,0)</f>
        <v>0.7326550252693812</v>
      </c>
      <c r="O39" s="52">
        <f t="shared" ref="O39" si="337">O36+O37+O38</f>
        <v>30733.413</v>
      </c>
      <c r="P39" s="20">
        <f t="shared" ref="P39" si="338">IF(M39&gt;0,Q39/M39,0)</f>
        <v>0.2437035377133594</v>
      </c>
      <c r="Q39" s="52">
        <f t="shared" ref="Q39" si="339">Q36+Q37+Q38</f>
        <v>10222.876</v>
      </c>
      <c r="R39" s="20">
        <f t="shared" ref="R39" si="340">IF(M39&gt;0,T39/M39,0)</f>
        <v>2.3641437017259466E-2</v>
      </c>
      <c r="S39" s="107"/>
      <c r="T39" s="52">
        <f t="shared" ref="T39" si="341">T36+T37+T38</f>
        <v>991.71100000000001</v>
      </c>
      <c r="U39" s="20">
        <f t="shared" ref="U39" si="342">IF(M39&gt;0,V39/M39,0)</f>
        <v>0.21733496233431868</v>
      </c>
      <c r="V39" s="52">
        <f t="shared" ref="V39" si="343">V36+V37+V38</f>
        <v>9116.7669999999998</v>
      </c>
      <c r="W39" s="20">
        <f t="shared" ref="W39" si="344">IF(M39&gt;0,X39/M39,0)</f>
        <v>0.4910214312958901</v>
      </c>
      <c r="X39" s="52">
        <f t="shared" ref="X39" si="345">X36+X37+X38</f>
        <v>20597.366999999998</v>
      </c>
      <c r="Y39" s="20">
        <f t="shared" ref="Y39" si="346">IF(M39&gt;0,Z39/M39,0)</f>
        <v>0.41667755316105659</v>
      </c>
      <c r="Z39" s="52">
        <f t="shared" ref="Z39" si="347">Z36+Z37+Z38</f>
        <v>17478.79</v>
      </c>
      <c r="AA39" s="119">
        <f t="shared" ref="AA39" si="348">IF(M39&gt;0,AB39/M39,0)</f>
        <v>2.5900841518069991E-3</v>
      </c>
      <c r="AB39" s="54">
        <f t="shared" ref="AB39" si="349">SUM(AB36:AB38)</f>
        <v>108.64885</v>
      </c>
      <c r="AC39" s="53">
        <f t="shared" ref="AC39" si="350">IF(M39&gt;0,AD39/M39,0)</f>
        <v>2.6668947268046151E-3</v>
      </c>
      <c r="AD39" s="54">
        <f t="shared" ref="AD39" si="351">SUM(AD36:AD38)</f>
        <v>111.87089999999999</v>
      </c>
      <c r="AE39" s="53">
        <f t="shared" ref="AE39" si="352">IF(M39&gt;0,(AE36*M36+AE37*M37+AE38*M38)/M39,0)</f>
        <v>2.7736510298464762E-3</v>
      </c>
      <c r="AF39" s="53">
        <f t="shared" ref="AF39" si="353">IF(K39&gt;0,(K36*AF36+K37*AF37+K38*AF38)/K39,0)</f>
        <v>2.4999688508176661E-4</v>
      </c>
      <c r="AG39" s="50">
        <f t="shared" ref="AG39" si="354">SUM(AG36:AG38)</f>
        <v>10.485519999999999</v>
      </c>
      <c r="AH39" s="51">
        <f t="shared" ref="AH39" si="355">IF(K39&gt;0,(K36*AH36+K37*AH37+K38*AH38)/K39,0)</f>
        <v>0.20716624763599956</v>
      </c>
      <c r="AI39" s="56">
        <f t="shared" ref="AI39" si="356">SUM(AI36:AI38)</f>
        <v>96.018895600000008</v>
      </c>
      <c r="AJ39" s="51">
        <f t="shared" ref="AJ39" si="357">IF(AND(AD39&gt;0),((AD36*AJ36+AD37*AJ37+AD38*AJ38)/AD39),0)</f>
        <v>0.90736506938443173</v>
      </c>
      <c r="AK39" s="55">
        <f t="shared" si="6"/>
        <v>0.91086436605461374</v>
      </c>
      <c r="AL39" s="49">
        <f t="shared" ref="AL39" si="358">SUM(AL36:AL38)</f>
        <v>508</v>
      </c>
      <c r="AM39" s="20">
        <f t="shared" ref="AM39" si="359">IF(AL39&gt;0,(AM36*AL36+AM37*AL37+AM38*AL38)/AL39,0)</f>
        <v>8.767125984251968E-2</v>
      </c>
      <c r="AN39" s="51">
        <f>IF(K39&gt;0,(AN36*K36+AN37*K37+AN38*K38)/K39,0)</f>
        <v>0.22836441650906664</v>
      </c>
      <c r="AO39" s="107">
        <f>IF(L39&gt;0,(AO36*K36+AO37*K37+AO38*K38)/K39,0)</f>
        <v>0.21453039715207475</v>
      </c>
      <c r="AP39" s="56">
        <f t="shared" ref="AP39" si="360">SUM(AP36:AP38)</f>
        <v>105.86359340000001</v>
      </c>
      <c r="AQ39" s="108">
        <f t="shared" si="272"/>
        <v>99.458318200000008</v>
      </c>
      <c r="AR39" s="54"/>
      <c r="AS39" s="54">
        <f t="shared" ref="AS39" si="361">SUM(AS36:AS38)</f>
        <v>509.56</v>
      </c>
      <c r="AT39" s="83"/>
      <c r="AU39" s="84">
        <f>AT38</f>
        <v>830.23999999999921</v>
      </c>
      <c r="AV39" s="49">
        <f t="shared" ref="AV39" si="362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55</v>
      </c>
      <c r="D40" s="11">
        <v>4860</v>
      </c>
      <c r="E40" s="11">
        <v>1</v>
      </c>
      <c r="F40" s="11">
        <v>12999</v>
      </c>
      <c r="G40" s="12">
        <v>2.4</v>
      </c>
      <c r="H40" s="12">
        <v>6.4</v>
      </c>
      <c r="I40" s="11">
        <v>12337</v>
      </c>
      <c r="J40" s="12">
        <v>4.8</v>
      </c>
      <c r="K40" s="11">
        <v>15408</v>
      </c>
      <c r="L40" s="13">
        <v>7.2999999999999995E-2</v>
      </c>
      <c r="M40" s="23">
        <f>ROUND(K40*(1-L40),0)</f>
        <v>14283</v>
      </c>
      <c r="N40" s="14">
        <v>0.68400000000000005</v>
      </c>
      <c r="O40" s="24">
        <f t="shared" ref="O40:O42" si="363">M40*N40</f>
        <v>9769.5720000000001</v>
      </c>
      <c r="P40" s="13">
        <v>0.28599999999999998</v>
      </c>
      <c r="Q40" s="24">
        <f t="shared" ref="Q40:Q42" si="364">M40*P40</f>
        <v>4084.9379999999996</v>
      </c>
      <c r="R40" s="15">
        <v>0.03</v>
      </c>
      <c r="S40" s="112"/>
      <c r="T40" s="24">
        <f t="shared" ref="T40:T42" si="365">M40*R40</f>
        <v>428.49</v>
      </c>
      <c r="U40" s="25">
        <v>0.23100000000000001</v>
      </c>
      <c r="V40" s="24">
        <f t="shared" ref="V40:V42" si="366">M40*U40</f>
        <v>3299.373</v>
      </c>
      <c r="W40" s="15">
        <v>0.46100000000000002</v>
      </c>
      <c r="X40" s="24">
        <f t="shared" ref="X40:X42" si="367">M40*W40</f>
        <v>6584.4630000000006</v>
      </c>
      <c r="Y40" s="15">
        <v>0.43</v>
      </c>
      <c r="Z40" s="24">
        <f t="shared" ref="Z40:Z42" si="368">Y40*M40</f>
        <v>6141.69</v>
      </c>
      <c r="AA40" s="116">
        <v>2.9299999999999999E-3</v>
      </c>
      <c r="AB40" s="18">
        <f t="shared" ref="AB40" si="369">M40*AA40</f>
        <v>41.84919</v>
      </c>
      <c r="AC40" s="16">
        <v>3.0799999999999998E-3</v>
      </c>
      <c r="AD40" s="17">
        <f t="shared" ref="AD40:AD42" si="370">M40*AC40</f>
        <v>43.991639999999997</v>
      </c>
      <c r="AE40" s="26">
        <f>IF(M40&gt;0,(AG40+AP40)/M40,0)</f>
        <v>3.1021794580970382E-3</v>
      </c>
      <c r="AF40" s="16">
        <v>2.5999999999999998E-4</v>
      </c>
      <c r="AG40" s="23">
        <f t="shared" ref="AG40:AG42" si="371">AF40*M40</f>
        <v>3.7135799999999999</v>
      </c>
      <c r="AH40" s="92">
        <v>0.20910000000000001</v>
      </c>
      <c r="AI40" s="29">
        <f t="shared" ref="AI40:AI42" si="372">AL40*(1-AM40)*AH40</f>
        <v>36.873948600000006</v>
      </c>
      <c r="AJ40" s="27">
        <f t="shared" ref="AJ40:AJ42" si="373">IF(AND(AH40&gt;0,AF40&gt;0,AC40&gt;0),((AC40-AF40)*AH40)/((AH40-AF40)*AC40),0)</f>
        <v>0.91672429275378908</v>
      </c>
      <c r="AK40" s="58">
        <f t="shared" si="6"/>
        <v>0.9172239173830623</v>
      </c>
      <c r="AL40" s="11">
        <v>194</v>
      </c>
      <c r="AM40" s="13">
        <v>9.0999999999999998E-2</v>
      </c>
      <c r="AN40" s="14">
        <v>0.23019999999999999</v>
      </c>
      <c r="AO40" s="101">
        <v>0.22339999999999999</v>
      </c>
      <c r="AP40" s="29">
        <f>AL40*(1-AM40)*AN40</f>
        <v>40.594849199999999</v>
      </c>
      <c r="AQ40" s="102">
        <f t="shared" ref="AQ40" si="374">AL40*(1-AM40)*AO40</f>
        <v>39.395696399999999</v>
      </c>
      <c r="AR40" s="18">
        <v>1.6</v>
      </c>
      <c r="AS40" s="18">
        <v>517.79999999999995</v>
      </c>
      <c r="AT40" s="79">
        <f>AT38+AL40-AS40+AU40</f>
        <v>518.6599999999994</v>
      </c>
      <c r="AU40" s="130">
        <v>12.22</v>
      </c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0" t="s">
        <v>53</v>
      </c>
      <c r="D41" s="33">
        <v>19549</v>
      </c>
      <c r="E41" s="33">
        <v>3</v>
      </c>
      <c r="F41" s="33">
        <v>16808</v>
      </c>
      <c r="G41" s="34">
        <v>2.8</v>
      </c>
      <c r="H41" s="34">
        <v>7.8</v>
      </c>
      <c r="I41" s="33">
        <v>16205</v>
      </c>
      <c r="J41" s="34">
        <v>4.2</v>
      </c>
      <c r="K41" s="33">
        <v>16279</v>
      </c>
      <c r="L41" s="35">
        <v>6.3E-2</v>
      </c>
      <c r="M41" s="36">
        <f>ROUND(K41*(1-L41),0)</f>
        <v>15253</v>
      </c>
      <c r="N41" s="37">
        <v>0.72199999999999998</v>
      </c>
      <c r="O41" s="24">
        <f t="shared" si="363"/>
        <v>11012.665999999999</v>
      </c>
      <c r="P41" s="35">
        <v>0.25900000000000001</v>
      </c>
      <c r="Q41" s="24">
        <f t="shared" si="364"/>
        <v>3950.527</v>
      </c>
      <c r="R41" s="38">
        <v>1.9E-2</v>
      </c>
      <c r="S41" s="105"/>
      <c r="T41" s="24">
        <f t="shared" si="365"/>
        <v>289.80700000000002</v>
      </c>
      <c r="U41" s="27">
        <v>0.23899999999999999</v>
      </c>
      <c r="V41" s="24">
        <f t="shared" si="366"/>
        <v>3645.4669999999996</v>
      </c>
      <c r="W41" s="38">
        <v>0.45400000000000001</v>
      </c>
      <c r="X41" s="24">
        <f t="shared" si="367"/>
        <v>6924.8620000000001</v>
      </c>
      <c r="Y41" s="38">
        <v>0.42</v>
      </c>
      <c r="Z41" s="24">
        <f t="shared" si="368"/>
        <v>6406.2599999999993</v>
      </c>
      <c r="AA41" s="117">
        <v>2.8500000000000001E-3</v>
      </c>
      <c r="AB41" s="18">
        <f t="shared" si="237"/>
        <v>43.471049999999998</v>
      </c>
      <c r="AC41" s="39">
        <v>3.0200000000000001E-3</v>
      </c>
      <c r="AD41" s="17">
        <f t="shared" si="370"/>
        <v>46.064060000000005</v>
      </c>
      <c r="AE41" s="26">
        <f>IF(M41&gt;0,(AG41+AP41)/M41,0)</f>
        <v>3.0051568347210385E-3</v>
      </c>
      <c r="AF41" s="39">
        <v>2.5999999999999998E-4</v>
      </c>
      <c r="AG41" s="36">
        <f t="shared" si="371"/>
        <v>3.9657799999999996</v>
      </c>
      <c r="AH41" s="27">
        <v>0.217</v>
      </c>
      <c r="AI41" s="40">
        <f t="shared" si="372"/>
        <v>38.730593999999996</v>
      </c>
      <c r="AJ41" s="27">
        <f t="shared" si="373"/>
        <v>0.91500360244856527</v>
      </c>
      <c r="AK41" s="28">
        <f t="shared" si="6"/>
        <v>0.91449556035898349</v>
      </c>
      <c r="AL41" s="33">
        <v>197</v>
      </c>
      <c r="AM41" s="35">
        <v>9.4E-2</v>
      </c>
      <c r="AN41" s="37">
        <v>0.2346</v>
      </c>
      <c r="AO41" s="103">
        <v>0.2215</v>
      </c>
      <c r="AP41" s="40">
        <f>AL41*(1-AM41)*AN41</f>
        <v>41.8718772</v>
      </c>
      <c r="AQ41" s="104">
        <f t="shared" si="242"/>
        <v>39.533763</v>
      </c>
      <c r="AR41" s="41">
        <v>1.56</v>
      </c>
      <c r="AS41" s="41"/>
      <c r="AT41" s="129">
        <f>AT40+AL41-AS41</f>
        <v>715.6599999999994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54</v>
      </c>
      <c r="D42" s="42">
        <v>20300</v>
      </c>
      <c r="E42" s="42">
        <v>1</v>
      </c>
      <c r="F42" s="42">
        <v>17617</v>
      </c>
      <c r="G42" s="36">
        <v>2</v>
      </c>
      <c r="H42" s="36">
        <v>6.1</v>
      </c>
      <c r="I42" s="42">
        <v>16969</v>
      </c>
      <c r="J42" s="36">
        <v>3</v>
      </c>
      <c r="K42" s="42">
        <v>16341</v>
      </c>
      <c r="L42" s="38">
        <v>6.4000000000000001E-2</v>
      </c>
      <c r="M42" s="36">
        <f>ROUND(K42*(1-L42),0)</f>
        <v>15295</v>
      </c>
      <c r="N42" s="27">
        <v>0.72299999999999998</v>
      </c>
      <c r="O42" s="24">
        <f t="shared" si="363"/>
        <v>11058.285</v>
      </c>
      <c r="P42" s="38">
        <v>0.26</v>
      </c>
      <c r="Q42" s="24">
        <f t="shared" si="364"/>
        <v>3976.7000000000003</v>
      </c>
      <c r="R42" s="38">
        <v>1.7000000000000001E-2</v>
      </c>
      <c r="S42" s="105"/>
      <c r="T42" s="24">
        <f t="shared" si="365"/>
        <v>260.01500000000004</v>
      </c>
      <c r="U42" s="27">
        <v>0.246</v>
      </c>
      <c r="V42" s="24">
        <f t="shared" si="366"/>
        <v>3762.57</v>
      </c>
      <c r="W42" s="38">
        <v>0.46</v>
      </c>
      <c r="X42" s="24">
        <f t="shared" si="367"/>
        <v>7035.7000000000007</v>
      </c>
      <c r="Y42" s="38">
        <v>0.42</v>
      </c>
      <c r="Z42" s="24">
        <f t="shared" si="368"/>
        <v>6423.9</v>
      </c>
      <c r="AA42" s="118">
        <v>2.8800000000000002E-3</v>
      </c>
      <c r="AB42" s="121">
        <f t="shared" si="237"/>
        <v>44.049600000000005</v>
      </c>
      <c r="AC42" s="45">
        <v>3.1099999999999999E-3</v>
      </c>
      <c r="AD42" s="17">
        <f t="shared" si="370"/>
        <v>47.567450000000001</v>
      </c>
      <c r="AE42" s="26">
        <f>IF(M42&gt;0,(AG42+AP42)/M42,0)</f>
        <v>3.203271095129127E-3</v>
      </c>
      <c r="AF42" s="45">
        <v>2.7E-4</v>
      </c>
      <c r="AG42" s="36">
        <f t="shared" si="371"/>
        <v>4.1296499999999998</v>
      </c>
      <c r="AH42" s="27">
        <v>0.21390000000000001</v>
      </c>
      <c r="AI42" s="40">
        <f t="shared" si="372"/>
        <v>41.116071900000001</v>
      </c>
      <c r="AJ42" s="27">
        <f t="shared" si="373"/>
        <v>0.9143374223516243</v>
      </c>
      <c r="AK42" s="28">
        <f t="shared" si="6"/>
        <v>0.91677169431115657</v>
      </c>
      <c r="AL42" s="42">
        <v>211</v>
      </c>
      <c r="AM42" s="38">
        <v>8.8999999999999996E-2</v>
      </c>
      <c r="AN42" s="27">
        <v>0.2334</v>
      </c>
      <c r="AO42" s="105">
        <v>0.2175</v>
      </c>
      <c r="AP42" s="40">
        <f>AL42*(1-AM42)*AN42</f>
        <v>44.864381399999999</v>
      </c>
      <c r="AQ42" s="106">
        <f t="shared" si="242"/>
        <v>41.8080675</v>
      </c>
      <c r="AR42" s="17">
        <v>1.6</v>
      </c>
      <c r="AS42" s="17"/>
      <c r="AT42" s="129">
        <f>AT41+AL42-AS42</f>
        <v>926.6599999999994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5">SUM(D40:D42)</f>
        <v>44709</v>
      </c>
      <c r="E43" s="49"/>
      <c r="F43" s="49">
        <f t="shared" ref="F43" si="376">SUM(F40:F42)</f>
        <v>47424</v>
      </c>
      <c r="G43" s="50"/>
      <c r="H43" s="50"/>
      <c r="I43" s="49">
        <f t="shared" ref="I43:K43" si="377">SUM(I40:I42)</f>
        <v>45511</v>
      </c>
      <c r="J43" s="50"/>
      <c r="K43" s="49">
        <f t="shared" si="377"/>
        <v>48028</v>
      </c>
      <c r="L43" s="20">
        <f t="shared" ref="L43" si="378">IF(K43&gt;0,(K40*L40+K41*L41+K42*L42)/K43,0)</f>
        <v>6.6548367618888979E-2</v>
      </c>
      <c r="M43" s="50">
        <f t="shared" ref="M43" si="379">M40+M41+M42</f>
        <v>44831</v>
      </c>
      <c r="N43" s="51">
        <f t="shared" ref="N43" si="380">IF(M43&gt;0,O43/M43,0)</f>
        <v>0.71023450291093215</v>
      </c>
      <c r="O43" s="52">
        <f t="shared" ref="O43" si="381">O40+O41+O42</f>
        <v>31840.522999999997</v>
      </c>
      <c r="P43" s="20">
        <f t="shared" ref="P43" si="382">IF(M43&gt;0,Q43/M43,0)</f>
        <v>0.26794327585822314</v>
      </c>
      <c r="Q43" s="52">
        <f t="shared" ref="Q43" si="383">Q40+Q41+Q42</f>
        <v>12012.165000000001</v>
      </c>
      <c r="R43" s="20">
        <f t="shared" ref="R43" si="384">IF(M43&gt;0,T43/M43,0)</f>
        <v>2.1822221230844732E-2</v>
      </c>
      <c r="S43" s="107"/>
      <c r="T43" s="52">
        <f t="shared" ref="T43" si="385">T40+T41+T42</f>
        <v>978.31200000000013</v>
      </c>
      <c r="U43" s="20">
        <f t="shared" ref="U43" si="386">IF(M43&gt;0,V43/M43,0)</f>
        <v>0.23883941915192611</v>
      </c>
      <c r="V43" s="52">
        <f t="shared" ref="V43" si="387">V40+V41+V42</f>
        <v>10707.41</v>
      </c>
      <c r="W43" s="20">
        <f t="shared" ref="W43" si="388">IF(M43&gt;0,X43/M43,0)</f>
        <v>0.45827719658272181</v>
      </c>
      <c r="X43" s="52">
        <f t="shared" ref="X43" si="389">X40+X41+X42</f>
        <v>20545.025000000001</v>
      </c>
      <c r="Y43" s="20">
        <f t="shared" ref="Y43" si="390">IF(M43&gt;0,Z43/M43,0)</f>
        <v>0.42318596506881395</v>
      </c>
      <c r="Z43" s="52">
        <f t="shared" ref="Z43" si="391">Z40+Z41+Z42</f>
        <v>18971.849999999999</v>
      </c>
      <c r="AA43" s="119">
        <f t="shared" ref="AA43" si="392">IF(M43&gt;0,AB43/M43,0)</f>
        <v>2.8857228257232722E-3</v>
      </c>
      <c r="AB43" s="54">
        <f t="shared" ref="AB43" si="393">SUM(AB40:AB42)</f>
        <v>129.36984000000001</v>
      </c>
      <c r="AC43" s="53">
        <f t="shared" ref="AC43" si="394">IF(M43&gt;0,AD43/M43,0)</f>
        <v>3.0698211059311639E-3</v>
      </c>
      <c r="AD43" s="54">
        <f t="shared" ref="AD43" si="395">SUM(AD40:AD42)</f>
        <v>137.62315000000001</v>
      </c>
      <c r="AE43" s="53">
        <f t="shared" ref="AE43" si="396">IF(M43&gt;0,(AE40*M40+AE41*M41+AE42*M42)/M43,0)</f>
        <v>3.1036585800004457E-3</v>
      </c>
      <c r="AF43" s="53">
        <f t="shared" ref="AF43" si="397">IF(K43&gt;0,(K40*AF40+K41*AF41+K42*AF42)/K43,0)</f>
        <v>2.6340239027234112E-4</v>
      </c>
      <c r="AG43" s="50">
        <f t="shared" ref="AG43" si="398">SUM(AG40:AG42)</f>
        <v>11.809009999999999</v>
      </c>
      <c r="AH43" s="51">
        <f t="shared" ref="AH43" si="399">IF(K43&gt;0,(K40*AH40+K41*AH41+K42*AH42)/K43,0)</f>
        <v>0.21341083742816691</v>
      </c>
      <c r="AI43" s="56">
        <f t="shared" ref="AI43" si="400">SUM(AI40:AI42)</f>
        <v>116.72061450000001</v>
      </c>
      <c r="AJ43" s="51">
        <f t="shared" ref="AJ43" si="401">IF(AND(AD43&gt;0),((AD40*AJ40+AD41*AJ41+AD42*AJ42)/AD43),0)</f>
        <v>0.91532337059808555</v>
      </c>
      <c r="AK43" s="55">
        <f t="shared" si="6"/>
        <v>0.91616833793136743</v>
      </c>
      <c r="AL43" s="49">
        <f t="shared" ref="AL43" si="402">SUM(AL40:AL42)</f>
        <v>602</v>
      </c>
      <c r="AM43" s="20">
        <f t="shared" ref="AM43" si="403">IF(AL43&gt;0,(AM40*AL40+AM41*AL41+AM42*AL42)/AL43,0)</f>
        <v>9.1280730897009957E-2</v>
      </c>
      <c r="AN43" s="51">
        <f>IF(K43&gt;0,(AN40*K40+AN41*K41+AN42*K42)/K43,0)</f>
        <v>0.23278013658699093</v>
      </c>
      <c r="AO43" s="107">
        <f>IF(L43&gt;0,(AO40*K40+AO41*K41+AO42*K42)/K43,0)</f>
        <v>0.22074858832347796</v>
      </c>
      <c r="AP43" s="56">
        <f t="shared" ref="AP43" si="404">SUM(AP40:AP42)</f>
        <v>127.3311078</v>
      </c>
      <c r="AQ43" s="108">
        <f t="shared" si="272"/>
        <v>120.73752690000001</v>
      </c>
      <c r="AR43" s="54"/>
      <c r="AS43" s="54">
        <f t="shared" ref="AS43" si="405">SUM(AS40:AS42)</f>
        <v>517.79999999999995</v>
      </c>
      <c r="AT43" s="83"/>
      <c r="AU43" s="84">
        <f>AT42</f>
        <v>926.6599999999994</v>
      </c>
      <c r="AV43" s="49">
        <f t="shared" ref="AV43" si="406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14149</v>
      </c>
      <c r="E44" s="11">
        <v>0</v>
      </c>
      <c r="F44" s="11">
        <v>17346</v>
      </c>
      <c r="G44" s="12">
        <v>1.5</v>
      </c>
      <c r="H44" s="12">
        <v>7</v>
      </c>
      <c r="I44" s="11">
        <v>16414</v>
      </c>
      <c r="J44" s="12">
        <v>2.8</v>
      </c>
      <c r="K44" s="11">
        <v>16250</v>
      </c>
      <c r="L44" s="13">
        <v>6.6000000000000003E-2</v>
      </c>
      <c r="M44" s="23">
        <f>ROUND(K44*(1-L44),0)</f>
        <v>15178</v>
      </c>
      <c r="N44" s="14">
        <v>0.76600000000000001</v>
      </c>
      <c r="O44" s="24">
        <f t="shared" ref="O44:O46" si="407">M44*N44</f>
        <v>11626.348</v>
      </c>
      <c r="P44" s="13">
        <v>0.19700000000000001</v>
      </c>
      <c r="Q44" s="24">
        <f t="shared" ref="Q44:Q46" si="408">M44*P44</f>
        <v>2990.0660000000003</v>
      </c>
      <c r="R44" s="15">
        <v>3.6999999999999998E-2</v>
      </c>
      <c r="S44" s="112"/>
      <c r="T44" s="24">
        <f t="shared" ref="T44:T46" si="409">M44*R44</f>
        <v>561.58600000000001</v>
      </c>
      <c r="U44" s="25">
        <v>0.23</v>
      </c>
      <c r="V44" s="24">
        <f t="shared" ref="V44:V46" si="410">M44*U44</f>
        <v>3490.94</v>
      </c>
      <c r="W44" s="15">
        <v>0.48</v>
      </c>
      <c r="X44" s="24">
        <f t="shared" ref="X44:X46" si="411">M44*W44</f>
        <v>7285.44</v>
      </c>
      <c r="Y44" s="15">
        <v>0.43</v>
      </c>
      <c r="Z44" s="24">
        <f t="shared" ref="Z44:Z46" si="412">Y44*M44</f>
        <v>6526.54</v>
      </c>
      <c r="AA44" s="116">
        <v>2.8900000000000002E-3</v>
      </c>
      <c r="AB44" s="18">
        <f t="shared" ref="AB44" si="413">M44*AA44</f>
        <v>43.864420000000003</v>
      </c>
      <c r="AC44" s="16">
        <v>3.0100000000000001E-3</v>
      </c>
      <c r="AD44" s="17">
        <f t="shared" ref="AD44:AD46" si="414">M44*AC44</f>
        <v>45.685780000000001</v>
      </c>
      <c r="AE44" s="26">
        <f>IF(M44&gt;0,(AG44+AP44)/M44,0)</f>
        <v>3.2127643694821453E-3</v>
      </c>
      <c r="AF44" s="16">
        <v>2.7999999999999998E-4</v>
      </c>
      <c r="AG44" s="23">
        <f t="shared" ref="AG44:AG46" si="415">AF44*M44</f>
        <v>4.2498399999999998</v>
      </c>
      <c r="AH44" s="92">
        <v>0.2104</v>
      </c>
      <c r="AI44" s="29">
        <f t="shared" ref="AI44:AI46" si="416">AL44*(1-AM44)*AH44</f>
        <v>39.955801600000001</v>
      </c>
      <c r="AJ44" s="27">
        <f t="shared" ref="AJ44:AJ46" si="417">IF(AND(AH44&gt;0,AF44&gt;0,AC44&gt;0),((AC44-AF44)*AH44)/((AH44-AF44)*AC44),0)</f>
        <v>0.90818535587637639</v>
      </c>
      <c r="AK44" s="58">
        <f t="shared" si="6"/>
        <v>0.91393937549802973</v>
      </c>
      <c r="AL44" s="11">
        <v>208</v>
      </c>
      <c r="AM44" s="13">
        <v>8.6999999999999994E-2</v>
      </c>
      <c r="AN44" s="14">
        <v>0.2344</v>
      </c>
      <c r="AO44" s="101">
        <v>0.22070000000000001</v>
      </c>
      <c r="AP44" s="29">
        <f>AL44*(1-AM44)*AN44</f>
        <v>44.513497600000001</v>
      </c>
      <c r="AQ44" s="102">
        <f t="shared" ref="AQ44" si="418">AL44*(1-AM44)*AO44</f>
        <v>41.9118128</v>
      </c>
      <c r="AR44" s="18">
        <v>1.6</v>
      </c>
      <c r="AS44" s="18"/>
      <c r="AT44" s="79">
        <f>AT42+AL44-AS44</f>
        <v>1134.6599999999994</v>
      </c>
      <c r="AU44" s="80"/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57</v>
      </c>
      <c r="D45" s="33">
        <v>20558</v>
      </c>
      <c r="E45" s="33">
        <v>1</v>
      </c>
      <c r="F45" s="33">
        <v>15875</v>
      </c>
      <c r="G45" s="34">
        <v>0.9</v>
      </c>
      <c r="H45" s="34">
        <v>4.9000000000000004</v>
      </c>
      <c r="I45" s="33">
        <v>15332</v>
      </c>
      <c r="J45" s="34">
        <v>3.1</v>
      </c>
      <c r="K45" s="33">
        <v>16109</v>
      </c>
      <c r="L45" s="35">
        <v>6.8000000000000005E-2</v>
      </c>
      <c r="M45" s="36">
        <f>ROUND(K45*(1-L45),0)</f>
        <v>15014</v>
      </c>
      <c r="N45" s="37">
        <v>0.65800000000000003</v>
      </c>
      <c r="O45" s="24">
        <f t="shared" si="407"/>
        <v>9879.2119999999995</v>
      </c>
      <c r="P45" s="35">
        <v>0.29199999999999998</v>
      </c>
      <c r="Q45" s="24">
        <f t="shared" si="408"/>
        <v>4384.0879999999997</v>
      </c>
      <c r="R45" s="38">
        <v>0.05</v>
      </c>
      <c r="S45" s="105">
        <v>0.19900000000000001</v>
      </c>
      <c r="T45" s="24">
        <f t="shared" si="409"/>
        <v>750.7</v>
      </c>
      <c r="U45" s="27">
        <v>0.22900000000000001</v>
      </c>
      <c r="V45" s="24">
        <f t="shared" si="410"/>
        <v>3438.2060000000001</v>
      </c>
      <c r="W45" s="38">
        <v>0.48399999999999999</v>
      </c>
      <c r="X45" s="24">
        <f t="shared" si="411"/>
        <v>7266.7759999999998</v>
      </c>
      <c r="Y45" s="38">
        <v>0.42</v>
      </c>
      <c r="Z45" s="24">
        <f t="shared" si="412"/>
        <v>6305.88</v>
      </c>
      <c r="AA45" s="117">
        <v>2.7299999999999998E-3</v>
      </c>
      <c r="AB45" s="18">
        <f t="shared" si="237"/>
        <v>40.988219999999998</v>
      </c>
      <c r="AC45" s="39">
        <v>2.7899999999999999E-3</v>
      </c>
      <c r="AD45" s="17">
        <f t="shared" si="414"/>
        <v>41.889060000000001</v>
      </c>
      <c r="AE45" s="26">
        <f>IF(M45&gt;0,(AG45+AP45)/M45,0)</f>
        <v>2.8909327028107095E-3</v>
      </c>
      <c r="AF45" s="39">
        <v>2.9999999999999997E-4</v>
      </c>
      <c r="AG45" s="36">
        <f t="shared" si="415"/>
        <v>4.5042</v>
      </c>
      <c r="AH45" s="27">
        <v>0.21410000000000001</v>
      </c>
      <c r="AI45" s="40">
        <f t="shared" si="416"/>
        <v>36.353323600000003</v>
      </c>
      <c r="AJ45" s="27">
        <f t="shared" si="417"/>
        <v>0.89372541919390036</v>
      </c>
      <c r="AK45" s="28">
        <f t="shared" si="6"/>
        <v>0.89740238583168697</v>
      </c>
      <c r="AL45" s="33">
        <v>187</v>
      </c>
      <c r="AM45" s="35">
        <v>9.1999999999999998E-2</v>
      </c>
      <c r="AN45" s="37">
        <v>0.2291</v>
      </c>
      <c r="AO45" s="103">
        <v>0.21540000000000001</v>
      </c>
      <c r="AP45" s="40">
        <f>AL45*(1-AM45)*AN45</f>
        <v>38.900263599999995</v>
      </c>
      <c r="AQ45" s="104">
        <f t="shared" si="242"/>
        <v>36.574058399999998</v>
      </c>
      <c r="AR45" s="41">
        <v>1.55</v>
      </c>
      <c r="AS45" s="41"/>
      <c r="AT45" s="129">
        <f>AT44+AL45-AS45</f>
        <v>1321.6599999999994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54</v>
      </c>
      <c r="D46" s="42">
        <v>14300</v>
      </c>
      <c r="E46" s="42">
        <v>2</v>
      </c>
      <c r="F46" s="42">
        <v>15521</v>
      </c>
      <c r="G46" s="36">
        <v>0.8</v>
      </c>
      <c r="H46" s="36">
        <v>4.7</v>
      </c>
      <c r="I46" s="42">
        <v>15162</v>
      </c>
      <c r="J46" s="36">
        <v>3.5</v>
      </c>
      <c r="K46" s="42">
        <v>16038</v>
      </c>
      <c r="L46" s="38">
        <v>7.2999999999999995E-2</v>
      </c>
      <c r="M46" s="36">
        <f>ROUND(K46*(1-L46),0)</f>
        <v>14867</v>
      </c>
      <c r="N46" s="27">
        <v>0.68100000000000005</v>
      </c>
      <c r="O46" s="24">
        <f t="shared" si="407"/>
        <v>10124.427000000001</v>
      </c>
      <c r="P46" s="38">
        <v>0.27</v>
      </c>
      <c r="Q46" s="24">
        <f t="shared" si="408"/>
        <v>4014.09</v>
      </c>
      <c r="R46" s="38">
        <v>4.9000000000000002E-2</v>
      </c>
      <c r="S46" s="105">
        <v>0.2049</v>
      </c>
      <c r="T46" s="24">
        <f t="shared" si="409"/>
        <v>728.48300000000006</v>
      </c>
      <c r="U46" s="27">
        <v>0.23400000000000001</v>
      </c>
      <c r="V46" s="24">
        <f t="shared" si="410"/>
        <v>3478.8780000000002</v>
      </c>
      <c r="W46" s="38">
        <v>0.496</v>
      </c>
      <c r="X46" s="24">
        <f t="shared" si="411"/>
        <v>7374.0320000000002</v>
      </c>
      <c r="Y46" s="38">
        <v>0.42</v>
      </c>
      <c r="Z46" s="24">
        <f t="shared" si="412"/>
        <v>6244.1399999999994</v>
      </c>
      <c r="AA46" s="118">
        <v>2.63E-3</v>
      </c>
      <c r="AB46" s="121">
        <f t="shared" si="237"/>
        <v>39.100209999999997</v>
      </c>
      <c r="AC46" s="45">
        <v>2.7299999999999998E-3</v>
      </c>
      <c r="AD46" s="17">
        <f t="shared" si="414"/>
        <v>40.586909999999996</v>
      </c>
      <c r="AE46" s="26">
        <f>IF(M46&gt;0,(AG46+AP46)/M46,0)</f>
        <v>2.9835875765117379E-3</v>
      </c>
      <c r="AF46" s="45">
        <v>2.7E-4</v>
      </c>
      <c r="AG46" s="36">
        <f t="shared" si="415"/>
        <v>4.0140900000000004</v>
      </c>
      <c r="AH46" s="27">
        <v>0.2079</v>
      </c>
      <c r="AI46" s="40">
        <f t="shared" si="416"/>
        <v>36.770233500000003</v>
      </c>
      <c r="AJ46" s="27">
        <f t="shared" si="417"/>
        <v>0.90227068120436116</v>
      </c>
      <c r="AK46" s="28">
        <f t="shared" si="6"/>
        <v>0.91058276775914504</v>
      </c>
      <c r="AL46" s="42">
        <v>195</v>
      </c>
      <c r="AM46" s="38">
        <v>9.2999999999999999E-2</v>
      </c>
      <c r="AN46" s="27">
        <v>0.2281</v>
      </c>
      <c r="AO46" s="105">
        <v>0.2109</v>
      </c>
      <c r="AP46" s="40">
        <f>AL46*(1-AM46)*AN46</f>
        <v>40.342906500000005</v>
      </c>
      <c r="AQ46" s="106">
        <f t="shared" si="242"/>
        <v>37.300828500000001</v>
      </c>
      <c r="AR46" s="17">
        <v>1.55</v>
      </c>
      <c r="AS46" s="17"/>
      <c r="AT46" s="129">
        <f>AT45+AL46-AS46</f>
        <v>1516.6599999999994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9">SUM(D44:D46)</f>
        <v>49007</v>
      </c>
      <c r="E47" s="49"/>
      <c r="F47" s="49">
        <f t="shared" ref="F47" si="420">SUM(F44:F46)</f>
        <v>48742</v>
      </c>
      <c r="G47" s="50"/>
      <c r="H47" s="50"/>
      <c r="I47" s="49">
        <f t="shared" ref="I47:K47" si="421">SUM(I44:I46)</f>
        <v>46908</v>
      </c>
      <c r="J47" s="50"/>
      <c r="K47" s="49">
        <f t="shared" si="421"/>
        <v>48397</v>
      </c>
      <c r="L47" s="20">
        <f t="shared" ref="L47" si="422">IF(K47&gt;0,(K44*L44+K45*L45+K46*L46)/K47,0)</f>
        <v>6.8985391656507633E-2</v>
      </c>
      <c r="M47" s="50">
        <f t="shared" ref="M47" si="423">M44+M45+M46</f>
        <v>45059</v>
      </c>
      <c r="N47" s="51">
        <f t="shared" ref="N47" si="424">IF(M47&gt;0,O47/M47,0)</f>
        <v>0.70196824163874039</v>
      </c>
      <c r="O47" s="52">
        <f t="shared" ref="O47" si="425">O44+O45+O46</f>
        <v>31629.987000000001</v>
      </c>
      <c r="P47" s="20">
        <f t="shared" ref="P47" si="426">IF(M47&gt;0,Q47/M47,0)</f>
        <v>0.2527407177256486</v>
      </c>
      <c r="Q47" s="52">
        <f t="shared" ref="Q47" si="427">Q44+Q45+Q46</f>
        <v>11388.244000000001</v>
      </c>
      <c r="R47" s="20">
        <f t="shared" ref="R47" si="428">IF(M47&gt;0,T47/M47,0)</f>
        <v>4.5291040635611096E-2</v>
      </c>
      <c r="S47" s="107"/>
      <c r="T47" s="52">
        <f t="shared" ref="T47" si="429">T44+T45+T46</f>
        <v>2040.7690000000002</v>
      </c>
      <c r="U47" s="20">
        <f t="shared" ref="U47" si="430">IF(M47&gt;0,V47/M47,0)</f>
        <v>0.23098657315963517</v>
      </c>
      <c r="V47" s="52">
        <f t="shared" ref="V47" si="431">V44+V45+V46</f>
        <v>10408.024000000001</v>
      </c>
      <c r="W47" s="20">
        <f t="shared" ref="W47" si="432">IF(M47&gt;0,X47/M47,0)</f>
        <v>0.48661195321689338</v>
      </c>
      <c r="X47" s="52">
        <f t="shared" ref="X47" si="433">X44+X45+X46</f>
        <v>21926.248</v>
      </c>
      <c r="Y47" s="20">
        <f t="shared" ref="Y47" si="434">IF(M47&gt;0,Z47/M47,0)</f>
        <v>0.4233684724472358</v>
      </c>
      <c r="Z47" s="52">
        <f t="shared" ref="Z47" si="435">Z44+Z45+Z46</f>
        <v>19076.559999999998</v>
      </c>
      <c r="AA47" s="119">
        <f t="shared" ref="AA47" si="436">IF(M47&gt;0,AB47/M47,0)</f>
        <v>2.7509010408575427E-3</v>
      </c>
      <c r="AB47" s="54">
        <f t="shared" ref="AB47" si="437">SUM(AB44:AB46)</f>
        <v>123.95285000000001</v>
      </c>
      <c r="AC47" s="53">
        <f t="shared" ref="AC47" si="438">IF(M47&gt;0,AD47/M47,0)</f>
        <v>2.8443096828602494E-3</v>
      </c>
      <c r="AD47" s="54">
        <f t="shared" ref="AD47" si="439">SUM(AD44:AD46)</f>
        <v>128.16174999999998</v>
      </c>
      <c r="AE47" s="53">
        <f t="shared" ref="AE47" si="440">IF(M47&gt;0,(AE44*M44+AE45*M45+AE46*M46)/M47,0)</f>
        <v>3.0299118422512706E-3</v>
      </c>
      <c r="AF47" s="53">
        <f t="shared" ref="AF47" si="441">IF(K47&gt;0,(K44*AF44+K45*AF45+K46*AF46)/K47,0)</f>
        <v>2.8334318242866292E-4</v>
      </c>
      <c r="AG47" s="50">
        <f t="shared" ref="AG47" si="442">SUM(AG44:AG46)</f>
        <v>12.768129999999999</v>
      </c>
      <c r="AH47" s="51">
        <f t="shared" ref="AH47" si="443">IF(K47&gt;0,(K44*AH44+K45*AH45+K46*AH46)/K47,0)</f>
        <v>0.21080308903444428</v>
      </c>
      <c r="AI47" s="56">
        <f t="shared" ref="AI47" si="444">SUM(AI44:AI46)</f>
        <v>113.07935870000001</v>
      </c>
      <c r="AJ47" s="51">
        <f t="shared" ref="AJ47" si="445">IF(AND(AD47&gt;0),((AD44*AJ44+AD45*AJ45+AD46*AJ46)/AD47),0)</f>
        <v>0.90158610513361737</v>
      </c>
      <c r="AK47" s="55">
        <f t="shared" si="6"/>
        <v>0.90760011622321668</v>
      </c>
      <c r="AL47" s="49">
        <f t="shared" ref="AL47" si="446">SUM(AL44:AL46)</f>
        <v>590</v>
      </c>
      <c r="AM47" s="20">
        <f t="shared" ref="AM47" si="447">IF(AL47&gt;0,(AM44*AL44+AM45*AL45+AM46*AL46)/AL47,0)</f>
        <v>9.056779661016949E-2</v>
      </c>
      <c r="AN47" s="51">
        <f>IF(K47&gt;0,(AN44*K44+AN45*K45+AN46*K46)/K47,0)</f>
        <v>0.23054816827489308</v>
      </c>
      <c r="AO47" s="107">
        <f>IF(L47&gt;0,(AO44*K44+AO45*K45+AO46*K46)/K47,0)</f>
        <v>0.21568832365642496</v>
      </c>
      <c r="AP47" s="56">
        <f t="shared" ref="AP47:AQ59" si="448">SUM(AP44:AP46)</f>
        <v>123.75666770000001</v>
      </c>
      <c r="AQ47" s="108">
        <f t="shared" si="448"/>
        <v>115.78669969999999</v>
      </c>
      <c r="AR47" s="54"/>
      <c r="AS47" s="54">
        <f t="shared" ref="AS47" si="449">SUM(AS44:AS46)</f>
        <v>0</v>
      </c>
      <c r="AT47" s="83"/>
      <c r="AU47" s="84">
        <f>AT46</f>
        <v>1516.6599999999994</v>
      </c>
      <c r="AV47" s="49">
        <f t="shared" ref="AV47" si="450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55</v>
      </c>
      <c r="D48" s="11">
        <v>12263</v>
      </c>
      <c r="E48" s="11">
        <v>0</v>
      </c>
      <c r="F48" s="11">
        <v>16638</v>
      </c>
      <c r="G48" s="12">
        <v>1.1000000000000001</v>
      </c>
      <c r="H48" s="12">
        <v>5</v>
      </c>
      <c r="I48" s="11">
        <v>15765</v>
      </c>
      <c r="J48" s="12">
        <v>3</v>
      </c>
      <c r="K48" s="11">
        <v>16055</v>
      </c>
      <c r="L48" s="13">
        <v>7.3999999999999996E-2</v>
      </c>
      <c r="M48" s="23">
        <f>ROUND(K48*(1-L48),0)</f>
        <v>14867</v>
      </c>
      <c r="N48" s="14">
        <v>0.70699999999999996</v>
      </c>
      <c r="O48" s="24">
        <f t="shared" ref="O48:O50" si="451">M48*N48</f>
        <v>10510.968999999999</v>
      </c>
      <c r="P48" s="13">
        <v>0.26900000000000002</v>
      </c>
      <c r="Q48" s="24">
        <f t="shared" ref="Q48:Q50" si="452">M48*P48</f>
        <v>3999.2230000000004</v>
      </c>
      <c r="R48" s="15">
        <v>2.4E-2</v>
      </c>
      <c r="S48" s="112">
        <v>0.1961</v>
      </c>
      <c r="T48" s="24">
        <f t="shared" ref="T48:T50" si="453">M48*R48</f>
        <v>356.80799999999999</v>
      </c>
      <c r="U48" s="25">
        <v>0.23100000000000001</v>
      </c>
      <c r="V48" s="24">
        <f t="shared" ref="V48:V50" si="454">M48*U48</f>
        <v>3434.277</v>
      </c>
      <c r="W48" s="15">
        <v>0.49099999999999999</v>
      </c>
      <c r="X48" s="24">
        <f t="shared" ref="X48:X50" si="455">M48*W48</f>
        <v>7299.6970000000001</v>
      </c>
      <c r="Y48" s="15">
        <v>0.42</v>
      </c>
      <c r="Z48" s="24">
        <f t="shared" ref="Z48:Z50" si="456">Y48*M48</f>
        <v>6244.1399999999994</v>
      </c>
      <c r="AA48" s="116">
        <v>2.7000000000000001E-3</v>
      </c>
      <c r="AB48" s="18">
        <f t="shared" ref="AB48" si="457">M48*AA48</f>
        <v>40.140900000000002</v>
      </c>
      <c r="AC48" s="16">
        <v>2.7699999999999999E-3</v>
      </c>
      <c r="AD48" s="17">
        <f t="shared" ref="AD48:AD50" si="458">M48*AC48</f>
        <v>41.18159</v>
      </c>
      <c r="AE48" s="26">
        <f>IF(M48&gt;0,(AG48+AP48)/M48,0)</f>
        <v>3.0151338535010425E-3</v>
      </c>
      <c r="AF48" s="16">
        <v>2.9E-4</v>
      </c>
      <c r="AG48" s="23">
        <f t="shared" ref="AG48:AG50" si="459">AF48*M48</f>
        <v>4.3114299999999997</v>
      </c>
      <c r="AH48" s="92">
        <v>0.20880000000000001</v>
      </c>
      <c r="AI48" s="29">
        <f t="shared" ref="AI48:AI50" si="460">AL48*(1-AM48)*AH48</f>
        <v>38.191608000000002</v>
      </c>
      <c r="AJ48" s="27">
        <f t="shared" ref="AJ48:AJ50" si="461">IF(AND(AH48&gt;0,AF48&gt;0,AC48&gt;0),((AC48-AF48)*AH48)/((AH48-AF48)*AC48),0)</f>
        <v>0.89655207041468565</v>
      </c>
      <c r="AK48" s="58">
        <f t="shared" si="6"/>
        <v>0.90500341239586157</v>
      </c>
      <c r="AL48" s="11">
        <v>201</v>
      </c>
      <c r="AM48" s="13">
        <v>0.09</v>
      </c>
      <c r="AN48" s="14">
        <v>0.2215</v>
      </c>
      <c r="AO48" s="101">
        <v>0.20630000000000001</v>
      </c>
      <c r="AP48" s="29">
        <f>AL48*(1-AM48)*AN48</f>
        <v>40.514564999999997</v>
      </c>
      <c r="AQ48" s="102">
        <f t="shared" ref="AQ48" si="462">AL48*(1-AM48)*AO48</f>
        <v>37.734332999999999</v>
      </c>
      <c r="AR48" s="18">
        <v>1.55</v>
      </c>
      <c r="AS48" s="18"/>
      <c r="AT48" s="79">
        <f>AT46+AL48-AS48</f>
        <v>1717.6599999999994</v>
      </c>
      <c r="AU48" s="80"/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0" t="s">
        <v>57</v>
      </c>
      <c r="D49" s="33">
        <v>18867</v>
      </c>
      <c r="E49" s="33">
        <v>2</v>
      </c>
      <c r="F49" s="33">
        <v>15847</v>
      </c>
      <c r="G49" s="34">
        <v>1</v>
      </c>
      <c r="H49" s="34">
        <v>4.9000000000000004</v>
      </c>
      <c r="I49" s="33">
        <v>15636</v>
      </c>
      <c r="J49" s="34">
        <v>2.5</v>
      </c>
      <c r="K49" s="33">
        <v>15635</v>
      </c>
      <c r="L49" s="35">
        <v>6.5000000000000002E-2</v>
      </c>
      <c r="M49" s="36">
        <f>ROUND(K49*(1-L49),0)</f>
        <v>14619</v>
      </c>
      <c r="N49" s="37">
        <v>0.67800000000000005</v>
      </c>
      <c r="O49" s="24">
        <f t="shared" si="451"/>
        <v>9911.6820000000007</v>
      </c>
      <c r="P49" s="35">
        <v>0.28799999999999998</v>
      </c>
      <c r="Q49" s="24">
        <f t="shared" si="452"/>
        <v>4210.2719999999999</v>
      </c>
      <c r="R49" s="38">
        <v>3.4000000000000002E-2</v>
      </c>
      <c r="S49" s="105">
        <v>0.20180000000000001</v>
      </c>
      <c r="T49" s="24">
        <f t="shared" si="453"/>
        <v>497.04600000000005</v>
      </c>
      <c r="U49" s="27">
        <v>0.23</v>
      </c>
      <c r="V49" s="24">
        <f t="shared" si="454"/>
        <v>3362.3700000000003</v>
      </c>
      <c r="W49" s="38">
        <v>0.48899999999999999</v>
      </c>
      <c r="X49" s="24">
        <f t="shared" si="455"/>
        <v>7148.6909999999998</v>
      </c>
      <c r="Y49" s="38">
        <v>0.42</v>
      </c>
      <c r="Z49" s="24">
        <f t="shared" si="456"/>
        <v>6139.98</v>
      </c>
      <c r="AA49" s="117">
        <v>2.7899999999999999E-3</v>
      </c>
      <c r="AB49" s="18">
        <f t="shared" si="237"/>
        <v>40.787010000000002</v>
      </c>
      <c r="AC49" s="39">
        <v>2.8400000000000001E-3</v>
      </c>
      <c r="AD49" s="17">
        <f t="shared" si="458"/>
        <v>41.517960000000002</v>
      </c>
      <c r="AE49" s="26">
        <f>IF(M49&gt;0,(AG49+AP49)/M49,0)</f>
        <v>2.9391132361994664E-3</v>
      </c>
      <c r="AF49" s="39">
        <v>3.1E-4</v>
      </c>
      <c r="AG49" s="36">
        <f t="shared" si="459"/>
        <v>4.5318899999999998</v>
      </c>
      <c r="AH49" s="27">
        <v>0.21659999999999999</v>
      </c>
      <c r="AI49" s="40">
        <f t="shared" si="460"/>
        <v>37.3990224</v>
      </c>
      <c r="AJ49" s="27">
        <f t="shared" si="461"/>
        <v>0.89212188382967827</v>
      </c>
      <c r="AK49" s="28">
        <f t="shared" si="6"/>
        <v>0.8957734933300846</v>
      </c>
      <c r="AL49" s="33">
        <v>191</v>
      </c>
      <c r="AM49" s="35">
        <v>9.6000000000000002E-2</v>
      </c>
      <c r="AN49" s="37">
        <v>0.22259999999999999</v>
      </c>
      <c r="AO49" s="103">
        <v>0.2051</v>
      </c>
      <c r="AP49" s="40">
        <f>AL49*(1-AM49)*AN49</f>
        <v>38.435006399999999</v>
      </c>
      <c r="AQ49" s="104">
        <f t="shared" si="242"/>
        <v>35.413386400000007</v>
      </c>
      <c r="AR49" s="41">
        <v>1.55</v>
      </c>
      <c r="AS49" s="41"/>
      <c r="AT49" s="129">
        <f>AT48+AL49-AS49</f>
        <v>1908.6599999999994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0" t="s">
        <v>58</v>
      </c>
      <c r="D50" s="42">
        <v>16800</v>
      </c>
      <c r="E50" s="42">
        <v>2</v>
      </c>
      <c r="F50" s="42">
        <v>17191</v>
      </c>
      <c r="G50" s="36">
        <v>0.4</v>
      </c>
      <c r="H50" s="36">
        <v>5.3</v>
      </c>
      <c r="I50" s="42">
        <v>16477</v>
      </c>
      <c r="J50" s="36">
        <v>1.9</v>
      </c>
      <c r="K50" s="42">
        <v>16017</v>
      </c>
      <c r="L50" s="38">
        <v>6.7000000000000004E-2</v>
      </c>
      <c r="M50" s="36">
        <f>ROUND(K50*(1-L50),0)</f>
        <v>14944</v>
      </c>
      <c r="N50" s="27">
        <v>0.68</v>
      </c>
      <c r="O50" s="24">
        <f t="shared" si="451"/>
        <v>10161.92</v>
      </c>
      <c r="P50" s="38">
        <v>0.28699999999999998</v>
      </c>
      <c r="Q50" s="24">
        <f t="shared" si="452"/>
        <v>4288.9279999999999</v>
      </c>
      <c r="R50" s="38">
        <v>3.3000000000000002E-2</v>
      </c>
      <c r="S50" s="105">
        <v>0.19869999999999999</v>
      </c>
      <c r="T50" s="24">
        <f t="shared" si="453"/>
        <v>493.15200000000004</v>
      </c>
      <c r="U50" s="27">
        <v>0.22500000000000001</v>
      </c>
      <c r="V50" s="24">
        <f t="shared" si="454"/>
        <v>3362.4</v>
      </c>
      <c r="W50" s="38">
        <v>0.5</v>
      </c>
      <c r="X50" s="24">
        <f t="shared" si="455"/>
        <v>7472</v>
      </c>
      <c r="Y50" s="38">
        <v>0.42</v>
      </c>
      <c r="Z50" s="24">
        <f t="shared" si="456"/>
        <v>6276.48</v>
      </c>
      <c r="AA50" s="118">
        <v>2.99E-3</v>
      </c>
      <c r="AB50" s="121">
        <f t="shared" si="237"/>
        <v>44.682560000000002</v>
      </c>
      <c r="AC50" s="45">
        <v>3.0300000000000001E-3</v>
      </c>
      <c r="AD50" s="17">
        <f t="shared" si="458"/>
        <v>45.280320000000003</v>
      </c>
      <c r="AE50" s="26">
        <f>IF(M50&gt;0,(AG50+AP50)/M50,0)</f>
        <v>3.2067745918094221E-3</v>
      </c>
      <c r="AF50" s="45">
        <v>3.5E-4</v>
      </c>
      <c r="AG50" s="36">
        <f t="shared" si="459"/>
        <v>5.2304000000000004</v>
      </c>
      <c r="AH50" s="27">
        <v>0.20580000000000001</v>
      </c>
      <c r="AI50" s="40">
        <f t="shared" si="460"/>
        <v>38.349800999999999</v>
      </c>
      <c r="AJ50" s="27">
        <f t="shared" si="461"/>
        <v>0.88599524347664749</v>
      </c>
      <c r="AK50" s="28">
        <f t="shared" si="6"/>
        <v>0.89221912271307802</v>
      </c>
      <c r="AL50" s="42">
        <v>205</v>
      </c>
      <c r="AM50" s="38">
        <v>9.0999999999999998E-2</v>
      </c>
      <c r="AN50" s="27">
        <v>0.2291</v>
      </c>
      <c r="AO50" s="105">
        <v>0.217</v>
      </c>
      <c r="AP50" s="40">
        <f>AL50*(1-AM50)*AN50</f>
        <v>42.691639500000001</v>
      </c>
      <c r="AQ50" s="106">
        <f t="shared" si="242"/>
        <v>40.436864999999997</v>
      </c>
      <c r="AR50" s="17">
        <v>1.55</v>
      </c>
      <c r="AS50" s="17"/>
      <c r="AT50" s="129">
        <f>AT49+AL50-AS50</f>
        <v>2113.6599999999994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3">SUM(D48:D50)</f>
        <v>47930</v>
      </c>
      <c r="E51" s="49"/>
      <c r="F51" s="49">
        <f t="shared" ref="F51" si="464">SUM(F48:F50)</f>
        <v>49676</v>
      </c>
      <c r="G51" s="50"/>
      <c r="H51" s="50"/>
      <c r="I51" s="49">
        <f t="shared" ref="I51:K51" si="465">SUM(I48:I50)</f>
        <v>47878</v>
      </c>
      <c r="J51" s="50"/>
      <c r="K51" s="49">
        <f t="shared" si="465"/>
        <v>47707</v>
      </c>
      <c r="L51" s="20">
        <f t="shared" ref="L51" si="466">IF(K51&gt;0,(K48*L48+K49*L49+K50*L50)/K51,0)</f>
        <v>6.8700274592827057E-2</v>
      </c>
      <c r="M51" s="50">
        <f t="shared" ref="M51" si="467">M48+M49+M50</f>
        <v>44430</v>
      </c>
      <c r="N51" s="51">
        <f t="shared" ref="N51" si="468">IF(M51&gt;0,O51/M51,0)</f>
        <v>0.68837656988521256</v>
      </c>
      <c r="O51" s="52">
        <f t="shared" ref="O51" si="469">O48+O49+O50</f>
        <v>30584.570999999996</v>
      </c>
      <c r="P51" s="20">
        <f t="shared" ref="P51" si="470">IF(M51&gt;0,Q51/M51,0)</f>
        <v>0.28130594193112762</v>
      </c>
      <c r="Q51" s="52">
        <f t="shared" ref="Q51" si="471">Q48+Q49+Q50</f>
        <v>12498.423000000001</v>
      </c>
      <c r="R51" s="20">
        <f t="shared" ref="R51" si="472">IF(M51&gt;0,T51/M51,0)</f>
        <v>3.0317488183659692E-2</v>
      </c>
      <c r="S51" s="107"/>
      <c r="T51" s="52">
        <f t="shared" ref="T51" si="473">T48+T49+T50</f>
        <v>1347.0060000000001</v>
      </c>
      <c r="U51" s="20">
        <f t="shared" ref="U51" si="474">IF(M51&gt;0,V51/M51,0)</f>
        <v>0.22865286968264686</v>
      </c>
      <c r="V51" s="52">
        <f t="shared" ref="V51" si="475">V48+V49+V50</f>
        <v>10159.047</v>
      </c>
      <c r="W51" s="20">
        <f t="shared" ref="W51" si="476">IF(M51&gt;0,X51/M51,0)</f>
        <v>0.4933690749493585</v>
      </c>
      <c r="X51" s="52">
        <f t="shared" ref="X51" si="477">X48+X49+X50</f>
        <v>21920.387999999999</v>
      </c>
      <c r="Y51" s="20">
        <f t="shared" ref="Y51" si="478">IF(M51&gt;0,Z51/M51,0)</f>
        <v>0.42</v>
      </c>
      <c r="Z51" s="52">
        <f t="shared" ref="Z51" si="479">Z48+Z49+Z50</f>
        <v>18660.599999999999</v>
      </c>
      <c r="AA51" s="119">
        <f t="shared" ref="AA51" si="480">IF(M51&gt;0,AB51/M51,0)</f>
        <v>2.8271544001800585E-3</v>
      </c>
      <c r="AB51" s="54">
        <f t="shared" ref="AB51" si="481">SUM(AB48:AB50)</f>
        <v>125.61046999999999</v>
      </c>
      <c r="AC51" s="53">
        <f t="shared" ref="AC51" si="482">IF(M51&gt;0,AD51/M51,0)</f>
        <v>2.8804832320504163E-3</v>
      </c>
      <c r="AD51" s="54">
        <f t="shared" ref="AD51" si="483">SUM(AD48:AD50)</f>
        <v>127.97987000000001</v>
      </c>
      <c r="AE51" s="53">
        <f t="shared" ref="AE51" si="484">IF(M51&gt;0,(AE48*M48+AE49*M49+AE50*M50)/M51,0)</f>
        <v>3.05457868332208E-3</v>
      </c>
      <c r="AF51" s="53">
        <f t="shared" ref="AF51" si="485">IF(K51&gt;0,(K48*AF48+K49*AF49+K50*AF50)/K51,0)</f>
        <v>3.1669880730291156E-4</v>
      </c>
      <c r="AG51" s="50">
        <f t="shared" ref="AG51" si="486">SUM(AG48:AG50)</f>
        <v>14.073719999999998</v>
      </c>
      <c r="AH51" s="51">
        <f t="shared" ref="AH51" si="487">IF(K51&gt;0,(K48*AH48+K49*AH49+K50*AH50)/K51,0)</f>
        <v>0.21034908084767431</v>
      </c>
      <c r="AI51" s="56">
        <f t="shared" ref="AI51" si="488">SUM(AI48:AI50)</f>
        <v>113.94043140000001</v>
      </c>
      <c r="AJ51" s="51">
        <f t="shared" ref="AJ51" si="489">IF(AND(AD51&gt;0),((AD48*AJ48+AD49*AJ49+AD50*AJ50)/AD51),0)</f>
        <v>0.89137978190268874</v>
      </c>
      <c r="AK51" s="55">
        <f t="shared" si="6"/>
        <v>0.89758667883598653</v>
      </c>
      <c r="AL51" s="49">
        <f t="shared" ref="AL51" si="490">SUM(AL48:AL50)</f>
        <v>597</v>
      </c>
      <c r="AM51" s="20">
        <f t="shared" ref="AM51" si="491">IF(AL51&gt;0,(AM48*AL48+AM49*AL49+AM50*AL50)/AL51,0)</f>
        <v>9.2262981574539368E-2</v>
      </c>
      <c r="AN51" s="51">
        <f>IF(K51&gt;0,(AN48*K48+AN49*K49+AN50*K50)/K51,0)</f>
        <v>0.22441210304567466</v>
      </c>
      <c r="AO51" s="107">
        <f>IF(L51&gt;0,(AO48*K48+AO49*K49+AO50*K50)/K51,0)</f>
        <v>0.20949910914540845</v>
      </c>
      <c r="AP51" s="56">
        <f t="shared" ref="AP51" si="492">SUM(AP48:AP50)</f>
        <v>121.6412109</v>
      </c>
      <c r="AQ51" s="108">
        <f t="shared" si="448"/>
        <v>113.5845844</v>
      </c>
      <c r="AR51" s="54"/>
      <c r="AS51" s="54">
        <f t="shared" ref="AS51" si="493">SUM(AS48:AS50)</f>
        <v>0</v>
      </c>
      <c r="AT51" s="83"/>
      <c r="AU51" s="84">
        <f>AT50</f>
        <v>2113.6599999999994</v>
      </c>
      <c r="AV51" s="49">
        <f t="shared" ref="AV51" si="49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43" t="s">
        <v>59</v>
      </c>
      <c r="D52" s="11">
        <v>5132</v>
      </c>
      <c r="E52" s="11">
        <v>0</v>
      </c>
      <c r="F52" s="11">
        <v>11144</v>
      </c>
      <c r="G52" s="12">
        <v>0.3</v>
      </c>
      <c r="H52" s="12">
        <v>4.3</v>
      </c>
      <c r="I52" s="11">
        <v>10908</v>
      </c>
      <c r="J52" s="12">
        <v>4.3</v>
      </c>
      <c r="K52" s="11">
        <v>16060</v>
      </c>
      <c r="L52" s="13">
        <v>7.1999999999999995E-2</v>
      </c>
      <c r="M52" s="23">
        <f>ROUND(K52*(1-L52),0)</f>
        <v>14904</v>
      </c>
      <c r="N52" s="14">
        <v>0.751</v>
      </c>
      <c r="O52" s="24">
        <f t="shared" ref="O52:O54" si="495">M52*N52</f>
        <v>11192.904</v>
      </c>
      <c r="P52" s="13">
        <v>0.218</v>
      </c>
      <c r="Q52" s="24">
        <f t="shared" ref="Q52:Q54" si="496">M52*P52</f>
        <v>3249.0720000000001</v>
      </c>
      <c r="R52" s="15">
        <v>3.1E-2</v>
      </c>
      <c r="S52" s="112">
        <v>0.19739999999999999</v>
      </c>
      <c r="T52" s="24">
        <f t="shared" ref="T52:T54" si="497">M52*R52</f>
        <v>462.024</v>
      </c>
      <c r="U52" s="25">
        <v>0.22500000000000001</v>
      </c>
      <c r="V52" s="24">
        <f t="shared" ref="V52:V54" si="498">M52*U52</f>
        <v>3353.4</v>
      </c>
      <c r="W52" s="15">
        <v>0.502</v>
      </c>
      <c r="X52" s="24">
        <f t="shared" ref="X52:X54" si="499">M52*W52</f>
        <v>7481.808</v>
      </c>
      <c r="Y52" s="15">
        <v>0.42</v>
      </c>
      <c r="Z52" s="24">
        <f t="shared" ref="Z52:Z54" si="500">Y52*M52</f>
        <v>6259.6799999999994</v>
      </c>
      <c r="AA52" s="116">
        <v>3.0799999999999998E-3</v>
      </c>
      <c r="AB52" s="18">
        <f t="shared" ref="AB52" si="501">M52*AA52</f>
        <v>45.904319999999998</v>
      </c>
      <c r="AC52" s="16">
        <v>3.0200000000000001E-3</v>
      </c>
      <c r="AD52" s="17">
        <f t="shared" ref="AD52:AD54" si="502">M52*AC52</f>
        <v>45.010080000000002</v>
      </c>
      <c r="AE52" s="26">
        <f>IF(M52&gt;0,(AG52+AP52)/M52,0)</f>
        <v>3.2650161835748792E-3</v>
      </c>
      <c r="AF52" s="16">
        <v>3.6999999999999999E-4</v>
      </c>
      <c r="AG52" s="23">
        <f t="shared" ref="AG52:AG54" si="503">AF52*M52</f>
        <v>5.5144799999999998</v>
      </c>
      <c r="AH52" s="92">
        <v>0.20860000000000001</v>
      </c>
      <c r="AI52" s="29">
        <f t="shared" ref="AI52:AI54" si="504">AL52*(1-AM52)*AH52</f>
        <v>40.198888799999999</v>
      </c>
      <c r="AJ52" s="27">
        <f t="shared" ref="AJ52:AJ54" si="505">IF(AND(AH52&gt;0,AF52&gt;0,AC52&gt;0),((AC52-AF52)*AH52)/((AH52-AF52)*AC52),0)</f>
        <v>0.87904262765987573</v>
      </c>
      <c r="AK52" s="58">
        <f t="shared" si="6"/>
        <v>0.88814511829448861</v>
      </c>
      <c r="AL52" s="11">
        <v>212</v>
      </c>
      <c r="AM52" s="13">
        <v>9.0999999999999998E-2</v>
      </c>
      <c r="AN52" s="14">
        <v>0.22389999999999999</v>
      </c>
      <c r="AO52" s="101">
        <v>0.21290000000000001</v>
      </c>
      <c r="AP52" s="29">
        <f>AL52*(1-AM52)*AN52</f>
        <v>43.1473212</v>
      </c>
      <c r="AQ52" s="102">
        <f t="shared" ref="AQ52" si="506">AL52*(1-AM52)*AO52</f>
        <v>41.027533200000001</v>
      </c>
      <c r="AR52" s="18">
        <v>1.6</v>
      </c>
      <c r="AS52" s="18">
        <v>1006.44</v>
      </c>
      <c r="AT52" s="79">
        <f>AT50+AL52-AS52</f>
        <v>1319.2199999999993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0" t="s">
        <v>57</v>
      </c>
      <c r="D53" s="33">
        <v>20600</v>
      </c>
      <c r="E53" s="33">
        <v>4</v>
      </c>
      <c r="F53" s="33">
        <v>16923</v>
      </c>
      <c r="G53" s="34">
        <v>0.6</v>
      </c>
      <c r="H53" s="34">
        <v>5</v>
      </c>
      <c r="I53" s="33">
        <v>15991</v>
      </c>
      <c r="J53" s="34">
        <v>3.1</v>
      </c>
      <c r="K53" s="33">
        <v>16062</v>
      </c>
      <c r="L53" s="35">
        <v>6.0999999999999999E-2</v>
      </c>
      <c r="M53" s="36">
        <f>ROUND(K53*(1-L53),0)</f>
        <v>15082</v>
      </c>
      <c r="N53" s="37">
        <v>0.66400000000000003</v>
      </c>
      <c r="O53" s="24">
        <f t="shared" si="495"/>
        <v>10014.448</v>
      </c>
      <c r="P53" s="35">
        <v>0.28699999999999998</v>
      </c>
      <c r="Q53" s="24">
        <f t="shared" si="496"/>
        <v>4328.5339999999997</v>
      </c>
      <c r="R53" s="38">
        <v>4.9000000000000002E-2</v>
      </c>
      <c r="S53" s="105">
        <v>0.19769999999999999</v>
      </c>
      <c r="T53" s="24">
        <f t="shared" si="497"/>
        <v>739.01800000000003</v>
      </c>
      <c r="U53" s="27">
        <v>0.22700000000000001</v>
      </c>
      <c r="V53" s="24">
        <f t="shared" si="498"/>
        <v>3423.614</v>
      </c>
      <c r="W53" s="38">
        <v>0.48699999999999999</v>
      </c>
      <c r="X53" s="24">
        <f t="shared" si="499"/>
        <v>7344.9340000000002</v>
      </c>
      <c r="Y53" s="38">
        <v>0.43</v>
      </c>
      <c r="Z53" s="24">
        <f t="shared" si="500"/>
        <v>6485.26</v>
      </c>
      <c r="AA53" s="117">
        <v>2.98E-3</v>
      </c>
      <c r="AB53" s="18">
        <f t="shared" si="237"/>
        <v>44.944360000000003</v>
      </c>
      <c r="AC53" s="39">
        <v>3.0500000000000002E-3</v>
      </c>
      <c r="AD53" s="17">
        <f t="shared" si="502"/>
        <v>46.000100000000003</v>
      </c>
      <c r="AE53" s="26">
        <f>IF(M53&gt;0,(AG53+AP53)/M53,0)</f>
        <v>3.1445534279273307E-3</v>
      </c>
      <c r="AF53" s="39">
        <v>3.4000000000000002E-4</v>
      </c>
      <c r="AG53" s="36">
        <f t="shared" si="503"/>
        <v>5.1278800000000002</v>
      </c>
      <c r="AH53" s="27">
        <v>0.2112</v>
      </c>
      <c r="AI53" s="40">
        <f t="shared" si="504"/>
        <v>38.993433600000003</v>
      </c>
      <c r="AJ53" s="27">
        <f t="shared" si="505"/>
        <v>0.88995728655327211</v>
      </c>
      <c r="AK53" s="28">
        <f t="shared" si="6"/>
        <v>0.89320211173096464</v>
      </c>
      <c r="AL53" s="33">
        <v>202</v>
      </c>
      <c r="AM53" s="35">
        <v>8.5999999999999993E-2</v>
      </c>
      <c r="AN53" s="37">
        <v>0.2291</v>
      </c>
      <c r="AO53" s="103">
        <v>0.21859999999999999</v>
      </c>
      <c r="AP53" s="40">
        <f>AL53*(1-AM53)*AN53</f>
        <v>42.298274800000002</v>
      </c>
      <c r="AQ53" s="104">
        <f t="shared" si="242"/>
        <v>40.3596808</v>
      </c>
      <c r="AR53" s="41">
        <v>1.55</v>
      </c>
      <c r="AS53" s="41"/>
      <c r="AT53" s="129">
        <f>AT52+AL53-AS53</f>
        <v>1521.2199999999993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0" t="s">
        <v>58</v>
      </c>
      <c r="D54" s="42">
        <v>19400</v>
      </c>
      <c r="E54" s="42">
        <v>2</v>
      </c>
      <c r="F54" s="42">
        <v>18927</v>
      </c>
      <c r="G54" s="36">
        <v>0.7</v>
      </c>
      <c r="H54" s="36">
        <v>5.0999999999999996</v>
      </c>
      <c r="I54" s="42">
        <v>17791</v>
      </c>
      <c r="J54" s="36">
        <v>2.2000000000000002</v>
      </c>
      <c r="K54" s="42">
        <v>16065</v>
      </c>
      <c r="L54" s="38">
        <v>5.8000000000000003E-2</v>
      </c>
      <c r="M54" s="36">
        <f>ROUND(K54*(1-L54),0)</f>
        <v>15133</v>
      </c>
      <c r="N54" s="27">
        <v>0.66400000000000003</v>
      </c>
      <c r="O54" s="24">
        <f t="shared" si="495"/>
        <v>10048.312</v>
      </c>
      <c r="P54" s="38">
        <v>0.29299999999999998</v>
      </c>
      <c r="Q54" s="24">
        <f t="shared" si="496"/>
        <v>4433.9690000000001</v>
      </c>
      <c r="R54" s="38">
        <v>4.2999999999999997E-2</v>
      </c>
      <c r="S54" s="105">
        <v>0.19769999999999999</v>
      </c>
      <c r="T54" s="24">
        <f t="shared" si="497"/>
        <v>650.71899999999994</v>
      </c>
      <c r="U54" s="27">
        <v>0.218</v>
      </c>
      <c r="V54" s="24">
        <f t="shared" si="498"/>
        <v>3298.9940000000001</v>
      </c>
      <c r="W54" s="38">
        <v>0.51100000000000001</v>
      </c>
      <c r="X54" s="24">
        <f t="shared" si="499"/>
        <v>7732.9629999999997</v>
      </c>
      <c r="Y54" s="38">
        <v>0.43</v>
      </c>
      <c r="Z54" s="24">
        <f t="shared" si="500"/>
        <v>6507.19</v>
      </c>
      <c r="AA54" s="118">
        <v>3.0000000000000001E-3</v>
      </c>
      <c r="AB54" s="121">
        <f t="shared" si="237"/>
        <v>45.399000000000001</v>
      </c>
      <c r="AC54" s="45">
        <v>2.98E-3</v>
      </c>
      <c r="AD54" s="17">
        <f t="shared" si="502"/>
        <v>45.096339999999998</v>
      </c>
      <c r="AE54" s="26">
        <f>IF(M54&gt;0,(AG54+AP54)/M54,0)</f>
        <v>3.3589926650366749E-3</v>
      </c>
      <c r="AF54" s="45">
        <v>3.6000000000000002E-4</v>
      </c>
      <c r="AG54" s="36">
        <f t="shared" si="503"/>
        <v>5.4478800000000005</v>
      </c>
      <c r="AH54" s="27">
        <v>0.20860000000000001</v>
      </c>
      <c r="AI54" s="40">
        <f t="shared" si="504"/>
        <v>41.945288000000005</v>
      </c>
      <c r="AJ54" s="27">
        <f t="shared" si="505"/>
        <v>0.88071456012293503</v>
      </c>
      <c r="AK54" s="28">
        <f t="shared" si="6"/>
        <v>0.89425137619658823</v>
      </c>
      <c r="AL54" s="42">
        <v>220</v>
      </c>
      <c r="AM54" s="38">
        <v>8.5999999999999993E-2</v>
      </c>
      <c r="AN54" s="27">
        <v>0.22570000000000001</v>
      </c>
      <c r="AO54" s="105">
        <v>0.21290000000000001</v>
      </c>
      <c r="AP54" s="40">
        <f>AL54*(1-AM54)*AN54</f>
        <v>45.383756000000005</v>
      </c>
      <c r="AQ54" s="106">
        <f t="shared" si="242"/>
        <v>42.809932000000003</v>
      </c>
      <c r="AR54" s="17">
        <v>1.55</v>
      </c>
      <c r="AS54" s="17"/>
      <c r="AT54" s="129">
        <f>AT53+AL54-AS54</f>
        <v>1741.2199999999993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7">SUM(D52:D54)</f>
        <v>45132</v>
      </c>
      <c r="E55" s="49"/>
      <c r="F55" s="49">
        <f t="shared" ref="F55" si="508">SUM(F52:F54)</f>
        <v>46994</v>
      </c>
      <c r="G55" s="50"/>
      <c r="H55" s="50"/>
      <c r="I55" s="49">
        <f t="shared" ref="I55:K55" si="509">SUM(I52:I54)</f>
        <v>44690</v>
      </c>
      <c r="J55" s="50"/>
      <c r="K55" s="49">
        <f t="shared" si="509"/>
        <v>48187</v>
      </c>
      <c r="L55" s="20">
        <f t="shared" ref="L55" si="510">IF(K55&gt;0,(K52*L52+K53*L53+K54*L54)/K55,0)</f>
        <v>6.3665967999667963E-2</v>
      </c>
      <c r="M55" s="50">
        <f t="shared" ref="M55" si="511">M52+M53+M54</f>
        <v>45119</v>
      </c>
      <c r="N55" s="51">
        <f t="shared" ref="N55" si="512">IF(M55&gt;0,O55/M55,0)</f>
        <v>0.69273840289013489</v>
      </c>
      <c r="O55" s="52">
        <f t="shared" ref="O55" si="513">O52+O53+O54</f>
        <v>31255.663999999997</v>
      </c>
      <c r="P55" s="20">
        <f t="shared" ref="P55" si="514">IF(M55&gt;0,Q55/M55,0)</f>
        <v>0.26621988519249096</v>
      </c>
      <c r="Q55" s="52">
        <f t="shared" ref="Q55" si="515">Q52+Q53+Q54</f>
        <v>12011.575000000001</v>
      </c>
      <c r="R55" s="20">
        <f t="shared" ref="R55" si="516">IF(M55&gt;0,T55/M55,0)</f>
        <v>4.1041711917374053E-2</v>
      </c>
      <c r="S55" s="107"/>
      <c r="T55" s="52">
        <f t="shared" ref="T55" si="517">T52+T53+T54</f>
        <v>1851.761</v>
      </c>
      <c r="U55" s="20">
        <f t="shared" ref="U55" si="518">IF(M55&gt;0,V55/M55,0)</f>
        <v>0.22332072962609986</v>
      </c>
      <c r="V55" s="52">
        <f t="shared" ref="V55" si="519">V52+V53+V54</f>
        <v>10076.008</v>
      </c>
      <c r="W55" s="20">
        <f t="shared" ref="W55" si="520">IF(M55&gt;0,X55/M55,0)</f>
        <v>0.50000454354041535</v>
      </c>
      <c r="X55" s="52">
        <f t="shared" ref="X55" si="521">X52+X53+X54</f>
        <v>22559.705000000002</v>
      </c>
      <c r="Y55" s="20">
        <f t="shared" ref="Y55" si="522">IF(M55&gt;0,Z55/M55,0)</f>
        <v>0.42669673529998442</v>
      </c>
      <c r="Z55" s="52">
        <f t="shared" ref="Z55" si="523">Z52+Z53+Z54</f>
        <v>19252.129999999997</v>
      </c>
      <c r="AA55" s="119">
        <f t="shared" ref="AA55" si="524">IF(M55&gt;0,AB55/M55,0)</f>
        <v>3.0197406857421488E-3</v>
      </c>
      <c r="AB55" s="54">
        <f t="shared" ref="AB55" si="525">SUM(AB52:AB54)</f>
        <v>136.24768</v>
      </c>
      <c r="AC55" s="53">
        <f t="shared" ref="AC55" si="526">IF(M55&gt;0,AD55/M55,0)</f>
        <v>3.0166120703029762E-3</v>
      </c>
      <c r="AD55" s="54">
        <f t="shared" ref="AD55" si="527">SUM(AD52:AD54)</f>
        <v>136.10651999999999</v>
      </c>
      <c r="AE55" s="53">
        <f t="shared" ref="AE55" si="528">IF(M55&gt;0,(AE52*M52+AE53*M53+AE54*M54)/M55,0)</f>
        <v>3.256268800283694E-3</v>
      </c>
      <c r="AF55" s="53">
        <f t="shared" ref="AF55" si="529">IF(K55&gt;0,(K52*AF52+K53*AF53+K54*AF54)/K55,0)</f>
        <v>3.566663207919149E-4</v>
      </c>
      <c r="AG55" s="50">
        <f t="shared" ref="AG55" si="530">SUM(AG52:AG54)</f>
        <v>16.090240000000001</v>
      </c>
      <c r="AH55" s="51">
        <f t="shared" ref="AH55" si="531">IF(K55&gt;0,(K52*AH52+K53*AH53+K54*AH54)/K55,0)</f>
        <v>0.20946664868117959</v>
      </c>
      <c r="AI55" s="56">
        <f t="shared" ref="AI55" si="532">SUM(AI52:AI54)</f>
        <v>121.1376104</v>
      </c>
      <c r="AJ55" s="51">
        <f t="shared" ref="AJ55" si="533">IF(AND(AD55&gt;0),((AD52*AJ52+AD53*AJ53+AD54*AJ54)/AD55),0)</f>
        <v>0.8832854327464601</v>
      </c>
      <c r="AK55" s="55">
        <f t="shared" si="6"/>
        <v>0.89187386524717183</v>
      </c>
      <c r="AL55" s="49">
        <f t="shared" ref="AL55" si="534">SUM(AL52:AL54)</f>
        <v>634</v>
      </c>
      <c r="AM55" s="20">
        <f t="shared" ref="AM55" si="535">IF(AL55&gt;0,(AM52*AL52+AM53*AL53+AM54*AL54)/AL55,0)</f>
        <v>8.7671924290220832E-2</v>
      </c>
      <c r="AN55" s="51">
        <f>IF(K55&gt;0,(AN52*K52+AN53*K53+AN54*K54)/K55,0)</f>
        <v>0.22623339697428763</v>
      </c>
      <c r="AO55" s="107">
        <f>IF(L55&gt;0,(AO52*K52+AO53*K53+AO54*K54)/K55,0)</f>
        <v>0.21479996057027828</v>
      </c>
      <c r="AP55" s="56">
        <f t="shared" ref="AP55" si="536">SUM(AP52:AP54)</f>
        <v>130.829352</v>
      </c>
      <c r="AQ55" s="108">
        <f t="shared" si="448"/>
        <v>124.197146</v>
      </c>
      <c r="AR55" s="54"/>
      <c r="AS55" s="54">
        <f t="shared" ref="AS55" si="537">SUM(AS52:AS54)</f>
        <v>1006.44</v>
      </c>
      <c r="AT55" s="83"/>
      <c r="AU55" s="84">
        <f>AT54</f>
        <v>1741.2199999999993</v>
      </c>
      <c r="AV55" s="49">
        <f t="shared" ref="AV55" si="538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43" t="s">
        <v>59</v>
      </c>
      <c r="D56" s="11">
        <v>5979</v>
      </c>
      <c r="E56" s="11">
        <v>0</v>
      </c>
      <c r="F56" s="11">
        <v>11793</v>
      </c>
      <c r="G56" s="12">
        <v>0.7</v>
      </c>
      <c r="H56" s="12">
        <v>3.7</v>
      </c>
      <c r="I56" s="11">
        <v>11698</v>
      </c>
      <c r="J56" s="12">
        <v>3.9</v>
      </c>
      <c r="K56" s="11">
        <v>15657</v>
      </c>
      <c r="L56" s="13">
        <v>6.9000000000000006E-2</v>
      </c>
      <c r="M56" s="23">
        <f>ROUND(K56*(1-L56),0)</f>
        <v>14577</v>
      </c>
      <c r="N56" s="14">
        <v>0.61899999999999999</v>
      </c>
      <c r="O56" s="24">
        <f t="shared" ref="O56:O58" si="539">M56*N56</f>
        <v>9023.1630000000005</v>
      </c>
      <c r="P56" s="13">
        <v>0.35599999999999998</v>
      </c>
      <c r="Q56" s="24">
        <f t="shared" ref="Q56:Q58" si="540">M56*P56</f>
        <v>5189.4119999999994</v>
      </c>
      <c r="R56" s="15">
        <v>2.5000000000000001E-2</v>
      </c>
      <c r="S56" s="112">
        <v>0.1895</v>
      </c>
      <c r="T56" s="24">
        <f t="shared" ref="T56:T58" si="541">M56*R56</f>
        <v>364.42500000000001</v>
      </c>
      <c r="U56" s="25">
        <v>0.22600000000000001</v>
      </c>
      <c r="V56" s="24">
        <f t="shared" ref="V56:V58" si="542">M56*U56</f>
        <v>3294.402</v>
      </c>
      <c r="W56" s="15">
        <v>0.498</v>
      </c>
      <c r="X56" s="24">
        <f t="shared" ref="X56:X58" si="543">M56*W56</f>
        <v>7259.3459999999995</v>
      </c>
      <c r="Y56" s="15">
        <v>0.44</v>
      </c>
      <c r="Z56" s="24">
        <f t="shared" ref="Z56:Z58" si="544">Y56*M56</f>
        <v>6413.88</v>
      </c>
      <c r="AA56" s="116">
        <v>2.8500000000000001E-3</v>
      </c>
      <c r="AB56" s="18">
        <f t="shared" ref="AB56" si="545">M56*AA56</f>
        <v>41.544450000000005</v>
      </c>
      <c r="AC56" s="16">
        <v>2.9199999999999999E-3</v>
      </c>
      <c r="AD56" s="17">
        <f t="shared" ref="AD56:AD58" si="546">M56*AC56</f>
        <v>42.564839999999997</v>
      </c>
      <c r="AE56" s="26">
        <f>IF(M56&gt;0,(AG56+AP56)/M56,0)</f>
        <v>2.9936704397338274E-3</v>
      </c>
      <c r="AF56" s="16">
        <v>3.3E-4</v>
      </c>
      <c r="AG56" s="23">
        <f t="shared" ref="AG56:AG58" si="547">AF56*M56</f>
        <v>4.8104100000000001</v>
      </c>
      <c r="AH56" s="92">
        <v>0.2102</v>
      </c>
      <c r="AI56" s="29">
        <f t="shared" ref="AI56:AI58" si="548">AL56*(1-AM56)*AH56</f>
        <v>37.353380800000004</v>
      </c>
      <c r="AJ56" s="27">
        <f t="shared" ref="AJ56:AJ58" si="549">IF(AND(AH56&gt;0,AF56&gt;0,AC56&gt;0),((AC56-AF56)*AH56)/((AH56-AF56)*AC56),0)</f>
        <v>0.88838100037139756</v>
      </c>
      <c r="AK56" s="58">
        <f t="shared" si="6"/>
        <v>0.89111327155626585</v>
      </c>
      <c r="AL56" s="11">
        <v>194</v>
      </c>
      <c r="AM56" s="13">
        <v>8.4000000000000005E-2</v>
      </c>
      <c r="AN56" s="14">
        <v>0.2185</v>
      </c>
      <c r="AO56" s="101">
        <v>0.2051</v>
      </c>
      <c r="AP56" s="29">
        <f>AL56*(1-AM56)*AN56</f>
        <v>38.828324000000002</v>
      </c>
      <c r="AQ56" s="102">
        <f t="shared" ref="AQ56" si="550">AL56*(1-AM56)*AO56</f>
        <v>36.4470904</v>
      </c>
      <c r="AR56" s="18">
        <v>1.55</v>
      </c>
      <c r="AS56" s="18">
        <v>1007.4</v>
      </c>
      <c r="AT56" s="79">
        <f>AT54+AL56-AS56+AU56</f>
        <v>928.89999999999941</v>
      </c>
      <c r="AU56" s="130">
        <v>1.08</v>
      </c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54</v>
      </c>
      <c r="D57" s="33">
        <v>20500</v>
      </c>
      <c r="E57" s="33">
        <v>2</v>
      </c>
      <c r="F57" s="33">
        <v>15081</v>
      </c>
      <c r="G57" s="34">
        <v>0.7</v>
      </c>
      <c r="H57" s="34">
        <v>6</v>
      </c>
      <c r="I57" s="33">
        <v>14147</v>
      </c>
      <c r="J57" s="34">
        <v>4.2</v>
      </c>
      <c r="K57" s="33">
        <v>16056</v>
      </c>
      <c r="L57" s="35">
        <v>7.1999999999999995E-2</v>
      </c>
      <c r="M57" s="36">
        <f>ROUND(K57*(1-L57),0)</f>
        <v>14900</v>
      </c>
      <c r="N57" s="37">
        <v>0.746</v>
      </c>
      <c r="O57" s="24">
        <f t="shared" si="539"/>
        <v>11115.4</v>
      </c>
      <c r="P57" s="35">
        <v>0.23799999999999999</v>
      </c>
      <c r="Q57" s="24">
        <f t="shared" si="540"/>
        <v>3546.2</v>
      </c>
      <c r="R57" s="38">
        <v>1.6E-2</v>
      </c>
      <c r="S57" s="105">
        <v>0.1943</v>
      </c>
      <c r="T57" s="24">
        <f t="shared" si="541"/>
        <v>238.4</v>
      </c>
      <c r="U57" s="27">
        <v>0.22500000000000001</v>
      </c>
      <c r="V57" s="24">
        <f t="shared" si="542"/>
        <v>3352.5</v>
      </c>
      <c r="W57" s="38">
        <v>0.495</v>
      </c>
      <c r="X57" s="24">
        <f t="shared" si="543"/>
        <v>7375.5</v>
      </c>
      <c r="Y57" s="38">
        <v>0.43</v>
      </c>
      <c r="Z57" s="24">
        <f t="shared" si="544"/>
        <v>6407</v>
      </c>
      <c r="AA57" s="117">
        <v>2.8500000000000001E-3</v>
      </c>
      <c r="AB57" s="18">
        <f t="shared" si="237"/>
        <v>42.465000000000003</v>
      </c>
      <c r="AC57" s="39">
        <v>2.8700000000000002E-3</v>
      </c>
      <c r="AD57" s="17">
        <f t="shared" si="546"/>
        <v>42.763000000000005</v>
      </c>
      <c r="AE57" s="26">
        <f>IF(M57&gt;0,(AG57+AP57)/M57,0)</f>
        <v>3.1325305234899329E-3</v>
      </c>
      <c r="AF57" s="39">
        <v>2.9E-4</v>
      </c>
      <c r="AG57" s="36">
        <f t="shared" si="547"/>
        <v>4.3209999999999997</v>
      </c>
      <c r="AH57" s="27">
        <v>0.21010000000000001</v>
      </c>
      <c r="AI57" s="40">
        <f t="shared" si="548"/>
        <v>39.131545200000005</v>
      </c>
      <c r="AJ57" s="27">
        <f t="shared" si="549"/>
        <v>0.90019724167228132</v>
      </c>
      <c r="AK57" s="28">
        <f t="shared" si="6"/>
        <v>0.90858179032495245</v>
      </c>
      <c r="AL57" s="33">
        <v>204</v>
      </c>
      <c r="AM57" s="35">
        <v>8.6999999999999994E-2</v>
      </c>
      <c r="AN57" s="37">
        <v>0.22739999999999999</v>
      </c>
      <c r="AO57" s="103">
        <v>0.2127</v>
      </c>
      <c r="AP57" s="40">
        <f>AL57*(1-AM57)*AN57</f>
        <v>42.353704800000003</v>
      </c>
      <c r="AQ57" s="104">
        <f t="shared" si="242"/>
        <v>39.615800400000005</v>
      </c>
      <c r="AR57" s="41">
        <v>1.55</v>
      </c>
      <c r="AS57" s="41"/>
      <c r="AT57" s="129">
        <f>AT56+AL57-AS57</f>
        <v>1132.8999999999994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43" t="s">
        <v>58</v>
      </c>
      <c r="D58" s="42">
        <v>18400</v>
      </c>
      <c r="E58" s="42">
        <v>1</v>
      </c>
      <c r="F58" s="42">
        <v>18437</v>
      </c>
      <c r="G58" s="36">
        <v>0.7</v>
      </c>
      <c r="H58" s="36">
        <v>5.0999999999999996</v>
      </c>
      <c r="I58" s="42">
        <v>17817</v>
      </c>
      <c r="J58" s="36">
        <v>2.9</v>
      </c>
      <c r="K58" s="42">
        <v>15885</v>
      </c>
      <c r="L58" s="38">
        <v>7.3999999999999996E-2</v>
      </c>
      <c r="M58" s="36">
        <f>ROUND(K58*(1-L58),0)</f>
        <v>14710</v>
      </c>
      <c r="N58" s="27">
        <v>0.82599999999999996</v>
      </c>
      <c r="O58" s="24">
        <f t="shared" si="539"/>
        <v>12150.46</v>
      </c>
      <c r="P58" s="38">
        <v>0.14499999999999999</v>
      </c>
      <c r="Q58" s="24">
        <f t="shared" si="540"/>
        <v>2132.9499999999998</v>
      </c>
      <c r="R58" s="38">
        <v>2.9000000000000001E-2</v>
      </c>
      <c r="S58" s="105">
        <v>0.19320000000000001</v>
      </c>
      <c r="T58" s="24">
        <f t="shared" si="541"/>
        <v>426.59000000000003</v>
      </c>
      <c r="U58" s="27">
        <v>0.23300000000000001</v>
      </c>
      <c r="V58" s="24">
        <f t="shared" si="542"/>
        <v>3427.4300000000003</v>
      </c>
      <c r="W58" s="38">
        <v>0.48099999999999998</v>
      </c>
      <c r="X58" s="24">
        <f t="shared" si="543"/>
        <v>7075.5099999999993</v>
      </c>
      <c r="Y58" s="38">
        <v>0.44</v>
      </c>
      <c r="Z58" s="24">
        <f t="shared" si="544"/>
        <v>6472.4</v>
      </c>
      <c r="AA58" s="118">
        <v>2.6900000000000001E-3</v>
      </c>
      <c r="AB58" s="121">
        <f t="shared" si="237"/>
        <v>39.569900000000004</v>
      </c>
      <c r="AC58" s="45">
        <v>2.7100000000000002E-3</v>
      </c>
      <c r="AD58" s="17">
        <f t="shared" si="546"/>
        <v>39.864100000000001</v>
      </c>
      <c r="AE58" s="26">
        <f>IF(M58&gt;0,(AG58+AP58)/M58,0)</f>
        <v>2.8633587491502378E-3</v>
      </c>
      <c r="AF58" s="45">
        <v>2.7E-4</v>
      </c>
      <c r="AG58" s="36">
        <f t="shared" si="547"/>
        <v>3.9717000000000002</v>
      </c>
      <c r="AH58" s="27">
        <v>0.20810000000000001</v>
      </c>
      <c r="AI58" s="40">
        <f t="shared" si="548"/>
        <v>36.3991872</v>
      </c>
      <c r="AJ58" s="27">
        <f t="shared" si="549"/>
        <v>0.90153870792424895</v>
      </c>
      <c r="AK58" s="28">
        <f t="shared" si="6"/>
        <v>0.90682776466530834</v>
      </c>
      <c r="AL58" s="42">
        <v>192</v>
      </c>
      <c r="AM58" s="38">
        <v>8.8999999999999996E-2</v>
      </c>
      <c r="AN58" s="27">
        <v>0.21809999999999999</v>
      </c>
      <c r="AO58" s="105">
        <v>0.21859999999999999</v>
      </c>
      <c r="AP58" s="40">
        <f>AL58*(1-AM58)*AN58</f>
        <v>38.148307199999998</v>
      </c>
      <c r="AQ58" s="106">
        <f t="shared" si="242"/>
        <v>38.235763200000001</v>
      </c>
      <c r="AR58" s="17">
        <v>1.55</v>
      </c>
      <c r="AS58" s="17"/>
      <c r="AT58" s="129">
        <f>AT57+AL58-AS58</f>
        <v>1324.8999999999994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1">SUM(D56:D58)</f>
        <v>44879</v>
      </c>
      <c r="E59" s="49"/>
      <c r="F59" s="49">
        <f t="shared" ref="F59" si="552">SUM(F56:F58)</f>
        <v>45311</v>
      </c>
      <c r="G59" s="50"/>
      <c r="H59" s="50"/>
      <c r="I59" s="49">
        <f t="shared" ref="I59:K59" si="553">SUM(I56:I58)</f>
        <v>43662</v>
      </c>
      <c r="J59" s="50"/>
      <c r="K59" s="49">
        <f t="shared" si="553"/>
        <v>47598</v>
      </c>
      <c r="L59" s="20">
        <f t="shared" ref="L59" si="554">IF(K59&gt;0,(K56*L56+K57*L57+K58*L58)/K59,0)</f>
        <v>7.1680637841926118E-2</v>
      </c>
      <c r="M59" s="50">
        <f t="shared" ref="M59" si="555">M56+M57+M58</f>
        <v>44187</v>
      </c>
      <c r="N59" s="51">
        <f t="shared" ref="N59" si="556">IF(M59&gt;0,O59/M59,0)</f>
        <v>0.73073580464842602</v>
      </c>
      <c r="O59" s="52">
        <f t="shared" ref="O59" si="557">O56+O57+O58</f>
        <v>32289.023000000001</v>
      </c>
      <c r="P59" s="20">
        <f t="shared" ref="P59" si="558">IF(M59&gt;0,Q59/M59,0)</f>
        <v>0.2459674112295471</v>
      </c>
      <c r="Q59" s="52">
        <f t="shared" ref="Q59" si="559">Q56+Q57+Q58</f>
        <v>10868.561999999998</v>
      </c>
      <c r="R59" s="20">
        <f t="shared" ref="R59" si="560">IF(M59&gt;0,T59/M59,0)</f>
        <v>2.3296784122026841E-2</v>
      </c>
      <c r="S59" s="107"/>
      <c r="T59" s="52">
        <f t="shared" ref="T59" si="561">T56+T57+T58</f>
        <v>1029.415</v>
      </c>
      <c r="U59" s="20">
        <f t="shared" ref="U59" si="562">IF(M59&gt;0,V59/M59,0)</f>
        <v>0.22799312014845996</v>
      </c>
      <c r="V59" s="52">
        <f t="shared" ref="V59" si="563">V56+V57+V58</f>
        <v>10074.332</v>
      </c>
      <c r="W59" s="20">
        <f t="shared" ref="W59" si="564">IF(M59&gt;0,X59/M59,0)</f>
        <v>0.49132903342612078</v>
      </c>
      <c r="X59" s="52">
        <f t="shared" ref="X59" si="565">X56+X57+X58</f>
        <v>21710.356</v>
      </c>
      <c r="Y59" s="20">
        <f t="shared" ref="Y59" si="566">IF(M59&gt;0,Z59/M59,0)</f>
        <v>0.43662796750175387</v>
      </c>
      <c r="Z59" s="52">
        <f t="shared" ref="Z59" si="567">Z56+Z57+Z58</f>
        <v>19293.28</v>
      </c>
      <c r="AA59" s="119">
        <f t="shared" ref="AA59" si="568">IF(M59&gt;0,AB59/M59,0)</f>
        <v>2.7967354651820676E-3</v>
      </c>
      <c r="AB59" s="54">
        <f t="shared" ref="AB59" si="569">SUM(AB56:AB58)</f>
        <v>123.57935000000002</v>
      </c>
      <c r="AC59" s="53">
        <f t="shared" ref="AC59" si="570">IF(M59&gt;0,AD59/M59,0)</f>
        <v>2.8332301355602331E-3</v>
      </c>
      <c r="AD59" s="54">
        <f t="shared" ref="AD59" si="571">SUM(AD56:AD58)</f>
        <v>125.19194000000002</v>
      </c>
      <c r="AE59" s="53">
        <f t="shared" ref="AE59" si="572">IF(M59&gt;0,(AE56*M56+AE57*M57+AE58*M58)/M59,0)</f>
        <v>2.9971133138705953E-3</v>
      </c>
      <c r="AF59" s="53">
        <f t="shared" ref="AF59" si="573">IF(K59&gt;0,(K56*AF56+K57*AF57+K58*AF58)/K59,0)</f>
        <v>2.9648304550611369E-4</v>
      </c>
      <c r="AG59" s="50">
        <f t="shared" ref="AG59" si="574">SUM(AG56:AG58)</f>
        <v>13.103109999999999</v>
      </c>
      <c r="AH59" s="51">
        <f t="shared" ref="AH59" si="575">IF(K59&gt;0,(K56*AH56+K57*AH57+K58*AH58)/K59,0)</f>
        <v>0.20946542921971512</v>
      </c>
      <c r="AI59" s="56">
        <f t="shared" ref="AI59" si="576">SUM(AI56:AI58)</f>
        <v>112.8841132</v>
      </c>
      <c r="AJ59" s="51">
        <f t="shared" ref="AJ59" si="577">IF(AND(AD59&gt;0),((AD56*AJ56+AD57*AJ57+AD58*AJ58)/AD59),0)</f>
        <v>0.89660691408762638</v>
      </c>
      <c r="AK59" s="55">
        <f t="shared" si="6"/>
        <v>0.90228557889656802</v>
      </c>
      <c r="AL59" s="49">
        <f t="shared" ref="AL59" si="578">SUM(AL56:AL58)</f>
        <v>590</v>
      </c>
      <c r="AM59" s="20">
        <f t="shared" ref="AM59" si="579">IF(AL59&gt;0,(AM56*AL56+AM57*AL57+AM58*AL58)/AL59,0)</f>
        <v>8.6664406779661016E-2</v>
      </c>
      <c r="AN59" s="51">
        <f>IF(K59&gt;0,(AN56*K56+AN57*K57+AN58*K58)/K59,0)</f>
        <v>0.22136870036556155</v>
      </c>
      <c r="AO59" s="107">
        <f>IF(L59&gt;0,(AO56*K56+AO57*K57+AO58*K58)/K59,0)</f>
        <v>0.21216905962435395</v>
      </c>
      <c r="AP59" s="56">
        <f t="shared" ref="AP59" si="580">SUM(AP56:AP58)</f>
        <v>119.33033600000002</v>
      </c>
      <c r="AQ59" s="108">
        <f t="shared" si="448"/>
        <v>114.298654</v>
      </c>
      <c r="AR59" s="54"/>
      <c r="AS59" s="54">
        <f t="shared" ref="AS59" si="581">SUM(AS56:AS58)</f>
        <v>1007.4</v>
      </c>
      <c r="AT59" s="83"/>
      <c r="AU59" s="84">
        <f>AT58</f>
        <v>1324.8999999999994</v>
      </c>
      <c r="AV59" s="49">
        <f t="shared" ref="AV59" si="582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43" t="s">
        <v>59</v>
      </c>
      <c r="D60" s="11">
        <v>4068</v>
      </c>
      <c r="E60" s="11">
        <v>0</v>
      </c>
      <c r="F60" s="11">
        <v>12717</v>
      </c>
      <c r="G60" s="12">
        <v>0.2</v>
      </c>
      <c r="H60" s="12">
        <v>3.3</v>
      </c>
      <c r="I60" s="11">
        <v>12461</v>
      </c>
      <c r="J60" s="12">
        <v>3.9</v>
      </c>
      <c r="K60" s="11">
        <v>15980</v>
      </c>
      <c r="L60" s="13">
        <v>6.6000000000000003E-2</v>
      </c>
      <c r="M60" s="23">
        <f>ROUND(K60*(1-L60),0)</f>
        <v>14925</v>
      </c>
      <c r="N60" s="14">
        <v>0.68300000000000005</v>
      </c>
      <c r="O60" s="24">
        <f t="shared" ref="O60:O62" si="583">M60*N60</f>
        <v>10193.775000000001</v>
      </c>
      <c r="P60" s="13">
        <v>0.28499999999999998</v>
      </c>
      <c r="Q60" s="24">
        <f t="shared" ref="Q60:Q62" si="584">M60*P60</f>
        <v>4253.625</v>
      </c>
      <c r="R60" s="15">
        <v>3.2000000000000001E-2</v>
      </c>
      <c r="S60" s="112">
        <v>0.19120000000000001</v>
      </c>
      <c r="T60" s="24">
        <f t="shared" ref="T60:T62" si="585">M60*R60</f>
        <v>477.6</v>
      </c>
      <c r="U60" s="25">
        <v>0.23200000000000001</v>
      </c>
      <c r="V60" s="24">
        <f t="shared" ref="V60:V62" si="586">M60*U60</f>
        <v>3462.6000000000004</v>
      </c>
      <c r="W60" s="15">
        <v>0.48099999999999998</v>
      </c>
      <c r="X60" s="24">
        <f t="shared" ref="X60:X62" si="587">M60*W60</f>
        <v>7178.9250000000002</v>
      </c>
      <c r="Y60" s="15">
        <v>0.45</v>
      </c>
      <c r="Z60" s="24">
        <f t="shared" ref="Z60:Z62" si="588">Y60*M60</f>
        <v>6716.25</v>
      </c>
      <c r="AA60" s="116">
        <v>2.5999999999999999E-3</v>
      </c>
      <c r="AB60" s="18">
        <f t="shared" ref="AB60" si="589">M60*AA60</f>
        <v>38.805</v>
      </c>
      <c r="AC60" s="16">
        <v>2.63E-3</v>
      </c>
      <c r="AD60" s="17">
        <f t="shared" ref="AD60:AD62" si="590">M60*AC60</f>
        <v>39.252749999999999</v>
      </c>
      <c r="AE60" s="26">
        <f>IF(M60&gt;0,(AG60+AP60)/M60,0)</f>
        <v>2.5133307202680065E-3</v>
      </c>
      <c r="AF60" s="16">
        <v>2.5999999999999998E-4</v>
      </c>
      <c r="AG60" s="23">
        <f t="shared" ref="AG60:AG62" si="591">AF60*M60</f>
        <v>3.8804999999999996</v>
      </c>
      <c r="AH60" s="92">
        <v>0.20599999999999999</v>
      </c>
      <c r="AI60" s="29">
        <f t="shared" ref="AI60:AI62" si="592">AL60*(1-AM60)*AH60</f>
        <v>31.305819999999997</v>
      </c>
      <c r="AJ60" s="27">
        <f t="shared" ref="AJ60:AJ62" si="593">IF(AND(AH60&gt;0,AF60&gt;0,AC60&gt;0),((AC60-AF60)*AH60)/((AH60-AF60)*AC60),0)</f>
        <v>0.90227948375908018</v>
      </c>
      <c r="AK60" s="58">
        <f t="shared" si="6"/>
        <v>0.89760619231890604</v>
      </c>
      <c r="AL60" s="11">
        <v>167</v>
      </c>
      <c r="AM60" s="13">
        <v>0.09</v>
      </c>
      <c r="AN60" s="14">
        <v>0.2213</v>
      </c>
      <c r="AO60" s="101">
        <v>0.2079</v>
      </c>
      <c r="AP60" s="29">
        <f>AL60*(1-AM60)*AN60</f>
        <v>33.630960999999999</v>
      </c>
      <c r="AQ60" s="102">
        <f t="shared" ref="AQ60" si="594">AL60*(1-AM60)*AO60</f>
        <v>31.594563000000001</v>
      </c>
      <c r="AR60" s="18">
        <v>1.55</v>
      </c>
      <c r="AS60" s="18">
        <v>1049.42</v>
      </c>
      <c r="AT60" s="79">
        <f>AT58+AL60-AS60</f>
        <v>442.47999999999934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54</v>
      </c>
      <c r="D61" s="33">
        <v>19400</v>
      </c>
      <c r="E61" s="33">
        <v>3</v>
      </c>
      <c r="F61" s="33">
        <v>15501</v>
      </c>
      <c r="G61" s="34">
        <v>0.4</v>
      </c>
      <c r="H61" s="34">
        <v>3.8</v>
      </c>
      <c r="I61" s="33">
        <v>14882</v>
      </c>
      <c r="J61" s="34">
        <v>4.5</v>
      </c>
      <c r="K61" s="33">
        <v>16092</v>
      </c>
      <c r="L61" s="35">
        <v>7.4999999999999997E-2</v>
      </c>
      <c r="M61" s="36">
        <f>ROUND(K61*(1-L61),0)</f>
        <v>14885</v>
      </c>
      <c r="N61" s="37">
        <v>0.59199999999999997</v>
      </c>
      <c r="O61" s="24">
        <f t="shared" si="583"/>
        <v>8811.92</v>
      </c>
      <c r="P61" s="35">
        <v>0.33100000000000002</v>
      </c>
      <c r="Q61" s="24">
        <f t="shared" si="584"/>
        <v>4926.9350000000004</v>
      </c>
      <c r="R61" s="38">
        <v>7.6999999999999999E-2</v>
      </c>
      <c r="S61" s="105">
        <v>0.1993</v>
      </c>
      <c r="T61" s="24">
        <f t="shared" si="585"/>
        <v>1146.145</v>
      </c>
      <c r="U61" s="27">
        <v>0.23300000000000001</v>
      </c>
      <c r="V61" s="24">
        <f t="shared" si="586"/>
        <v>3468.2050000000004</v>
      </c>
      <c r="W61" s="38">
        <v>0.47699999999999998</v>
      </c>
      <c r="X61" s="24">
        <f t="shared" si="587"/>
        <v>7100.1449999999995</v>
      </c>
      <c r="Y61" s="38">
        <v>0.43</v>
      </c>
      <c r="Z61" s="24">
        <f t="shared" si="588"/>
        <v>6400.55</v>
      </c>
      <c r="AA61" s="117">
        <v>2.5100000000000001E-3</v>
      </c>
      <c r="AB61" s="18">
        <f t="shared" si="237"/>
        <v>37.361350000000002</v>
      </c>
      <c r="AC61" s="39">
        <v>2.48E-3</v>
      </c>
      <c r="AD61" s="17">
        <f t="shared" si="590"/>
        <v>36.9148</v>
      </c>
      <c r="AE61" s="26">
        <f>IF(M61&gt;0,(AG61+AP61)/M61,0)</f>
        <v>2.7801252334564998E-3</v>
      </c>
      <c r="AF61" s="39">
        <v>2.3000000000000001E-4</v>
      </c>
      <c r="AG61" s="36">
        <f t="shared" si="591"/>
        <v>3.4235500000000001</v>
      </c>
      <c r="AH61" s="27">
        <v>0.21240000000000001</v>
      </c>
      <c r="AI61" s="40">
        <f t="shared" si="592"/>
        <v>35.099737200000007</v>
      </c>
      <c r="AJ61" s="27">
        <f t="shared" si="593"/>
        <v>0.90824156526948097</v>
      </c>
      <c r="AK61" s="28">
        <f t="shared" si="6"/>
        <v>0.91818930238054852</v>
      </c>
      <c r="AL61" s="33">
        <v>181</v>
      </c>
      <c r="AM61" s="35">
        <v>8.6999999999999994E-2</v>
      </c>
      <c r="AN61" s="37">
        <v>0.22969999999999999</v>
      </c>
      <c r="AO61" s="103">
        <v>0.2157</v>
      </c>
      <c r="AP61" s="40">
        <f>AL61*(1-AM61)*AN61</f>
        <v>37.958614099999998</v>
      </c>
      <c r="AQ61" s="104">
        <f t="shared" si="242"/>
        <v>35.6450721</v>
      </c>
      <c r="AR61" s="41">
        <v>1.6</v>
      </c>
      <c r="AS61" s="41"/>
      <c r="AT61" s="129">
        <f>AT60+AL61-AS61</f>
        <v>623.47999999999934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55</v>
      </c>
      <c r="D62" s="42">
        <v>15400</v>
      </c>
      <c r="E62" s="42">
        <v>2</v>
      </c>
      <c r="F62" s="42">
        <v>17145</v>
      </c>
      <c r="G62" s="36">
        <v>0.3</v>
      </c>
      <c r="H62" s="36">
        <v>5.3</v>
      </c>
      <c r="I62" s="42">
        <v>16256</v>
      </c>
      <c r="J62" s="36">
        <v>3.9</v>
      </c>
      <c r="K62" s="42">
        <v>16074</v>
      </c>
      <c r="L62" s="38">
        <v>7.2999999999999995E-2</v>
      </c>
      <c r="M62" s="36">
        <f>ROUND(K62*(1-L62),0)</f>
        <v>14901</v>
      </c>
      <c r="N62" s="27">
        <v>0.7</v>
      </c>
      <c r="O62" s="24">
        <f t="shared" si="583"/>
        <v>10430.699999999999</v>
      </c>
      <c r="P62" s="38">
        <v>0.25800000000000001</v>
      </c>
      <c r="Q62" s="24">
        <f t="shared" si="584"/>
        <v>3844.4580000000001</v>
      </c>
      <c r="R62" s="38">
        <v>4.2000000000000003E-2</v>
      </c>
      <c r="S62" s="105">
        <v>0.185</v>
      </c>
      <c r="T62" s="24">
        <f t="shared" si="585"/>
        <v>625.84199999999998</v>
      </c>
      <c r="U62" s="27">
        <v>0.22900000000000001</v>
      </c>
      <c r="V62" s="24">
        <f t="shared" si="586"/>
        <v>3412.3290000000002</v>
      </c>
      <c r="W62" s="38">
        <v>0.499</v>
      </c>
      <c r="X62" s="24">
        <f t="shared" si="587"/>
        <v>7435.5990000000002</v>
      </c>
      <c r="Y62" s="38">
        <v>0.42</v>
      </c>
      <c r="Z62" s="24">
        <f t="shared" si="588"/>
        <v>6258.42</v>
      </c>
      <c r="AA62" s="118">
        <v>2.4099999999999998E-3</v>
      </c>
      <c r="AB62" s="121">
        <f t="shared" si="237"/>
        <v>35.911409999999997</v>
      </c>
      <c r="AC62" s="45">
        <v>2.5300000000000001E-3</v>
      </c>
      <c r="AD62" s="17">
        <f t="shared" si="590"/>
        <v>37.699530000000003</v>
      </c>
      <c r="AE62" s="26">
        <f>IF(M62&gt;0,(AG62+AP62)/M62,0)</f>
        <v>2.7186678746392856E-3</v>
      </c>
      <c r="AF62" s="45">
        <v>2.2000000000000001E-4</v>
      </c>
      <c r="AG62" s="36">
        <f t="shared" si="591"/>
        <v>3.2782200000000001</v>
      </c>
      <c r="AH62" s="27">
        <v>0.20899999999999999</v>
      </c>
      <c r="AI62" s="40">
        <f t="shared" si="592"/>
        <v>33.283249999999995</v>
      </c>
      <c r="AJ62" s="27">
        <f t="shared" si="593"/>
        <v>0.91400558940761423</v>
      </c>
      <c r="AK62" s="28">
        <f t="shared" si="6"/>
        <v>0.91994365951943946</v>
      </c>
      <c r="AL62" s="42">
        <v>175</v>
      </c>
      <c r="AM62" s="38">
        <v>0.09</v>
      </c>
      <c r="AN62" s="27">
        <v>0.23380000000000001</v>
      </c>
      <c r="AO62" s="105">
        <v>0.214</v>
      </c>
      <c r="AP62" s="40">
        <f>AL62*(1-AM62)*AN62</f>
        <v>37.23265</v>
      </c>
      <c r="AQ62" s="106">
        <f t="shared" si="242"/>
        <v>34.079499999999996</v>
      </c>
      <c r="AR62" s="17">
        <v>1.6</v>
      </c>
      <c r="AS62" s="17"/>
      <c r="AT62" s="129">
        <f>AT61+AL62-AS62</f>
        <v>798.47999999999934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5">SUM(D60:D62)</f>
        <v>38868</v>
      </c>
      <c r="E63" s="49"/>
      <c r="F63" s="49">
        <f t="shared" ref="F63" si="596">SUM(F60:F62)</f>
        <v>45363</v>
      </c>
      <c r="G63" s="50"/>
      <c r="H63" s="50"/>
      <c r="I63" s="49">
        <f t="shared" ref="I63:K63" si="597">SUM(I60:I62)</f>
        <v>43599</v>
      </c>
      <c r="J63" s="50"/>
      <c r="K63" s="49">
        <f t="shared" si="597"/>
        <v>48146</v>
      </c>
      <c r="L63" s="20">
        <f t="shared" ref="L63" si="598">IF(K63&gt;0,(K60*L60+K61*L61+K62*L62)/K63,0)</f>
        <v>7.1345116935986372E-2</v>
      </c>
      <c r="M63" s="50">
        <f t="shared" ref="M63" si="599">M60+M61+M62</f>
        <v>44711</v>
      </c>
      <c r="N63" s="51">
        <f t="shared" ref="N63" si="600">IF(M63&gt;0,O63/M63,0)</f>
        <v>0.65837031155644021</v>
      </c>
      <c r="O63" s="52">
        <f t="shared" ref="O63" si="601">O60+O61+O62</f>
        <v>29436.394999999997</v>
      </c>
      <c r="P63" s="20">
        <f t="shared" ref="P63" si="602">IF(M63&gt;0,Q63/M63,0)</f>
        <v>0.29131573885620993</v>
      </c>
      <c r="Q63" s="52">
        <f t="shared" ref="Q63" si="603">Q60+Q61+Q62</f>
        <v>13025.018000000002</v>
      </c>
      <c r="R63" s="20">
        <f t="shared" ref="R63" si="604">IF(M63&gt;0,T63/M63,0)</f>
        <v>5.0313949587349867E-2</v>
      </c>
      <c r="S63" s="107"/>
      <c r="T63" s="52">
        <f t="shared" ref="T63" si="605">T60+T61+T62</f>
        <v>2249.587</v>
      </c>
      <c r="U63" s="20">
        <f t="shared" ref="U63" si="606">IF(M63&gt;0,V63/M63,0)</f>
        <v>0.23133309476415201</v>
      </c>
      <c r="V63" s="52">
        <f t="shared" ref="V63" si="607">V60+V61+V62</f>
        <v>10343.134</v>
      </c>
      <c r="W63" s="20">
        <f t="shared" ref="W63" si="608">IF(M63&gt;0,X63/M63,0)</f>
        <v>0.48566726308962005</v>
      </c>
      <c r="X63" s="52">
        <f t="shared" ref="X63" si="609">X60+X61+X62</f>
        <v>21714.669000000002</v>
      </c>
      <c r="Y63" s="20">
        <f t="shared" ref="Y63" si="610">IF(M63&gt;0,Z63/M63,0)</f>
        <v>0.43334347252354011</v>
      </c>
      <c r="Z63" s="52">
        <f t="shared" ref="Z63" si="611">Z60+Z61+Z62</f>
        <v>19375.22</v>
      </c>
      <c r="AA63" s="119">
        <f t="shared" ref="AA63" si="612">IF(M63&gt;0,AB63/M63,0)</f>
        <v>2.5067155733488398E-3</v>
      </c>
      <c r="AB63" s="54">
        <f t="shared" ref="AB63" si="613">SUM(AB60:AB62)</f>
        <v>112.07775999999998</v>
      </c>
      <c r="AC63" s="53">
        <f t="shared" ref="AC63" si="614">IF(M63&gt;0,AD63/M63,0)</f>
        <v>2.5467352553063009E-3</v>
      </c>
      <c r="AD63" s="54">
        <f t="shared" ref="AD63" si="615">SUM(AD60:AD62)</f>
        <v>113.86708000000002</v>
      </c>
      <c r="AE63" s="53">
        <f t="shared" ref="AE63" si="616">IF(M63&gt;0,(AE60*M60+AE61*M61+AE62*M62)/M63,0)</f>
        <v>2.6705843103486835E-3</v>
      </c>
      <c r="AF63" s="53">
        <f t="shared" ref="AF63" si="617">IF(K63&gt;0,(K60*AF60+K61*AF61+K62*AF62)/K63,0)</f>
        <v>2.3661861836912721E-4</v>
      </c>
      <c r="AG63" s="50">
        <f t="shared" ref="AG63" si="618">SUM(AG60:AG62)</f>
        <v>10.582270000000001</v>
      </c>
      <c r="AH63" s="51">
        <f t="shared" ref="AH63" si="619">IF(K63&gt;0,(K60*AH60+K61*AH61+K62*AH62)/K63,0)</f>
        <v>0.20914067212229467</v>
      </c>
      <c r="AI63" s="56">
        <f t="shared" ref="AI63" si="620">SUM(AI60:AI62)</f>
        <v>99.688807199999999</v>
      </c>
      <c r="AJ63" s="51">
        <f t="shared" ref="AJ63" si="621">IF(AND(AD63&gt;0),((AD60*AJ60+AD61*AJ61+AD62*AJ62)/AD63),0)</f>
        <v>0.90809466509349401</v>
      </c>
      <c r="AK63" s="55">
        <f t="shared" si="6"/>
        <v>0.91234385113198568</v>
      </c>
      <c r="AL63" s="49">
        <f t="shared" ref="AL63" si="622">SUM(AL60:AL62)</f>
        <v>523</v>
      </c>
      <c r="AM63" s="20">
        <f t="shared" ref="AM63" si="623">IF(AL63&gt;0,(AM60*AL60+AM61*AL61+AM62*AL62)/AL63,0)</f>
        <v>8.896175908221797E-2</v>
      </c>
      <c r="AN63" s="51">
        <f>IF(K63&gt;0,(AN60*K60+AN61*K61+AN62*K62)/K63,0)</f>
        <v>0.22828080422049599</v>
      </c>
      <c r="AO63" s="107">
        <f>IF(L63&gt;0,(AO60*K60+AO61*K61+AO62*K62)/K63,0)</f>
        <v>0.21254356332821003</v>
      </c>
      <c r="AP63" s="56">
        <f t="shared" ref="AP63:AQ63" si="624">SUM(AP60:AP62)</f>
        <v>108.8222251</v>
      </c>
      <c r="AQ63" s="108">
        <f t="shared" si="624"/>
        <v>101.3191351</v>
      </c>
      <c r="AR63" s="54"/>
      <c r="AS63" s="54">
        <f t="shared" ref="AS63" si="625">SUM(AS60:AS62)</f>
        <v>1049.42</v>
      </c>
      <c r="AT63" s="83"/>
      <c r="AU63" s="84">
        <f>AT62</f>
        <v>798.47999999999934</v>
      </c>
      <c r="AV63" s="49">
        <f t="shared" ref="AV63" si="626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57</v>
      </c>
      <c r="D64" s="11">
        <v>5520</v>
      </c>
      <c r="E64" s="11">
        <v>2</v>
      </c>
      <c r="F64" s="11">
        <v>14835</v>
      </c>
      <c r="G64" s="12">
        <v>1</v>
      </c>
      <c r="H64" s="12">
        <v>3.7</v>
      </c>
      <c r="I64" s="11">
        <v>14151</v>
      </c>
      <c r="J64" s="12">
        <v>4</v>
      </c>
      <c r="K64" s="11">
        <v>16022</v>
      </c>
      <c r="L64" s="13">
        <v>6.6000000000000003E-2</v>
      </c>
      <c r="M64" s="23">
        <f>ROUND(K64*(1-L64),0)</f>
        <v>14965</v>
      </c>
      <c r="N64" s="14">
        <v>0.65600000000000003</v>
      </c>
      <c r="O64" s="24">
        <f t="shared" ref="O64:O69" si="627">M64*N64</f>
        <v>9817.0400000000009</v>
      </c>
      <c r="P64" s="13">
        <v>0.30199999999999999</v>
      </c>
      <c r="Q64" s="24">
        <f t="shared" ref="Q64:Q69" si="628">M64*P64</f>
        <v>4519.43</v>
      </c>
      <c r="R64" s="15">
        <v>4.2000000000000003E-2</v>
      </c>
      <c r="S64" s="112">
        <v>0.17879999999999999</v>
      </c>
      <c r="T64" s="24">
        <f t="shared" ref="T64:T69" si="629">M64*R64</f>
        <v>628.53000000000009</v>
      </c>
      <c r="U64" s="25">
        <v>0.23300000000000001</v>
      </c>
      <c r="V64" s="24">
        <f t="shared" ref="V64:V69" si="630">M64*U64</f>
        <v>3486.8450000000003</v>
      </c>
      <c r="W64" s="15">
        <v>0.48499999999999999</v>
      </c>
      <c r="X64" s="24">
        <f t="shared" ref="X64:X69" si="631">M64*W64</f>
        <v>7258.0249999999996</v>
      </c>
      <c r="Y64" s="15">
        <v>0.43</v>
      </c>
      <c r="Z64" s="24">
        <f t="shared" ref="Z64:Z69" si="632">Y64*M64</f>
        <v>6434.95</v>
      </c>
      <c r="AA64" s="116">
        <v>2.5899999999999999E-3</v>
      </c>
      <c r="AB64" s="18">
        <f t="shared" ref="AB64" si="633">M64*AA64</f>
        <v>38.759349999999998</v>
      </c>
      <c r="AC64" s="16">
        <v>2.5999999999999999E-3</v>
      </c>
      <c r="AD64" s="17">
        <f t="shared" ref="AD64:AD69" si="634">M64*AC64</f>
        <v>38.908999999999999</v>
      </c>
      <c r="AE64" s="26">
        <f>IF(M64&gt;0,(AG64+AP64)/M64,0)</f>
        <v>2.8289810357500834E-3</v>
      </c>
      <c r="AF64" s="16">
        <v>2.4000000000000001E-4</v>
      </c>
      <c r="AG64" s="23">
        <f t="shared" ref="AG64:AG69" si="635">AF64*M64</f>
        <v>3.5916000000000001</v>
      </c>
      <c r="AH64" s="92">
        <v>0.21310000000000001</v>
      </c>
      <c r="AI64" s="29">
        <f t="shared" ref="AI64:AI69" si="636">AL64*(1-AM64)*AH64</f>
        <v>35.526540300000001</v>
      </c>
      <c r="AJ64" s="27">
        <f t="shared" ref="AJ64:AJ69" si="637">IF(AND(AH64&gt;0,AF64&gt;0,AC64&gt;0),((AC64-AF64)*AH64)/((AH64-AF64)*AC64),0)</f>
        <v>0.90871573226172475</v>
      </c>
      <c r="AK64" s="58">
        <f t="shared" si="6"/>
        <v>0.91610986904565717</v>
      </c>
      <c r="AL64" s="11">
        <v>183</v>
      </c>
      <c r="AM64" s="13">
        <v>8.8999999999999996E-2</v>
      </c>
      <c r="AN64" s="14">
        <v>0.2324</v>
      </c>
      <c r="AO64" s="101">
        <v>0.2172</v>
      </c>
      <c r="AP64" s="29">
        <f>AL64*(1-AM64)*AN64</f>
        <v>38.744101199999996</v>
      </c>
      <c r="AQ64" s="102">
        <f t="shared" ref="AQ64" si="638">AL64*(1-AM64)*AO64</f>
        <v>36.210063599999998</v>
      </c>
      <c r="AR64" s="18">
        <v>1.55</v>
      </c>
      <c r="AS64" s="18">
        <v>513.64</v>
      </c>
      <c r="AT64" s="79">
        <f>AT62+AL64-AS64</f>
        <v>467.83999999999935</v>
      </c>
      <c r="AU64" s="80"/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54</v>
      </c>
      <c r="D65" s="33">
        <v>19500</v>
      </c>
      <c r="E65" s="33">
        <v>4</v>
      </c>
      <c r="F65" s="33">
        <v>10764</v>
      </c>
      <c r="G65" s="34">
        <v>0.5</v>
      </c>
      <c r="H65" s="34">
        <v>4.2</v>
      </c>
      <c r="I65" s="33">
        <v>10734</v>
      </c>
      <c r="J65" s="34">
        <v>6.2</v>
      </c>
      <c r="K65" s="33">
        <v>16131</v>
      </c>
      <c r="L65" s="35">
        <v>6.8000000000000005E-2</v>
      </c>
      <c r="M65" s="36">
        <f>ROUND(K65*(1-L65),0)</f>
        <v>15034</v>
      </c>
      <c r="N65" s="37">
        <v>0.7</v>
      </c>
      <c r="O65" s="24">
        <f t="shared" si="627"/>
        <v>10523.8</v>
      </c>
      <c r="P65" s="35">
        <v>0.26700000000000002</v>
      </c>
      <c r="Q65" s="24">
        <f t="shared" si="628"/>
        <v>4014.0780000000004</v>
      </c>
      <c r="R65" s="38">
        <v>3.3000000000000002E-2</v>
      </c>
      <c r="S65" s="105">
        <v>0.17849999999999999</v>
      </c>
      <c r="T65" s="24">
        <f t="shared" si="629"/>
        <v>496.12200000000001</v>
      </c>
      <c r="U65" s="27">
        <v>0.23599999999999999</v>
      </c>
      <c r="V65" s="24">
        <f t="shared" si="630"/>
        <v>3548.0239999999999</v>
      </c>
      <c r="W65" s="38">
        <v>0.48699999999999999</v>
      </c>
      <c r="X65" s="24">
        <f t="shared" si="631"/>
        <v>7321.558</v>
      </c>
      <c r="Y65" s="38">
        <v>0.42</v>
      </c>
      <c r="Z65" s="24">
        <f t="shared" si="632"/>
        <v>6314.28</v>
      </c>
      <c r="AA65" s="117"/>
      <c r="AB65" s="18">
        <f t="shared" si="237"/>
        <v>0</v>
      </c>
      <c r="AC65" s="39">
        <v>2.5899999999999999E-3</v>
      </c>
      <c r="AD65" s="17">
        <f t="shared" si="634"/>
        <v>38.93806</v>
      </c>
      <c r="AE65" s="26">
        <f>IF(M65&gt;0,(AG65+AP65)/M65,0)</f>
        <v>2.8158679526406809E-3</v>
      </c>
      <c r="AF65" s="39">
        <v>2.2000000000000001E-4</v>
      </c>
      <c r="AG65" s="36">
        <f t="shared" si="635"/>
        <v>3.30748</v>
      </c>
      <c r="AH65" s="27">
        <v>0.21410000000000001</v>
      </c>
      <c r="AI65" s="40">
        <f t="shared" si="636"/>
        <v>35.225658899999999</v>
      </c>
      <c r="AJ65" s="27">
        <f t="shared" si="637"/>
        <v>0.91599915660136322</v>
      </c>
      <c r="AK65" s="28">
        <f t="shared" si="6"/>
        <v>0.92272715417018136</v>
      </c>
      <c r="AL65" s="33">
        <v>181</v>
      </c>
      <c r="AM65" s="35">
        <v>9.0999999999999998E-2</v>
      </c>
      <c r="AN65" s="37">
        <v>0.23719999999999999</v>
      </c>
      <c r="AO65" s="103"/>
      <c r="AP65" s="40">
        <f>AL65*(1-AM65)*AN65</f>
        <v>39.0262788</v>
      </c>
      <c r="AQ65" s="104">
        <f t="shared" si="242"/>
        <v>0</v>
      </c>
      <c r="AR65" s="41">
        <v>1.55</v>
      </c>
      <c r="AS65" s="41"/>
      <c r="AT65" s="129">
        <f>AT64+AL65-AS65</f>
        <v>648.83999999999935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43" t="s">
        <v>55</v>
      </c>
      <c r="D66" s="42">
        <v>17851</v>
      </c>
      <c r="E66" s="42">
        <v>2</v>
      </c>
      <c r="F66" s="42">
        <v>16600</v>
      </c>
      <c r="G66" s="36">
        <v>0.4</v>
      </c>
      <c r="H66" s="36">
        <v>5.3</v>
      </c>
      <c r="I66" s="42">
        <v>16257</v>
      </c>
      <c r="J66" s="36">
        <v>5.5</v>
      </c>
      <c r="K66" s="42">
        <v>16130</v>
      </c>
      <c r="L66" s="38">
        <v>7.2999999999999995E-2</v>
      </c>
      <c r="M66" s="36">
        <f>ROUND(K66*(1-L66),0)</f>
        <v>14953</v>
      </c>
      <c r="N66" s="27">
        <v>0.72899999999999998</v>
      </c>
      <c r="O66" s="24">
        <f t="shared" si="627"/>
        <v>10900.736999999999</v>
      </c>
      <c r="P66" s="38">
        <v>0.249</v>
      </c>
      <c r="Q66" s="24">
        <f t="shared" si="628"/>
        <v>3723.297</v>
      </c>
      <c r="R66" s="38">
        <v>2.1999999999999999E-2</v>
      </c>
      <c r="S66" s="105">
        <v>0.1845</v>
      </c>
      <c r="T66" s="24">
        <f t="shared" si="629"/>
        <v>328.96600000000001</v>
      </c>
      <c r="U66" s="27"/>
      <c r="V66" s="24">
        <f t="shared" si="630"/>
        <v>0</v>
      </c>
      <c r="W66" s="38"/>
      <c r="X66" s="24">
        <f t="shared" si="631"/>
        <v>0</v>
      </c>
      <c r="Y66" s="38">
        <v>0.42</v>
      </c>
      <c r="Z66" s="24">
        <f t="shared" si="632"/>
        <v>6280.26</v>
      </c>
      <c r="AA66" s="118"/>
      <c r="AB66" s="121">
        <f t="shared" si="237"/>
        <v>0</v>
      </c>
      <c r="AC66" s="45">
        <v>2.5799999999999998E-3</v>
      </c>
      <c r="AD66" s="17">
        <f t="shared" si="634"/>
        <v>38.578739999999996</v>
      </c>
      <c r="AE66" s="26">
        <f>IF(M66&gt;0,(AG66+AP66)/M66,0)</f>
        <v>2.3000000000000001E-4</v>
      </c>
      <c r="AF66" s="45">
        <v>2.3000000000000001E-4</v>
      </c>
      <c r="AG66" s="36">
        <f t="shared" si="635"/>
        <v>3.43919</v>
      </c>
      <c r="AH66" s="27">
        <v>0.21049999999999999</v>
      </c>
      <c r="AI66" s="40">
        <f t="shared" si="636"/>
        <v>34.017010499999998</v>
      </c>
      <c r="AJ66" s="27">
        <f t="shared" si="637"/>
        <v>0.91184903278656482</v>
      </c>
      <c r="AK66" s="28">
        <f t="shared" si="6"/>
        <v>0</v>
      </c>
      <c r="AL66" s="42">
        <v>177</v>
      </c>
      <c r="AM66" s="38">
        <v>8.6999999999999994E-2</v>
      </c>
      <c r="AN66" s="27"/>
      <c r="AO66" s="105"/>
      <c r="AP66" s="40">
        <f>AL66*(1-AM66)*AN66</f>
        <v>0</v>
      </c>
      <c r="AQ66" s="106">
        <f t="shared" si="242"/>
        <v>0</v>
      </c>
      <c r="AR66" s="17">
        <v>1.55</v>
      </c>
      <c r="AS66" s="17"/>
      <c r="AT66" s="129">
        <f>AT65+AL66-AS66</f>
        <v>825.83999999999935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6">
        <v>17</v>
      </c>
      <c r="B67" s="22">
        <v>1</v>
      </c>
      <c r="C67" s="10" t="s">
        <v>57</v>
      </c>
      <c r="D67" s="11">
        <v>4974</v>
      </c>
      <c r="E67" s="11">
        <v>0</v>
      </c>
      <c r="F67" s="11">
        <v>16278</v>
      </c>
      <c r="G67" s="12">
        <v>0.6</v>
      </c>
      <c r="H67" s="12">
        <v>4.9000000000000004</v>
      </c>
      <c r="I67" s="11">
        <v>15868</v>
      </c>
      <c r="J67" s="12">
        <v>5.3</v>
      </c>
      <c r="K67" s="11">
        <v>16247</v>
      </c>
      <c r="L67" s="13">
        <v>7.0999999999999994E-2</v>
      </c>
      <c r="M67" s="23">
        <f>ROUND(K67*(1-L67),0)</f>
        <v>15093</v>
      </c>
      <c r="N67" s="14">
        <v>0.70899999999999996</v>
      </c>
      <c r="O67" s="24">
        <f t="shared" si="627"/>
        <v>10700.937</v>
      </c>
      <c r="P67" s="13">
        <v>0.24399999999999999</v>
      </c>
      <c r="Q67" s="24">
        <f t="shared" si="628"/>
        <v>3682.692</v>
      </c>
      <c r="R67" s="15">
        <v>4.7E-2</v>
      </c>
      <c r="S67" s="112">
        <v>0.19339999999999999</v>
      </c>
      <c r="T67" s="24">
        <f t="shared" si="629"/>
        <v>709.37099999999998</v>
      </c>
      <c r="U67" s="25">
        <v>0.217</v>
      </c>
      <c r="V67" s="24">
        <f t="shared" si="630"/>
        <v>3275.181</v>
      </c>
      <c r="W67" s="15">
        <v>0.49299999999999999</v>
      </c>
      <c r="X67" s="24">
        <f t="shared" si="631"/>
        <v>7440.8490000000002</v>
      </c>
      <c r="Y67" s="15">
        <v>0.43</v>
      </c>
      <c r="Z67" s="24">
        <f t="shared" si="632"/>
        <v>6489.99</v>
      </c>
      <c r="AA67" s="116">
        <v>2.4599999999999999E-3</v>
      </c>
      <c r="AB67" s="18">
        <f t="shared" si="237"/>
        <v>37.128779999999999</v>
      </c>
      <c r="AC67" s="16">
        <v>2.49E-3</v>
      </c>
      <c r="AD67" s="17">
        <f t="shared" si="634"/>
        <v>37.581569999999999</v>
      </c>
      <c r="AE67" s="26">
        <f>IF(M67&gt;0,(AG67+AP67)/M67,0)</f>
        <v>2.7273987941429803E-3</v>
      </c>
      <c r="AF67" s="16">
        <v>2.2000000000000001E-4</v>
      </c>
      <c r="AG67" s="23">
        <f t="shared" si="635"/>
        <v>3.3204600000000002</v>
      </c>
      <c r="AH67" s="92">
        <v>0.20469999999999999</v>
      </c>
      <c r="AI67" s="29">
        <f t="shared" si="636"/>
        <v>33.902414</v>
      </c>
      <c r="AJ67" s="27">
        <f t="shared" si="637"/>
        <v>0.91262742676496267</v>
      </c>
      <c r="AK67" s="58">
        <f t="shared" si="6"/>
        <v>0.92022305350021061</v>
      </c>
      <c r="AL67" s="11">
        <v>182</v>
      </c>
      <c r="AM67" s="13">
        <v>0.09</v>
      </c>
      <c r="AN67" s="14">
        <v>0.22850000000000001</v>
      </c>
      <c r="AO67" s="101">
        <v>0.21490000000000001</v>
      </c>
      <c r="AP67" s="29">
        <f>AL67*(1-AM67)*AN67</f>
        <v>37.844170000000005</v>
      </c>
      <c r="AQ67" s="102">
        <f t="shared" si="242"/>
        <v>35.591737999999999</v>
      </c>
      <c r="AR67" s="18">
        <v>1.55</v>
      </c>
      <c r="AS67" s="18">
        <v>526.08000000000004</v>
      </c>
      <c r="AT67" s="79">
        <f>AT65+AL67-AS67+AU67</f>
        <v>309.69999999999931</v>
      </c>
      <c r="AU67" s="80">
        <v>4.9400000000000004</v>
      </c>
      <c r="AV67" s="11"/>
      <c r="AW67" s="30"/>
      <c r="AX67" s="19"/>
      <c r="AY67" s="19"/>
      <c r="AZ67" s="19"/>
      <c r="BA67" s="19"/>
      <c r="BB67" s="31"/>
    </row>
    <row r="68" spans="1:54">
      <c r="A68" s="147"/>
      <c r="B68" s="32">
        <v>2</v>
      </c>
      <c r="C68" s="10" t="s">
        <v>58</v>
      </c>
      <c r="D68" s="33">
        <v>18976</v>
      </c>
      <c r="E68" s="33">
        <v>5</v>
      </c>
      <c r="F68" s="33">
        <v>15407</v>
      </c>
      <c r="G68" s="34">
        <v>0.3</v>
      </c>
      <c r="H68" s="34">
        <v>5.2</v>
      </c>
      <c r="I68" s="33">
        <v>15267</v>
      </c>
      <c r="J68" s="34">
        <v>5.5</v>
      </c>
      <c r="K68" s="33">
        <v>16379</v>
      </c>
      <c r="L68" s="35">
        <v>7.6999999999999999E-2</v>
      </c>
      <c r="M68" s="36">
        <f>ROUND(K68*(1-L68),0)</f>
        <v>15118</v>
      </c>
      <c r="N68" s="37">
        <v>0.72899999999999998</v>
      </c>
      <c r="O68" s="24">
        <f t="shared" si="627"/>
        <v>11021.021999999999</v>
      </c>
      <c r="P68" s="35">
        <v>0.24199999999999999</v>
      </c>
      <c r="Q68" s="24">
        <f t="shared" si="628"/>
        <v>3658.556</v>
      </c>
      <c r="R68" s="38">
        <v>2.9000000000000001E-2</v>
      </c>
      <c r="S68" s="105">
        <v>0.19189999999999999</v>
      </c>
      <c r="T68" s="24">
        <f t="shared" si="629"/>
        <v>438.42200000000003</v>
      </c>
      <c r="U68" s="27">
        <v>0.22600000000000001</v>
      </c>
      <c r="V68" s="24">
        <f t="shared" si="630"/>
        <v>3416.6680000000001</v>
      </c>
      <c r="W68" s="38">
        <v>0.48299999999999998</v>
      </c>
      <c r="X68" s="24">
        <f t="shared" si="631"/>
        <v>7301.9939999999997</v>
      </c>
      <c r="Y68" s="38">
        <v>0.43</v>
      </c>
      <c r="Z68" s="24">
        <f t="shared" si="632"/>
        <v>6500.74</v>
      </c>
      <c r="AA68" s="117">
        <v>2.33E-3</v>
      </c>
      <c r="AB68" s="18">
        <f t="shared" si="237"/>
        <v>35.224940000000004</v>
      </c>
      <c r="AC68" s="39">
        <v>2.5500000000000002E-3</v>
      </c>
      <c r="AD68" s="17">
        <f t="shared" si="634"/>
        <v>38.550900000000006</v>
      </c>
      <c r="AE68" s="26">
        <f>IF(M68&gt;0,(AG68+AP68)/M68,0)</f>
        <v>2.6051726948008998E-3</v>
      </c>
      <c r="AF68" s="39">
        <v>2.2000000000000001E-4</v>
      </c>
      <c r="AG68" s="36">
        <f t="shared" si="635"/>
        <v>3.3259600000000002</v>
      </c>
      <c r="AH68" s="27">
        <v>0.20780000000000001</v>
      </c>
      <c r="AI68" s="40">
        <f t="shared" si="636"/>
        <v>31.509960800000002</v>
      </c>
      <c r="AJ68" s="27">
        <f t="shared" si="637"/>
        <v>0.914693886033072</v>
      </c>
      <c r="AK68" s="28">
        <f t="shared" ref="AK68:AK126" si="639">IF(AND(AE68&gt;0,AN68&gt;0,AF68&gt;0),((AN68*(AE68-AF68))/(AE68*(AN68-AF68))),0)</f>
        <v>0.9164004285462678</v>
      </c>
      <c r="AL68" s="33">
        <v>167</v>
      </c>
      <c r="AM68" s="35">
        <v>9.1999999999999998E-2</v>
      </c>
      <c r="AN68" s="37">
        <v>0.23780000000000001</v>
      </c>
      <c r="AO68" s="103">
        <v>0.22700000000000001</v>
      </c>
      <c r="AP68" s="40">
        <f>AL68*(1-AM68)*AN68</f>
        <v>36.059040799999998</v>
      </c>
      <c r="AQ68" s="104">
        <f t="shared" si="242"/>
        <v>34.421371999999998</v>
      </c>
      <c r="AR68" s="41">
        <v>1.55</v>
      </c>
      <c r="AS68" s="41"/>
      <c r="AT68" s="129">
        <f>AT67+AL68-AS68</f>
        <v>476.69999999999931</v>
      </c>
      <c r="AU68" s="82"/>
      <c r="AV68" s="42"/>
      <c r="AW68" s="43"/>
      <c r="AX68" s="44"/>
      <c r="AY68" s="44"/>
      <c r="AZ68" s="44"/>
      <c r="BA68" s="44"/>
      <c r="BB68" s="31"/>
    </row>
    <row r="69" spans="1:54">
      <c r="A69" s="147"/>
      <c r="B69" s="32">
        <v>3</v>
      </c>
      <c r="C69" s="143" t="s">
        <v>55</v>
      </c>
      <c r="D69" s="42">
        <v>18650</v>
      </c>
      <c r="E69" s="42">
        <v>3</v>
      </c>
      <c r="F69" s="42">
        <v>16522</v>
      </c>
      <c r="G69" s="36">
        <v>1</v>
      </c>
      <c r="H69" s="36">
        <v>6.2</v>
      </c>
      <c r="I69" s="42">
        <v>16175</v>
      </c>
      <c r="J69" s="36">
        <v>5.0999999999999996</v>
      </c>
      <c r="K69" s="42">
        <v>16353</v>
      </c>
      <c r="L69" s="38">
        <v>7.1999999999999995E-2</v>
      </c>
      <c r="M69" s="36">
        <f>ROUND(K69*(1-L69),0)</f>
        <v>15176</v>
      </c>
      <c r="N69" s="27">
        <v>0.73799999999999999</v>
      </c>
      <c r="O69" s="24">
        <f t="shared" si="627"/>
        <v>11199.887999999999</v>
      </c>
      <c r="P69" s="38">
        <v>0.23300000000000001</v>
      </c>
      <c r="Q69" s="24">
        <f t="shared" si="628"/>
        <v>3536.0080000000003</v>
      </c>
      <c r="R69" s="38">
        <v>2.9000000000000001E-2</v>
      </c>
      <c r="S69" s="105">
        <v>0.18490000000000001</v>
      </c>
      <c r="T69" s="24">
        <f t="shared" si="629"/>
        <v>440.10400000000004</v>
      </c>
      <c r="U69" s="27">
        <v>0.22500000000000001</v>
      </c>
      <c r="V69" s="24">
        <f t="shared" si="630"/>
        <v>3414.6</v>
      </c>
      <c r="W69" s="38">
        <v>0.49199999999999999</v>
      </c>
      <c r="X69" s="24">
        <f t="shared" si="631"/>
        <v>7466.5919999999996</v>
      </c>
      <c r="Y69" s="38">
        <v>0.43</v>
      </c>
      <c r="Z69" s="24">
        <f t="shared" si="632"/>
        <v>6525.68</v>
      </c>
      <c r="AA69" s="118">
        <v>2.49E-3</v>
      </c>
      <c r="AB69" s="121">
        <f t="shared" si="237"/>
        <v>37.788240000000002</v>
      </c>
      <c r="AC69" s="45">
        <v>2.6199999999999999E-3</v>
      </c>
      <c r="AD69" s="17">
        <f t="shared" si="634"/>
        <v>39.761119999999998</v>
      </c>
      <c r="AE69" s="26">
        <f>IF(M69&gt;0,(AG69+AP69)/M69,0)</f>
        <v>2.7650260411175537E-3</v>
      </c>
      <c r="AF69" s="45">
        <v>2.1000000000000001E-4</v>
      </c>
      <c r="AG69" s="36">
        <f t="shared" si="635"/>
        <v>3.18696</v>
      </c>
      <c r="AH69" s="27">
        <v>0.20219999999999999</v>
      </c>
      <c r="AI69" s="40">
        <f t="shared" si="636"/>
        <v>34.630389600000001</v>
      </c>
      <c r="AJ69" s="27">
        <f t="shared" si="637"/>
        <v>0.92080365251246277</v>
      </c>
      <c r="AK69" s="28">
        <f t="shared" si="639"/>
        <v>0.92490925873685537</v>
      </c>
      <c r="AL69" s="42">
        <v>188</v>
      </c>
      <c r="AM69" s="38">
        <v>8.8999999999999996E-2</v>
      </c>
      <c r="AN69" s="27">
        <v>0.22639999999999999</v>
      </c>
      <c r="AO69" s="105">
        <v>0.21290000000000001</v>
      </c>
      <c r="AP69" s="40">
        <f>AL69*(1-AM69)*AN69</f>
        <v>38.775075199999996</v>
      </c>
      <c r="AQ69" s="106">
        <f t="shared" si="242"/>
        <v>36.462957199999998</v>
      </c>
      <c r="AR69" s="17">
        <v>1.55</v>
      </c>
      <c r="AS69" s="17"/>
      <c r="AT69" s="129">
        <f>AT68+AL69-AS69</f>
        <v>664.69999999999936</v>
      </c>
      <c r="AU69" s="82"/>
      <c r="AV69" s="42"/>
      <c r="AW69" s="46"/>
      <c r="AX69" s="40"/>
      <c r="AY69" s="40"/>
      <c r="AZ69" s="40"/>
      <c r="BA69" s="40"/>
      <c r="BB69" s="31"/>
    </row>
    <row r="70" spans="1:54">
      <c r="A70" s="148"/>
      <c r="B70" s="47" t="s">
        <v>56</v>
      </c>
      <c r="C70" s="48"/>
      <c r="D70" s="49">
        <f t="shared" ref="D70" si="640">SUM(D67:D69)</f>
        <v>42600</v>
      </c>
      <c r="E70" s="49"/>
      <c r="F70" s="49">
        <f t="shared" ref="F70" si="641">SUM(F67:F69)</f>
        <v>48207</v>
      </c>
      <c r="G70" s="50"/>
      <c r="H70" s="50"/>
      <c r="I70" s="49">
        <f t="shared" ref="I70:K70" si="642">SUM(I67:I69)</f>
        <v>47310</v>
      </c>
      <c r="J70" s="50"/>
      <c r="K70" s="49">
        <f t="shared" si="642"/>
        <v>48979</v>
      </c>
      <c r="L70" s="20">
        <f t="shared" ref="L70" si="643">IF(K70&gt;0,(K67*L67+K68*L68+K69*L69)/K70,0)</f>
        <v>7.3340329528981799E-2</v>
      </c>
      <c r="M70" s="50">
        <f t="shared" ref="M70" si="644">M67+M68+M69</f>
        <v>45387</v>
      </c>
      <c r="N70" s="51">
        <f t="shared" ref="N70" si="645">IF(M70&gt;0,O70/M70,0)</f>
        <v>0.72535851675589913</v>
      </c>
      <c r="O70" s="52">
        <f t="shared" ref="O70" si="646">O67+O68+O69</f>
        <v>32921.846999999994</v>
      </c>
      <c r="P70" s="20">
        <f t="shared" ref="P70" si="647">IF(M70&gt;0,Q70/M70,0)</f>
        <v>0.23965576046004361</v>
      </c>
      <c r="Q70" s="52">
        <f t="shared" ref="Q70" si="648">Q67+Q68+Q69</f>
        <v>10877.255999999999</v>
      </c>
      <c r="R70" s="20">
        <f t="shared" ref="R70" si="649">IF(M70&gt;0,T70/M70,0)</f>
        <v>3.4985722784057115E-2</v>
      </c>
      <c r="S70" s="107"/>
      <c r="T70" s="52">
        <f t="shared" ref="T70" si="650">T67+T68+T69</f>
        <v>1587.8970000000002</v>
      </c>
      <c r="U70" s="20">
        <f t="shared" ref="U70" si="651">IF(M70&gt;0,V70/M70,0)</f>
        <v>0.22267276973582745</v>
      </c>
      <c r="V70" s="52">
        <f t="shared" ref="V70" si="652">V67+V68+V69</f>
        <v>10106.449000000001</v>
      </c>
      <c r="W70" s="20">
        <f t="shared" ref="W70" si="653">IF(M70&gt;0,X70/M70,0)</f>
        <v>0.48933472139599449</v>
      </c>
      <c r="X70" s="52">
        <f t="shared" ref="X70" si="654">X67+X68+X69</f>
        <v>22209.435000000001</v>
      </c>
      <c r="Y70" s="20">
        <f t="shared" ref="Y70" si="655">IF(M70&gt;0,Z70/M70,0)</f>
        <v>0.43</v>
      </c>
      <c r="Z70" s="52">
        <f t="shared" ref="Z70" si="656">Z67+Z68+Z69</f>
        <v>19516.41</v>
      </c>
      <c r="AA70" s="119">
        <f t="shared" ref="AA70" si="657">IF(M70&gt;0,AB70/M70,0)</f>
        <v>2.4267292396501204E-3</v>
      </c>
      <c r="AB70" s="54">
        <f t="shared" ref="AB70" si="658">SUM(AB67:AB69)</f>
        <v>110.14196000000001</v>
      </c>
      <c r="AC70" s="53">
        <f t="shared" ref="AC70" si="659">IF(M70&gt;0,AD70/M70,0)</f>
        <v>2.5534534117698906E-3</v>
      </c>
      <c r="AD70" s="54">
        <f t="shared" ref="AD70" si="660">SUM(AD67:AD69)</f>
        <v>115.89359000000002</v>
      </c>
      <c r="AE70" s="53">
        <f t="shared" ref="AE70" si="661">IF(M70&gt;0,(AE67*M67+AE68*M68+AE69*M69)/M70,0)</f>
        <v>2.6992677638971508E-3</v>
      </c>
      <c r="AF70" s="53">
        <f t="shared" ref="AF70" si="662">IF(K70&gt;0,(K67*AF67+K68*AF68+K69*AF69)/K70,0)</f>
        <v>2.1666122215643441E-4</v>
      </c>
      <c r="AG70" s="50">
        <f t="shared" ref="AG70" si="663">SUM(AG67:AG69)</f>
        <v>9.8333800000000018</v>
      </c>
      <c r="AH70" s="51">
        <f t="shared" ref="AH70" si="664">IF(K70&gt;0,(K67*AH67+K68*AH68+K69*AH69)/K70,0)</f>
        <v>0.20490197227383164</v>
      </c>
      <c r="AI70" s="56">
        <f t="shared" ref="AI70" si="665">SUM(AI67:AI69)</f>
        <v>100.04276440000001</v>
      </c>
      <c r="AJ70" s="51">
        <f t="shared" ref="AJ70" si="666">IF(AND(AD70&gt;0),((AD67*AJ67+AD68*AJ68+AD69*AJ69)/AD70),0)</f>
        <v>0.91611993879856501</v>
      </c>
      <c r="AK70" s="55">
        <f t="shared" si="639"/>
        <v>0.92059712876158373</v>
      </c>
      <c r="AL70" s="49">
        <f t="shared" ref="AL70" si="667">SUM(AL67:AL69)</f>
        <v>537</v>
      </c>
      <c r="AM70" s="20">
        <f t="shared" ref="AM70" si="668">IF(AL70&gt;0,(AM67*AL67+AM68*AL68+AM69*AL69)/AL70,0)</f>
        <v>9.0271880819366851E-2</v>
      </c>
      <c r="AN70" s="51">
        <f>IF(K70&gt;0,(AN67*K67+AN68*K68+AN69*K69)/K70,0)</f>
        <v>0.23090885685702037</v>
      </c>
      <c r="AO70" s="107">
        <f>IF(L70&gt;0,(AO67*K67+AO68*K68+AO69*K69)/K70,0)</f>
        <v>0.21827858878294781</v>
      </c>
      <c r="AP70" s="56">
        <f t="shared" ref="AP70:AQ70" si="669">SUM(AP67:AP69)</f>
        <v>112.67828600000001</v>
      </c>
      <c r="AQ70" s="108">
        <f t="shared" si="669"/>
        <v>106.47606719999999</v>
      </c>
      <c r="AR70" s="54"/>
      <c r="AS70" s="54">
        <f t="shared" ref="AS70" si="670">SUM(AS67:AS69)</f>
        <v>526.08000000000004</v>
      </c>
      <c r="AT70" s="83"/>
      <c r="AU70" s="84">
        <f>AT69</f>
        <v>664.69999999999936</v>
      </c>
      <c r="AV70" s="49">
        <f t="shared" ref="AV70" si="671">SUM(AV67:AV69)</f>
        <v>0</v>
      </c>
      <c r="AW70" s="57"/>
      <c r="AX70" s="56"/>
      <c r="AY70" s="56"/>
      <c r="AZ70" s="56"/>
      <c r="BA70" s="56"/>
      <c r="BB70" s="21"/>
    </row>
    <row r="71" spans="1:54">
      <c r="A71" s="146">
        <v>18</v>
      </c>
      <c r="B71" s="22">
        <v>1</v>
      </c>
      <c r="C71" s="10" t="s">
        <v>57</v>
      </c>
      <c r="D71" s="11">
        <v>17000</v>
      </c>
      <c r="E71" s="11">
        <v>0</v>
      </c>
      <c r="F71" s="11">
        <v>18033</v>
      </c>
      <c r="G71" s="12">
        <v>0.9</v>
      </c>
      <c r="H71" s="12">
        <v>5.2</v>
      </c>
      <c r="I71" s="11">
        <v>17378</v>
      </c>
      <c r="J71" s="131">
        <v>4.2</v>
      </c>
      <c r="K71" s="11">
        <v>16334</v>
      </c>
      <c r="L71" s="13">
        <v>6.6000000000000003E-2</v>
      </c>
      <c r="M71" s="23">
        <f>ROUND(K71*(1-L71),0)</f>
        <v>15256</v>
      </c>
      <c r="N71" s="14">
        <v>0.61299999999999999</v>
      </c>
      <c r="O71" s="24">
        <f t="shared" ref="O71:O73" si="672">M71*N71</f>
        <v>9351.9279999999999</v>
      </c>
      <c r="P71" s="13">
        <v>0.36299999999999999</v>
      </c>
      <c r="Q71" s="24">
        <f t="shared" ref="Q71:Q73" si="673">M71*P71</f>
        <v>5537.9279999999999</v>
      </c>
      <c r="R71" s="15">
        <v>2.4E-2</v>
      </c>
      <c r="S71" s="112">
        <v>0.19589999999999999</v>
      </c>
      <c r="T71" s="24">
        <f t="shared" ref="T71:T73" si="674">M71*R71</f>
        <v>366.14400000000001</v>
      </c>
      <c r="U71" s="25">
        <v>0.23100000000000001</v>
      </c>
      <c r="V71" s="24">
        <f t="shared" ref="V71:V73" si="675">M71*U71</f>
        <v>3524.136</v>
      </c>
      <c r="W71" s="15">
        <v>0.48099999999999998</v>
      </c>
      <c r="X71" s="24">
        <f t="shared" ref="X71:X73" si="676">M71*W71</f>
        <v>7338.1359999999995</v>
      </c>
      <c r="Y71" s="15">
        <v>0.44</v>
      </c>
      <c r="Z71" s="24">
        <f t="shared" ref="Z71:Z73" si="677">Y71*M71</f>
        <v>6712.64</v>
      </c>
      <c r="AA71" s="116">
        <v>2.5899999999999999E-3</v>
      </c>
      <c r="AB71" s="18">
        <f t="shared" ref="AB71" si="678">M71*AA71</f>
        <v>39.513039999999997</v>
      </c>
      <c r="AC71" s="16">
        <v>2.7499999999999998E-3</v>
      </c>
      <c r="AD71" s="17">
        <f t="shared" ref="AD71:AD73" si="679">M71*AC71</f>
        <v>41.954000000000001</v>
      </c>
      <c r="AE71" s="26">
        <f>IF(M71&gt;0,(AG71+AP71)/M71,0)</f>
        <v>2.6146617724174094E-3</v>
      </c>
      <c r="AF71" s="16">
        <v>2.3000000000000001E-4</v>
      </c>
      <c r="AG71" s="23">
        <f t="shared" ref="AG71:AG73" si="680">AF71*M71</f>
        <v>3.50888</v>
      </c>
      <c r="AH71" s="92">
        <v>0.2087</v>
      </c>
      <c r="AI71" s="29">
        <f t="shared" ref="AI71:AI73" si="681">AL71*(1-AM71)*AH71</f>
        <v>33.418087499999999</v>
      </c>
      <c r="AJ71" s="27">
        <f t="shared" ref="AJ71:AJ73" si="682">IF(AND(AH71&gt;0,AF71&gt;0,AC71&gt;0),((AC71-AF71)*AH71)/((AH71-AF71)*AC71),0)</f>
        <v>0.91737463860071422</v>
      </c>
      <c r="AK71" s="58">
        <f t="shared" si="639"/>
        <v>0.91295872150126001</v>
      </c>
      <c r="AL71" s="11">
        <v>175</v>
      </c>
      <c r="AM71" s="13">
        <v>8.5000000000000006E-2</v>
      </c>
      <c r="AN71" s="14">
        <v>0.22720000000000001</v>
      </c>
      <c r="AO71" s="101">
        <v>0.21560000000000001</v>
      </c>
      <c r="AP71" s="29">
        <f>AL71*(1-AM71)*AN71</f>
        <v>36.380400000000002</v>
      </c>
      <c r="AQ71" s="102">
        <f t="shared" ref="AQ71:AQ125" si="683">AL71*(1-AM71)*AO71</f>
        <v>34.522950000000002</v>
      </c>
      <c r="AR71" s="18">
        <v>1.55</v>
      </c>
      <c r="AS71" s="18"/>
      <c r="AT71" s="79">
        <f>AT69+AL71-AS71</f>
        <v>839.69999999999936</v>
      </c>
      <c r="AU71" s="80"/>
      <c r="AV71" s="11"/>
      <c r="AW71" s="30"/>
      <c r="AX71" s="19"/>
      <c r="AY71" s="19"/>
      <c r="AZ71" s="19"/>
      <c r="BA71" s="19"/>
      <c r="BB71" s="31"/>
    </row>
    <row r="72" spans="1:54">
      <c r="A72" s="147"/>
      <c r="B72" s="32">
        <v>2</v>
      </c>
      <c r="C72" s="10" t="s">
        <v>58</v>
      </c>
      <c r="D72" s="33">
        <v>19700</v>
      </c>
      <c r="E72" s="33">
        <v>3</v>
      </c>
      <c r="F72" s="33">
        <v>16443</v>
      </c>
      <c r="G72" s="34">
        <v>0.8</v>
      </c>
      <c r="H72" s="34">
        <v>5.5</v>
      </c>
      <c r="I72" s="33">
        <v>16151</v>
      </c>
      <c r="J72" s="132">
        <v>4.5</v>
      </c>
      <c r="K72" s="33">
        <v>16354</v>
      </c>
      <c r="L72" s="35">
        <v>6.5000000000000002E-2</v>
      </c>
      <c r="M72" s="36">
        <f>ROUND(K72*(1-L72),0)</f>
        <v>15291</v>
      </c>
      <c r="N72" s="37">
        <v>0.73399999999999999</v>
      </c>
      <c r="O72" s="24">
        <f t="shared" si="672"/>
        <v>11223.593999999999</v>
      </c>
      <c r="P72" s="35">
        <v>0.245</v>
      </c>
      <c r="Q72" s="24">
        <f t="shared" si="673"/>
        <v>3746.2950000000001</v>
      </c>
      <c r="R72" s="38">
        <v>2.1000000000000001E-2</v>
      </c>
      <c r="S72" s="105">
        <v>0.193</v>
      </c>
      <c r="T72" s="24">
        <f t="shared" si="674"/>
        <v>321.11100000000005</v>
      </c>
      <c r="U72" s="27">
        <v>0.246</v>
      </c>
      <c r="V72" s="24">
        <f t="shared" si="675"/>
        <v>3761.5859999999998</v>
      </c>
      <c r="W72" s="38">
        <v>0.48199999999999998</v>
      </c>
      <c r="X72" s="24">
        <f t="shared" si="676"/>
        <v>7370.2619999999997</v>
      </c>
      <c r="Y72" s="38">
        <v>0.44</v>
      </c>
      <c r="Z72" s="24">
        <f t="shared" si="677"/>
        <v>6728.04</v>
      </c>
      <c r="AA72" s="117">
        <v>2.7200000000000002E-3</v>
      </c>
      <c r="AB72" s="18">
        <f t="shared" si="237"/>
        <v>41.591520000000003</v>
      </c>
      <c r="AC72" s="39">
        <v>2.8900000000000002E-3</v>
      </c>
      <c r="AD72" s="17">
        <f t="shared" si="679"/>
        <v>44.190990000000006</v>
      </c>
      <c r="AE72" s="26">
        <f>IF(M72&gt;0,(AG72+AP72)/M72,0)</f>
        <v>3.0823152835000988E-3</v>
      </c>
      <c r="AF72" s="39">
        <v>2.3000000000000001E-4</v>
      </c>
      <c r="AG72" s="36">
        <f t="shared" si="680"/>
        <v>3.5169299999999999</v>
      </c>
      <c r="AH72" s="27">
        <v>0.2079</v>
      </c>
      <c r="AI72" s="40">
        <f t="shared" si="681"/>
        <v>38.405367000000005</v>
      </c>
      <c r="AJ72" s="27">
        <f t="shared" si="682"/>
        <v>0.92143460904086072</v>
      </c>
      <c r="AK72" s="28">
        <f t="shared" si="639"/>
        <v>0.92628311894826787</v>
      </c>
      <c r="AL72" s="33">
        <v>203</v>
      </c>
      <c r="AM72" s="35">
        <v>0.09</v>
      </c>
      <c r="AN72" s="37">
        <v>0.2361</v>
      </c>
      <c r="AO72" s="103">
        <v>0.22339999999999999</v>
      </c>
      <c r="AP72" s="40">
        <f>AL72*(1-AM72)*AN72</f>
        <v>43.614753000000007</v>
      </c>
      <c r="AQ72" s="104">
        <f t="shared" si="683"/>
        <v>41.268681999999998</v>
      </c>
      <c r="AR72" s="41">
        <v>1.55</v>
      </c>
      <c r="AS72" s="41"/>
      <c r="AT72" s="129">
        <f>AT71+AL72-AS72</f>
        <v>1042.6999999999994</v>
      </c>
      <c r="AU72" s="82"/>
      <c r="AV72" s="42"/>
      <c r="AW72" s="43"/>
      <c r="AX72" s="44"/>
      <c r="AY72" s="44"/>
      <c r="AZ72" s="44"/>
      <c r="BA72" s="44"/>
      <c r="BB72" s="31"/>
    </row>
    <row r="73" spans="1:54">
      <c r="A73" s="147"/>
      <c r="B73" s="32">
        <v>3</v>
      </c>
      <c r="C73" s="10" t="s">
        <v>53</v>
      </c>
      <c r="D73" s="42">
        <v>18250</v>
      </c>
      <c r="E73" s="42">
        <v>1</v>
      </c>
      <c r="F73" s="42">
        <v>17276</v>
      </c>
      <c r="G73" s="36">
        <v>2.1</v>
      </c>
      <c r="H73" s="36">
        <v>6.2</v>
      </c>
      <c r="I73" s="42">
        <v>17093</v>
      </c>
      <c r="J73" s="36">
        <v>4</v>
      </c>
      <c r="K73" s="42">
        <v>16330</v>
      </c>
      <c r="L73" s="38">
        <v>6.4000000000000001E-2</v>
      </c>
      <c r="M73" s="36">
        <f>ROUND(K73*(1-L73),0)</f>
        <v>15285</v>
      </c>
      <c r="N73" s="27">
        <v>0.70299999999999996</v>
      </c>
      <c r="O73" s="24">
        <f t="shared" si="672"/>
        <v>10745.355</v>
      </c>
      <c r="P73" s="38">
        <v>0.28000000000000003</v>
      </c>
      <c r="Q73" s="24">
        <f t="shared" si="673"/>
        <v>4279.8</v>
      </c>
      <c r="R73" s="38">
        <v>1.7000000000000001E-2</v>
      </c>
      <c r="S73" s="105">
        <v>0.19600000000000001</v>
      </c>
      <c r="T73" s="24">
        <f t="shared" si="674"/>
        <v>259.84500000000003</v>
      </c>
      <c r="U73" s="27">
        <v>0.24099999999999999</v>
      </c>
      <c r="V73" s="24">
        <f t="shared" si="675"/>
        <v>3683.6849999999999</v>
      </c>
      <c r="W73" s="38">
        <v>0.47299999999999998</v>
      </c>
      <c r="X73" s="24">
        <f t="shared" si="676"/>
        <v>7229.8049999999994</v>
      </c>
      <c r="Y73" s="38">
        <v>0.43</v>
      </c>
      <c r="Z73" s="24">
        <f t="shared" si="677"/>
        <v>6572.55</v>
      </c>
      <c r="AA73" s="118">
        <v>2.6099999999999999E-3</v>
      </c>
      <c r="AB73" s="121">
        <f t="shared" si="237"/>
        <v>39.89385</v>
      </c>
      <c r="AC73" s="45">
        <v>2.8500000000000001E-3</v>
      </c>
      <c r="AD73" s="17">
        <f t="shared" si="679"/>
        <v>43.562249999999999</v>
      </c>
      <c r="AE73" s="26">
        <f>IF(M73&gt;0,(AG73+AP73)/M73,0)</f>
        <v>2.8179827674190382E-3</v>
      </c>
      <c r="AF73" s="45">
        <v>2.3000000000000001E-4</v>
      </c>
      <c r="AG73" s="36">
        <f t="shared" si="680"/>
        <v>3.5155500000000002</v>
      </c>
      <c r="AH73" s="27">
        <v>0.21490000000000001</v>
      </c>
      <c r="AI73" s="40">
        <f t="shared" si="681"/>
        <v>33.9898734</v>
      </c>
      <c r="AJ73" s="27">
        <f t="shared" si="682"/>
        <v>0.92028319272584025</v>
      </c>
      <c r="AK73" s="28">
        <f t="shared" si="639"/>
        <v>0.91922668238054928</v>
      </c>
      <c r="AL73" s="42">
        <v>174</v>
      </c>
      <c r="AM73" s="38">
        <v>9.0999999999999998E-2</v>
      </c>
      <c r="AN73" s="27">
        <v>0.25009999999999999</v>
      </c>
      <c r="AO73" s="105">
        <v>0.23480000000000001</v>
      </c>
      <c r="AP73" s="40">
        <f>AL73*(1-AM73)*AN73</f>
        <v>39.5573166</v>
      </c>
      <c r="AQ73" s="106">
        <f t="shared" si="683"/>
        <v>37.137376799999998</v>
      </c>
      <c r="AR73" s="17">
        <v>1.5</v>
      </c>
      <c r="AS73" s="17"/>
      <c r="AT73" s="129">
        <f>AT72+AL73-AS73</f>
        <v>1216.6999999999994</v>
      </c>
      <c r="AU73" s="82"/>
      <c r="AV73" s="42"/>
      <c r="AW73" s="46"/>
      <c r="AX73" s="40"/>
      <c r="AY73" s="40"/>
      <c r="AZ73" s="40"/>
      <c r="BA73" s="40"/>
      <c r="BB73" s="31"/>
    </row>
    <row r="74" spans="1:54">
      <c r="A74" s="148"/>
      <c r="B74" s="47" t="s">
        <v>56</v>
      </c>
      <c r="C74" s="48"/>
      <c r="D74" s="49">
        <f t="shared" ref="D74" si="684">SUM(D71:D73)</f>
        <v>54950</v>
      </c>
      <c r="E74" s="49"/>
      <c r="F74" s="49">
        <f t="shared" ref="F74" si="685">SUM(F71:F73)</f>
        <v>51752</v>
      </c>
      <c r="G74" s="50"/>
      <c r="H74" s="50"/>
      <c r="I74" s="49">
        <f t="shared" ref="I74:K74" si="686">SUM(I71:I73)</f>
        <v>50622</v>
      </c>
      <c r="J74" s="50"/>
      <c r="K74" s="49">
        <f t="shared" si="686"/>
        <v>49018</v>
      </c>
      <c r="L74" s="20">
        <f t="shared" ref="L74" si="687">IF(K74&gt;0,(K71*L71+K72*L72+K73*L73)/K74,0)</f>
        <v>6.5000081602676563E-2</v>
      </c>
      <c r="M74" s="50">
        <f t="shared" ref="M74" si="688">M71+M72+M73</f>
        <v>45832</v>
      </c>
      <c r="N74" s="51">
        <f t="shared" ref="N74" si="689">IF(M74&gt;0,O74/M74,0)</f>
        <v>0.68338446936638153</v>
      </c>
      <c r="O74" s="52">
        <f t="shared" ref="O74" si="690">O71+O72+O73</f>
        <v>31320.876999999997</v>
      </c>
      <c r="P74" s="20">
        <f t="shared" ref="P74" si="691">IF(M74&gt;0,Q74/M74,0)</f>
        <v>0.29595092948158497</v>
      </c>
      <c r="Q74" s="52">
        <f t="shared" ref="Q74" si="692">Q71+Q72+Q73</f>
        <v>13564.023000000001</v>
      </c>
      <c r="R74" s="20">
        <f t="shared" ref="R74" si="693">IF(M74&gt;0,T74/M74,0)</f>
        <v>2.0664601152033515E-2</v>
      </c>
      <c r="S74" s="107"/>
      <c r="T74" s="52">
        <f t="shared" ref="T74" si="694">T71+T72+T73</f>
        <v>947.10000000000014</v>
      </c>
      <c r="U74" s="20">
        <f t="shared" ref="U74" si="695">IF(M74&gt;0,V74/M74,0)</f>
        <v>0.23933947896666083</v>
      </c>
      <c r="V74" s="52">
        <f t="shared" ref="V74" si="696">V71+V72+V73</f>
        <v>10969.406999999999</v>
      </c>
      <c r="W74" s="20">
        <f t="shared" ref="W74" si="697">IF(M74&gt;0,X74/M74,0)</f>
        <v>0.47866562663641121</v>
      </c>
      <c r="X74" s="52">
        <f t="shared" ref="X74" si="698">X71+X72+X73</f>
        <v>21938.202999999998</v>
      </c>
      <c r="Y74" s="20">
        <f t="shared" ref="Y74" si="699">IF(M74&gt;0,Z74/M74,0)</f>
        <v>0.43666499389073138</v>
      </c>
      <c r="Z74" s="52">
        <f t="shared" ref="Z74" si="700">Z71+Z72+Z73</f>
        <v>20013.23</v>
      </c>
      <c r="AA74" s="119">
        <f t="shared" ref="AA74" si="701">IF(M74&gt;0,AB74/M74,0)</f>
        <v>2.6400421103159365E-3</v>
      </c>
      <c r="AB74" s="54">
        <f t="shared" ref="AB74" si="702">SUM(AB71:AB73)</f>
        <v>120.99840999999999</v>
      </c>
      <c r="AC74" s="53">
        <f t="shared" ref="AC74" si="703">IF(M74&gt;0,AD74/M74,0)</f>
        <v>2.8300584744283472E-3</v>
      </c>
      <c r="AD74" s="54">
        <f t="shared" ref="AD74" si="704">SUM(AD71:AD73)</f>
        <v>129.70724000000001</v>
      </c>
      <c r="AE74" s="53">
        <f t="shared" ref="AE74" si="705">IF(M74&gt;0,(AE71*M71+AE72*M72+AE73*M73)/M74,0)</f>
        <v>2.8384934019898759E-3</v>
      </c>
      <c r="AF74" s="53">
        <f t="shared" ref="AF74" si="706">IF(K74&gt;0,(K71*AF71+K72*AF72+K73*AF73)/K74,0)</f>
        <v>2.3000000000000001E-4</v>
      </c>
      <c r="AG74" s="50">
        <f t="shared" ref="AG74" si="707">SUM(AG71:AG73)</f>
        <v>10.541360000000001</v>
      </c>
      <c r="AH74" s="51">
        <f t="shared" ref="AH74" si="708">IF(K74&gt;0,(K71*AH71+K72*AH72+K73*AH73)/K74,0)</f>
        <v>0.21049858011342773</v>
      </c>
      <c r="AI74" s="56">
        <f t="shared" ref="AI74" si="709">SUM(AI71:AI73)</f>
        <v>105.81332789999999</v>
      </c>
      <c r="AJ74" s="51">
        <f t="shared" ref="AJ74" si="710">IF(AND(AD74&gt;0),((AD71*AJ71+AD72*AJ72+AD73*AJ73)/AD74),0)</f>
        <v>0.91973470173256466</v>
      </c>
      <c r="AK74" s="55">
        <f t="shared" si="639"/>
        <v>0.91986079439438806</v>
      </c>
      <c r="AL74" s="49">
        <f t="shared" ref="AL74" si="711">SUM(AL71:AL73)</f>
        <v>552</v>
      </c>
      <c r="AM74" s="20">
        <f t="shared" ref="AM74" si="712">IF(AL74&gt;0,(AM71*AL71+AM72*AL72+AM73*AL73)/AL74,0)</f>
        <v>8.8730072463768114E-2</v>
      </c>
      <c r="AN74" s="51">
        <f>IF(K74&gt;0,(AN71*K71+AN72*K72+AN73*K73)/K74,0)</f>
        <v>0.23779830266432739</v>
      </c>
      <c r="AO74" s="107">
        <f>IF(L74&gt;0,(AO71*K71+AO72*K72+AO73*K73)/K74,0)</f>
        <v>0.22459867803663958</v>
      </c>
      <c r="AP74" s="56">
        <f t="shared" ref="AP74:AQ86" si="713">SUM(AP71:AP73)</f>
        <v>119.55246960000002</v>
      </c>
      <c r="AQ74" s="108">
        <f t="shared" si="713"/>
        <v>112.92900879999999</v>
      </c>
      <c r="AR74" s="54"/>
      <c r="AS74" s="54">
        <f t="shared" ref="AS74" si="714">SUM(AS71:AS73)</f>
        <v>0</v>
      </c>
      <c r="AT74" s="83"/>
      <c r="AU74" s="84">
        <f>AT73</f>
        <v>1216.6999999999994</v>
      </c>
      <c r="AV74" s="49">
        <f t="shared" ref="AV74" si="715">SUM(AV71:AV73)</f>
        <v>0</v>
      </c>
      <c r="AW74" s="57"/>
      <c r="AX74" s="56"/>
      <c r="AY74" s="56"/>
      <c r="AZ74" s="56"/>
      <c r="BA74" s="56"/>
      <c r="BB74" s="21"/>
    </row>
    <row r="75" spans="1:54">
      <c r="A75" s="146">
        <v>19</v>
      </c>
      <c r="B75" s="22">
        <v>1</v>
      </c>
      <c r="C75" s="10" t="s">
        <v>54</v>
      </c>
      <c r="D75" s="11">
        <v>13000</v>
      </c>
      <c r="E75" s="11">
        <v>0</v>
      </c>
      <c r="F75" s="11">
        <v>17531</v>
      </c>
      <c r="G75" s="12">
        <v>2.2999999999999998</v>
      </c>
      <c r="H75" s="12">
        <v>6.6</v>
      </c>
      <c r="I75" s="11">
        <v>17237</v>
      </c>
      <c r="J75" s="12">
        <v>3.4</v>
      </c>
      <c r="K75" s="11">
        <v>16332</v>
      </c>
      <c r="L75" s="13">
        <v>6.7000000000000004E-2</v>
      </c>
      <c r="M75" s="23">
        <f>ROUND(K75*(1-L75),0)</f>
        <v>15238</v>
      </c>
      <c r="N75" s="14">
        <v>0.71</v>
      </c>
      <c r="O75" s="24">
        <f t="shared" ref="O75:O77" si="716">M75*N75</f>
        <v>10818.98</v>
      </c>
      <c r="P75" s="13">
        <v>0.21199999999999999</v>
      </c>
      <c r="Q75" s="24">
        <f t="shared" ref="Q75:Q77" si="717">M75*P75</f>
        <v>3230.4560000000001</v>
      </c>
      <c r="R75" s="15">
        <v>7.8E-2</v>
      </c>
      <c r="S75" s="112">
        <v>0.2082</v>
      </c>
      <c r="T75" s="24">
        <f t="shared" ref="T75:T77" si="718">M75*R75</f>
        <v>1188.5640000000001</v>
      </c>
      <c r="U75" s="25">
        <v>0.22900000000000001</v>
      </c>
      <c r="V75" s="24">
        <f t="shared" ref="V75:V77" si="719">M75*U75</f>
        <v>3489.502</v>
      </c>
      <c r="W75" s="15">
        <v>0.48199999999999998</v>
      </c>
      <c r="X75" s="24">
        <f t="shared" ref="X75:X77" si="720">M75*W75</f>
        <v>7344.7159999999994</v>
      </c>
      <c r="Y75" s="15">
        <v>0.43</v>
      </c>
      <c r="Z75" s="24">
        <f t="shared" ref="Z75:Z77" si="721">Y75*M75</f>
        <v>6552.34</v>
      </c>
      <c r="AA75" s="116">
        <v>2.7000000000000001E-3</v>
      </c>
      <c r="AB75" s="18">
        <f t="shared" ref="AB75:AB125" si="722">M75*AA75</f>
        <v>41.142600000000002</v>
      </c>
      <c r="AC75" s="16">
        <v>3.0000000000000001E-3</v>
      </c>
      <c r="AD75" s="17">
        <f t="shared" ref="AD75:AD77" si="723">M75*AC75</f>
        <v>45.713999999999999</v>
      </c>
      <c r="AE75" s="26">
        <f>IF(M75&gt;0,(AG75+AP75)/M75,0)</f>
        <v>2.8903372161701007E-3</v>
      </c>
      <c r="AF75" s="16">
        <v>2.3000000000000001E-4</v>
      </c>
      <c r="AG75" s="23">
        <f t="shared" ref="AG75:AG77" si="724">AF75*M75</f>
        <v>3.50474</v>
      </c>
      <c r="AH75" s="92">
        <v>0.2127</v>
      </c>
      <c r="AI75" s="29">
        <f t="shared" ref="AI75:AI77" si="725">AL75*(1-AM75)*AH75</f>
        <v>37.702138499999997</v>
      </c>
      <c r="AJ75" s="27">
        <f t="shared" ref="AJ75:AJ77" si="726">IF(AND(AH75&gt;0,AF75&gt;0,AC75&gt;0),((AC75-AF75)*AH75)/((AH75-AF75)*AC75),0)</f>
        <v>0.92433284699016327</v>
      </c>
      <c r="AK75" s="58">
        <f t="shared" si="639"/>
        <v>0.92135109842056351</v>
      </c>
      <c r="AL75" s="11">
        <v>195</v>
      </c>
      <c r="AM75" s="13">
        <v>9.0999999999999998E-2</v>
      </c>
      <c r="AN75" s="14">
        <v>0.22869999999999999</v>
      </c>
      <c r="AO75" s="101">
        <v>0.2122</v>
      </c>
      <c r="AP75" s="29">
        <f>AL75*(1-AM75)*AN75</f>
        <v>40.538218499999999</v>
      </c>
      <c r="AQ75" s="102">
        <f t="shared" ref="AQ75" si="727">AL75*(1-AM75)*AO75</f>
        <v>37.613510999999995</v>
      </c>
      <c r="AR75" s="18">
        <v>1.55</v>
      </c>
      <c r="AS75" s="18"/>
      <c r="AT75" s="79">
        <f>AT73+AL75-AS75</f>
        <v>1411.6999999999994</v>
      </c>
      <c r="AU75" s="80"/>
      <c r="AV75" s="11"/>
      <c r="AW75" s="30"/>
      <c r="AX75" s="19"/>
      <c r="AY75" s="19"/>
      <c r="AZ75" s="19"/>
      <c r="BA75" s="19"/>
      <c r="BB75" s="31"/>
    </row>
    <row r="76" spans="1:54">
      <c r="A76" s="147"/>
      <c r="B76" s="32">
        <v>2</v>
      </c>
      <c r="C76" s="10" t="s">
        <v>58</v>
      </c>
      <c r="D76" s="33">
        <v>20100</v>
      </c>
      <c r="E76" s="33">
        <v>2</v>
      </c>
      <c r="F76" s="33">
        <v>17310</v>
      </c>
      <c r="G76" s="34">
        <v>2.4</v>
      </c>
      <c r="H76" s="34">
        <v>5.9</v>
      </c>
      <c r="I76" s="33">
        <v>16877</v>
      </c>
      <c r="J76" s="34">
        <v>3.1</v>
      </c>
      <c r="K76" s="33">
        <v>16349</v>
      </c>
      <c r="L76" s="35">
        <v>7.2999999999999995E-2</v>
      </c>
      <c r="M76" s="36">
        <f>ROUND(K76*(1-L76),0)</f>
        <v>15156</v>
      </c>
      <c r="N76" s="37">
        <v>0.76700000000000002</v>
      </c>
      <c r="O76" s="24">
        <f t="shared" si="716"/>
        <v>11624.652</v>
      </c>
      <c r="P76" s="35">
        <v>0.19500000000000001</v>
      </c>
      <c r="Q76" s="24">
        <f t="shared" si="717"/>
        <v>2955.42</v>
      </c>
      <c r="R76" s="38">
        <v>3.7999999999999999E-2</v>
      </c>
      <c r="S76" s="105">
        <v>0.22209999999999999</v>
      </c>
      <c r="T76" s="24">
        <f t="shared" si="718"/>
        <v>575.928</v>
      </c>
      <c r="U76" s="27">
        <v>0.246</v>
      </c>
      <c r="V76" s="24">
        <f t="shared" si="719"/>
        <v>3728.3759999999997</v>
      </c>
      <c r="W76" s="38">
        <v>0.47</v>
      </c>
      <c r="X76" s="24">
        <f t="shared" si="720"/>
        <v>7123.32</v>
      </c>
      <c r="Y76" s="38">
        <v>0.43</v>
      </c>
      <c r="Z76" s="24">
        <f t="shared" si="721"/>
        <v>6517.08</v>
      </c>
      <c r="AA76" s="117">
        <v>2.6700000000000001E-3</v>
      </c>
      <c r="AB76" s="18">
        <f t="shared" si="722"/>
        <v>40.466520000000003</v>
      </c>
      <c r="AC76" s="39">
        <v>3.0100000000000001E-3</v>
      </c>
      <c r="AD76" s="17">
        <f t="shared" si="723"/>
        <v>45.61956</v>
      </c>
      <c r="AE76" s="26">
        <f>IF(M76&gt;0,(AG76+AP76)/M76,0)</f>
        <v>3.1402560042227499E-3</v>
      </c>
      <c r="AF76" s="39">
        <v>2.4000000000000001E-4</v>
      </c>
      <c r="AG76" s="36">
        <f t="shared" si="724"/>
        <v>3.6374400000000002</v>
      </c>
      <c r="AH76" s="27">
        <v>0.20979999999999999</v>
      </c>
      <c r="AI76" s="40">
        <f t="shared" si="725"/>
        <v>39.242670399999994</v>
      </c>
      <c r="AJ76" s="27">
        <f t="shared" si="726"/>
        <v>0.92131972130817996</v>
      </c>
      <c r="AK76" s="28">
        <f t="shared" si="639"/>
        <v>0.92451729794453363</v>
      </c>
      <c r="AL76" s="33">
        <v>206</v>
      </c>
      <c r="AM76" s="35">
        <v>9.1999999999999998E-2</v>
      </c>
      <c r="AN76" s="37">
        <v>0.23499999999999999</v>
      </c>
      <c r="AO76" s="103">
        <v>0.2152</v>
      </c>
      <c r="AP76" s="40">
        <f>AL76*(1-AM76)*AN76</f>
        <v>43.95628</v>
      </c>
      <c r="AQ76" s="104">
        <f t="shared" si="683"/>
        <v>40.252729600000002</v>
      </c>
      <c r="AR76" s="41">
        <v>1.55</v>
      </c>
      <c r="AS76" s="41"/>
      <c r="AT76" s="129">
        <f>AT75+AL76-AS76</f>
        <v>1617.6999999999994</v>
      </c>
      <c r="AU76" s="82"/>
      <c r="AV76" s="42"/>
      <c r="AW76" s="43"/>
      <c r="AX76" s="44"/>
      <c r="AY76" s="44"/>
      <c r="AZ76" s="44"/>
      <c r="BA76" s="44"/>
      <c r="BB76" s="31"/>
    </row>
    <row r="77" spans="1:54">
      <c r="A77" s="147"/>
      <c r="B77" s="32">
        <v>3</v>
      </c>
      <c r="C77" s="10" t="s">
        <v>53</v>
      </c>
      <c r="D77" s="42">
        <v>16400</v>
      </c>
      <c r="E77" s="42">
        <v>1</v>
      </c>
      <c r="F77" s="42">
        <v>17863</v>
      </c>
      <c r="G77" s="36">
        <v>2.6</v>
      </c>
      <c r="H77" s="36">
        <v>5</v>
      </c>
      <c r="I77" s="42">
        <v>17312</v>
      </c>
      <c r="J77" s="133">
        <v>2.1</v>
      </c>
      <c r="K77" s="42">
        <v>16312</v>
      </c>
      <c r="L77" s="38">
        <v>6.3E-2</v>
      </c>
      <c r="M77" s="36">
        <f>ROUND(K77*(1-L77),0)</f>
        <v>15284</v>
      </c>
      <c r="N77" s="27">
        <v>0.81299999999999994</v>
      </c>
      <c r="O77" s="24">
        <f t="shared" si="716"/>
        <v>12425.892</v>
      </c>
      <c r="P77" s="38">
        <v>0.161</v>
      </c>
      <c r="Q77" s="24">
        <f t="shared" si="717"/>
        <v>2460.7240000000002</v>
      </c>
      <c r="R77" s="38">
        <v>2.5999999999999999E-2</v>
      </c>
      <c r="S77" s="105">
        <v>0.20649999999999999</v>
      </c>
      <c r="T77" s="24">
        <f t="shared" si="718"/>
        <v>397.38399999999996</v>
      </c>
      <c r="U77" s="27">
        <v>0.23799999999999999</v>
      </c>
      <c r="V77" s="24">
        <f t="shared" si="719"/>
        <v>3637.5919999999996</v>
      </c>
      <c r="W77" s="38">
        <v>0.47199999999999998</v>
      </c>
      <c r="X77" s="24">
        <f t="shared" si="720"/>
        <v>7214.0479999999998</v>
      </c>
      <c r="Y77" s="38">
        <v>0.42</v>
      </c>
      <c r="Z77" s="24">
        <f t="shared" si="721"/>
        <v>6419.28</v>
      </c>
      <c r="AA77" s="118">
        <v>2.7499999999999998E-3</v>
      </c>
      <c r="AB77" s="121">
        <f t="shared" si="722"/>
        <v>42.030999999999999</v>
      </c>
      <c r="AC77" s="45">
        <v>2.99E-3</v>
      </c>
      <c r="AD77" s="17">
        <f t="shared" si="723"/>
        <v>45.699159999999999</v>
      </c>
      <c r="AE77" s="26">
        <f>IF(M77&gt;0,(AG77+AP77)/M77,0)</f>
        <v>2.7298163831457737E-3</v>
      </c>
      <c r="AF77" s="45">
        <v>2.3000000000000001E-4</v>
      </c>
      <c r="AG77" s="36">
        <f t="shared" si="724"/>
        <v>3.51532</v>
      </c>
      <c r="AH77" s="27">
        <v>0.2132</v>
      </c>
      <c r="AI77" s="40">
        <f t="shared" si="725"/>
        <v>37.1275008</v>
      </c>
      <c r="AJ77" s="27">
        <f t="shared" si="726"/>
        <v>0.92407381321312854</v>
      </c>
      <c r="AK77" s="28">
        <f t="shared" si="639"/>
        <v>0.91670624447451177</v>
      </c>
      <c r="AL77" s="42">
        <v>192</v>
      </c>
      <c r="AM77" s="38">
        <v>9.2999999999999999E-2</v>
      </c>
      <c r="AN77" s="27">
        <v>0.21940000000000001</v>
      </c>
      <c r="AO77" s="105">
        <v>0.2079</v>
      </c>
      <c r="AP77" s="40">
        <f>AL77*(1-AM77)*AN77</f>
        <v>38.207193600000004</v>
      </c>
      <c r="AQ77" s="106">
        <f t="shared" si="683"/>
        <v>36.204537600000002</v>
      </c>
      <c r="AR77" s="17">
        <v>1.55</v>
      </c>
      <c r="AS77" s="17"/>
      <c r="AT77" s="129">
        <f>AT76+AL77-AS77</f>
        <v>1809.6999999999994</v>
      </c>
      <c r="AU77" s="82"/>
      <c r="AV77" s="42"/>
      <c r="AW77" s="46"/>
      <c r="AX77" s="40"/>
      <c r="AY77" s="40"/>
      <c r="AZ77" s="40"/>
      <c r="BA77" s="40"/>
      <c r="BB77" s="31"/>
    </row>
    <row r="78" spans="1:54">
      <c r="A78" s="148"/>
      <c r="B78" s="47" t="s">
        <v>56</v>
      </c>
      <c r="C78" s="48"/>
      <c r="D78" s="49">
        <f t="shared" ref="D78" si="728">SUM(D75:D77)</f>
        <v>49500</v>
      </c>
      <c r="E78" s="49"/>
      <c r="F78" s="49">
        <f t="shared" ref="F78" si="729">SUM(F75:F77)</f>
        <v>52704</v>
      </c>
      <c r="G78" s="50"/>
      <c r="H78" s="50"/>
      <c r="I78" s="49">
        <f t="shared" ref="I78:K78" si="730">SUM(I75:I77)</f>
        <v>51426</v>
      </c>
      <c r="J78" s="50"/>
      <c r="K78" s="49">
        <f t="shared" si="730"/>
        <v>48993</v>
      </c>
      <c r="L78" s="20">
        <f t="shared" ref="L78" si="731">IF(K78&gt;0,(K75*L75+K76*L76+K77*L77)/K78,0)</f>
        <v>6.7670422305227282E-2</v>
      </c>
      <c r="M78" s="50">
        <f t="shared" ref="M78" si="732">M75+M76+M77</f>
        <v>45678</v>
      </c>
      <c r="N78" s="51">
        <f t="shared" ref="N78" si="733">IF(M78&gt;0,O78/M78,0)</f>
        <v>0.76337676780944874</v>
      </c>
      <c r="O78" s="52">
        <f t="shared" ref="O78" si="734">O75+O76+O77</f>
        <v>34869.523999999998</v>
      </c>
      <c r="P78" s="20">
        <f t="shared" ref="P78" si="735">IF(M78&gt;0,Q78/M78,0)</f>
        <v>0.18929462761066598</v>
      </c>
      <c r="Q78" s="52">
        <f t="shared" ref="Q78" si="736">Q75+Q76+Q77</f>
        <v>8646.6</v>
      </c>
      <c r="R78" s="20">
        <f t="shared" ref="R78" si="737">IF(M78&gt;0,T78/M78,0)</f>
        <v>4.7328604579885289E-2</v>
      </c>
      <c r="S78" s="107"/>
      <c r="T78" s="52">
        <f t="shared" ref="T78" si="738">T75+T76+T77</f>
        <v>2161.8760000000002</v>
      </c>
      <c r="U78" s="20">
        <f t="shared" ref="U78" si="739">IF(M78&gt;0,V78/M78,0)</f>
        <v>0.23765204255878103</v>
      </c>
      <c r="V78" s="52">
        <f t="shared" ref="V78" si="740">V75+V76+V77</f>
        <v>10855.47</v>
      </c>
      <c r="W78" s="20">
        <f t="shared" ref="W78" si="741">IF(M78&gt;0,X78/M78,0)</f>
        <v>0.47467235868470598</v>
      </c>
      <c r="X78" s="52">
        <f t="shared" ref="X78" si="742">X75+X76+X77</f>
        <v>21682.083999999999</v>
      </c>
      <c r="Y78" s="20">
        <f t="shared" ref="Y78" si="743">IF(M78&gt;0,Z78/M78,0)</f>
        <v>0.4266539690879636</v>
      </c>
      <c r="Z78" s="52">
        <f t="shared" ref="Z78" si="744">Z75+Z76+Z77</f>
        <v>19488.7</v>
      </c>
      <c r="AA78" s="119">
        <f t="shared" ref="AA78" si="745">IF(M78&gt;0,AB78/M78,0)</f>
        <v>2.7067761285520381E-3</v>
      </c>
      <c r="AB78" s="54">
        <f t="shared" ref="AB78" si="746">SUM(AB75:AB77)</f>
        <v>123.64012</v>
      </c>
      <c r="AC78" s="53">
        <f t="shared" ref="AC78" si="747">IF(M78&gt;0,AD78/M78,0)</f>
        <v>2.9999719777573453E-3</v>
      </c>
      <c r="AD78" s="54">
        <f t="shared" ref="AD78" si="748">SUM(AD75:AD77)</f>
        <v>137.03272000000001</v>
      </c>
      <c r="AE78" s="53">
        <f t="shared" ref="AE78" si="749">IF(M78&gt;0,(AE75*M75+AE76*M76+AE77*M77)/M78,0)</f>
        <v>2.9195497197775735E-3</v>
      </c>
      <c r="AF78" s="53">
        <f t="shared" ref="AF78" si="750">IF(K78&gt;0,(K75*AF75+K76*AF76+K77*AF77)/K78,0)</f>
        <v>2.3333700732757739E-4</v>
      </c>
      <c r="AG78" s="50">
        <f t="shared" ref="AG78" si="751">SUM(AG75:AG77)</f>
        <v>10.657499999999999</v>
      </c>
      <c r="AH78" s="51">
        <f t="shared" ref="AH78" si="752">IF(K78&gt;0,(K75*AH75+K76*AH76+K77*AH77)/K78,0)</f>
        <v>0.21189874063641745</v>
      </c>
      <c r="AI78" s="56">
        <f t="shared" ref="AI78" si="753">SUM(AI75:AI77)</f>
        <v>114.07230970000001</v>
      </c>
      <c r="AJ78" s="51">
        <f t="shared" ref="AJ78" si="754">IF(AND(AD78&gt;0),((AD75*AJ75+AD76*AJ76+AD77*AJ77)/AD78),0)</f>
        <v>0.92324336198352464</v>
      </c>
      <c r="AK78" s="55">
        <f t="shared" si="639"/>
        <v>0.92102153960062649</v>
      </c>
      <c r="AL78" s="49">
        <f t="shared" ref="AL78" si="755">SUM(AL75:AL77)</f>
        <v>593</v>
      </c>
      <c r="AM78" s="20">
        <f t="shared" ref="AM78" si="756">IF(AL78&gt;0,(AM75*AL75+AM76*AL76+AM77*AL77)/AL78,0)</f>
        <v>9.1994940978077575E-2</v>
      </c>
      <c r="AN78" s="51">
        <f>IF(K78&gt;0,(AN75*K75+AN76*K76+AN77*K77)/K78,0)</f>
        <v>0.2277059212540567</v>
      </c>
      <c r="AO78" s="107">
        <f>IF(L78&gt;0,(AO75*K75+AO76*K76+AO77*K77)/K78,0)</f>
        <v>0.21176943645010515</v>
      </c>
      <c r="AP78" s="56">
        <f t="shared" ref="AP78" si="757">SUM(AP75:AP77)</f>
        <v>122.7016921</v>
      </c>
      <c r="AQ78" s="108">
        <f t="shared" si="713"/>
        <v>114.07077820000001</v>
      </c>
      <c r="AR78" s="54"/>
      <c r="AS78" s="54">
        <f t="shared" ref="AS78" si="758">SUM(AS75:AS77)</f>
        <v>0</v>
      </c>
      <c r="AT78" s="83"/>
      <c r="AU78" s="84">
        <f>AT77</f>
        <v>1809.6999999999994</v>
      </c>
      <c r="AV78" s="49">
        <f t="shared" ref="AV78" si="759">SUM(AV75:AV77)</f>
        <v>0</v>
      </c>
      <c r="AW78" s="57"/>
      <c r="AX78" s="56"/>
      <c r="AY78" s="56"/>
      <c r="AZ78" s="56"/>
      <c r="BA78" s="56"/>
      <c r="BB78" s="21"/>
    </row>
    <row r="79" spans="1:54">
      <c r="A79" s="146">
        <v>20</v>
      </c>
      <c r="B79" s="22">
        <v>1</v>
      </c>
      <c r="C79" s="10" t="s">
        <v>54</v>
      </c>
      <c r="D79" s="11">
        <v>3500</v>
      </c>
      <c r="E79" s="11">
        <v>1</v>
      </c>
      <c r="F79" s="11">
        <v>11628</v>
      </c>
      <c r="G79" s="12">
        <v>2.1</v>
      </c>
      <c r="H79" s="12">
        <v>5.2</v>
      </c>
      <c r="I79" s="11">
        <v>11600</v>
      </c>
      <c r="J79" s="131">
        <v>4.2</v>
      </c>
      <c r="K79" s="11">
        <v>15920</v>
      </c>
      <c r="L79" s="13">
        <v>6.9000000000000006E-2</v>
      </c>
      <c r="M79" s="23">
        <f>ROUND(K79*(1-L79),0)</f>
        <v>14822</v>
      </c>
      <c r="N79" s="14">
        <v>0.73</v>
      </c>
      <c r="O79" s="24">
        <f t="shared" ref="O79:O81" si="760">M79*N79</f>
        <v>10820.06</v>
      </c>
      <c r="P79" s="13">
        <v>0.254</v>
      </c>
      <c r="Q79" s="24">
        <f t="shared" ref="Q79:Q81" si="761">M79*P79</f>
        <v>3764.788</v>
      </c>
      <c r="R79" s="15">
        <v>1.6E-2</v>
      </c>
      <c r="S79" s="112">
        <v>0.19139999999999999</v>
      </c>
      <c r="T79" s="24">
        <f t="shared" ref="T79:T81" si="762">M79*R79</f>
        <v>237.15200000000002</v>
      </c>
      <c r="U79" s="25">
        <v>0.23200000000000001</v>
      </c>
      <c r="V79" s="24">
        <f t="shared" ref="V79:V81" si="763">M79*U79</f>
        <v>3438.7040000000002</v>
      </c>
      <c r="W79" s="15">
        <v>0.48</v>
      </c>
      <c r="X79" s="24">
        <f t="shared" ref="X79:X81" si="764">M79*W79</f>
        <v>7114.5599999999995</v>
      </c>
      <c r="Y79" s="15">
        <v>0.42</v>
      </c>
      <c r="Z79" s="24">
        <f t="shared" ref="Z79:Z81" si="765">Y79*M79</f>
        <v>6225.24</v>
      </c>
      <c r="AA79" s="116">
        <v>2.8E-3</v>
      </c>
      <c r="AB79" s="18">
        <f t="shared" ref="AB79" si="766">M79*AA79</f>
        <v>41.501599999999996</v>
      </c>
      <c r="AC79" s="16">
        <v>3.0400000000000002E-3</v>
      </c>
      <c r="AD79" s="17">
        <f t="shared" ref="AD79:AD81" si="767">M79*AC79</f>
        <v>45.058880000000002</v>
      </c>
      <c r="AE79" s="26">
        <f>IF(M79&gt;0,(AG79+AP79)/M79,0)</f>
        <v>3.138537309404939E-3</v>
      </c>
      <c r="AF79" s="16">
        <v>2.5000000000000001E-4</v>
      </c>
      <c r="AG79" s="23">
        <f t="shared" ref="AG79:AG81" si="768">AF79*M79</f>
        <v>3.7055000000000002</v>
      </c>
      <c r="AH79" s="92">
        <v>0.21640000000000001</v>
      </c>
      <c r="AI79" s="29">
        <f t="shared" ref="AI79:AI81" si="769">AL79*(1-AM79)*AH79</f>
        <v>39.341520000000003</v>
      </c>
      <c r="AJ79" s="27">
        <f t="shared" ref="AJ79:AJ81" si="770">IF(AND(AH79&gt;0,AF79&gt;0,AC79&gt;0),((AC79-AF79)*AH79)/((AH79-AF79)*AC79),0)</f>
        <v>0.91882464662697683</v>
      </c>
      <c r="AK79" s="58">
        <f t="shared" si="639"/>
        <v>0.92132311035140602</v>
      </c>
      <c r="AL79" s="11">
        <v>202</v>
      </c>
      <c r="AM79" s="13">
        <v>0.1</v>
      </c>
      <c r="AN79" s="14">
        <v>0.23549999999999999</v>
      </c>
      <c r="AO79" s="101">
        <v>0.21609999999999999</v>
      </c>
      <c r="AP79" s="29">
        <f>AL79*(1-AM79)*AN79</f>
        <v>42.813900000000004</v>
      </c>
      <c r="AQ79" s="102">
        <f t="shared" ref="AQ79" si="771">AL79*(1-AM79)*AO79</f>
        <v>39.28698</v>
      </c>
      <c r="AR79" s="18">
        <v>1.55</v>
      </c>
      <c r="AS79" s="18">
        <v>996.16</v>
      </c>
      <c r="AT79" s="79">
        <f>AT77+AL79-AS79</f>
        <v>1015.5399999999994</v>
      </c>
      <c r="AU79" s="80"/>
      <c r="AV79" s="11"/>
      <c r="AW79" s="30"/>
      <c r="AX79" s="19"/>
      <c r="AY79" s="19"/>
      <c r="AZ79" s="19"/>
      <c r="BA79" s="19"/>
      <c r="BB79" s="31"/>
    </row>
    <row r="80" spans="1:54">
      <c r="A80" s="147"/>
      <c r="B80" s="32">
        <v>2</v>
      </c>
      <c r="C80" s="143" t="s">
        <v>59</v>
      </c>
      <c r="D80" s="33">
        <v>19100</v>
      </c>
      <c r="E80" s="33">
        <v>3</v>
      </c>
      <c r="F80" s="33">
        <v>14676</v>
      </c>
      <c r="G80" s="34">
        <v>1</v>
      </c>
      <c r="H80" s="34">
        <v>4.4000000000000004</v>
      </c>
      <c r="I80" s="33">
        <v>14120</v>
      </c>
      <c r="J80" s="34">
        <v>2.4</v>
      </c>
      <c r="K80" s="33">
        <v>9308</v>
      </c>
      <c r="L80" s="35">
        <v>7.3999999999999996E-2</v>
      </c>
      <c r="M80" s="36">
        <f>ROUND(K80*(1-L80),0)</f>
        <v>8619</v>
      </c>
      <c r="N80" s="37">
        <v>0.65800000000000003</v>
      </c>
      <c r="O80" s="24">
        <f t="shared" si="760"/>
        <v>5671.3020000000006</v>
      </c>
      <c r="P80" s="35">
        <v>0.32400000000000001</v>
      </c>
      <c r="Q80" s="24">
        <f t="shared" si="761"/>
        <v>2792.556</v>
      </c>
      <c r="R80" s="38">
        <v>1.7999999999999999E-2</v>
      </c>
      <c r="S80" s="105">
        <v>0.1923</v>
      </c>
      <c r="T80" s="24">
        <f t="shared" si="762"/>
        <v>155.142</v>
      </c>
      <c r="U80" s="27">
        <v>0.18099999999999999</v>
      </c>
      <c r="V80" s="24">
        <f t="shared" si="763"/>
        <v>1560.039</v>
      </c>
      <c r="W80" s="38">
        <v>0.52500000000000002</v>
      </c>
      <c r="X80" s="24">
        <f t="shared" si="764"/>
        <v>4524.9750000000004</v>
      </c>
      <c r="Y80" s="38">
        <v>0.48</v>
      </c>
      <c r="Z80" s="24">
        <f t="shared" si="765"/>
        <v>4137.12</v>
      </c>
      <c r="AA80" s="117">
        <v>2.7499999999999998E-3</v>
      </c>
      <c r="AB80" s="18">
        <f t="shared" si="722"/>
        <v>23.702249999999999</v>
      </c>
      <c r="AC80" s="39">
        <v>2.8900000000000002E-3</v>
      </c>
      <c r="AD80" s="17">
        <f t="shared" si="767"/>
        <v>24.908910000000002</v>
      </c>
      <c r="AE80" s="26">
        <f>IF(M80&gt;0,(AG80+AP80)/M80,0)</f>
        <v>3.2219698340874812E-3</v>
      </c>
      <c r="AF80" s="39">
        <v>2.1000000000000001E-4</v>
      </c>
      <c r="AG80" s="36">
        <f t="shared" si="768"/>
        <v>1.80999</v>
      </c>
      <c r="AH80" s="27">
        <v>0.20619999999999999</v>
      </c>
      <c r="AI80" s="40">
        <f t="shared" si="769"/>
        <v>24.232624000000001</v>
      </c>
      <c r="AJ80" s="27">
        <f t="shared" si="770"/>
        <v>0.92828102818845459</v>
      </c>
      <c r="AK80" s="28">
        <f t="shared" si="639"/>
        <v>0.93571202165160727</v>
      </c>
      <c r="AL80" s="33">
        <v>130</v>
      </c>
      <c r="AM80" s="35">
        <v>9.6000000000000002E-2</v>
      </c>
      <c r="AN80" s="37">
        <v>0.22090000000000001</v>
      </c>
      <c r="AO80" s="103">
        <v>0.20100000000000001</v>
      </c>
      <c r="AP80" s="40">
        <f>AL80*(1-AM80)*AN80</f>
        <v>25.960168000000003</v>
      </c>
      <c r="AQ80" s="104">
        <f t="shared" si="683"/>
        <v>23.621520000000004</v>
      </c>
      <c r="AR80" s="41">
        <v>1.5</v>
      </c>
      <c r="AS80" s="41"/>
      <c r="AT80" s="129">
        <f>AT79+AL80-AS80</f>
        <v>1145.5399999999995</v>
      </c>
      <c r="AU80" s="82"/>
      <c r="AV80" s="42"/>
      <c r="AW80" s="43"/>
      <c r="AX80" s="44"/>
      <c r="AY80" s="44"/>
      <c r="AZ80" s="44"/>
      <c r="BA80" s="44"/>
      <c r="BB80" s="31"/>
    </row>
    <row r="81" spans="1:54">
      <c r="A81" s="147"/>
      <c r="B81" s="32">
        <v>3</v>
      </c>
      <c r="C81" s="10" t="s">
        <v>53</v>
      </c>
      <c r="D81" s="42">
        <v>19195</v>
      </c>
      <c r="E81" s="42">
        <v>1</v>
      </c>
      <c r="F81" s="42">
        <v>16172</v>
      </c>
      <c r="G81" s="36">
        <v>1.9</v>
      </c>
      <c r="H81" s="36">
        <v>5.3</v>
      </c>
      <c r="I81" s="42">
        <v>15712</v>
      </c>
      <c r="J81" s="36">
        <v>1.8</v>
      </c>
      <c r="K81" s="42">
        <v>15753</v>
      </c>
      <c r="L81" s="38">
        <v>7.1999999999999995E-2</v>
      </c>
      <c r="M81" s="36">
        <f>ROUND(K81*(1-L81),0)</f>
        <v>14619</v>
      </c>
      <c r="N81" s="27">
        <v>0.75</v>
      </c>
      <c r="O81" s="24">
        <f t="shared" si="760"/>
        <v>10964.25</v>
      </c>
      <c r="P81" s="38">
        <v>0.22800000000000001</v>
      </c>
      <c r="Q81" s="24">
        <f t="shared" si="761"/>
        <v>3333.1320000000001</v>
      </c>
      <c r="R81" s="38">
        <v>2.1999999999999999E-2</v>
      </c>
      <c r="S81" s="105">
        <v>0.19550000000000001</v>
      </c>
      <c r="T81" s="24">
        <f t="shared" si="762"/>
        <v>321.61799999999999</v>
      </c>
      <c r="U81" s="27">
        <v>0.222</v>
      </c>
      <c r="V81" s="24">
        <f t="shared" si="763"/>
        <v>3245.4180000000001</v>
      </c>
      <c r="W81" s="38">
        <v>0.48099999999999998</v>
      </c>
      <c r="X81" s="24">
        <f t="shared" si="764"/>
        <v>7031.7389999999996</v>
      </c>
      <c r="Y81" s="38">
        <v>0.41</v>
      </c>
      <c r="Z81" s="24">
        <f t="shared" si="765"/>
        <v>5993.79</v>
      </c>
      <c r="AA81" s="118">
        <v>2.7499999999999998E-3</v>
      </c>
      <c r="AB81" s="121">
        <f t="shared" si="722"/>
        <v>40.202249999999999</v>
      </c>
      <c r="AC81" s="45">
        <v>2.98E-3</v>
      </c>
      <c r="AD81" s="17">
        <f t="shared" si="767"/>
        <v>43.564619999999998</v>
      </c>
      <c r="AE81" s="26">
        <f>IF(M81&gt;0,(AG81+AP81)/M81,0)</f>
        <v>2.7310580751077366E-3</v>
      </c>
      <c r="AF81" s="45">
        <v>2.3000000000000001E-4</v>
      </c>
      <c r="AG81" s="36">
        <f t="shared" si="768"/>
        <v>3.3623700000000003</v>
      </c>
      <c r="AH81" s="27">
        <v>0.21010000000000001</v>
      </c>
      <c r="AI81" s="40">
        <f t="shared" si="769"/>
        <v>33.960564000000005</v>
      </c>
      <c r="AJ81" s="27">
        <f t="shared" si="770"/>
        <v>0.92383012430513878</v>
      </c>
      <c r="AK81" s="28">
        <f t="shared" si="639"/>
        <v>0.91671567164256884</v>
      </c>
      <c r="AL81" s="42">
        <v>180</v>
      </c>
      <c r="AM81" s="38">
        <v>0.10199999999999999</v>
      </c>
      <c r="AN81" s="27">
        <v>0.22620000000000001</v>
      </c>
      <c r="AO81" s="105">
        <v>0.2051</v>
      </c>
      <c r="AP81" s="40">
        <f>AL81*(1-AM81)*AN81</f>
        <v>36.562968000000005</v>
      </c>
      <c r="AQ81" s="106">
        <f t="shared" si="683"/>
        <v>33.152364000000006</v>
      </c>
      <c r="AR81" s="17">
        <v>1.55</v>
      </c>
      <c r="AS81" s="17"/>
      <c r="AT81" s="129">
        <f>AT80+AL81-AS81</f>
        <v>1325.5399999999995</v>
      </c>
      <c r="AU81" s="82"/>
      <c r="AV81" s="42"/>
      <c r="AW81" s="46"/>
      <c r="AX81" s="40"/>
      <c r="AY81" s="40"/>
      <c r="AZ81" s="40"/>
      <c r="BA81" s="40"/>
      <c r="BB81" s="31"/>
    </row>
    <row r="82" spans="1:54">
      <c r="A82" s="148"/>
      <c r="B82" s="47" t="s">
        <v>56</v>
      </c>
      <c r="C82" s="48"/>
      <c r="D82" s="49">
        <f t="shared" ref="D82" si="772">SUM(D79:D81)</f>
        <v>41795</v>
      </c>
      <c r="E82" s="49"/>
      <c r="F82" s="49">
        <f t="shared" ref="F82" si="773">SUM(F79:F81)</f>
        <v>42476</v>
      </c>
      <c r="G82" s="50"/>
      <c r="H82" s="50"/>
      <c r="I82" s="49">
        <f t="shared" ref="I82:K82" si="774">SUM(I79:I81)</f>
        <v>41432</v>
      </c>
      <c r="J82" s="50"/>
      <c r="K82" s="49">
        <f t="shared" si="774"/>
        <v>40981</v>
      </c>
      <c r="L82" s="20">
        <f t="shared" ref="L82" si="775">IF(K82&gt;0,(K79*L79+K80*L80+K81*L81)/K82,0)</f>
        <v>7.1288841170298434E-2</v>
      </c>
      <c r="M82" s="50">
        <f t="shared" ref="M82" si="776">M79+M80+M81</f>
        <v>38060</v>
      </c>
      <c r="N82" s="51">
        <f t="shared" ref="N82" si="777">IF(M82&gt;0,O82/M82,0)</f>
        <v>0.72137708880714668</v>
      </c>
      <c r="O82" s="52">
        <f t="shared" ref="O82" si="778">O79+O80+O81</f>
        <v>27455.612000000001</v>
      </c>
      <c r="P82" s="20">
        <f t="shared" ref="P82" si="779">IF(M82&gt;0,Q82/M82,0)</f>
        <v>0.2598653704676826</v>
      </c>
      <c r="Q82" s="52">
        <f t="shared" ref="Q82" si="780">Q79+Q80+Q81</f>
        <v>9890.4760000000006</v>
      </c>
      <c r="R82" s="20">
        <f t="shared" ref="R82" si="781">IF(M82&gt;0,T82/M82,0)</f>
        <v>1.8757540725170784E-2</v>
      </c>
      <c r="S82" s="107"/>
      <c r="T82" s="52">
        <f t="shared" ref="T82" si="782">T79+T80+T81</f>
        <v>713.91200000000003</v>
      </c>
      <c r="U82" s="20">
        <f t="shared" ref="U82" si="783">IF(M82&gt;0,V82/M82,0)</f>
        <v>0.21660959012086181</v>
      </c>
      <c r="V82" s="52">
        <f t="shared" ref="V82" si="784">V79+V80+V81</f>
        <v>8244.1610000000001</v>
      </c>
      <c r="W82" s="20">
        <f t="shared" ref="W82" si="785">IF(M82&gt;0,X82/M82,0)</f>
        <v>0.49057472411981079</v>
      </c>
      <c r="X82" s="52">
        <f t="shared" ref="X82" si="786">X79+X80+X81</f>
        <v>18671.273999999998</v>
      </c>
      <c r="Y82" s="20">
        <f t="shared" ref="Y82" si="787">IF(M82&gt;0,Z82/M82,0)</f>
        <v>0.42974645296899638</v>
      </c>
      <c r="Z82" s="52">
        <f t="shared" ref="Z82" si="788">Z79+Z80+Z81</f>
        <v>16356.150000000001</v>
      </c>
      <c r="AA82" s="119">
        <f t="shared" ref="AA82" si="789">IF(M82&gt;0,AB82/M82,0)</f>
        <v>2.7694718864950075E-3</v>
      </c>
      <c r="AB82" s="54">
        <f t="shared" ref="AB82" si="790">SUM(AB79:AB81)</f>
        <v>105.40609999999998</v>
      </c>
      <c r="AC82" s="53">
        <f t="shared" ref="AC82" si="791">IF(M82&gt;0,AD82/M82,0)</f>
        <v>2.9829850236468732E-3</v>
      </c>
      <c r="AD82" s="54">
        <f t="shared" ref="AD82" si="792">SUM(AD79:AD81)</f>
        <v>113.53241</v>
      </c>
      <c r="AE82" s="53">
        <f t="shared" ref="AE82" si="793">IF(M82&gt;0,(AE79*M79+AE80*M80+AE81*M81)/M82,0)</f>
        <v>3.0009168681029955E-3</v>
      </c>
      <c r="AF82" s="53">
        <f t="shared" ref="AF82" si="794">IF(K82&gt;0,(K79*AF79+K80*AF80+K81*AF81)/K82,0)</f>
        <v>2.3322686122837416E-4</v>
      </c>
      <c r="AG82" s="50">
        <f t="shared" ref="AG82" si="795">SUM(AG79:AG81)</f>
        <v>8.8778600000000001</v>
      </c>
      <c r="AH82" s="51">
        <f t="shared" ref="AH82" si="796">IF(K82&gt;0,(K79*AH79+K80*AH80+K81*AH81)/K82,0)</f>
        <v>0.21166157243600692</v>
      </c>
      <c r="AI82" s="56">
        <f t="shared" ref="AI82" si="797">SUM(AI79:AI81)</f>
        <v>97.534708000000009</v>
      </c>
      <c r="AJ82" s="51">
        <f t="shared" ref="AJ82" si="798">IF(AND(AD82&gt;0),((AD79*AJ79+AD80*AJ80+AD81*AJ81)/AD82),0)</f>
        <v>0.92282006864090327</v>
      </c>
      <c r="AK82" s="55">
        <f t="shared" si="639"/>
        <v>0.92322333772031295</v>
      </c>
      <c r="AL82" s="49">
        <f t="shared" ref="AL82" si="799">SUM(AL79:AL81)</f>
        <v>512</v>
      </c>
      <c r="AM82" s="20">
        <f t="shared" ref="AM82" si="800">IF(AL82&gt;0,(AM79*AL79+AM80*AL80+AM81*AL81)/AL82,0)</f>
        <v>9.9687500000000012E-2</v>
      </c>
      <c r="AN82" s="51">
        <f>IF(K82&gt;0,(AN79*K79+AN80*K80+AN81*K81)/K82,0)</f>
        <v>0.22860900905297576</v>
      </c>
      <c r="AO82" s="107">
        <f>IF(L82&gt;0,(AO79*K79+AO80*K80+AO81*K81)/K82,0)</f>
        <v>0.20844196822917938</v>
      </c>
      <c r="AP82" s="56">
        <f t="shared" ref="AP82" si="801">SUM(AP79:AP81)</f>
        <v>105.33703600000001</v>
      </c>
      <c r="AQ82" s="108">
        <f t="shared" si="713"/>
        <v>96.060864000000009</v>
      </c>
      <c r="AR82" s="54"/>
      <c r="AS82" s="54">
        <f t="shared" ref="AS82" si="802">SUM(AS79:AS81)</f>
        <v>996.16</v>
      </c>
      <c r="AT82" s="83"/>
      <c r="AU82" s="84">
        <f>AT81</f>
        <v>1325.5399999999995</v>
      </c>
      <c r="AV82" s="49">
        <f t="shared" ref="AV82" si="803">SUM(AV79:AV81)</f>
        <v>0</v>
      </c>
      <c r="AW82" s="57"/>
      <c r="AX82" s="56"/>
      <c r="AY82" s="56"/>
      <c r="AZ82" s="56"/>
      <c r="BA82" s="56"/>
      <c r="BB82" s="21"/>
    </row>
    <row r="83" spans="1:54">
      <c r="A83" s="146">
        <v>21</v>
      </c>
      <c r="B83" s="22">
        <v>1</v>
      </c>
      <c r="C83" s="10" t="s">
        <v>54</v>
      </c>
      <c r="D83" s="11">
        <v>4200</v>
      </c>
      <c r="E83" s="11">
        <v>0</v>
      </c>
      <c r="F83" s="11">
        <v>11271</v>
      </c>
      <c r="G83" s="12">
        <v>0.8</v>
      </c>
      <c r="H83" s="12">
        <v>5.8</v>
      </c>
      <c r="I83" s="11">
        <v>11286</v>
      </c>
      <c r="J83" s="12">
        <v>3.6</v>
      </c>
      <c r="K83" s="11">
        <v>15684</v>
      </c>
      <c r="L83" s="13">
        <v>6.0999999999999999E-2</v>
      </c>
      <c r="M83" s="23">
        <f>ROUND(K83*(1-L83),0)</f>
        <v>14727</v>
      </c>
      <c r="N83" s="14">
        <v>0.68</v>
      </c>
      <c r="O83" s="24">
        <f t="shared" ref="O83:O85" si="804">M83*N83</f>
        <v>10014.36</v>
      </c>
      <c r="P83" s="13">
        <v>0.22600000000000001</v>
      </c>
      <c r="Q83" s="24">
        <f t="shared" ref="Q83:Q85" si="805">M83*P83</f>
        <v>3328.3020000000001</v>
      </c>
      <c r="R83" s="15">
        <v>9.4E-2</v>
      </c>
      <c r="S83" s="112">
        <v>0.1986</v>
      </c>
      <c r="T83" s="24">
        <f t="shared" ref="T83:T85" si="806">M83*R83</f>
        <v>1384.338</v>
      </c>
      <c r="U83" s="25">
        <v>0.219</v>
      </c>
      <c r="V83" s="24">
        <f t="shared" ref="V83:V85" si="807">M83*U83</f>
        <v>3225.2130000000002</v>
      </c>
      <c r="W83" s="15">
        <v>0.49199999999999999</v>
      </c>
      <c r="X83" s="24">
        <f t="shared" ref="X83:X85" si="808">M83*W83</f>
        <v>7245.6840000000002</v>
      </c>
      <c r="Y83" s="15">
        <v>0.41</v>
      </c>
      <c r="Z83" s="24">
        <f t="shared" ref="Z83:Z85" si="809">Y83*M83</f>
        <v>6038.07</v>
      </c>
      <c r="AA83" s="116">
        <v>2.7799999999999999E-3</v>
      </c>
      <c r="AB83" s="18">
        <f t="shared" ref="AB83" si="810">M83*AA83</f>
        <v>40.94106</v>
      </c>
      <c r="AC83" s="16">
        <v>2.96E-3</v>
      </c>
      <c r="AD83" s="17">
        <f t="shared" ref="AD83:AD85" si="811">M83*AC83</f>
        <v>43.591920000000002</v>
      </c>
      <c r="AE83" s="26">
        <f>IF(M83&gt;0,(AG83+AP83)/M83,0)</f>
        <v>3.2257632104298229E-3</v>
      </c>
      <c r="AF83" s="16">
        <v>2.3000000000000001E-4</v>
      </c>
      <c r="AG83" s="23">
        <f t="shared" ref="AG83:AG85" si="812">AF83*M83</f>
        <v>3.3872100000000001</v>
      </c>
      <c r="AH83" s="92">
        <v>0.21909999999999999</v>
      </c>
      <c r="AI83" s="29">
        <f t="shared" ref="AI83:AI85" si="813">AL83*(1-AM83)*AH83</f>
        <v>41.954801699999997</v>
      </c>
      <c r="AJ83" s="27">
        <f t="shared" ref="AJ83:AJ85" si="814">IF(AND(AH83&gt;0,AF83&gt;0,AC83&gt;0),((AC83-AF83)*AH83)/((AH83-AF83)*AC83),0)</f>
        <v>0.92326649535266503</v>
      </c>
      <c r="AK83" s="58">
        <f t="shared" si="639"/>
        <v>0.9296270573488038</v>
      </c>
      <c r="AL83" s="11">
        <v>213</v>
      </c>
      <c r="AM83" s="13">
        <v>0.10100000000000001</v>
      </c>
      <c r="AN83" s="14">
        <v>0.23039999999999999</v>
      </c>
      <c r="AO83" s="101">
        <v>0.2142</v>
      </c>
      <c r="AP83" s="29">
        <f>AL83*(1-AM83)*AN83</f>
        <v>44.1186048</v>
      </c>
      <c r="AQ83" s="102">
        <f t="shared" ref="AQ83" si="815">AL83*(1-AM83)*AO83</f>
        <v>41.016515399999996</v>
      </c>
      <c r="AR83" s="18">
        <v>1.55</v>
      </c>
      <c r="AS83" s="18">
        <v>1078.3</v>
      </c>
      <c r="AT83" s="79">
        <f>AT81+AL83-AS83</f>
        <v>460.23999999999955</v>
      </c>
      <c r="AU83" s="80"/>
      <c r="AV83" s="11"/>
      <c r="AW83" s="30"/>
      <c r="AX83" s="19"/>
      <c r="AY83" s="19"/>
      <c r="AZ83" s="19"/>
      <c r="BA83" s="19"/>
      <c r="BB83" s="31"/>
    </row>
    <row r="84" spans="1:54">
      <c r="A84" s="147"/>
      <c r="B84" s="32">
        <v>2</v>
      </c>
      <c r="C84" s="10" t="s">
        <v>59</v>
      </c>
      <c r="D84" s="33">
        <v>18270</v>
      </c>
      <c r="E84" s="33">
        <v>2</v>
      </c>
      <c r="F84" s="33">
        <v>14828</v>
      </c>
      <c r="G84" s="34">
        <v>1.2</v>
      </c>
      <c r="H84" s="34">
        <v>4.5999999999999996</v>
      </c>
      <c r="I84" s="33">
        <v>14259</v>
      </c>
      <c r="J84" s="34">
        <v>4</v>
      </c>
      <c r="K84" s="33">
        <v>15667</v>
      </c>
      <c r="L84" s="35">
        <v>7.2999999999999995E-2</v>
      </c>
      <c r="M84" s="36">
        <f>ROUND(K84*(1-L84),0)</f>
        <v>14523</v>
      </c>
      <c r="N84" s="37">
        <v>0.81699999999999995</v>
      </c>
      <c r="O84" s="24">
        <f t="shared" si="804"/>
        <v>11865.290999999999</v>
      </c>
      <c r="P84" s="35">
        <v>0.16900000000000001</v>
      </c>
      <c r="Q84" s="24">
        <f t="shared" si="805"/>
        <v>2454.3870000000002</v>
      </c>
      <c r="R84" s="38">
        <v>1.4E-2</v>
      </c>
      <c r="S84" s="105">
        <v>0.19789999999999999</v>
      </c>
      <c r="T84" s="24">
        <f t="shared" si="806"/>
        <v>203.322</v>
      </c>
      <c r="U84" s="27">
        <v>0.217</v>
      </c>
      <c r="V84" s="24">
        <f t="shared" si="807"/>
        <v>3151.491</v>
      </c>
      <c r="W84" s="38">
        <v>0.49</v>
      </c>
      <c r="X84" s="24">
        <f t="shared" si="808"/>
        <v>7116.2699999999995</v>
      </c>
      <c r="Y84" s="38">
        <v>0.4</v>
      </c>
      <c r="Z84" s="24">
        <f t="shared" si="809"/>
        <v>5809.2000000000007</v>
      </c>
      <c r="AA84" s="117">
        <v>2.6900000000000001E-3</v>
      </c>
      <c r="AB84" s="18">
        <f t="shared" si="722"/>
        <v>39.066870000000002</v>
      </c>
      <c r="AC84" s="39">
        <v>2.96E-3</v>
      </c>
      <c r="AD84" s="17">
        <f t="shared" si="811"/>
        <v>42.988079999999997</v>
      </c>
      <c r="AE84" s="26">
        <f>IF(M84&gt;0,(AG84+AP84)/M84,0)</f>
        <v>3.1839257040556361E-3</v>
      </c>
      <c r="AF84" s="39">
        <v>2.2000000000000001E-4</v>
      </c>
      <c r="AG84" s="36">
        <f t="shared" si="812"/>
        <v>3.1950600000000002</v>
      </c>
      <c r="AH84" s="27">
        <v>0.2084</v>
      </c>
      <c r="AI84" s="40">
        <f t="shared" si="813"/>
        <v>37.739156000000001</v>
      </c>
      <c r="AJ84" s="27">
        <f t="shared" si="814"/>
        <v>0.92665390916904011</v>
      </c>
      <c r="AK84" s="28">
        <f t="shared" si="639"/>
        <v>0.93176529297694521</v>
      </c>
      <c r="AL84" s="33">
        <v>199</v>
      </c>
      <c r="AM84" s="35">
        <v>0.09</v>
      </c>
      <c r="AN84" s="37">
        <v>0.23769999999999999</v>
      </c>
      <c r="AO84" s="103">
        <v>0.222</v>
      </c>
      <c r="AP84" s="40">
        <f>AL84*(1-AM84)*AN84</f>
        <v>43.045093000000001</v>
      </c>
      <c r="AQ84" s="104">
        <f t="shared" si="683"/>
        <v>40.201979999999999</v>
      </c>
      <c r="AR84" s="41">
        <v>1.55</v>
      </c>
      <c r="AS84" s="41"/>
      <c r="AT84" s="129">
        <f>AT83+AL84-AS84</f>
        <v>659.23999999999955</v>
      </c>
      <c r="AU84" s="82"/>
      <c r="AV84" s="42"/>
      <c r="AW84" s="43"/>
      <c r="AX84" s="44"/>
      <c r="AY84" s="44"/>
      <c r="AZ84" s="44"/>
      <c r="BA84" s="44"/>
      <c r="BB84" s="31"/>
    </row>
    <row r="85" spans="1:54">
      <c r="A85" s="147"/>
      <c r="B85" s="32">
        <v>3</v>
      </c>
      <c r="C85" s="10" t="s">
        <v>57</v>
      </c>
      <c r="D85" s="42">
        <v>15852</v>
      </c>
      <c r="E85" s="42">
        <v>0</v>
      </c>
      <c r="F85" s="42">
        <v>15016</v>
      </c>
      <c r="G85" s="36">
        <v>0.6</v>
      </c>
      <c r="H85" s="36">
        <v>5.9</v>
      </c>
      <c r="I85" s="42">
        <v>14768</v>
      </c>
      <c r="J85" s="133">
        <v>3.7</v>
      </c>
      <c r="K85" s="42">
        <v>15656</v>
      </c>
      <c r="L85" s="38">
        <v>6.8000000000000005E-2</v>
      </c>
      <c r="M85" s="36">
        <f>ROUND(K85*(1-L85),0)</f>
        <v>14591</v>
      </c>
      <c r="N85" s="27">
        <v>0.73199999999999998</v>
      </c>
      <c r="O85" s="24">
        <f t="shared" si="804"/>
        <v>10680.611999999999</v>
      </c>
      <c r="P85" s="38">
        <v>0.247</v>
      </c>
      <c r="Q85" s="24">
        <f t="shared" si="805"/>
        <v>3603.9769999999999</v>
      </c>
      <c r="R85" s="38">
        <v>2.1000000000000001E-2</v>
      </c>
      <c r="S85" s="105">
        <v>0.184</v>
      </c>
      <c r="T85" s="24">
        <f t="shared" si="806"/>
        <v>306.411</v>
      </c>
      <c r="U85" s="27">
        <v>0.22700000000000001</v>
      </c>
      <c r="V85" s="24">
        <f t="shared" si="807"/>
        <v>3312.1570000000002</v>
      </c>
      <c r="W85" s="38">
        <v>0.47299999999999998</v>
      </c>
      <c r="X85" s="24">
        <f t="shared" si="808"/>
        <v>6901.5429999999997</v>
      </c>
      <c r="Y85" s="38">
        <v>0.43</v>
      </c>
      <c r="Z85" s="24">
        <f t="shared" si="809"/>
        <v>6274.13</v>
      </c>
      <c r="AA85" s="118">
        <v>2.64E-3</v>
      </c>
      <c r="AB85" s="121">
        <f t="shared" si="722"/>
        <v>38.520240000000001</v>
      </c>
      <c r="AC85" s="45">
        <v>2.8E-3</v>
      </c>
      <c r="AD85" s="17">
        <f t="shared" si="811"/>
        <v>40.854799999999997</v>
      </c>
      <c r="AE85" s="26">
        <f>IF(M85&gt;0,(AG85+AP85)/M85,0)</f>
        <v>2.7388657391542734E-3</v>
      </c>
      <c r="AF85" s="45">
        <v>2.1000000000000001E-4</v>
      </c>
      <c r="AG85" s="36">
        <f t="shared" si="812"/>
        <v>3.0641100000000003</v>
      </c>
      <c r="AH85" s="27">
        <v>0.21260000000000001</v>
      </c>
      <c r="AI85" s="40">
        <f t="shared" si="813"/>
        <v>35.984676000000007</v>
      </c>
      <c r="AJ85" s="27">
        <f t="shared" si="814"/>
        <v>0.92591459108244267</v>
      </c>
      <c r="AK85" s="28">
        <f t="shared" si="639"/>
        <v>0.9242162239730134</v>
      </c>
      <c r="AL85" s="42">
        <v>186</v>
      </c>
      <c r="AM85" s="38">
        <v>0.09</v>
      </c>
      <c r="AN85" s="27">
        <v>0.218</v>
      </c>
      <c r="AO85" s="105">
        <v>0.2056</v>
      </c>
      <c r="AP85" s="40">
        <f>AL85*(1-AM85)*AN85</f>
        <v>36.898680000000006</v>
      </c>
      <c r="AQ85" s="106">
        <f t="shared" si="683"/>
        <v>34.799856000000005</v>
      </c>
      <c r="AR85" s="17">
        <v>1.55</v>
      </c>
      <c r="AS85" s="17"/>
      <c r="AT85" s="129">
        <f>AT84+AL85-AS85</f>
        <v>845.23999999999955</v>
      </c>
      <c r="AU85" s="82"/>
      <c r="AV85" s="42"/>
      <c r="AW85" s="46"/>
      <c r="AX85" s="40"/>
      <c r="AY85" s="40"/>
      <c r="AZ85" s="40"/>
      <c r="BA85" s="40"/>
      <c r="BB85" s="31"/>
    </row>
    <row r="86" spans="1:54">
      <c r="A86" s="148"/>
      <c r="B86" s="47" t="s">
        <v>56</v>
      </c>
      <c r="C86" s="48"/>
      <c r="D86" s="49">
        <f t="shared" ref="D86" si="816">SUM(D83:D85)</f>
        <v>38322</v>
      </c>
      <c r="E86" s="49"/>
      <c r="F86" s="49">
        <f t="shared" ref="F86" si="817">SUM(F83:F85)</f>
        <v>41115</v>
      </c>
      <c r="G86" s="50"/>
      <c r="H86" s="50"/>
      <c r="I86" s="49">
        <f t="shared" ref="I86:K86" si="818">SUM(I83:I85)</f>
        <v>40313</v>
      </c>
      <c r="J86" s="50"/>
      <c r="K86" s="49">
        <f t="shared" si="818"/>
        <v>47007</v>
      </c>
      <c r="L86" s="20">
        <f t="shared" ref="L86" si="819">IF(K86&gt;0,(K83*L83+K84*L84+K85*L85)/K86,0)</f>
        <v>6.7330886889186717E-2</v>
      </c>
      <c r="M86" s="50">
        <f t="shared" ref="M86" si="820">M83+M84+M85</f>
        <v>43841</v>
      </c>
      <c r="N86" s="51">
        <f t="shared" ref="N86" si="821">IF(M86&gt;0,O86/M86,0)</f>
        <v>0.74268978809789921</v>
      </c>
      <c r="O86" s="52">
        <f t="shared" ref="O86" si="822">O83+O84+O85</f>
        <v>32560.262999999999</v>
      </c>
      <c r="P86" s="20">
        <f t="shared" ref="P86" si="823">IF(M86&gt;0,Q86/M86,0)</f>
        <v>0.21410702310622479</v>
      </c>
      <c r="Q86" s="52">
        <f t="shared" ref="Q86" si="824">Q83+Q84+Q85</f>
        <v>9386.6660000000011</v>
      </c>
      <c r="R86" s="20">
        <f t="shared" ref="R86" si="825">IF(M86&gt;0,T86/M86,0)</f>
        <v>4.3203188795876007E-2</v>
      </c>
      <c r="S86" s="107"/>
      <c r="T86" s="52">
        <f t="shared" ref="T86" si="826">T83+T84+T85</f>
        <v>1894.0709999999999</v>
      </c>
      <c r="U86" s="20">
        <f t="shared" ref="U86" si="827">IF(M86&gt;0,V86/M86,0)</f>
        <v>0.22100000000000003</v>
      </c>
      <c r="V86" s="52">
        <f t="shared" ref="V86" si="828">V83+V84+V85</f>
        <v>9688.8610000000008</v>
      </c>
      <c r="W86" s="20">
        <f t="shared" ref="W86" si="829">IF(M86&gt;0,X86/M86,0)</f>
        <v>0.48501395953559451</v>
      </c>
      <c r="X86" s="52">
        <f t="shared" ref="X86" si="830">X83+X84+X85</f>
        <v>21263.496999999999</v>
      </c>
      <c r="Y86" s="20">
        <f t="shared" ref="Y86" si="831">IF(M86&gt;0,Z86/M86,0)</f>
        <v>0.41334367373007008</v>
      </c>
      <c r="Z86" s="52">
        <f t="shared" ref="Z86" si="832">Z83+Z84+Z85</f>
        <v>18121.400000000001</v>
      </c>
      <c r="AA86" s="119">
        <f t="shared" ref="AA86" si="833">IF(M86&gt;0,AB86/M86,0)</f>
        <v>2.7035918432517505E-3</v>
      </c>
      <c r="AB86" s="54">
        <f t="shared" ref="AB86" si="834">SUM(AB83:AB85)</f>
        <v>118.52817</v>
      </c>
      <c r="AC86" s="53">
        <f t="shared" ref="AC86" si="835">IF(M86&gt;0,AD86/M86,0)</f>
        <v>2.9067493898405601E-3</v>
      </c>
      <c r="AD86" s="54">
        <f t="shared" ref="AD86" si="836">SUM(AD83:AD85)</f>
        <v>127.4348</v>
      </c>
      <c r="AE86" s="53">
        <f t="shared" ref="AE86" si="837">IF(M86&gt;0,(AE83*M83+AE84*M84+AE85*M85)/M86,0)</f>
        <v>3.0498564768139413E-3</v>
      </c>
      <c r="AF86" s="53">
        <f t="shared" ref="AF86" si="838">IF(K86&gt;0,(K83*AF83+K84*AF84+K85*AF85)/K86,0)</f>
        <v>2.2000595655966132E-4</v>
      </c>
      <c r="AG86" s="50">
        <f t="shared" ref="AG86" si="839">SUM(AG83:AG85)</f>
        <v>9.6463800000000006</v>
      </c>
      <c r="AH86" s="51">
        <f t="shared" ref="AH86" si="840">IF(K86&gt;0,(K83*AH83+K84*AH84+K85*AH85)/K86,0)</f>
        <v>0.2133689195226243</v>
      </c>
      <c r="AI86" s="56">
        <f t="shared" ref="AI86" si="841">SUM(AI83:AI85)</f>
        <v>115.67863370000001</v>
      </c>
      <c r="AJ86" s="51">
        <f t="shared" ref="AJ86" si="842">IF(AND(AD86&gt;0),((AD83*AJ83+AD84*AJ84+AD85*AJ85)/AD86),0)</f>
        <v>0.92525814784909732</v>
      </c>
      <c r="AK86" s="55">
        <f t="shared" si="639"/>
        <v>0.92875694298910916</v>
      </c>
      <c r="AL86" s="49">
        <f t="shared" ref="AL86" si="843">SUM(AL83:AL85)</f>
        <v>598</v>
      </c>
      <c r="AM86" s="20">
        <f t="shared" ref="AM86" si="844">IF(AL86&gt;0,(AM83*AL83+AM84*AL84+AM85*AL85)/AL86,0)</f>
        <v>9.3918060200668896E-2</v>
      </c>
      <c r="AN86" s="51">
        <f>IF(K86&gt;0,(AN83*K83+AN84*K84+AN85*K85)/K86,0)</f>
        <v>0.22870311868445123</v>
      </c>
      <c r="AO86" s="107">
        <f>IF(L86&gt;0,(AO83*K83+AO84*K84+AO85*K85)/K86,0)</f>
        <v>0.21393537983704555</v>
      </c>
      <c r="AP86" s="56">
        <f t="shared" ref="AP86" si="845">SUM(AP83:AP85)</f>
        <v>124.06237780000001</v>
      </c>
      <c r="AQ86" s="108">
        <f t="shared" si="713"/>
        <v>116.0183514</v>
      </c>
      <c r="AR86" s="54"/>
      <c r="AS86" s="54">
        <f t="shared" ref="AS86" si="846">SUM(AS83:AS85)</f>
        <v>1078.3</v>
      </c>
      <c r="AT86" s="83"/>
      <c r="AU86" s="84">
        <f>AT85</f>
        <v>845.23999999999955</v>
      </c>
      <c r="AV86" s="49">
        <f t="shared" ref="AV86" si="847">SUM(AV83:AV85)</f>
        <v>0</v>
      </c>
      <c r="AW86" s="57"/>
      <c r="AX86" s="56"/>
      <c r="AY86" s="56"/>
      <c r="AZ86" s="56"/>
      <c r="BA86" s="56"/>
      <c r="BB86" s="21"/>
    </row>
    <row r="87" spans="1:54">
      <c r="A87" s="146">
        <v>22</v>
      </c>
      <c r="B87" s="22">
        <v>1</v>
      </c>
      <c r="C87" s="10" t="s">
        <v>58</v>
      </c>
      <c r="D87" s="11">
        <v>4910</v>
      </c>
      <c r="E87" s="11">
        <v>0</v>
      </c>
      <c r="F87" s="11">
        <v>16105</v>
      </c>
      <c r="G87" s="12">
        <v>0.6</v>
      </c>
      <c r="H87" s="12">
        <v>5.4</v>
      </c>
      <c r="I87" s="11">
        <v>15493</v>
      </c>
      <c r="J87" s="131">
        <v>3.7</v>
      </c>
      <c r="K87" s="11">
        <v>15766</v>
      </c>
      <c r="L87" s="13">
        <v>7.0000000000000007E-2</v>
      </c>
      <c r="M87" s="23">
        <f>ROUND(K87*(1-L87),0)</f>
        <v>14662</v>
      </c>
      <c r="N87" s="14">
        <v>0.81499999999999995</v>
      </c>
      <c r="O87" s="24">
        <f t="shared" ref="O87:O89" si="848">M87*N87</f>
        <v>11949.529999999999</v>
      </c>
      <c r="P87" s="13">
        <v>0.158</v>
      </c>
      <c r="Q87" s="24">
        <f t="shared" ref="Q87:Q89" si="849">M87*P87</f>
        <v>2316.596</v>
      </c>
      <c r="R87" s="15">
        <v>2.7E-2</v>
      </c>
      <c r="S87" s="112">
        <v>0.18590000000000001</v>
      </c>
      <c r="T87" s="24">
        <f t="shared" ref="T87:T89" si="850">M87*R87</f>
        <v>395.87400000000002</v>
      </c>
      <c r="U87" s="25">
        <v>0.24099999999999999</v>
      </c>
      <c r="V87" s="24">
        <f t="shared" ref="V87:V89" si="851">M87*U87</f>
        <v>3533.5419999999999</v>
      </c>
      <c r="W87" s="15">
        <v>0.48</v>
      </c>
      <c r="X87" s="24">
        <f t="shared" ref="X87:X89" si="852">M87*W87</f>
        <v>7037.7599999999993</v>
      </c>
      <c r="Y87" s="15">
        <v>0.42</v>
      </c>
      <c r="Z87" s="24">
        <f t="shared" ref="Z87:Z89" si="853">Y87*M87</f>
        <v>6158.04</v>
      </c>
      <c r="AA87" s="116">
        <v>2.5000000000000001E-3</v>
      </c>
      <c r="AB87" s="18">
        <f t="shared" ref="AB87" si="854">M87*AA87</f>
        <v>36.655000000000001</v>
      </c>
      <c r="AC87" s="16">
        <v>2.5799999999999998E-3</v>
      </c>
      <c r="AD87" s="17">
        <f t="shared" ref="AD87:AD89" si="855">M87*AC87</f>
        <v>37.827959999999997</v>
      </c>
      <c r="AE87" s="26">
        <f>IF(M87&gt;0,(AG87+AP87)/M87,0)</f>
        <v>2.6650208702769062E-3</v>
      </c>
      <c r="AF87" s="16">
        <v>2.0000000000000001E-4</v>
      </c>
      <c r="AG87" s="23">
        <f t="shared" ref="AG87:AG89" si="856">AF87*M87</f>
        <v>2.9324000000000003</v>
      </c>
      <c r="AH87" s="92">
        <v>0.20899999999999999</v>
      </c>
      <c r="AI87" s="29">
        <f t="shared" ref="AI87:AI89" si="857">AL87*(1-AM87)*AH87</f>
        <v>32.225709999999999</v>
      </c>
      <c r="AJ87" s="27">
        <f t="shared" ref="AJ87:AJ89" si="858">IF(AND(AH87&gt;0,AF87&gt;0,AC87&gt;0),((AC87-AF87)*AH87)/((AH87-AF87)*AC87),0)</f>
        <v>0.92336422228162418</v>
      </c>
      <c r="AK87" s="58">
        <f t="shared" si="639"/>
        <v>0.92574356698072158</v>
      </c>
      <c r="AL87" s="11">
        <v>170</v>
      </c>
      <c r="AM87" s="13">
        <v>9.2999999999999999E-2</v>
      </c>
      <c r="AN87" s="14">
        <v>0.2344</v>
      </c>
      <c r="AO87" s="101">
        <v>0.22220000000000001</v>
      </c>
      <c r="AP87" s="29">
        <f>AL87*(1-AM87)*AN87</f>
        <v>36.142136000000001</v>
      </c>
      <c r="AQ87" s="102">
        <f t="shared" ref="AQ87" si="859">AL87*(1-AM87)*AO87</f>
        <v>34.261018</v>
      </c>
      <c r="AR87" s="18">
        <v>1.55</v>
      </c>
      <c r="AS87" s="18">
        <v>532.6</v>
      </c>
      <c r="AT87" s="79">
        <f>AT85+AL87-AS87+AU87</f>
        <v>486.31999999999954</v>
      </c>
      <c r="AU87" s="80">
        <v>3.68</v>
      </c>
      <c r="AV87" s="11"/>
      <c r="AW87" s="30"/>
      <c r="AX87" s="19"/>
      <c r="AY87" s="19"/>
      <c r="AZ87" s="19"/>
      <c r="BA87" s="19"/>
      <c r="BB87" s="31"/>
    </row>
    <row r="88" spans="1:54">
      <c r="A88" s="147"/>
      <c r="B88" s="32">
        <v>2</v>
      </c>
      <c r="C88" s="10" t="s">
        <v>54</v>
      </c>
      <c r="D88" s="33">
        <v>22100</v>
      </c>
      <c r="E88" s="33">
        <v>2</v>
      </c>
      <c r="F88" s="33">
        <v>14430</v>
      </c>
      <c r="G88" s="34">
        <v>0.7</v>
      </c>
      <c r="H88" s="34">
        <v>5.2</v>
      </c>
      <c r="I88" s="33">
        <v>13947</v>
      </c>
      <c r="J88" s="34">
        <v>4</v>
      </c>
      <c r="K88" s="33">
        <v>15760</v>
      </c>
      <c r="L88" s="35">
        <v>6.4000000000000001E-2</v>
      </c>
      <c r="M88" s="36">
        <f>ROUND(K88*(1-L88),0)</f>
        <v>14751</v>
      </c>
      <c r="N88" s="37">
        <v>0.76500000000000001</v>
      </c>
      <c r="O88" s="24">
        <f t="shared" si="848"/>
        <v>11284.514999999999</v>
      </c>
      <c r="P88" s="35">
        <v>0.19</v>
      </c>
      <c r="Q88" s="24">
        <f t="shared" si="849"/>
        <v>2802.69</v>
      </c>
      <c r="R88" s="38">
        <v>4.4999999999999998E-2</v>
      </c>
      <c r="S88" s="105">
        <v>0.184</v>
      </c>
      <c r="T88" s="24">
        <f t="shared" si="850"/>
        <v>663.79499999999996</v>
      </c>
      <c r="U88" s="27">
        <v>0.23599999999999999</v>
      </c>
      <c r="V88" s="24">
        <f t="shared" si="851"/>
        <v>3481.2359999999999</v>
      </c>
      <c r="W88" s="38">
        <v>0.48</v>
      </c>
      <c r="X88" s="24">
        <f t="shared" si="852"/>
        <v>7080.48</v>
      </c>
      <c r="Y88" s="38">
        <v>0.42</v>
      </c>
      <c r="Z88" s="24">
        <f t="shared" si="853"/>
        <v>6195.42</v>
      </c>
      <c r="AA88" s="117">
        <v>2.3400000000000001E-3</v>
      </c>
      <c r="AB88" s="18">
        <f t="shared" si="722"/>
        <v>34.517340000000004</v>
      </c>
      <c r="AC88" s="39">
        <v>2.3999999999999998E-3</v>
      </c>
      <c r="AD88" s="17">
        <f t="shared" si="855"/>
        <v>35.4024</v>
      </c>
      <c r="AE88" s="26">
        <f>IF(M88&gt;0,(AG88+AP88)/M88,0)</f>
        <v>2.6383788692292049E-3</v>
      </c>
      <c r="AF88" s="39">
        <v>2.1000000000000001E-4</v>
      </c>
      <c r="AG88" s="36">
        <f t="shared" si="856"/>
        <v>3.0977100000000002</v>
      </c>
      <c r="AH88" s="27">
        <v>0.21840000000000001</v>
      </c>
      <c r="AI88" s="40">
        <f t="shared" si="857"/>
        <v>34.118229599999999</v>
      </c>
      <c r="AJ88" s="27">
        <f t="shared" si="858"/>
        <v>0.91337824831568803</v>
      </c>
      <c r="AK88" s="28">
        <f t="shared" si="639"/>
        <v>0.92124937793190509</v>
      </c>
      <c r="AL88" s="33">
        <v>173</v>
      </c>
      <c r="AM88" s="35">
        <v>9.7000000000000003E-2</v>
      </c>
      <c r="AN88" s="37">
        <v>0.2293</v>
      </c>
      <c r="AO88" s="103">
        <v>0.21199999999999999</v>
      </c>
      <c r="AP88" s="40">
        <f>AL88*(1-AM88)*AN88</f>
        <v>35.821016700000001</v>
      </c>
      <c r="AQ88" s="104">
        <f t="shared" si="683"/>
        <v>33.118427999999994</v>
      </c>
      <c r="AR88" s="41">
        <v>1.55</v>
      </c>
      <c r="AS88" s="41"/>
      <c r="AT88" s="129">
        <f>AT87+AL88-AS88</f>
        <v>659.31999999999948</v>
      </c>
      <c r="AU88" s="82"/>
      <c r="AV88" s="42"/>
      <c r="AW88" s="43"/>
      <c r="AX88" s="44"/>
      <c r="AY88" s="44"/>
      <c r="AZ88" s="44"/>
      <c r="BA88" s="44"/>
      <c r="BB88" s="31"/>
    </row>
    <row r="89" spans="1:54">
      <c r="A89" s="147"/>
      <c r="B89" s="32">
        <v>3</v>
      </c>
      <c r="C89" s="143" t="s">
        <v>57</v>
      </c>
      <c r="D89" s="42">
        <v>15798</v>
      </c>
      <c r="E89" s="42">
        <v>0</v>
      </c>
      <c r="F89" s="42">
        <v>13241</v>
      </c>
      <c r="G89" s="36">
        <v>0.7</v>
      </c>
      <c r="H89" s="36">
        <v>5.2</v>
      </c>
      <c r="I89" s="42">
        <v>13101</v>
      </c>
      <c r="J89" s="133">
        <v>5.4</v>
      </c>
      <c r="K89" s="42">
        <v>15729</v>
      </c>
      <c r="L89" s="38">
        <v>6.5000000000000002E-2</v>
      </c>
      <c r="M89" s="36">
        <f>ROUND(K89*(1-L89),0)</f>
        <v>14707</v>
      </c>
      <c r="N89" s="27">
        <v>0.67900000000000005</v>
      </c>
      <c r="O89" s="24">
        <f t="shared" si="848"/>
        <v>9986.0529999999999</v>
      </c>
      <c r="P89" s="38">
        <v>0.27100000000000002</v>
      </c>
      <c r="Q89" s="24">
        <f t="shared" si="849"/>
        <v>3985.5970000000002</v>
      </c>
      <c r="R89" s="38">
        <v>0.05</v>
      </c>
      <c r="S89" s="105">
        <v>0.19839999999999999</v>
      </c>
      <c r="T89" s="24">
        <f t="shared" si="850"/>
        <v>735.35</v>
      </c>
      <c r="U89" s="27">
        <v>0.23799999999999999</v>
      </c>
      <c r="V89" s="24">
        <f t="shared" si="851"/>
        <v>3500.2659999999996</v>
      </c>
      <c r="W89" s="38">
        <v>0.46700000000000003</v>
      </c>
      <c r="X89" s="24">
        <f t="shared" si="852"/>
        <v>6868.1690000000008</v>
      </c>
      <c r="Y89" s="38">
        <v>0.42</v>
      </c>
      <c r="Z89" s="24">
        <f t="shared" si="853"/>
        <v>6176.94</v>
      </c>
      <c r="AA89" s="118">
        <v>2.3700000000000001E-3</v>
      </c>
      <c r="AB89" s="121">
        <f t="shared" si="722"/>
        <v>34.855589999999999</v>
      </c>
      <c r="AC89" s="45">
        <v>2.33E-3</v>
      </c>
      <c r="AD89" s="17">
        <f t="shared" si="855"/>
        <v>34.267310000000002</v>
      </c>
      <c r="AE89" s="26">
        <f>IF(M89&gt;0,(AG89+AP89)/M89,0)</f>
        <v>2.8360944312232272E-3</v>
      </c>
      <c r="AF89" s="45">
        <v>2.0000000000000001E-4</v>
      </c>
      <c r="AG89" s="36">
        <f t="shared" si="856"/>
        <v>2.9414000000000002</v>
      </c>
      <c r="AH89" s="27">
        <v>0.20530000000000001</v>
      </c>
      <c r="AI89" s="40">
        <f t="shared" si="857"/>
        <v>32.998690200000006</v>
      </c>
      <c r="AJ89" s="27">
        <f t="shared" si="858"/>
        <v>0.91505452171347379</v>
      </c>
      <c r="AK89" s="28">
        <f t="shared" si="639"/>
        <v>0.93025183943494361</v>
      </c>
      <c r="AL89" s="42">
        <v>178</v>
      </c>
      <c r="AM89" s="38">
        <v>9.7000000000000003E-2</v>
      </c>
      <c r="AN89" s="27">
        <v>0.2412</v>
      </c>
      <c r="AO89" s="105">
        <v>0.2248</v>
      </c>
      <c r="AP89" s="40">
        <f>AL89*(1-AM89)*AN89</f>
        <v>38.769040799999999</v>
      </c>
      <c r="AQ89" s="106">
        <f t="shared" si="683"/>
        <v>36.133003200000005</v>
      </c>
      <c r="AR89" s="17">
        <v>1.55</v>
      </c>
      <c r="AS89" s="17"/>
      <c r="AT89" s="129">
        <f>AT88+AL89-AS89</f>
        <v>837.31999999999948</v>
      </c>
      <c r="AU89" s="82"/>
      <c r="AV89" s="42"/>
      <c r="AW89" s="46"/>
      <c r="AX89" s="40"/>
      <c r="AY89" s="40"/>
      <c r="AZ89" s="40"/>
      <c r="BA89" s="40"/>
      <c r="BB89" s="31"/>
    </row>
    <row r="90" spans="1:54">
      <c r="A90" s="148"/>
      <c r="B90" s="47" t="s">
        <v>56</v>
      </c>
      <c r="C90" s="48"/>
      <c r="D90" s="49">
        <f t="shared" ref="D90" si="860">SUM(D87:D89)</f>
        <v>42808</v>
      </c>
      <c r="E90" s="49"/>
      <c r="F90" s="49">
        <f t="shared" ref="F90" si="861">SUM(F87:F89)</f>
        <v>43776</v>
      </c>
      <c r="G90" s="50"/>
      <c r="H90" s="50"/>
      <c r="I90" s="49">
        <f t="shared" ref="I90:K90" si="862">SUM(I87:I89)</f>
        <v>42541</v>
      </c>
      <c r="J90" s="50"/>
      <c r="K90" s="49">
        <f t="shared" si="862"/>
        <v>47255</v>
      </c>
      <c r="L90" s="20">
        <f t="shared" ref="L90" si="863">IF(K90&gt;0,(K87*L87+K88*L88+K89*L89)/K90,0)</f>
        <v>6.6334673579515405E-2</v>
      </c>
      <c r="M90" s="50">
        <f t="shared" ref="M90" si="864">M87+M88+M89</f>
        <v>44120</v>
      </c>
      <c r="N90" s="51">
        <f t="shared" ref="N90" si="865">IF(M90&gt;0,O90/M90,0)</f>
        <v>0.75294873073436075</v>
      </c>
      <c r="O90" s="52">
        <f t="shared" ref="O90" si="866">O87+O88+O89</f>
        <v>33220.097999999998</v>
      </c>
      <c r="P90" s="20">
        <f t="shared" ref="P90" si="867">IF(M90&gt;0,Q90/M90,0)</f>
        <v>0.20636634179510427</v>
      </c>
      <c r="Q90" s="52">
        <f t="shared" ref="Q90" si="868">Q87+Q88+Q89</f>
        <v>9104.8829999999998</v>
      </c>
      <c r="R90" s="20">
        <f t="shared" ref="R90" si="869">IF(M90&gt;0,T90/M90,0)</f>
        <v>4.0684927470534898E-2</v>
      </c>
      <c r="S90" s="107"/>
      <c r="T90" s="52">
        <f t="shared" ref="T90" si="870">T87+T88+T89</f>
        <v>1795.0189999999998</v>
      </c>
      <c r="U90" s="20">
        <f t="shared" ref="U90" si="871">IF(M90&gt;0,V90/M90,0)</f>
        <v>0.23832828649138713</v>
      </c>
      <c r="V90" s="52">
        <f t="shared" ref="V90" si="872">V87+V88+V89</f>
        <v>10515.044</v>
      </c>
      <c r="W90" s="20">
        <f t="shared" ref="W90" si="873">IF(M90&gt;0,X90/M90,0)</f>
        <v>0.47566656844968269</v>
      </c>
      <c r="X90" s="52">
        <f t="shared" ref="X90" si="874">X87+X88+X89</f>
        <v>20986.409</v>
      </c>
      <c r="Y90" s="20">
        <f t="shared" ref="Y90" si="875">IF(M90&gt;0,Z90/M90,0)</f>
        <v>0.41999999999999993</v>
      </c>
      <c r="Z90" s="52">
        <f t="shared" ref="Z90" si="876">Z87+Z88+Z89</f>
        <v>18530.399999999998</v>
      </c>
      <c r="AA90" s="119">
        <f t="shared" ref="AA90" si="877">IF(M90&gt;0,AB90/M90,0)</f>
        <v>2.4031715775158658E-3</v>
      </c>
      <c r="AB90" s="54">
        <f t="shared" ref="AB90" si="878">SUM(AB87:AB89)</f>
        <v>106.02793</v>
      </c>
      <c r="AC90" s="53">
        <f t="shared" ref="AC90" si="879">IF(M90&gt;0,AD90/M90,0)</f>
        <v>2.4364839075249321E-3</v>
      </c>
      <c r="AD90" s="54">
        <f t="shared" ref="AD90" si="880">SUM(AD87:AD89)</f>
        <v>107.49767</v>
      </c>
      <c r="AE90" s="53">
        <f t="shared" ref="AE90" si="881">IF(M90&gt;0,(AE87*M87+AE88*M88+AE89*M89)/M90,0)</f>
        <v>2.7131392452402537E-3</v>
      </c>
      <c r="AF90" s="53">
        <f t="shared" ref="AF90" si="882">IF(K90&gt;0,(K87*AF87+K88*AF88+K89*AF89)/K90,0)</f>
        <v>2.0333509681515181E-4</v>
      </c>
      <c r="AG90" s="50">
        <f t="shared" ref="AG90" si="883">SUM(AG87:AG89)</f>
        <v>8.9715100000000003</v>
      </c>
      <c r="AH90" s="51">
        <f t="shared" ref="AH90" si="884">IF(K90&gt;0,(K87*AH87+K88*AH88+K89*AH89)/K90,0)</f>
        <v>0.21090343244101153</v>
      </c>
      <c r="AI90" s="56">
        <f t="shared" ref="AI90" si="885">SUM(AI87:AI89)</f>
        <v>99.342629799999997</v>
      </c>
      <c r="AJ90" s="51">
        <f t="shared" ref="AJ90" si="886">IF(AND(AD90&gt;0),((AD87*AJ87+AD88*AJ88+AD89*AJ89)/AD90),0)</f>
        <v>0.91742661888884702</v>
      </c>
      <c r="AK90" s="55">
        <f t="shared" si="639"/>
        <v>0.92585664485570585</v>
      </c>
      <c r="AL90" s="49">
        <f t="shared" ref="AL90" si="887">SUM(AL87:AL89)</f>
        <v>521</v>
      </c>
      <c r="AM90" s="20">
        <f t="shared" ref="AM90" si="888">IF(AL90&gt;0,(AM87*AL87+AM88*AL88+AM89*AL89)/AL90,0)</f>
        <v>9.5694817658349321E-2</v>
      </c>
      <c r="AN90" s="51">
        <f>IF(K90&gt;0,(AN87*K87+AN88*K88+AN89*K89)/K90,0)</f>
        <v>0.23496250555496775</v>
      </c>
      <c r="AO90" s="107">
        <f>IF(L90&gt;0,(AO87*K87+AO88*K88+AO89*K89)/K90,0)</f>
        <v>0.21966362078086976</v>
      </c>
      <c r="AP90" s="56">
        <f t="shared" ref="AP90:AQ102" si="889">SUM(AP87:AP89)</f>
        <v>110.73219349999999</v>
      </c>
      <c r="AQ90" s="108">
        <f t="shared" si="889"/>
        <v>103.51244920000001</v>
      </c>
      <c r="AR90" s="54"/>
      <c r="AS90" s="54">
        <f t="shared" ref="AS90" si="890">SUM(AS87:AS89)</f>
        <v>532.6</v>
      </c>
      <c r="AT90" s="83"/>
      <c r="AU90" s="84">
        <f>AT89</f>
        <v>837.31999999999948</v>
      </c>
      <c r="AV90" s="49">
        <f t="shared" ref="AV90" si="891">SUM(AV87:AV89)</f>
        <v>0</v>
      </c>
      <c r="AW90" s="57"/>
      <c r="AX90" s="56"/>
      <c r="AY90" s="56"/>
      <c r="AZ90" s="56"/>
      <c r="BA90" s="56"/>
      <c r="BB90" s="21"/>
    </row>
    <row r="91" spans="1:54">
      <c r="A91" s="146">
        <v>23</v>
      </c>
      <c r="B91" s="22">
        <v>1</v>
      </c>
      <c r="C91" s="10" t="s">
        <v>58</v>
      </c>
      <c r="D91" s="11">
        <v>1956</v>
      </c>
      <c r="E91" s="11">
        <v>0</v>
      </c>
      <c r="F91" s="11">
        <v>12399</v>
      </c>
      <c r="G91" s="12">
        <v>1.2</v>
      </c>
      <c r="H91" s="12">
        <v>5.7</v>
      </c>
      <c r="I91" s="11">
        <v>12277</v>
      </c>
      <c r="J91" s="12">
        <v>5.5</v>
      </c>
      <c r="K91" s="11">
        <v>15758</v>
      </c>
      <c r="L91" s="13">
        <v>7.0000000000000007E-2</v>
      </c>
      <c r="M91" s="23">
        <f>ROUND(K91*(1-L91),0)</f>
        <v>14655</v>
      </c>
      <c r="N91" s="14">
        <v>0.71599999999999997</v>
      </c>
      <c r="O91" s="24">
        <f t="shared" ref="O91:O93" si="892">M91*N91</f>
        <v>10492.98</v>
      </c>
      <c r="P91" s="13">
        <v>0.221</v>
      </c>
      <c r="Q91" s="24">
        <f t="shared" ref="Q91:Q93" si="893">M91*P91</f>
        <v>3238.7550000000001</v>
      </c>
      <c r="R91" s="15">
        <v>6.3E-2</v>
      </c>
      <c r="S91" s="112">
        <v>0.1862</v>
      </c>
      <c r="T91" s="24">
        <f t="shared" ref="T91:T93" si="894">M91*R91</f>
        <v>923.26499999999999</v>
      </c>
      <c r="U91" s="25">
        <v>0.23</v>
      </c>
      <c r="V91" s="24">
        <f t="shared" ref="V91:V93" si="895">M91*U91</f>
        <v>3370.65</v>
      </c>
      <c r="W91" s="15">
        <v>0.48</v>
      </c>
      <c r="X91" s="24">
        <f t="shared" ref="X91:X93" si="896">M91*W91</f>
        <v>7034.4</v>
      </c>
      <c r="Y91" s="15">
        <v>0.41</v>
      </c>
      <c r="Z91" s="24">
        <f t="shared" ref="Z91:Z93" si="897">Y91*M91</f>
        <v>6008.5499999999993</v>
      </c>
      <c r="AA91" s="116">
        <v>2.32E-3</v>
      </c>
      <c r="AB91" s="18">
        <f t="shared" ref="AB91" si="898">M91*AA91</f>
        <v>33.999600000000001</v>
      </c>
      <c r="AC91" s="16">
        <v>2.2200000000000002E-3</v>
      </c>
      <c r="AD91" s="17">
        <f t="shared" ref="AD91:AD93" si="899">M91*AC91</f>
        <v>32.534100000000002</v>
      </c>
      <c r="AE91" s="26">
        <f>IF(M91&gt;0,(AG91+AP91)/M91,0)</f>
        <v>2.5201004571818487E-3</v>
      </c>
      <c r="AF91" s="16">
        <v>2.3000000000000001E-4</v>
      </c>
      <c r="AG91" s="23">
        <f t="shared" ref="AG91:AG93" si="900">AF91*M91</f>
        <v>3.3706499999999999</v>
      </c>
      <c r="AH91" s="92">
        <v>0.20119999999999999</v>
      </c>
      <c r="AI91" s="29">
        <f t="shared" ref="AI91:AI93" si="901">AL91*(1-AM91)*AH91</f>
        <v>30.609964399999999</v>
      </c>
      <c r="AJ91" s="27">
        <f t="shared" ref="AJ91:AJ93" si="902">IF(AND(AH91&gt;0,AF91&gt;0,AC91&gt;0),((AC91-AF91)*AH91)/((AH91-AF91)*AC91),0)</f>
        <v>0.89742227673262154</v>
      </c>
      <c r="AK91" s="58">
        <f t="shared" si="639"/>
        <v>0.90968224172951084</v>
      </c>
      <c r="AL91" s="11">
        <v>167</v>
      </c>
      <c r="AM91" s="13">
        <v>8.8999999999999996E-2</v>
      </c>
      <c r="AN91" s="14">
        <v>0.22059999999999999</v>
      </c>
      <c r="AO91" s="101">
        <v>0.21060000000000001</v>
      </c>
      <c r="AP91" s="29">
        <f>AL91*(1-AM91)*AN91</f>
        <v>33.561422199999996</v>
      </c>
      <c r="AQ91" s="102">
        <f t="shared" ref="AQ91" si="903">AL91*(1-AM91)*AO91</f>
        <v>32.040052199999998</v>
      </c>
      <c r="AR91" s="18">
        <v>1.6</v>
      </c>
      <c r="AS91" s="18">
        <v>530.78</v>
      </c>
      <c r="AT91" s="79">
        <f>AT89+AL91-AS91</f>
        <v>473.53999999999951</v>
      </c>
      <c r="AU91" s="80"/>
      <c r="AV91" s="11"/>
      <c r="AW91" s="30"/>
      <c r="AX91" s="19"/>
      <c r="AY91" s="19"/>
      <c r="AZ91" s="19"/>
      <c r="BA91" s="19"/>
      <c r="BB91" s="31"/>
    </row>
    <row r="92" spans="1:54">
      <c r="A92" s="147"/>
      <c r="B92" s="32">
        <v>2</v>
      </c>
      <c r="C92" s="10" t="s">
        <v>53</v>
      </c>
      <c r="D92" s="33">
        <v>19300</v>
      </c>
      <c r="E92" s="33">
        <v>4</v>
      </c>
      <c r="F92" s="33">
        <v>14772</v>
      </c>
      <c r="G92" s="34">
        <v>2</v>
      </c>
      <c r="H92" s="34">
        <v>6.2</v>
      </c>
      <c r="I92" s="33">
        <v>14540</v>
      </c>
      <c r="J92" s="34">
        <v>5.8</v>
      </c>
      <c r="K92" s="33">
        <v>15614</v>
      </c>
      <c r="L92" s="35">
        <v>5.7000000000000002E-2</v>
      </c>
      <c r="M92" s="36">
        <f>ROUND(K92*(1-L92),0)</f>
        <v>14724</v>
      </c>
      <c r="N92" s="37">
        <v>0.69699999999999995</v>
      </c>
      <c r="O92" s="24">
        <f t="shared" si="892"/>
        <v>10262.627999999999</v>
      </c>
      <c r="P92" s="35">
        <v>0.20200000000000001</v>
      </c>
      <c r="Q92" s="24">
        <f t="shared" si="893"/>
        <v>2974.248</v>
      </c>
      <c r="R92" s="38">
        <v>0.10100000000000001</v>
      </c>
      <c r="S92" s="105">
        <v>0.18410000000000001</v>
      </c>
      <c r="T92" s="24">
        <f t="shared" si="894"/>
        <v>1487.124</v>
      </c>
      <c r="U92" s="27">
        <v>0.23799999999999999</v>
      </c>
      <c r="V92" s="24">
        <f t="shared" si="895"/>
        <v>3504.3119999999999</v>
      </c>
      <c r="W92" s="38">
        <v>0.46700000000000003</v>
      </c>
      <c r="X92" s="24">
        <f t="shared" si="896"/>
        <v>6876.1080000000002</v>
      </c>
      <c r="Y92" s="38">
        <v>0.41</v>
      </c>
      <c r="Z92" s="24">
        <f t="shared" si="897"/>
        <v>6036.8399999999992</v>
      </c>
      <c r="AA92" s="117">
        <v>2.2100000000000002E-3</v>
      </c>
      <c r="AB92" s="18">
        <f t="shared" si="722"/>
        <v>32.540040000000005</v>
      </c>
      <c r="AC92" s="39">
        <v>2.0999999999999999E-3</v>
      </c>
      <c r="AD92" s="17">
        <f t="shared" si="899"/>
        <v>30.920399999999997</v>
      </c>
      <c r="AE92" s="26">
        <f>IF(M92&gt;0,(AG92+AP92)/M92,0)</f>
        <v>2.3079503327900026E-3</v>
      </c>
      <c r="AF92" s="39">
        <v>2.4000000000000001E-4</v>
      </c>
      <c r="AG92" s="36">
        <f t="shared" si="900"/>
        <v>3.53376</v>
      </c>
      <c r="AH92" s="27">
        <v>0.20880000000000001</v>
      </c>
      <c r="AI92" s="40">
        <f t="shared" si="901"/>
        <v>28.3443912</v>
      </c>
      <c r="AJ92" s="27">
        <f t="shared" si="902"/>
        <v>0.88673351964491198</v>
      </c>
      <c r="AK92" s="28">
        <f t="shared" si="639"/>
        <v>0.89697138241123997</v>
      </c>
      <c r="AL92" s="33">
        <v>151</v>
      </c>
      <c r="AM92" s="35">
        <v>0.10100000000000001</v>
      </c>
      <c r="AN92" s="37">
        <v>0.2243</v>
      </c>
      <c r="AO92" s="103">
        <v>0.2152</v>
      </c>
      <c r="AP92" s="40">
        <f>AL92*(1-AM92)*AN92</f>
        <v>30.4485007</v>
      </c>
      <c r="AQ92" s="104">
        <f t="shared" si="683"/>
        <v>29.213184800000001</v>
      </c>
      <c r="AR92" s="41">
        <v>1.56</v>
      </c>
      <c r="AS92" s="41"/>
      <c r="AT92" s="129">
        <f>AT91+AL92-AS92</f>
        <v>624.53999999999951</v>
      </c>
      <c r="AU92" s="82"/>
      <c r="AV92" s="42"/>
      <c r="AW92" s="43"/>
      <c r="AX92" s="44"/>
      <c r="AY92" s="44"/>
      <c r="AZ92" s="44"/>
      <c r="BA92" s="44"/>
      <c r="BB92" s="31"/>
    </row>
    <row r="93" spans="1:54">
      <c r="A93" s="147"/>
      <c r="B93" s="32">
        <v>3</v>
      </c>
      <c r="C93" s="143" t="s">
        <v>57</v>
      </c>
      <c r="D93" s="42">
        <v>21759</v>
      </c>
      <c r="E93" s="42">
        <v>1</v>
      </c>
      <c r="F93" s="42">
        <v>16302</v>
      </c>
      <c r="G93" s="36">
        <v>1.6</v>
      </c>
      <c r="H93" s="36">
        <v>5.9</v>
      </c>
      <c r="I93" s="42">
        <v>15771</v>
      </c>
      <c r="J93" s="36">
        <v>5</v>
      </c>
      <c r="K93" s="42">
        <v>15492</v>
      </c>
      <c r="L93" s="38">
        <v>6.6000000000000003E-2</v>
      </c>
      <c r="M93" s="36">
        <f>ROUND(K93*(1-L93),0)</f>
        <v>14470</v>
      </c>
      <c r="N93" s="27">
        <v>0.60499999999999998</v>
      </c>
      <c r="O93" s="24">
        <f t="shared" si="892"/>
        <v>8754.35</v>
      </c>
      <c r="P93" s="38">
        <v>0.307</v>
      </c>
      <c r="Q93" s="24">
        <f t="shared" si="893"/>
        <v>4442.29</v>
      </c>
      <c r="R93" s="38">
        <v>8.7999999999999995E-2</v>
      </c>
      <c r="S93" s="105">
        <v>0.17630000000000001</v>
      </c>
      <c r="T93" s="24">
        <f t="shared" si="894"/>
        <v>1273.3599999999999</v>
      </c>
      <c r="U93" s="27">
        <v>0.23300000000000001</v>
      </c>
      <c r="V93" s="24">
        <f t="shared" si="895"/>
        <v>3371.51</v>
      </c>
      <c r="W93" s="38">
        <v>0.48499999999999999</v>
      </c>
      <c r="X93" s="24">
        <f t="shared" si="896"/>
        <v>7017.95</v>
      </c>
      <c r="Y93" s="38">
        <v>0.42</v>
      </c>
      <c r="Z93" s="24">
        <f t="shared" si="897"/>
        <v>6077.4</v>
      </c>
      <c r="AA93" s="118">
        <v>2.3400000000000001E-3</v>
      </c>
      <c r="AB93" s="121">
        <f t="shared" si="722"/>
        <v>33.8598</v>
      </c>
      <c r="AC93" s="45">
        <v>2.3600000000000001E-3</v>
      </c>
      <c r="AD93" s="17">
        <f t="shared" si="899"/>
        <v>34.1492</v>
      </c>
      <c r="AE93" s="26">
        <f>IF(M93&gt;0,(AG93+AP93)/M93,0)</f>
        <v>2.7550042294402213E-3</v>
      </c>
      <c r="AF93" s="45">
        <v>2.5000000000000001E-4</v>
      </c>
      <c r="AG93" s="36">
        <f t="shared" si="900"/>
        <v>3.6175000000000002</v>
      </c>
      <c r="AH93" s="27">
        <v>0.2117</v>
      </c>
      <c r="AI93" s="40">
        <f t="shared" si="901"/>
        <v>33.421502400000001</v>
      </c>
      <c r="AJ93" s="27">
        <f t="shared" si="902"/>
        <v>0.89512486423444249</v>
      </c>
      <c r="AK93" s="28">
        <f t="shared" si="639"/>
        <v>0.91024716045479959</v>
      </c>
      <c r="AL93" s="42">
        <v>176</v>
      </c>
      <c r="AM93" s="38">
        <v>0.10299999999999999</v>
      </c>
      <c r="AN93" s="27">
        <v>0.2296</v>
      </c>
      <c r="AO93" s="105">
        <v>0.21149999999999999</v>
      </c>
      <c r="AP93" s="40">
        <f>AL93*(1-AM93)*AN93</f>
        <v>36.247411200000002</v>
      </c>
      <c r="AQ93" s="106">
        <f t="shared" si="683"/>
        <v>33.389928000000005</v>
      </c>
      <c r="AR93" s="17">
        <v>1.5</v>
      </c>
      <c r="AS93" s="17"/>
      <c r="AT93" s="129">
        <f>AT92+AL93-AS93</f>
        <v>800.53999999999951</v>
      </c>
      <c r="AU93" s="82"/>
      <c r="AV93" s="42"/>
      <c r="AW93" s="46"/>
      <c r="AX93" s="40"/>
      <c r="AY93" s="40"/>
      <c r="AZ93" s="40"/>
      <c r="BA93" s="40"/>
      <c r="BB93" s="31"/>
    </row>
    <row r="94" spans="1:54">
      <c r="A94" s="148"/>
      <c r="B94" s="47" t="s">
        <v>56</v>
      </c>
      <c r="C94" s="48"/>
      <c r="D94" s="49">
        <f t="shared" ref="D94" si="904">SUM(D91:D93)</f>
        <v>43015</v>
      </c>
      <c r="E94" s="49"/>
      <c r="F94" s="49">
        <f t="shared" ref="F94" si="905">SUM(F91:F93)</f>
        <v>43473</v>
      </c>
      <c r="G94" s="50"/>
      <c r="H94" s="50"/>
      <c r="I94" s="49">
        <f t="shared" ref="I94:K94" si="906">SUM(I91:I93)</f>
        <v>42588</v>
      </c>
      <c r="J94" s="50"/>
      <c r="K94" s="49">
        <f t="shared" si="906"/>
        <v>46864</v>
      </c>
      <c r="L94" s="20">
        <f t="shared" ref="L94" si="907">IF(K94&gt;0,(K91*L91+K92*L92+K93*L93)/K94,0)</f>
        <v>6.4346406623420963E-2</v>
      </c>
      <c r="M94" s="50">
        <f t="shared" ref="M94" si="908">M91+M92+M93</f>
        <v>43849</v>
      </c>
      <c r="N94" s="51">
        <f t="shared" ref="N94" si="909">IF(M94&gt;0,O94/M94,0)</f>
        <v>0.67299044447991974</v>
      </c>
      <c r="O94" s="52">
        <f t="shared" ref="O94" si="910">O91+O92+O93</f>
        <v>29509.957999999999</v>
      </c>
      <c r="P94" s="20">
        <f t="shared" ref="P94" si="911">IF(M94&gt;0,Q94/M94,0)</f>
        <v>0.24299968072247946</v>
      </c>
      <c r="Q94" s="52">
        <f t="shared" ref="Q94" si="912">Q91+Q92+Q93</f>
        <v>10655.293000000001</v>
      </c>
      <c r="R94" s="20">
        <f t="shared" ref="R94" si="913">IF(M94&gt;0,T94/M94,0)</f>
        <v>8.4009874797600859E-2</v>
      </c>
      <c r="S94" s="107"/>
      <c r="T94" s="52">
        <f t="shared" ref="T94" si="914">T91+T92+T93</f>
        <v>3683.7489999999998</v>
      </c>
      <c r="U94" s="20">
        <f t="shared" ref="U94" si="915">IF(M94&gt;0,V94/M94,0)</f>
        <v>0.23367629820520422</v>
      </c>
      <c r="V94" s="52">
        <f t="shared" ref="V94" si="916">V91+V92+V93</f>
        <v>10246.472</v>
      </c>
      <c r="W94" s="20">
        <f t="shared" ref="W94" si="917">IF(M94&gt;0,X94/M94,0)</f>
        <v>0.47728472713174758</v>
      </c>
      <c r="X94" s="52">
        <f t="shared" ref="X94" si="918">X91+X92+X93</f>
        <v>20928.457999999999</v>
      </c>
      <c r="Y94" s="20">
        <f t="shared" ref="Y94" si="919">IF(M94&gt;0,Z94/M94,0)</f>
        <v>0.41329996123058682</v>
      </c>
      <c r="Z94" s="52">
        <f t="shared" ref="Z94" si="920">Z91+Z92+Z93</f>
        <v>18122.79</v>
      </c>
      <c r="AA94" s="119">
        <f t="shared" ref="AA94" si="921">IF(M94&gt;0,AB94/M94,0)</f>
        <v>2.2896631622157859E-3</v>
      </c>
      <c r="AB94" s="54">
        <f t="shared" ref="AB94" si="922">SUM(AB91:AB93)</f>
        <v>100.39944</v>
      </c>
      <c r="AC94" s="53">
        <f t="shared" ref="AC94" si="923">IF(M94&gt;0,AD94/M94,0)</f>
        <v>2.2259048096877924E-3</v>
      </c>
      <c r="AD94" s="54">
        <f t="shared" ref="AD94" si="924">SUM(AD91:AD93)</f>
        <v>97.603700000000003</v>
      </c>
      <c r="AE94" s="53">
        <f t="shared" ref="AE94" si="925">IF(M94&gt;0,(AE91*M91+AE92*M92+AE93*M93)/M94,0)</f>
        <v>2.5263801705854181E-3</v>
      </c>
      <c r="AF94" s="53">
        <f t="shared" ref="AF94" si="926">IF(K94&gt;0,(K91*AF91+K92*AF92+K93*AF93)/K94,0)</f>
        <v>2.3994324001365658E-4</v>
      </c>
      <c r="AG94" s="50">
        <f t="shared" ref="AG94" si="927">SUM(AG91:AG93)</f>
        <v>10.52191</v>
      </c>
      <c r="AH94" s="51">
        <f t="shared" ref="AH94" si="928">IF(K94&gt;0,(K91*AH91+K92*AH92+K93*AH93)/K94,0)</f>
        <v>0.20720316660976446</v>
      </c>
      <c r="AI94" s="56">
        <f t="shared" ref="AI94" si="929">SUM(AI91:AI93)</f>
        <v>92.375857999999994</v>
      </c>
      <c r="AJ94" s="51">
        <f t="shared" ref="AJ94" si="930">IF(AND(AD94&gt;0),((AD91*AJ91+AD92*AJ92+AD93*AJ93)/AD94),0)</f>
        <v>0.89323231832389693</v>
      </c>
      <c r="AK94" s="55">
        <f t="shared" si="639"/>
        <v>0.905991876163591</v>
      </c>
      <c r="AL94" s="49">
        <f t="shared" ref="AL94" si="931">SUM(AL91:AL93)</f>
        <v>494</v>
      </c>
      <c r="AM94" s="20">
        <f t="shared" ref="AM94" si="932">IF(AL94&gt;0,(AM91*AL91+AM92*AL92+AM93*AL93)/AL94,0)</f>
        <v>9.7655870445344142E-2</v>
      </c>
      <c r="AN94" s="51">
        <f>IF(K94&gt;0,(AN91*K91+AN92*K92+AN93*K93)/K94,0)</f>
        <v>0.22480791652441107</v>
      </c>
      <c r="AO94" s="107">
        <f>IF(L94&gt;0,(AO91*K91+AO92*K92+AO93*K93)/K94,0)</f>
        <v>0.21243012973711164</v>
      </c>
      <c r="AP94" s="56">
        <f t="shared" ref="AP94" si="933">SUM(AP91:AP93)</f>
        <v>100.25733409999999</v>
      </c>
      <c r="AQ94" s="108">
        <f t="shared" si="889"/>
        <v>94.64316500000001</v>
      </c>
      <c r="AR94" s="54"/>
      <c r="AS94" s="54">
        <f t="shared" ref="AS94" si="934">SUM(AS91:AS93)</f>
        <v>530.78</v>
      </c>
      <c r="AT94" s="83"/>
      <c r="AU94" s="84">
        <f>AT93</f>
        <v>800.53999999999951</v>
      </c>
      <c r="AV94" s="49">
        <f t="shared" ref="AV94" si="935">SUM(AV91:AV93)</f>
        <v>0</v>
      </c>
      <c r="AW94" s="57"/>
      <c r="AX94" s="56"/>
      <c r="AY94" s="56"/>
      <c r="AZ94" s="56"/>
      <c r="BA94" s="56"/>
      <c r="BB94" s="21"/>
    </row>
    <row r="95" spans="1:54">
      <c r="A95" s="146">
        <v>24</v>
      </c>
      <c r="B95" s="22">
        <v>1</v>
      </c>
      <c r="C95" s="10" t="s">
        <v>58</v>
      </c>
      <c r="D95" s="11">
        <v>3108</v>
      </c>
      <c r="E95" s="11">
        <v>1</v>
      </c>
      <c r="F95" s="11">
        <v>11674</v>
      </c>
      <c r="G95" s="12">
        <v>1.1000000000000001</v>
      </c>
      <c r="H95" s="12">
        <v>5.4</v>
      </c>
      <c r="I95" s="11">
        <v>11330</v>
      </c>
      <c r="J95" s="12">
        <v>7.7</v>
      </c>
      <c r="K95" s="11">
        <v>15374</v>
      </c>
      <c r="L95" s="13">
        <v>7.5999999999999998E-2</v>
      </c>
      <c r="M95" s="23">
        <f>ROUND(K95*(1-L95),0)</f>
        <v>14206</v>
      </c>
      <c r="N95" s="14">
        <v>0.69</v>
      </c>
      <c r="O95" s="24">
        <f t="shared" ref="O95:O97" si="936">M95*N95</f>
        <v>9802.14</v>
      </c>
      <c r="P95" s="13">
        <v>0.26500000000000001</v>
      </c>
      <c r="Q95" s="24">
        <f t="shared" ref="Q95:Q97" si="937">M95*P95</f>
        <v>3764.59</v>
      </c>
      <c r="R95" s="15">
        <v>4.4999999999999998E-2</v>
      </c>
      <c r="S95" s="112">
        <v>0.1653</v>
      </c>
      <c r="T95" s="24">
        <f t="shared" ref="T95:T97" si="938">M95*R95</f>
        <v>639.27</v>
      </c>
      <c r="U95" s="25">
        <v>0.217</v>
      </c>
      <c r="V95" s="24">
        <f t="shared" ref="V95:V97" si="939">M95*U95</f>
        <v>3082.7019999999998</v>
      </c>
      <c r="W95" s="15">
        <v>0.505</v>
      </c>
      <c r="X95" s="24">
        <f t="shared" ref="X95:X97" si="940">M95*W95</f>
        <v>7174.03</v>
      </c>
      <c r="Y95" s="15">
        <v>0.42</v>
      </c>
      <c r="Z95" s="24">
        <f t="shared" ref="Z95:Z97" si="941">Y95*M95</f>
        <v>5966.5199999999995</v>
      </c>
      <c r="AA95" s="116">
        <v>2.7799999999999999E-3</v>
      </c>
      <c r="AB95" s="18">
        <f t="shared" ref="AB95" si="942">M95*AA95</f>
        <v>39.49268</v>
      </c>
      <c r="AC95" s="16">
        <v>2.7399999999999998E-3</v>
      </c>
      <c r="AD95" s="17">
        <f t="shared" ref="AD95:AD97" si="943">M95*AC95</f>
        <v>38.924439999999997</v>
      </c>
      <c r="AE95" s="26">
        <f>IF(M95&gt;0,(AG95+AP95)/M95,0)</f>
        <v>2.9833783612558079E-3</v>
      </c>
      <c r="AF95" s="16">
        <v>2.9E-4</v>
      </c>
      <c r="AG95" s="23">
        <f t="shared" ref="AG95:AG97" si="944">AF95*M95</f>
        <v>4.1197400000000002</v>
      </c>
      <c r="AH95" s="92">
        <v>0.2087</v>
      </c>
      <c r="AI95" s="29">
        <f t="shared" ref="AI95:AI97" si="945">AL95*(1-AM95)*AH95</f>
        <v>34.374977000000001</v>
      </c>
      <c r="AJ95" s="27">
        <f t="shared" ref="AJ95:AJ97" si="946">IF(AND(AH95&gt;0,AF95&gt;0,AC95&gt;0),((AC95-AF95)*AH95)/((AH95-AF95)*AC95),0)</f>
        <v>0.89540479760382485</v>
      </c>
      <c r="AK95" s="58">
        <f t="shared" si="639"/>
        <v>0.90392320803758541</v>
      </c>
      <c r="AL95" s="11">
        <v>182</v>
      </c>
      <c r="AM95" s="13">
        <v>9.5000000000000001E-2</v>
      </c>
      <c r="AN95" s="14">
        <v>0.23230000000000001</v>
      </c>
      <c r="AO95" s="101">
        <v>0.2147</v>
      </c>
      <c r="AP95" s="29">
        <f>AL95*(1-AM95)*AN95</f>
        <v>38.262133000000006</v>
      </c>
      <c r="AQ95" s="102">
        <f t="shared" ref="AQ95" si="947">AL95*(1-AM95)*AO95</f>
        <v>35.363237000000005</v>
      </c>
      <c r="AR95" s="18">
        <v>1.6</v>
      </c>
      <c r="AS95" s="18">
        <v>547.46</v>
      </c>
      <c r="AT95" s="79">
        <f>AT93+AL95-AS95+AU95</f>
        <v>449.47999999999945</v>
      </c>
      <c r="AU95" s="80">
        <v>14.4</v>
      </c>
      <c r="AV95" s="11"/>
      <c r="AW95" s="30"/>
      <c r="AX95" s="19"/>
      <c r="AY95" s="19"/>
      <c r="AZ95" s="19"/>
      <c r="BA95" s="19"/>
      <c r="BB95" s="31"/>
    </row>
    <row r="96" spans="1:54">
      <c r="A96" s="147"/>
      <c r="B96" s="32">
        <v>2</v>
      </c>
      <c r="C96" s="10" t="s">
        <v>53</v>
      </c>
      <c r="D96" s="33">
        <v>19090</v>
      </c>
      <c r="E96" s="33">
        <v>3</v>
      </c>
      <c r="F96" s="33">
        <v>15517</v>
      </c>
      <c r="G96" s="34">
        <v>0.8</v>
      </c>
      <c r="H96" s="34">
        <v>4</v>
      </c>
      <c r="I96" s="33">
        <v>14948</v>
      </c>
      <c r="J96" s="34">
        <v>6.3</v>
      </c>
      <c r="K96" s="33">
        <v>15531</v>
      </c>
      <c r="L96" s="35">
        <v>7.5999999999999998E-2</v>
      </c>
      <c r="M96" s="36">
        <f>ROUND(K96*(1-L96),0)</f>
        <v>14351</v>
      </c>
      <c r="N96" s="37">
        <v>0.64300000000000002</v>
      </c>
      <c r="O96" s="24">
        <f t="shared" si="936"/>
        <v>9227.6930000000011</v>
      </c>
      <c r="P96" s="35">
        <v>0.32100000000000001</v>
      </c>
      <c r="Q96" s="24">
        <f t="shared" si="937"/>
        <v>4606.6710000000003</v>
      </c>
      <c r="R96" s="38">
        <v>3.5999999999999997E-2</v>
      </c>
      <c r="S96" s="105">
        <v>0.15820000000000001</v>
      </c>
      <c r="T96" s="24">
        <f t="shared" si="938"/>
        <v>516.63599999999997</v>
      </c>
      <c r="U96" s="27">
        <v>0.21199999999999999</v>
      </c>
      <c r="V96" s="24">
        <f t="shared" si="939"/>
        <v>3042.4119999999998</v>
      </c>
      <c r="W96" s="38">
        <v>0.46800000000000003</v>
      </c>
      <c r="X96" s="24">
        <f t="shared" si="940"/>
        <v>6716.268</v>
      </c>
      <c r="Y96" s="38">
        <v>0.4</v>
      </c>
      <c r="Z96" s="24">
        <f t="shared" si="941"/>
        <v>5740.4000000000005</v>
      </c>
      <c r="AA96" s="117">
        <v>2.7699999999999999E-3</v>
      </c>
      <c r="AB96" s="18">
        <f t="shared" si="722"/>
        <v>39.752269999999996</v>
      </c>
      <c r="AC96" s="39">
        <v>2.7699999999999999E-3</v>
      </c>
      <c r="AD96" s="17">
        <f t="shared" si="943"/>
        <v>39.752269999999996</v>
      </c>
      <c r="AE96" s="26">
        <f>IF(M96&gt;0,(AG96+AP96)/M96,0)</f>
        <v>2.9279636959096923E-3</v>
      </c>
      <c r="AF96" s="39">
        <v>2.9E-4</v>
      </c>
      <c r="AG96" s="36">
        <f t="shared" si="944"/>
        <v>4.1617899999999999</v>
      </c>
      <c r="AH96" s="27">
        <v>0.2072</v>
      </c>
      <c r="AI96" s="40">
        <f t="shared" si="945"/>
        <v>34.877976000000004</v>
      </c>
      <c r="AJ96" s="27">
        <f t="shared" si="946"/>
        <v>0.89656169942214914</v>
      </c>
      <c r="AK96" s="28">
        <f t="shared" si="639"/>
        <v>0.90211830335733334</v>
      </c>
      <c r="AL96" s="33">
        <v>186</v>
      </c>
      <c r="AM96" s="35">
        <v>9.5000000000000001E-2</v>
      </c>
      <c r="AN96" s="37">
        <v>0.22489999999999999</v>
      </c>
      <c r="AO96" s="103">
        <v>0.21290000000000001</v>
      </c>
      <c r="AP96" s="40">
        <f>AL96*(1-AM96)*AN96</f>
        <v>37.857416999999998</v>
      </c>
      <c r="AQ96" s="104">
        <f t="shared" si="683"/>
        <v>35.837457000000001</v>
      </c>
      <c r="AR96" s="41">
        <v>1.57</v>
      </c>
      <c r="AS96" s="41"/>
      <c r="AT96" s="129">
        <f>AT95+AL96-AS96</f>
        <v>635.47999999999945</v>
      </c>
      <c r="AU96" s="82"/>
      <c r="AV96" s="42"/>
      <c r="AW96" s="43"/>
      <c r="AX96" s="44"/>
      <c r="AY96" s="44"/>
      <c r="AZ96" s="44"/>
      <c r="BA96" s="44"/>
      <c r="BB96" s="31"/>
    </row>
    <row r="97" spans="1:54">
      <c r="A97" s="147"/>
      <c r="B97" s="32">
        <v>3</v>
      </c>
      <c r="C97" s="10" t="s">
        <v>54</v>
      </c>
      <c r="D97" s="42">
        <v>17500</v>
      </c>
      <c r="E97" s="42">
        <v>0</v>
      </c>
      <c r="F97" s="42">
        <v>16927</v>
      </c>
      <c r="G97" s="36">
        <v>0.8</v>
      </c>
      <c r="H97" s="36">
        <v>5.0999999999999996</v>
      </c>
      <c r="I97" s="42">
        <v>16695</v>
      </c>
      <c r="J97" s="36">
        <v>6</v>
      </c>
      <c r="K97" s="42">
        <v>15566</v>
      </c>
      <c r="L97" s="38">
        <v>7.0999999999999994E-2</v>
      </c>
      <c r="M97" s="36">
        <f>ROUND(K97*(1-L97),0)</f>
        <v>14461</v>
      </c>
      <c r="N97" s="27">
        <v>0.59699999999999998</v>
      </c>
      <c r="O97" s="24">
        <f t="shared" si="936"/>
        <v>8633.2169999999987</v>
      </c>
      <c r="P97" s="38">
        <v>0.315</v>
      </c>
      <c r="Q97" s="24">
        <f t="shared" si="937"/>
        <v>4555.2150000000001</v>
      </c>
      <c r="R97" s="38">
        <v>8.7999999999999995E-2</v>
      </c>
      <c r="S97" s="105">
        <v>0.16850000000000001</v>
      </c>
      <c r="T97" s="24">
        <f t="shared" si="938"/>
        <v>1272.568</v>
      </c>
      <c r="U97" s="27">
        <v>0.22</v>
      </c>
      <c r="V97" s="24">
        <f t="shared" si="939"/>
        <v>3181.42</v>
      </c>
      <c r="W97" s="38">
        <v>0.496</v>
      </c>
      <c r="X97" s="24">
        <f t="shared" si="940"/>
        <v>7172.6559999999999</v>
      </c>
      <c r="Y97" s="38">
        <v>0.41</v>
      </c>
      <c r="Z97" s="24">
        <f t="shared" si="941"/>
        <v>5929.0099999999993</v>
      </c>
      <c r="AA97" s="118">
        <v>2.9499999999999999E-3</v>
      </c>
      <c r="AB97" s="121">
        <f t="shared" si="722"/>
        <v>42.659950000000002</v>
      </c>
      <c r="AC97" s="45">
        <v>2.9499999999999999E-3</v>
      </c>
      <c r="AD97" s="17">
        <f t="shared" si="943"/>
        <v>42.659950000000002</v>
      </c>
      <c r="AE97" s="26">
        <f>IF(M97&gt;0,(AG97+AP97)/M97,0)</f>
        <v>3.162391618836872E-3</v>
      </c>
      <c r="AF97" s="45">
        <v>3.1E-4</v>
      </c>
      <c r="AG97" s="36">
        <f t="shared" si="944"/>
        <v>4.4829100000000004</v>
      </c>
      <c r="AH97" s="27">
        <v>0.21790000000000001</v>
      </c>
      <c r="AI97" s="40">
        <f t="shared" si="945"/>
        <v>38.214430400000005</v>
      </c>
      <c r="AJ97" s="27">
        <f t="shared" si="946"/>
        <v>0.8961902380546215</v>
      </c>
      <c r="AK97" s="28">
        <f t="shared" si="639"/>
        <v>0.90316331895645718</v>
      </c>
      <c r="AL97" s="42">
        <v>194</v>
      </c>
      <c r="AM97" s="38">
        <v>9.6000000000000002E-2</v>
      </c>
      <c r="AN97" s="27">
        <v>0.23519999999999999</v>
      </c>
      <c r="AO97" s="105">
        <v>0.21990000000000001</v>
      </c>
      <c r="AP97" s="40">
        <f>AL97*(1-AM97)*AN97</f>
        <v>41.248435200000003</v>
      </c>
      <c r="AQ97" s="106">
        <f t="shared" si="683"/>
        <v>38.565182400000005</v>
      </c>
      <c r="AR97" s="17">
        <v>1.58</v>
      </c>
      <c r="AS97" s="17"/>
      <c r="AT97" s="129">
        <f>AT96+AL97-AS97</f>
        <v>829.47999999999945</v>
      </c>
      <c r="AU97" s="82"/>
      <c r="AV97" s="42"/>
      <c r="AW97" s="46"/>
      <c r="AX97" s="40"/>
      <c r="AY97" s="40"/>
      <c r="AZ97" s="40"/>
      <c r="BA97" s="40"/>
      <c r="BB97" s="31"/>
    </row>
    <row r="98" spans="1:54">
      <c r="A98" s="148"/>
      <c r="B98" s="47" t="s">
        <v>56</v>
      </c>
      <c r="C98" s="48"/>
      <c r="D98" s="49">
        <f t="shared" ref="D98" si="948">SUM(D95:D97)</f>
        <v>39698</v>
      </c>
      <c r="E98" s="49"/>
      <c r="F98" s="49">
        <f t="shared" ref="F98" si="949">SUM(F95:F97)</f>
        <v>44118</v>
      </c>
      <c r="G98" s="50"/>
      <c r="H98" s="50"/>
      <c r="I98" s="49">
        <f t="shared" ref="I98:K98" si="950">SUM(I95:I97)</f>
        <v>42973</v>
      </c>
      <c r="J98" s="50"/>
      <c r="K98" s="49">
        <f t="shared" si="950"/>
        <v>46471</v>
      </c>
      <c r="L98" s="20">
        <f t="shared" ref="L98" si="951">IF(K98&gt;0,(K95*L95+K96*L96+K97*L97)/K98,0)</f>
        <v>7.4325192055260253E-2</v>
      </c>
      <c r="M98" s="50">
        <f t="shared" ref="M98" si="952">M95+M96+M97</f>
        <v>43018</v>
      </c>
      <c r="N98" s="51">
        <f t="shared" ref="N98" si="953">IF(M98&gt;0,O98/M98,0)</f>
        <v>0.64305755730159453</v>
      </c>
      <c r="O98" s="52">
        <f t="shared" ref="O98" si="954">O95+O96+O97</f>
        <v>27663.049999999996</v>
      </c>
      <c r="P98" s="20">
        <f t="shared" ref="P98" si="955">IF(M98&gt;0,Q98/M98,0)</f>
        <v>0.30048993444604588</v>
      </c>
      <c r="Q98" s="52">
        <f t="shared" ref="Q98" si="956">Q95+Q96+Q97</f>
        <v>12926.476000000001</v>
      </c>
      <c r="R98" s="20">
        <f t="shared" ref="R98" si="957">IF(M98&gt;0,T98/M98,0)</f>
        <v>5.6452508252359479E-2</v>
      </c>
      <c r="S98" s="107"/>
      <c r="T98" s="52">
        <f t="shared" ref="T98" si="958">T95+T96+T97</f>
        <v>2428.4740000000002</v>
      </c>
      <c r="U98" s="20">
        <f t="shared" ref="U98" si="959">IF(M98&gt;0,V98/M98,0)</f>
        <v>0.21634046213213073</v>
      </c>
      <c r="V98" s="52">
        <f t="shared" ref="V98" si="960">V95+V96+V97</f>
        <v>9306.5339999999997</v>
      </c>
      <c r="W98" s="20">
        <f t="shared" ref="W98" si="961">IF(M98&gt;0,X98/M98,0)</f>
        <v>0.4896311776465665</v>
      </c>
      <c r="X98" s="52">
        <f t="shared" ref="X98" si="962">X95+X96+X97</f>
        <v>21062.953999999998</v>
      </c>
      <c r="Y98" s="20">
        <f t="shared" ref="Y98" si="963">IF(M98&gt;0,Z98/M98,0)</f>
        <v>0.40996629317959926</v>
      </c>
      <c r="Z98" s="52">
        <f t="shared" ref="Z98" si="964">Z95+Z96+Z97</f>
        <v>17635.93</v>
      </c>
      <c r="AA98" s="119">
        <f t="shared" ref="AA98" si="965">IF(M98&gt;0,AB98/M98,0)</f>
        <v>2.8338114277744199E-3</v>
      </c>
      <c r="AB98" s="54">
        <f t="shared" ref="AB98" si="966">SUM(AB95:AB97)</f>
        <v>121.9049</v>
      </c>
      <c r="AC98" s="53">
        <f t="shared" ref="AC98" si="967">IF(M98&gt;0,AD98/M98,0)</f>
        <v>2.8206020735506068E-3</v>
      </c>
      <c r="AD98" s="54">
        <f t="shared" ref="AD98" si="968">SUM(AD95:AD97)</f>
        <v>121.33665999999999</v>
      </c>
      <c r="AE98" s="53">
        <f t="shared" ref="AE98" si="969">IF(M98&gt;0,(AE95*M95+AE96*M96+AE97*M97)/M98,0)</f>
        <v>3.0250691617462458E-3</v>
      </c>
      <c r="AF98" s="53">
        <f t="shared" ref="AF98" si="970">IF(K98&gt;0,(K95*AF95+K96*AF96+K97*AF97)/K98,0)</f>
        <v>2.9669923177895891E-4</v>
      </c>
      <c r="AG98" s="50">
        <f t="shared" ref="AG98" si="971">SUM(AG95:AG97)</f>
        <v>12.76444</v>
      </c>
      <c r="AH98" s="51">
        <f t="shared" ref="AH98" si="972">IF(K98&gt;0,(K95*AH95+K96*AH96+K97*AH97)/K98,0)</f>
        <v>0.2112803339717243</v>
      </c>
      <c r="AI98" s="56">
        <f t="shared" ref="AI98" si="973">SUM(AI95:AI97)</f>
        <v>107.46738340000002</v>
      </c>
      <c r="AJ98" s="51">
        <f t="shared" ref="AJ98" si="974">IF(AND(AD98&gt;0),((AD95*AJ95+AD96*AJ96+AD97*AJ97)/AD98),0)</f>
        <v>0.89605996912251074</v>
      </c>
      <c r="AK98" s="55">
        <f t="shared" si="639"/>
        <v>0.90308079377448147</v>
      </c>
      <c r="AL98" s="49">
        <f t="shared" ref="AL98" si="975">SUM(AL95:AL97)</f>
        <v>562</v>
      </c>
      <c r="AM98" s="20">
        <f t="shared" ref="AM98" si="976">IF(AL98&gt;0,(AM95*AL95+AM96*AL96+AM97*AL97)/AL98,0)</f>
        <v>9.5345195729537369E-2</v>
      </c>
      <c r="AN98" s="51">
        <f>IF(K98&gt;0,(AN95*K95+AN96*K96+AN97*K97)/K98,0)</f>
        <v>0.23079824621807146</v>
      </c>
      <c r="AO98" s="107">
        <f>IF(L98&gt;0,(AO95*K95+AO96*K96+AO97*K97)/K98,0)</f>
        <v>0.21584022508661319</v>
      </c>
      <c r="AP98" s="56">
        <f t="shared" ref="AP98" si="977">SUM(AP95:AP97)</f>
        <v>117.36798520000001</v>
      </c>
      <c r="AQ98" s="108">
        <f t="shared" si="889"/>
        <v>109.7658764</v>
      </c>
      <c r="AR98" s="54"/>
      <c r="AS98" s="54">
        <f t="shared" ref="AS98" si="978">SUM(AS95:AS97)</f>
        <v>547.46</v>
      </c>
      <c r="AT98" s="83"/>
      <c r="AU98" s="84">
        <f>AT97</f>
        <v>829.47999999999945</v>
      </c>
      <c r="AV98" s="49">
        <f t="shared" ref="AV98" si="979">SUM(AV95:AV97)</f>
        <v>0</v>
      </c>
      <c r="AW98" s="57"/>
      <c r="AX98" s="56"/>
      <c r="AY98" s="56"/>
      <c r="AZ98" s="56"/>
      <c r="BA98" s="56"/>
      <c r="BB98" s="21"/>
    </row>
    <row r="99" spans="1:54">
      <c r="A99" s="150">
        <v>25</v>
      </c>
      <c r="B99" s="32">
        <v>1</v>
      </c>
      <c r="C99" s="10" t="s">
        <v>59</v>
      </c>
      <c r="D99" s="11">
        <v>14049</v>
      </c>
      <c r="E99" s="11">
        <v>0</v>
      </c>
      <c r="F99" s="11">
        <v>16928</v>
      </c>
      <c r="G99" s="12">
        <v>0.7</v>
      </c>
      <c r="H99" s="12">
        <v>4.5999999999999996</v>
      </c>
      <c r="I99" s="11">
        <v>16161</v>
      </c>
      <c r="J99" s="12">
        <v>5.3</v>
      </c>
      <c r="K99" s="11">
        <v>15815</v>
      </c>
      <c r="L99" s="13">
        <v>7.0000000000000007E-2</v>
      </c>
      <c r="M99" s="23">
        <f>ROUND(K99*(1-L99),0)</f>
        <v>14708</v>
      </c>
      <c r="N99" s="14">
        <v>0.68</v>
      </c>
      <c r="O99" s="24">
        <f t="shared" ref="O99:O101" si="980">M99*N99</f>
        <v>10001.44</v>
      </c>
      <c r="P99" s="13">
        <v>0.29899999999999999</v>
      </c>
      <c r="Q99" s="24">
        <f t="shared" ref="Q99:Q101" si="981">M99*P99</f>
        <v>4397.692</v>
      </c>
      <c r="R99" s="15">
        <v>2.1000000000000001E-2</v>
      </c>
      <c r="S99" s="112">
        <v>0.17050000000000001</v>
      </c>
      <c r="T99" s="24">
        <f t="shared" ref="T99:T101" si="982">M99*R99</f>
        <v>308.86799999999999</v>
      </c>
      <c r="U99" s="25">
        <v>0.221</v>
      </c>
      <c r="V99" s="24">
        <f t="shared" ref="V99:V101" si="983">M99*U99</f>
        <v>3250.4679999999998</v>
      </c>
      <c r="W99" s="15">
        <v>0.48799999999999999</v>
      </c>
      <c r="X99" s="24">
        <f t="shared" ref="X99:X101" si="984">M99*W99</f>
        <v>7177.5039999999999</v>
      </c>
      <c r="Y99" s="15">
        <v>0.41</v>
      </c>
      <c r="Z99" s="24">
        <f t="shared" ref="Z99:Z101" si="985">Y99*M99</f>
        <v>6030.28</v>
      </c>
      <c r="AA99" s="116">
        <v>2.8600000000000001E-3</v>
      </c>
      <c r="AB99" s="18">
        <f t="shared" ref="AB99" si="986">M99*AA99</f>
        <v>42.064880000000002</v>
      </c>
      <c r="AC99" s="16">
        <v>2.7799999999999999E-3</v>
      </c>
      <c r="AD99" s="17">
        <f t="shared" ref="AD99:AD101" si="987">M99*AC99</f>
        <v>40.888239999999996</v>
      </c>
      <c r="AE99" s="26">
        <f>IF(M99&gt;0,(AG99+AP99)/M99,0)</f>
        <v>3.1275875441936361E-3</v>
      </c>
      <c r="AF99" s="16">
        <v>3.1E-4</v>
      </c>
      <c r="AG99" s="23">
        <f t="shared" ref="AG99:AG101" si="988">AF99*M99</f>
        <v>4.5594799999999998</v>
      </c>
      <c r="AH99" s="92">
        <v>0.20649999999999999</v>
      </c>
      <c r="AI99" s="29">
        <f t="shared" ref="AI99:AI101" si="989">AL99*(1-AM99)*AH99</f>
        <v>36.775171999999998</v>
      </c>
      <c r="AJ99" s="27">
        <f t="shared" ref="AJ99:AJ101" si="990">IF(AND(AH99&gt;0,AF99&gt;0,AC99&gt;0),((AC99-AF99)*AH99)/((AH99-AF99)*AC99),0)</f>
        <v>0.88982502343825509</v>
      </c>
      <c r="AK99" s="58">
        <f t="shared" si="639"/>
        <v>0.90208381570899154</v>
      </c>
      <c r="AL99" s="11">
        <v>197</v>
      </c>
      <c r="AM99" s="13">
        <v>9.6000000000000002E-2</v>
      </c>
      <c r="AN99" s="14">
        <v>0.23269999999999999</v>
      </c>
      <c r="AO99" s="101">
        <v>0.21970000000000001</v>
      </c>
      <c r="AP99" s="29">
        <f>AL99*(1-AM99)*AN99</f>
        <v>41.4410776</v>
      </c>
      <c r="AQ99" s="102">
        <f t="shared" ref="AQ99" si="991">AL99*(1-AM99)*AO99</f>
        <v>39.125933600000003</v>
      </c>
      <c r="AR99" s="18">
        <v>1.5</v>
      </c>
      <c r="AS99" s="18"/>
      <c r="AT99" s="79">
        <f>AT97+AL99-AS99</f>
        <v>1026.4799999999996</v>
      </c>
      <c r="AU99" s="134"/>
      <c r="AV99" s="11"/>
      <c r="AW99" s="30"/>
      <c r="AX99" s="19"/>
      <c r="AY99" s="19"/>
      <c r="AZ99" s="19"/>
      <c r="BA99" s="19"/>
      <c r="BB99" s="31"/>
    </row>
    <row r="100" spans="1:54">
      <c r="A100" s="150"/>
      <c r="B100" s="32">
        <v>2</v>
      </c>
      <c r="C100" s="10" t="s">
        <v>53</v>
      </c>
      <c r="D100" s="33">
        <v>20365</v>
      </c>
      <c r="E100" s="33">
        <v>1</v>
      </c>
      <c r="F100" s="33">
        <v>16154</v>
      </c>
      <c r="G100" s="34">
        <v>0.5</v>
      </c>
      <c r="H100" s="34">
        <v>4.5</v>
      </c>
      <c r="I100" s="33">
        <v>15675</v>
      </c>
      <c r="J100" s="34">
        <v>5.3</v>
      </c>
      <c r="K100" s="33">
        <v>15977</v>
      </c>
      <c r="L100" s="35">
        <v>6.5000000000000002E-2</v>
      </c>
      <c r="M100" s="36">
        <f>ROUND(K100*(1-L100),0)</f>
        <v>14938</v>
      </c>
      <c r="N100" s="37">
        <v>0.72599999999999998</v>
      </c>
      <c r="O100" s="24">
        <f t="shared" si="980"/>
        <v>10844.987999999999</v>
      </c>
      <c r="P100" s="35">
        <v>0.251</v>
      </c>
      <c r="Q100" s="24">
        <f t="shared" si="981"/>
        <v>3749.4380000000001</v>
      </c>
      <c r="R100" s="38">
        <v>2.3E-2</v>
      </c>
      <c r="S100" s="105">
        <v>0.1691</v>
      </c>
      <c r="T100" s="24">
        <f t="shared" si="982"/>
        <v>343.57400000000001</v>
      </c>
      <c r="U100" s="27">
        <v>0.23200000000000001</v>
      </c>
      <c r="V100" s="24">
        <f t="shared" si="983"/>
        <v>3465.616</v>
      </c>
      <c r="W100" s="38">
        <v>0.46700000000000003</v>
      </c>
      <c r="X100" s="24">
        <f t="shared" si="984"/>
        <v>6976.0460000000003</v>
      </c>
      <c r="Y100" s="38">
        <v>0.4</v>
      </c>
      <c r="Z100" s="24">
        <f t="shared" si="985"/>
        <v>5975.2000000000007</v>
      </c>
      <c r="AA100" s="117">
        <v>2.6199999999999999E-3</v>
      </c>
      <c r="AB100" s="18">
        <f t="shared" si="722"/>
        <v>39.137560000000001</v>
      </c>
      <c r="AC100" s="39">
        <v>2.5699999999999998E-3</v>
      </c>
      <c r="AD100" s="17">
        <f t="shared" si="987"/>
        <v>38.390659999999997</v>
      </c>
      <c r="AE100" s="26">
        <f>IF(M100&gt;0,(AG100+AP100)/M100,0)</f>
        <v>2.858718938278217E-3</v>
      </c>
      <c r="AF100" s="39">
        <v>2.7999999999999998E-4</v>
      </c>
      <c r="AG100" s="36">
        <f t="shared" si="988"/>
        <v>4.1826399999999992</v>
      </c>
      <c r="AH100" s="27">
        <v>0.21240000000000001</v>
      </c>
      <c r="AI100" s="40">
        <f t="shared" si="989"/>
        <v>35.403894000000001</v>
      </c>
      <c r="AJ100" s="27">
        <f t="shared" si="990"/>
        <v>0.89222677714912124</v>
      </c>
      <c r="AK100" s="28">
        <f t="shared" si="639"/>
        <v>0.90314828126605362</v>
      </c>
      <c r="AL100" s="33">
        <v>185</v>
      </c>
      <c r="AM100" s="35">
        <v>9.9000000000000005E-2</v>
      </c>
      <c r="AN100" s="37">
        <v>0.2311</v>
      </c>
      <c r="AO100" s="103">
        <v>0.2243</v>
      </c>
      <c r="AP100" s="40">
        <f>AL100*(1-AM100)*AN100</f>
        <v>38.520903500000003</v>
      </c>
      <c r="AQ100" s="104">
        <f t="shared" si="683"/>
        <v>37.387445499999998</v>
      </c>
      <c r="AR100" s="41">
        <v>1.6</v>
      </c>
      <c r="AS100" s="41"/>
      <c r="AT100" s="129">
        <f>AT99+AL100-AS100</f>
        <v>1211.4799999999996</v>
      </c>
      <c r="AU100" s="82"/>
      <c r="AV100" s="42"/>
      <c r="AW100" s="43"/>
      <c r="AX100" s="44"/>
      <c r="AY100" s="44"/>
      <c r="AZ100" s="44"/>
      <c r="BA100" s="44"/>
      <c r="BB100" s="31"/>
    </row>
    <row r="101" spans="1:54">
      <c r="A101" s="150"/>
      <c r="B101" s="32">
        <v>3</v>
      </c>
      <c r="C101" s="10" t="s">
        <v>54</v>
      </c>
      <c r="D101" s="42">
        <v>14300</v>
      </c>
      <c r="E101" s="42">
        <v>0</v>
      </c>
      <c r="F101" s="42">
        <v>16286</v>
      </c>
      <c r="G101" s="36">
        <v>0.5</v>
      </c>
      <c r="H101" s="36">
        <v>4.7</v>
      </c>
      <c r="I101" s="42">
        <v>15733</v>
      </c>
      <c r="J101" s="36">
        <v>5.2</v>
      </c>
      <c r="K101" s="42">
        <v>15975</v>
      </c>
      <c r="L101" s="38">
        <v>6.6000000000000003E-2</v>
      </c>
      <c r="M101" s="36">
        <f>ROUND(K101*(1-L101),0)</f>
        <v>14921</v>
      </c>
      <c r="N101" s="27">
        <v>0.54800000000000004</v>
      </c>
      <c r="O101" s="24">
        <f t="shared" si="980"/>
        <v>8176.7080000000005</v>
      </c>
      <c r="P101" s="38">
        <v>0.41499999999999998</v>
      </c>
      <c r="Q101" s="24">
        <f t="shared" si="981"/>
        <v>6192.2150000000001</v>
      </c>
      <c r="R101" s="38">
        <v>3.6999999999999998E-2</v>
      </c>
      <c r="S101" s="105">
        <v>0.183</v>
      </c>
      <c r="T101" s="24">
        <f t="shared" si="982"/>
        <v>552.077</v>
      </c>
      <c r="U101" s="27">
        <v>0.23599999999999999</v>
      </c>
      <c r="V101" s="24">
        <f t="shared" si="983"/>
        <v>3521.3559999999998</v>
      </c>
      <c r="W101" s="38">
        <v>0.47599999999999998</v>
      </c>
      <c r="X101" s="24">
        <f t="shared" si="984"/>
        <v>7102.3959999999997</v>
      </c>
      <c r="Y101" s="38">
        <v>0.4</v>
      </c>
      <c r="Z101" s="24">
        <f t="shared" si="985"/>
        <v>5968.4000000000005</v>
      </c>
      <c r="AA101" s="118">
        <v>2.7599999999999999E-3</v>
      </c>
      <c r="AB101" s="121">
        <f t="shared" si="722"/>
        <v>41.181959999999997</v>
      </c>
      <c r="AC101" s="45">
        <v>2.8E-3</v>
      </c>
      <c r="AD101" s="17">
        <f t="shared" si="987"/>
        <v>41.778799999999997</v>
      </c>
      <c r="AE101" s="26">
        <f>IF(M101&gt;0,(AG101+AP101)/M101,0)</f>
        <v>2.9779748006165808E-3</v>
      </c>
      <c r="AF101" s="45">
        <v>3.3E-4</v>
      </c>
      <c r="AG101" s="36">
        <f t="shared" si="988"/>
        <v>4.9239300000000004</v>
      </c>
      <c r="AH101" s="27">
        <v>0.20549999999999999</v>
      </c>
      <c r="AI101" s="40">
        <f t="shared" si="989"/>
        <v>36.102240000000002</v>
      </c>
      <c r="AJ101" s="27">
        <f t="shared" si="990"/>
        <v>0.88356171537192152</v>
      </c>
      <c r="AK101" s="28">
        <f t="shared" si="639"/>
        <v>0.89049307362467023</v>
      </c>
      <c r="AL101" s="42">
        <v>192</v>
      </c>
      <c r="AM101" s="38">
        <v>8.5000000000000006E-2</v>
      </c>
      <c r="AN101" s="27">
        <v>0.22489999999999999</v>
      </c>
      <c r="AO101" s="105">
        <v>0.21829999999999999</v>
      </c>
      <c r="AP101" s="40">
        <f>AL101*(1-AM101)*AN101</f>
        <v>39.510432000000002</v>
      </c>
      <c r="AQ101" s="106">
        <f t="shared" si="683"/>
        <v>38.350943999999998</v>
      </c>
      <c r="AR101" s="17">
        <v>1.55</v>
      </c>
      <c r="AS101" s="17"/>
      <c r="AT101" s="129">
        <f>AT100+AL101-AS101</f>
        <v>1403.4799999999996</v>
      </c>
      <c r="AU101" s="82"/>
      <c r="AV101" s="42"/>
      <c r="AW101" s="46"/>
      <c r="AX101" s="40"/>
      <c r="AY101" s="40"/>
      <c r="AZ101" s="40"/>
      <c r="BA101" s="40"/>
      <c r="BB101" s="31"/>
    </row>
    <row r="102" spans="1:54">
      <c r="A102" s="150"/>
      <c r="B102" s="135" t="s">
        <v>56</v>
      </c>
      <c r="C102" s="48"/>
      <c r="D102" s="49">
        <f t="shared" ref="D102" si="992">SUM(D99:D101)</f>
        <v>48714</v>
      </c>
      <c r="E102" s="49"/>
      <c r="F102" s="49">
        <f t="shared" ref="F102" si="993">SUM(F99:F101)</f>
        <v>49368</v>
      </c>
      <c r="G102" s="50"/>
      <c r="H102" s="50"/>
      <c r="I102" s="49">
        <f t="shared" ref="I102:K102" si="994">SUM(I99:I101)</f>
        <v>47569</v>
      </c>
      <c r="J102" s="50"/>
      <c r="K102" s="49">
        <f t="shared" si="994"/>
        <v>47767</v>
      </c>
      <c r="L102" s="20">
        <f t="shared" ref="L102" si="995">IF(K102&gt;0,(K99*L99+K100*L100+K101*L101)/K102,0)</f>
        <v>6.6989867481734272E-2</v>
      </c>
      <c r="M102" s="50">
        <f t="shared" ref="M102" si="996">M99+M100+M101</f>
        <v>44567</v>
      </c>
      <c r="N102" s="51">
        <f t="shared" ref="N102" si="997">IF(M102&gt;0,O102/M102,0)</f>
        <v>0.65122480759306212</v>
      </c>
      <c r="O102" s="52">
        <f t="shared" ref="O102" si="998">O99+O100+O101</f>
        <v>29023.135999999999</v>
      </c>
      <c r="P102" s="20">
        <f t="shared" ref="P102" si="999">IF(M102&gt;0,Q102/M102,0)</f>
        <v>0.32174804227343107</v>
      </c>
      <c r="Q102" s="52">
        <f t="shared" ref="Q102" si="1000">Q99+Q100+Q101</f>
        <v>14339.345000000001</v>
      </c>
      <c r="R102" s="20">
        <f t="shared" ref="R102" si="1001">IF(M102&gt;0,T102/M102,0)</f>
        <v>2.7027150133506855E-2</v>
      </c>
      <c r="S102" s="107"/>
      <c r="T102" s="52">
        <f t="shared" ref="T102" si="1002">T99+T100+T101</f>
        <v>1204.519</v>
      </c>
      <c r="U102" s="20">
        <f t="shared" ref="U102" si="1003">IF(M102&gt;0,V102/M102,0)</f>
        <v>0.22970897749455874</v>
      </c>
      <c r="V102" s="52">
        <f t="shared" ref="V102" si="1004">V99+V100+V101</f>
        <v>10237.439999999999</v>
      </c>
      <c r="W102" s="20">
        <f t="shared" ref="W102" si="1005">IF(M102&gt;0,X102/M102,0)</f>
        <v>0.47694361298718785</v>
      </c>
      <c r="X102" s="52">
        <f t="shared" ref="X102" si="1006">X99+X100+X101</f>
        <v>21255.946</v>
      </c>
      <c r="Y102" s="20">
        <f t="shared" ref="Y102" si="1007">IF(M102&gt;0,Z102/M102,0)</f>
        <v>0.40330019969932912</v>
      </c>
      <c r="Z102" s="52">
        <f t="shared" ref="Z102" si="1008">Z99+Z100+Z101</f>
        <v>17973.88</v>
      </c>
      <c r="AA102" s="119">
        <f t="shared" ref="AA102" si="1009">IF(M102&gt;0,AB102/M102,0)</f>
        <v>2.7460766935176253E-3</v>
      </c>
      <c r="AB102" s="54">
        <f t="shared" ref="AB102" si="1010">SUM(AB99:AB101)</f>
        <v>122.3844</v>
      </c>
      <c r="AC102" s="53">
        <f t="shared" ref="AC102" si="1011">IF(M102&gt;0,AD102/M102,0)</f>
        <v>2.7163080306056046E-3</v>
      </c>
      <c r="AD102" s="54">
        <f t="shared" ref="AD102" si="1012">SUM(AD99:AD101)</f>
        <v>121.05769999999998</v>
      </c>
      <c r="AE102" s="53">
        <f t="shared" ref="AE102" si="1013">IF(M102&gt;0,(AE99*M99+AE100*M100+AE101*M101)/M102,0)</f>
        <v>2.9873777256714607E-3</v>
      </c>
      <c r="AF102" s="53">
        <f t="shared" ref="AF102" si="1014">IF(K102&gt;0,(K99*AF99+K100*AF100+K101*AF101)/K102,0)</f>
        <v>3.0665438482634457E-4</v>
      </c>
      <c r="AG102" s="50">
        <f t="shared" ref="AG102" si="1015">SUM(AG99:AG101)</f>
        <v>13.66605</v>
      </c>
      <c r="AH102" s="51">
        <f t="shared" ref="AH102" si="1016">IF(K102&gt;0,(K99*AH99+K100*AH100+K101*AH101)/K102,0)</f>
        <v>0.20813898297988148</v>
      </c>
      <c r="AI102" s="56">
        <f t="shared" ref="AI102" si="1017">SUM(AI99:AI101)</f>
        <v>108.281306</v>
      </c>
      <c r="AJ102" s="51">
        <f t="shared" ref="AJ102" si="1018">IF(AND(AD102&gt;0),((AD99*AJ99+AD100*AJ100+AD101*AJ101)/AD102),0)</f>
        <v>0.88842512417596842</v>
      </c>
      <c r="AK102" s="55">
        <f t="shared" si="639"/>
        <v>0.89855031452864043</v>
      </c>
      <c r="AL102" s="49">
        <f t="shared" ref="AL102" si="1019">SUM(AL99:AL101)</f>
        <v>574</v>
      </c>
      <c r="AM102" s="20">
        <f t="shared" ref="AM102" si="1020">IF(AL102&gt;0,(AM99*AL99+AM100*AL100+AM101*AL101)/AL102,0)</f>
        <v>9.3287456445993039E-2</v>
      </c>
      <c r="AN102" s="51">
        <f>IF(K102&gt;0,(AN99*K99+AN100*K100+AN101*K101)/K102,0)</f>
        <v>0.22955623547637491</v>
      </c>
      <c r="AO102" s="107">
        <f>IF(L102&gt;0,(AO99*K99+AO100*K100+AO101*K101)/K102,0)</f>
        <v>0.22077038750601877</v>
      </c>
      <c r="AP102" s="56">
        <f t="shared" ref="AP102" si="1021">SUM(AP99:AP101)</f>
        <v>119.47241310000001</v>
      </c>
      <c r="AQ102" s="108">
        <f t="shared" si="889"/>
        <v>114.86432310000001</v>
      </c>
      <c r="AR102" s="54"/>
      <c r="AS102" s="54">
        <f t="shared" ref="AS102" si="1022">SUM(AS99:AS101)</f>
        <v>0</v>
      </c>
      <c r="AT102" s="136"/>
      <c r="AU102" s="84">
        <f>AT101</f>
        <v>1403.4799999999996</v>
      </c>
      <c r="AV102" s="49">
        <f t="shared" ref="AV102" si="1023">SUM(AV99:AV101)</f>
        <v>0</v>
      </c>
      <c r="AW102" s="57"/>
      <c r="AX102" s="56"/>
      <c r="AY102" s="56"/>
      <c r="AZ102" s="56"/>
      <c r="BA102" s="56"/>
      <c r="BB102" s="21"/>
    </row>
    <row r="103" spans="1:54">
      <c r="A103" s="146">
        <v>26</v>
      </c>
      <c r="B103" s="22">
        <v>1</v>
      </c>
      <c r="C103" s="10" t="s">
        <v>59</v>
      </c>
      <c r="D103" s="11">
        <v>12682</v>
      </c>
      <c r="E103" s="11">
        <v>0</v>
      </c>
      <c r="F103" s="11">
        <v>17116</v>
      </c>
      <c r="G103" s="12">
        <v>0.5</v>
      </c>
      <c r="H103" s="12">
        <v>4.8</v>
      </c>
      <c r="I103" s="11">
        <v>16409</v>
      </c>
      <c r="J103" s="12">
        <v>4.5</v>
      </c>
      <c r="K103" s="11">
        <v>15976</v>
      </c>
      <c r="L103" s="13">
        <v>7.0000000000000007E-2</v>
      </c>
      <c r="M103" s="23">
        <f>ROUND(K103*(1-L103),0)</f>
        <v>14858</v>
      </c>
      <c r="N103" s="14">
        <v>0.67300000000000004</v>
      </c>
      <c r="O103" s="24">
        <f t="shared" ref="O103:O105" si="1024">M103*N103</f>
        <v>9999.4340000000011</v>
      </c>
      <c r="P103" s="13">
        <v>0.27700000000000002</v>
      </c>
      <c r="Q103" s="24">
        <f t="shared" ref="Q103:Q105" si="1025">M103*P103</f>
        <v>4115.6660000000002</v>
      </c>
      <c r="R103" s="15">
        <v>0.05</v>
      </c>
      <c r="S103" s="112">
        <v>0.19450000000000001</v>
      </c>
      <c r="T103" s="24">
        <f t="shared" ref="T103:T105" si="1026">M103*R103</f>
        <v>742.90000000000009</v>
      </c>
      <c r="U103" s="25">
        <v>0.23300000000000001</v>
      </c>
      <c r="V103" s="24">
        <f t="shared" ref="V103:V105" si="1027">M103*U103</f>
        <v>3461.9140000000002</v>
      </c>
      <c r="W103" s="15">
        <v>0.46600000000000003</v>
      </c>
      <c r="X103" s="24">
        <f t="shared" ref="X103:X105" si="1028">M103*W103</f>
        <v>6923.8280000000004</v>
      </c>
      <c r="Y103" s="15">
        <v>0.42</v>
      </c>
      <c r="Z103" s="24">
        <f t="shared" ref="Z103:Z105" si="1029">Y103*M103</f>
        <v>6240.36</v>
      </c>
      <c r="AA103" s="116">
        <v>2.5600000000000002E-3</v>
      </c>
      <c r="AB103" s="18">
        <f t="shared" ref="AB103" si="1030">M103*AA103</f>
        <v>38.036480000000005</v>
      </c>
      <c r="AC103" s="16">
        <v>2.5400000000000002E-3</v>
      </c>
      <c r="AD103" s="17">
        <f t="shared" ref="AD103:AD105" si="1031">M103*AC103</f>
        <v>37.739319999999999</v>
      </c>
      <c r="AE103" s="26">
        <f>IF(M103&gt;0,(AG103+AP103)/M103,0)</f>
        <v>2.7884144905101628E-3</v>
      </c>
      <c r="AF103" s="16">
        <v>2.9999999999999997E-4</v>
      </c>
      <c r="AG103" s="23">
        <f t="shared" ref="AG103:AG105" si="1032">AF103*M103</f>
        <v>4.4573999999999998</v>
      </c>
      <c r="AH103" s="92">
        <v>0.2155</v>
      </c>
      <c r="AI103" s="29">
        <f t="shared" ref="AI103:AI105" si="1033">AL103*(1-AM103)*AH103</f>
        <v>34.506937499999999</v>
      </c>
      <c r="AJ103" s="27">
        <f t="shared" ref="AJ103:AJ105" si="1034">IF(AND(AH103&gt;0,AF103&gt;0,AC103&gt;0),((AC103-AF103)*AH103)/((AH103-AF103)*AC103),0)</f>
        <v>0.88311916400784474</v>
      </c>
      <c r="AK103" s="58">
        <f t="shared" si="639"/>
        <v>0.89357296480029214</v>
      </c>
      <c r="AL103" s="11">
        <v>175</v>
      </c>
      <c r="AM103" s="13">
        <v>8.5000000000000006E-2</v>
      </c>
      <c r="AN103" s="14">
        <v>0.23089999999999999</v>
      </c>
      <c r="AO103" s="101">
        <v>0.2268</v>
      </c>
      <c r="AP103" s="29">
        <f>AL103*(1-AM103)*AN103</f>
        <v>36.972862499999998</v>
      </c>
      <c r="AQ103" s="102">
        <f t="shared" ref="AQ103" si="1035">AL103*(1-AM103)*AO103</f>
        <v>36.31635</v>
      </c>
      <c r="AR103" s="18">
        <v>1.65</v>
      </c>
      <c r="AS103" s="18"/>
      <c r="AT103" s="79">
        <f>AT101+AL103-AS103</f>
        <v>1578.4799999999996</v>
      </c>
      <c r="AU103" s="80"/>
      <c r="AV103" s="11"/>
      <c r="AW103" s="30"/>
      <c r="AX103" s="19"/>
      <c r="AY103" s="19"/>
      <c r="AZ103" s="19"/>
      <c r="BA103" s="19"/>
      <c r="BB103" s="31"/>
    </row>
    <row r="104" spans="1:54">
      <c r="A104" s="147"/>
      <c r="B104" s="32">
        <v>2</v>
      </c>
      <c r="C104" s="143" t="s">
        <v>57</v>
      </c>
      <c r="D104" s="33">
        <v>19906</v>
      </c>
      <c r="E104" s="33">
        <v>2</v>
      </c>
      <c r="F104" s="33">
        <v>16240</v>
      </c>
      <c r="G104" s="34">
        <v>0.7</v>
      </c>
      <c r="H104" s="34">
        <v>4.2</v>
      </c>
      <c r="I104" s="33">
        <v>15620</v>
      </c>
      <c r="J104" s="34">
        <v>4.5999999999999996</v>
      </c>
      <c r="K104" s="33">
        <v>15912</v>
      </c>
      <c r="L104" s="35">
        <v>6.6000000000000003E-2</v>
      </c>
      <c r="M104" s="36">
        <f>ROUND(K104*(1-L104),0)</f>
        <v>14862</v>
      </c>
      <c r="N104" s="37">
        <v>0.65200000000000002</v>
      </c>
      <c r="O104" s="24">
        <f t="shared" si="1024"/>
        <v>9690.0240000000013</v>
      </c>
      <c r="P104" s="35">
        <v>0.214</v>
      </c>
      <c r="Q104" s="24">
        <f t="shared" si="1025"/>
        <v>3180.4679999999998</v>
      </c>
      <c r="R104" s="38">
        <v>0.13400000000000001</v>
      </c>
      <c r="S104" s="105">
        <v>0.18390000000000001</v>
      </c>
      <c r="T104" s="24">
        <f t="shared" si="1026"/>
        <v>1991.508</v>
      </c>
      <c r="U104" s="27">
        <v>0.23599999999999999</v>
      </c>
      <c r="V104" s="24">
        <f t="shared" si="1027"/>
        <v>3507.4319999999998</v>
      </c>
      <c r="W104" s="38">
        <v>0.48199999999999998</v>
      </c>
      <c r="X104" s="24">
        <f t="shared" si="1028"/>
        <v>7163.4839999999995</v>
      </c>
      <c r="Y104" s="38">
        <v>0.42</v>
      </c>
      <c r="Z104" s="24">
        <f t="shared" si="1029"/>
        <v>6242.04</v>
      </c>
      <c r="AA104" s="117">
        <v>2.3999999999999998E-3</v>
      </c>
      <c r="AB104" s="18">
        <f t="shared" si="722"/>
        <v>35.668799999999997</v>
      </c>
      <c r="AC104" s="39">
        <v>2.3400000000000001E-3</v>
      </c>
      <c r="AD104" s="17">
        <f t="shared" si="1031"/>
        <v>34.777079999999998</v>
      </c>
      <c r="AE104" s="26">
        <f>IF(M104&gt;0,(AG104+AP104)/M104,0)</f>
        <v>2.891494348001615E-3</v>
      </c>
      <c r="AF104" s="39">
        <v>2.7E-4</v>
      </c>
      <c r="AG104" s="36">
        <f t="shared" si="1032"/>
        <v>4.01274</v>
      </c>
      <c r="AH104" s="27">
        <v>0.2041</v>
      </c>
      <c r="AI104" s="40">
        <f t="shared" si="1033"/>
        <v>33.765895800000003</v>
      </c>
      <c r="AJ104" s="27">
        <f t="shared" si="1034"/>
        <v>0.88578717558749931</v>
      </c>
      <c r="AK104" s="28">
        <f t="shared" si="639"/>
        <v>0.90766331067814177</v>
      </c>
      <c r="AL104" s="33">
        <v>182</v>
      </c>
      <c r="AM104" s="35">
        <v>9.0999999999999998E-2</v>
      </c>
      <c r="AN104" s="37">
        <v>0.23549999999999999</v>
      </c>
      <c r="AO104" s="103">
        <v>0.2157</v>
      </c>
      <c r="AP104" s="40">
        <f>AL104*(1-AM104)*AN104</f>
        <v>38.960649000000004</v>
      </c>
      <c r="AQ104" s="104">
        <f t="shared" si="683"/>
        <v>35.684976600000006</v>
      </c>
      <c r="AR104" s="41">
        <v>1.6</v>
      </c>
      <c r="AS104" s="41"/>
      <c r="AT104" s="129">
        <f>AT103+AL104-AS104</f>
        <v>1760.4799999999996</v>
      </c>
      <c r="AU104" s="82"/>
      <c r="AV104" s="42"/>
      <c r="AW104" s="43"/>
      <c r="AX104" s="44"/>
      <c r="AY104" s="44"/>
      <c r="AZ104" s="44"/>
      <c r="BA104" s="44"/>
      <c r="BB104" s="31"/>
    </row>
    <row r="105" spans="1:54">
      <c r="A105" s="147"/>
      <c r="B105" s="32">
        <v>3</v>
      </c>
      <c r="C105" s="10" t="s">
        <v>54</v>
      </c>
      <c r="D105" s="42">
        <v>14500</v>
      </c>
      <c r="E105" s="42">
        <v>2</v>
      </c>
      <c r="F105" s="42">
        <v>16105</v>
      </c>
      <c r="G105" s="36">
        <v>1</v>
      </c>
      <c r="H105" s="36">
        <v>5.4</v>
      </c>
      <c r="I105" s="42">
        <v>15998</v>
      </c>
      <c r="J105" s="36">
        <v>4.5</v>
      </c>
      <c r="K105" s="42">
        <v>15957</v>
      </c>
      <c r="L105" s="38">
        <v>7.5999999999999998E-2</v>
      </c>
      <c r="M105" s="36">
        <f>ROUND(K105*(1-L105),0)</f>
        <v>14744</v>
      </c>
      <c r="N105" s="27">
        <v>0.66100000000000003</v>
      </c>
      <c r="O105" s="24">
        <f t="shared" si="1024"/>
        <v>9745.7839999999997</v>
      </c>
      <c r="P105" s="38">
        <v>0.23599999999999999</v>
      </c>
      <c r="Q105" s="24">
        <f t="shared" si="1025"/>
        <v>3479.5839999999998</v>
      </c>
      <c r="R105" s="38">
        <v>0.10299999999999999</v>
      </c>
      <c r="S105" s="105">
        <v>0.17660000000000001</v>
      </c>
      <c r="T105" s="24">
        <f t="shared" si="1026"/>
        <v>1518.6319999999998</v>
      </c>
      <c r="U105" s="27">
        <v>0.23300000000000001</v>
      </c>
      <c r="V105" s="24">
        <f t="shared" si="1027"/>
        <v>3435.3520000000003</v>
      </c>
      <c r="W105" s="38">
        <v>0.495</v>
      </c>
      <c r="X105" s="24">
        <f t="shared" si="1028"/>
        <v>7298.28</v>
      </c>
      <c r="Y105" s="38">
        <v>0.41</v>
      </c>
      <c r="Z105" s="24">
        <f t="shared" si="1029"/>
        <v>6045.04</v>
      </c>
      <c r="AA105" s="118">
        <v>2.5000000000000001E-3</v>
      </c>
      <c r="AB105" s="121">
        <f t="shared" si="722"/>
        <v>36.86</v>
      </c>
      <c r="AC105" s="45">
        <v>2.5600000000000002E-3</v>
      </c>
      <c r="AD105" s="17">
        <f t="shared" si="1031"/>
        <v>37.744640000000004</v>
      </c>
      <c r="AE105" s="26">
        <f>IF(M105&gt;0,(AG105+AP105)/M105,0)</f>
        <v>2.83299381443299E-3</v>
      </c>
      <c r="AF105" s="45">
        <v>2.7999999999999998E-4</v>
      </c>
      <c r="AG105" s="36">
        <f t="shared" si="1032"/>
        <v>4.1283199999999995</v>
      </c>
      <c r="AH105" s="27">
        <v>0.2122</v>
      </c>
      <c r="AI105" s="40">
        <f t="shared" si="1033"/>
        <v>35.9959104</v>
      </c>
      <c r="AJ105" s="27">
        <f t="shared" si="1034"/>
        <v>0.89180174122310318</v>
      </c>
      <c r="AK105" s="28">
        <f t="shared" si="639"/>
        <v>0.90230318003428556</v>
      </c>
      <c r="AL105" s="42">
        <v>186</v>
      </c>
      <c r="AM105" s="38">
        <v>8.7999999999999995E-2</v>
      </c>
      <c r="AN105" s="27">
        <v>0.22189999999999999</v>
      </c>
      <c r="AO105" s="105">
        <v>0.2097</v>
      </c>
      <c r="AP105" s="40">
        <f>AL105*(1-AM105)*AN105</f>
        <v>37.641340800000002</v>
      </c>
      <c r="AQ105" s="106">
        <f t="shared" si="683"/>
        <v>35.571830400000003</v>
      </c>
      <c r="AR105" s="17">
        <v>1.55</v>
      </c>
      <c r="AS105" s="17"/>
      <c r="AT105" s="129">
        <f>AT104+AL105-AS105</f>
        <v>1946.4799999999996</v>
      </c>
      <c r="AU105" s="82"/>
      <c r="AV105" s="42"/>
      <c r="AW105" s="46"/>
      <c r="AX105" s="40"/>
      <c r="AY105" s="40"/>
      <c r="AZ105" s="40"/>
      <c r="BA105" s="40"/>
      <c r="BB105" s="31"/>
    </row>
    <row r="106" spans="1:54">
      <c r="A106" s="148"/>
      <c r="B106" s="47" t="s">
        <v>56</v>
      </c>
      <c r="C106" s="48"/>
      <c r="D106" s="49">
        <f t="shared" ref="D106" si="1036">SUM(D103:D105)</f>
        <v>47088</v>
      </c>
      <c r="E106" s="49"/>
      <c r="F106" s="49">
        <f t="shared" ref="F106" si="1037">SUM(F103:F105)</f>
        <v>49461</v>
      </c>
      <c r="G106" s="50"/>
      <c r="H106" s="50"/>
      <c r="I106" s="49">
        <f t="shared" ref="I106:K106" si="1038">SUM(I103:I105)</f>
        <v>48027</v>
      </c>
      <c r="J106" s="50"/>
      <c r="K106" s="49">
        <f t="shared" si="1038"/>
        <v>47845</v>
      </c>
      <c r="L106" s="20">
        <f t="shared" ref="L106" si="1039">IF(K106&gt;0,(K103*L103+K104*L104+K105*L105)/K106,0)</f>
        <v>7.0670791096248312E-2</v>
      </c>
      <c r="M106" s="50">
        <f t="shared" ref="M106" si="1040">M103+M104+M105</f>
        <v>44464</v>
      </c>
      <c r="N106" s="51">
        <f t="shared" ref="N106" si="1041">IF(M106&gt;0,O106/M106,0)</f>
        <v>0.66200166426772222</v>
      </c>
      <c r="O106" s="52">
        <f t="shared" ref="O106" si="1042">O103+O104+O105</f>
        <v>29435.242000000002</v>
      </c>
      <c r="P106" s="20">
        <f t="shared" ref="P106" si="1043">IF(M106&gt;0,Q106/M106,0)</f>
        <v>0.24234702231018354</v>
      </c>
      <c r="Q106" s="52">
        <f t="shared" ref="Q106" si="1044">Q103+Q104+Q105</f>
        <v>10775.718000000001</v>
      </c>
      <c r="R106" s="20">
        <f t="shared" ref="R106" si="1045">IF(M106&gt;0,T106/M106,0)</f>
        <v>9.5651313422094278E-2</v>
      </c>
      <c r="S106" s="107"/>
      <c r="T106" s="52">
        <f t="shared" ref="T106" si="1046">T103+T104+T105</f>
        <v>4253.04</v>
      </c>
      <c r="U106" s="20">
        <f t="shared" ref="U106" si="1047">IF(M106&gt;0,V106/M106,0)</f>
        <v>0.2340027437927312</v>
      </c>
      <c r="V106" s="52">
        <f t="shared" ref="V106" si="1048">V103+V104+V105</f>
        <v>10404.698</v>
      </c>
      <c r="W106" s="20">
        <f t="shared" ref="W106" si="1049">IF(M106&gt;0,X106/M106,0)</f>
        <v>0.48096419575386828</v>
      </c>
      <c r="X106" s="52">
        <f t="shared" ref="X106" si="1050">X103+X104+X105</f>
        <v>21385.592000000001</v>
      </c>
      <c r="Y106" s="20">
        <f t="shared" ref="Y106" si="1051">IF(M106&gt;0,Z106/M106,0)</f>
        <v>0.41668405901403377</v>
      </c>
      <c r="Z106" s="52">
        <f t="shared" ref="Z106" si="1052">Z103+Z104+Z105</f>
        <v>18527.439999999999</v>
      </c>
      <c r="AA106" s="119">
        <f t="shared" ref="AA106" si="1053">IF(M106&gt;0,AB106/M106,0)</f>
        <v>2.486624685138539E-3</v>
      </c>
      <c r="AB106" s="54">
        <f t="shared" ref="AB106" si="1054">SUM(AB103:AB105)</f>
        <v>110.56528</v>
      </c>
      <c r="AC106" s="53">
        <f t="shared" ref="AC106" si="1055">IF(M106&gt;0,AD106/M106,0)</f>
        <v>2.4797822957898525E-3</v>
      </c>
      <c r="AD106" s="54">
        <f t="shared" ref="AD106" si="1056">SUM(AD103:AD105)</f>
        <v>110.26104000000001</v>
      </c>
      <c r="AE106" s="53">
        <f t="shared" ref="AE106" si="1057">IF(M106&gt;0,(AE103*M103+AE104*M104+AE105*M105)/M106,0)</f>
        <v>2.8376509603274557E-3</v>
      </c>
      <c r="AF106" s="53">
        <f t="shared" ref="AF106" si="1058">IF(K106&gt;0,(K103*AF103+K104*AF104+K105*AF105)/K106,0)</f>
        <v>2.8335249242345071E-4</v>
      </c>
      <c r="AG106" s="50">
        <f t="shared" ref="AG106" si="1059">SUM(AG103:AG105)</f>
        <v>12.598459999999999</v>
      </c>
      <c r="AH106" s="51">
        <f t="shared" ref="AH106" si="1060">IF(K106&gt;0,(K103*AH103+K104*AH104+K105*AH105)/K106,0)</f>
        <v>0.21060805935834467</v>
      </c>
      <c r="AI106" s="56">
        <f t="shared" ref="AI106" si="1061">SUM(AI103:AI105)</f>
        <v>104.2687437</v>
      </c>
      <c r="AJ106" s="51">
        <f t="shared" ref="AJ106" si="1062">IF(AND(AD106&gt;0),((AD103*AJ103+AD104*AJ104+AD105*AJ105)/AD106),0)</f>
        <v>0.8869328991531753</v>
      </c>
      <c r="AK106" s="55">
        <f t="shared" si="639"/>
        <v>0.90125849145731318</v>
      </c>
      <c r="AL106" s="49">
        <f t="shared" ref="AL106" si="1063">SUM(AL103:AL105)</f>
        <v>543</v>
      </c>
      <c r="AM106" s="20">
        <f t="shared" ref="AM106" si="1064">IF(AL106&gt;0,(AM103*AL103+AM104*AL104+AM105*AL105)/AL106,0)</f>
        <v>8.8038674033149189E-2</v>
      </c>
      <c r="AN106" s="51">
        <f>IF(K106&gt;0,(AN103*K103+AN104*K104+AN105*K105)/K106,0)</f>
        <v>0.22942820984428883</v>
      </c>
      <c r="AO106" s="107">
        <f>IF(L106&gt;0,(AO103*K103+AO104*K104+AO105*K105)/K106,0)</f>
        <v>0.21740533180060612</v>
      </c>
      <c r="AP106" s="56">
        <f t="shared" ref="AP106:AQ118" si="1065">SUM(AP103:AP105)</f>
        <v>113.5748523</v>
      </c>
      <c r="AQ106" s="108">
        <f t="shared" si="1065"/>
        <v>107.57315700000001</v>
      </c>
      <c r="AR106" s="54"/>
      <c r="AS106" s="54">
        <f t="shared" ref="AS106" si="1066">SUM(AS103:AS105)</f>
        <v>0</v>
      </c>
      <c r="AT106" s="83"/>
      <c r="AU106" s="84">
        <f>AT105</f>
        <v>1946.4799999999996</v>
      </c>
      <c r="AV106" s="49">
        <f t="shared" ref="AV106" si="1067">SUM(AV103:AV105)</f>
        <v>0</v>
      </c>
      <c r="AW106" s="57"/>
      <c r="AX106" s="56"/>
      <c r="AY106" s="56"/>
      <c r="AZ106" s="56"/>
      <c r="BA106" s="56"/>
      <c r="BB106" s="21"/>
    </row>
    <row r="107" spans="1:54">
      <c r="A107" s="146">
        <v>27</v>
      </c>
      <c r="B107" s="22">
        <v>1</v>
      </c>
      <c r="C107" s="10" t="s">
        <v>53</v>
      </c>
      <c r="D107" s="11">
        <v>4410</v>
      </c>
      <c r="E107" s="11">
        <v>1</v>
      </c>
      <c r="F107" s="11">
        <v>13280</v>
      </c>
      <c r="G107" s="12">
        <v>1.3</v>
      </c>
      <c r="H107" s="12">
        <v>5.9</v>
      </c>
      <c r="I107" s="11">
        <v>12862</v>
      </c>
      <c r="J107" s="12">
        <v>5.5</v>
      </c>
      <c r="K107" s="11">
        <v>16077</v>
      </c>
      <c r="L107" s="13">
        <v>6.6000000000000003E-2</v>
      </c>
      <c r="M107" s="23">
        <f>ROUND(K107*(1-L107),0)</f>
        <v>15016</v>
      </c>
      <c r="N107" s="14">
        <v>0.745</v>
      </c>
      <c r="O107" s="24">
        <f t="shared" ref="O107:O109" si="1068">M107*N107</f>
        <v>11186.92</v>
      </c>
      <c r="P107" s="13">
        <v>0.23</v>
      </c>
      <c r="Q107" s="24">
        <f t="shared" ref="Q107:Q109" si="1069">M107*P107</f>
        <v>3453.6800000000003</v>
      </c>
      <c r="R107" s="15">
        <v>2.5000000000000001E-2</v>
      </c>
      <c r="S107" s="112">
        <v>0.184</v>
      </c>
      <c r="T107" s="24">
        <f t="shared" ref="T107:T109" si="1070">M107*R107</f>
        <v>375.40000000000003</v>
      </c>
      <c r="U107" s="25">
        <v>0.219</v>
      </c>
      <c r="V107" s="24">
        <f t="shared" ref="V107:V109" si="1071">M107*U107</f>
        <v>3288.5039999999999</v>
      </c>
      <c r="W107" s="15">
        <v>0.49199999999999999</v>
      </c>
      <c r="X107" s="24">
        <f t="shared" ref="X107:X109" si="1072">M107*W107</f>
        <v>7387.8720000000003</v>
      </c>
      <c r="Y107" s="15">
        <v>0.41</v>
      </c>
      <c r="Z107" s="24">
        <f t="shared" ref="Z107:Z109" si="1073">Y107*M107</f>
        <v>6156.5599999999995</v>
      </c>
      <c r="AA107" s="116">
        <v>2.5699999999999998E-3</v>
      </c>
      <c r="AB107" s="18">
        <f t="shared" ref="AB107" si="1074">M107*AA107</f>
        <v>38.591119999999997</v>
      </c>
      <c r="AC107" s="16">
        <v>2.49E-3</v>
      </c>
      <c r="AD107" s="17">
        <f t="shared" ref="AD107:AD109" si="1075">M107*AC107</f>
        <v>37.38984</v>
      </c>
      <c r="AE107" s="26">
        <f>IF(M107&gt;0,(AG107+AP107)/M107,0)</f>
        <v>2.8265140383590833E-3</v>
      </c>
      <c r="AF107" s="16">
        <v>2.7999999999999998E-4</v>
      </c>
      <c r="AG107" s="23">
        <f t="shared" ref="AG107:AG109" si="1076">AF107*M107</f>
        <v>4.2044799999999993</v>
      </c>
      <c r="AH107" s="92">
        <v>0.2104</v>
      </c>
      <c r="AI107" s="29">
        <f t="shared" ref="AI107:AI109" si="1077">AL107*(1-AM107)*AH107</f>
        <v>34.6932768</v>
      </c>
      <c r="AJ107" s="27">
        <f t="shared" ref="AJ107:AJ109" si="1078">IF(AND(AH107&gt;0,AF107&gt;0,AC107&gt;0),((AC107-AF107)*AH107)/((AH107-AF107)*AC107),0)</f>
        <v>0.88873292522842173</v>
      </c>
      <c r="AK107" s="58">
        <f t="shared" si="639"/>
        <v>0.90202717022157664</v>
      </c>
      <c r="AL107" s="11">
        <v>182</v>
      </c>
      <c r="AM107" s="13">
        <v>9.4E-2</v>
      </c>
      <c r="AN107" s="14">
        <v>0.2319</v>
      </c>
      <c r="AO107" s="101">
        <v>0.22040000000000001</v>
      </c>
      <c r="AP107" s="29">
        <f>AL107*(1-AM107)*AN107</f>
        <v>38.2384548</v>
      </c>
      <c r="AQ107" s="102">
        <f t="shared" ref="AQ107" si="1079">AL107*(1-AM107)*AO107</f>
        <v>36.342196800000004</v>
      </c>
      <c r="AR107" s="18">
        <v>1.5</v>
      </c>
      <c r="AS107" s="18">
        <v>984.02</v>
      </c>
      <c r="AT107" s="79">
        <f>AT105+AL107-AS107</f>
        <v>1144.4599999999996</v>
      </c>
      <c r="AU107" s="80"/>
      <c r="AV107" s="11"/>
      <c r="AW107" s="30"/>
      <c r="AX107" s="19"/>
      <c r="AY107" s="19"/>
      <c r="AZ107" s="19"/>
      <c r="BA107" s="19"/>
      <c r="BB107" s="31"/>
    </row>
    <row r="108" spans="1:54">
      <c r="A108" s="147"/>
      <c r="B108" s="32">
        <v>2</v>
      </c>
      <c r="C108" s="143" t="s">
        <v>57</v>
      </c>
      <c r="D108" s="33">
        <v>19160</v>
      </c>
      <c r="E108" s="33">
        <v>3</v>
      </c>
      <c r="F108" s="33">
        <v>13752</v>
      </c>
      <c r="G108" s="34">
        <v>1</v>
      </c>
      <c r="H108" s="34">
        <v>5.0999999999999996</v>
      </c>
      <c r="I108" s="33">
        <v>13791</v>
      </c>
      <c r="J108" s="34">
        <v>6</v>
      </c>
      <c r="K108" s="33">
        <v>16323</v>
      </c>
      <c r="L108" s="35">
        <v>6.2E-2</v>
      </c>
      <c r="M108" s="36">
        <f>ROUND(K108*(1-L108),0)</f>
        <v>15311</v>
      </c>
      <c r="N108" s="37">
        <v>0.61699999999999999</v>
      </c>
      <c r="O108" s="24">
        <f t="shared" si="1068"/>
        <v>9446.8870000000006</v>
      </c>
      <c r="P108" s="35">
        <v>0.35699999999999998</v>
      </c>
      <c r="Q108" s="24">
        <f t="shared" si="1069"/>
        <v>5466.027</v>
      </c>
      <c r="R108" s="38">
        <v>2.5999999999999999E-2</v>
      </c>
      <c r="S108" s="105">
        <v>0.18029999999999999</v>
      </c>
      <c r="T108" s="24">
        <f t="shared" si="1070"/>
        <v>398.08599999999996</v>
      </c>
      <c r="U108" s="27">
        <v>0.23200000000000001</v>
      </c>
      <c r="V108" s="24">
        <f t="shared" si="1071"/>
        <v>3552.152</v>
      </c>
      <c r="W108" s="38">
        <v>0.49</v>
      </c>
      <c r="X108" s="24">
        <f t="shared" si="1072"/>
        <v>7502.3899999999994</v>
      </c>
      <c r="Y108" s="38">
        <v>0.42</v>
      </c>
      <c r="Z108" s="24">
        <f t="shared" si="1073"/>
        <v>6430.62</v>
      </c>
      <c r="AA108" s="117">
        <v>2.48E-3</v>
      </c>
      <c r="AB108" s="18">
        <f t="shared" si="722"/>
        <v>37.97128</v>
      </c>
      <c r="AC108" s="39">
        <v>2.49E-3</v>
      </c>
      <c r="AD108" s="17">
        <f t="shared" si="1075"/>
        <v>38.124389999999998</v>
      </c>
      <c r="AE108" s="26">
        <f>IF(M108&gt;0,(AG108+AP108)/M108,0)</f>
        <v>2.7509513944223105E-3</v>
      </c>
      <c r="AF108" s="39">
        <v>2.7999999999999998E-4</v>
      </c>
      <c r="AG108" s="36">
        <f t="shared" si="1076"/>
        <v>4.2870799999999996</v>
      </c>
      <c r="AH108" s="27">
        <v>0.20780000000000001</v>
      </c>
      <c r="AI108" s="40">
        <f t="shared" si="1077"/>
        <v>34.832267200000004</v>
      </c>
      <c r="AJ108" s="27">
        <f t="shared" si="1078"/>
        <v>0.88874774347970142</v>
      </c>
      <c r="AK108" s="28">
        <f t="shared" si="639"/>
        <v>0.89933272973844181</v>
      </c>
      <c r="AL108" s="33">
        <v>184</v>
      </c>
      <c r="AM108" s="35">
        <v>8.8999999999999996E-2</v>
      </c>
      <c r="AN108" s="37">
        <v>0.22570000000000001</v>
      </c>
      <c r="AO108" s="103">
        <v>0.21679999999999999</v>
      </c>
      <c r="AP108" s="40">
        <f>AL108*(1-AM108)*AN108</f>
        <v>37.832736799999999</v>
      </c>
      <c r="AQ108" s="104">
        <f t="shared" si="683"/>
        <v>36.3408832</v>
      </c>
      <c r="AR108" s="41">
        <v>1.5</v>
      </c>
      <c r="AS108" s="41"/>
      <c r="AT108" s="129">
        <f>AT107+AL108-AS108</f>
        <v>1328.4599999999996</v>
      </c>
      <c r="AU108" s="82"/>
      <c r="AV108" s="42"/>
      <c r="AW108" s="43"/>
      <c r="AX108" s="44"/>
      <c r="AY108" s="44"/>
      <c r="AZ108" s="44"/>
      <c r="BA108" s="44"/>
      <c r="BB108" s="31"/>
    </row>
    <row r="109" spans="1:54">
      <c r="A109" s="147"/>
      <c r="B109" s="32">
        <v>3</v>
      </c>
      <c r="C109" s="10" t="s">
        <v>54</v>
      </c>
      <c r="D109" s="42">
        <v>18000</v>
      </c>
      <c r="E109" s="42">
        <v>2</v>
      </c>
      <c r="F109" s="42">
        <v>17301</v>
      </c>
      <c r="G109" s="36">
        <v>2.7</v>
      </c>
      <c r="H109" s="36">
        <v>7.7</v>
      </c>
      <c r="I109" s="42">
        <v>16907</v>
      </c>
      <c r="J109" s="36">
        <v>5.2</v>
      </c>
      <c r="K109" s="42">
        <v>16292</v>
      </c>
      <c r="L109" s="38">
        <v>6.7000000000000004E-2</v>
      </c>
      <c r="M109" s="36">
        <f>ROUND(K109*(1-L109),0)</f>
        <v>15200</v>
      </c>
      <c r="N109" s="27">
        <v>0.76200000000000001</v>
      </c>
      <c r="O109" s="24">
        <f t="shared" si="1068"/>
        <v>11582.4</v>
      </c>
      <c r="P109" s="38">
        <v>0.17799999999999999</v>
      </c>
      <c r="Q109" s="24">
        <f t="shared" si="1069"/>
        <v>2705.6</v>
      </c>
      <c r="R109" s="38">
        <v>0.06</v>
      </c>
      <c r="S109" s="105">
        <v>0.17419999999999999</v>
      </c>
      <c r="T109" s="24">
        <f t="shared" si="1070"/>
        <v>912</v>
      </c>
      <c r="U109" s="27">
        <v>0.22900000000000001</v>
      </c>
      <c r="V109" s="24">
        <f t="shared" si="1071"/>
        <v>3480.8</v>
      </c>
      <c r="W109" s="38">
        <v>0.46300000000000002</v>
      </c>
      <c r="X109" s="24">
        <f t="shared" si="1072"/>
        <v>7037.6</v>
      </c>
      <c r="Y109" s="38">
        <v>0.42</v>
      </c>
      <c r="Z109" s="24">
        <f t="shared" si="1073"/>
        <v>6384</v>
      </c>
      <c r="AA109" s="118">
        <v>2.5999999999999999E-3</v>
      </c>
      <c r="AB109" s="121">
        <f t="shared" si="722"/>
        <v>39.519999999999996</v>
      </c>
      <c r="AC109" s="45">
        <v>2.5899999999999999E-3</v>
      </c>
      <c r="AD109" s="17">
        <f t="shared" si="1075"/>
        <v>39.367999999999995</v>
      </c>
      <c r="AE109" s="26">
        <f>IF(M109&gt;0,(AG109+AP109)/M109,0)</f>
        <v>2.7296162105263162E-3</v>
      </c>
      <c r="AF109" s="45">
        <v>2.7999999999999998E-4</v>
      </c>
      <c r="AG109" s="36">
        <f t="shared" si="1076"/>
        <v>4.2559999999999993</v>
      </c>
      <c r="AH109" s="27">
        <v>0.20730000000000001</v>
      </c>
      <c r="AI109" s="40">
        <f t="shared" si="1077"/>
        <v>34.862884800000003</v>
      </c>
      <c r="AJ109" s="27">
        <f t="shared" si="1078"/>
        <v>0.89309819915558497</v>
      </c>
      <c r="AK109" s="28">
        <f t="shared" si="639"/>
        <v>0.89855786426175721</v>
      </c>
      <c r="AL109" s="42">
        <v>184</v>
      </c>
      <c r="AM109" s="38">
        <v>8.5999999999999993E-2</v>
      </c>
      <c r="AN109" s="27">
        <v>0.22140000000000001</v>
      </c>
      <c r="AO109" s="105">
        <v>0.21329999999999999</v>
      </c>
      <c r="AP109" s="40">
        <f>AL109*(1-AM109)*AN109</f>
        <v>37.234166400000007</v>
      </c>
      <c r="AQ109" s="106">
        <f t="shared" si="683"/>
        <v>35.871940800000004</v>
      </c>
      <c r="AR109" s="17">
        <v>1.55</v>
      </c>
      <c r="AS109" s="17"/>
      <c r="AT109" s="129">
        <f>AT108+AL109-AS109</f>
        <v>1512.4599999999996</v>
      </c>
      <c r="AU109" s="82"/>
      <c r="AV109" s="42"/>
      <c r="AW109" s="46"/>
      <c r="AX109" s="40"/>
      <c r="AY109" s="40"/>
      <c r="AZ109" s="40"/>
      <c r="BA109" s="40"/>
      <c r="BB109" s="31"/>
    </row>
    <row r="110" spans="1:54">
      <c r="A110" s="148"/>
      <c r="B110" s="47" t="s">
        <v>56</v>
      </c>
      <c r="C110" s="48"/>
      <c r="D110" s="49">
        <f t="shared" ref="D110" si="1080">SUM(D107:D109)</f>
        <v>41570</v>
      </c>
      <c r="E110" s="49"/>
      <c r="F110" s="49">
        <f t="shared" ref="F110" si="1081">SUM(F107:F109)</f>
        <v>44333</v>
      </c>
      <c r="G110" s="50"/>
      <c r="H110" s="50"/>
      <c r="I110" s="49">
        <f t="shared" ref="I110:K110" si="1082">SUM(I107:I109)</f>
        <v>43560</v>
      </c>
      <c r="J110" s="50"/>
      <c r="K110" s="49">
        <f t="shared" si="1082"/>
        <v>48692</v>
      </c>
      <c r="L110" s="20">
        <f t="shared" ref="L110" si="1083">IF(K110&gt;0,(K107*L107+K108*L108+K109*L109)/K110,0)</f>
        <v>6.4993674525589434E-2</v>
      </c>
      <c r="M110" s="50">
        <f t="shared" ref="M110" si="1084">M107+M108+M109</f>
        <v>45527</v>
      </c>
      <c r="N110" s="51">
        <f t="shared" ref="N110" si="1085">IF(M110&gt;0,O110/M110,0)</f>
        <v>0.70762859402113032</v>
      </c>
      <c r="O110" s="52">
        <f t="shared" ref="O110" si="1086">O107+O108+O109</f>
        <v>32216.207000000002</v>
      </c>
      <c r="P110" s="20">
        <f t="shared" ref="P110" si="1087">IF(M110&gt;0,Q110/M110,0)</f>
        <v>0.25534972653590177</v>
      </c>
      <c r="Q110" s="52">
        <f t="shared" ref="Q110" si="1088">Q107+Q108+Q109</f>
        <v>11625.307000000001</v>
      </c>
      <c r="R110" s="20">
        <f t="shared" ref="R110" si="1089">IF(M110&gt;0,T110/M110,0)</f>
        <v>3.7021679442967907E-2</v>
      </c>
      <c r="S110" s="107"/>
      <c r="T110" s="52">
        <f t="shared" ref="T110" si="1090">T107+T108+T109</f>
        <v>1685.4859999999999</v>
      </c>
      <c r="U110" s="20">
        <f t="shared" ref="U110" si="1091">IF(M110&gt;0,V110/M110,0)</f>
        <v>0.22671065521558637</v>
      </c>
      <c r="V110" s="52">
        <f t="shared" ref="V110" si="1092">V107+V108+V109</f>
        <v>10321.456</v>
      </c>
      <c r="W110" s="20">
        <f t="shared" ref="W110" si="1093">IF(M110&gt;0,X110/M110,0)</f>
        <v>0.48164522151690209</v>
      </c>
      <c r="X110" s="52">
        <f t="shared" ref="X110" si="1094">X107+X108+X109</f>
        <v>21927.862000000001</v>
      </c>
      <c r="Y110" s="20">
        <f t="shared" ref="Y110" si="1095">IF(M110&gt;0,Z110/M110,0)</f>
        <v>0.41670173743053573</v>
      </c>
      <c r="Z110" s="52">
        <f t="shared" ref="Z110" si="1096">Z107+Z108+Z109</f>
        <v>18971.18</v>
      </c>
      <c r="AA110" s="119">
        <f t="shared" ref="AA110" si="1097">IF(M110&gt;0,AB110/M110,0)</f>
        <v>2.5497485008895817E-3</v>
      </c>
      <c r="AB110" s="54">
        <f t="shared" ref="AB110" si="1098">SUM(AB107:AB109)</f>
        <v>116.08239999999999</v>
      </c>
      <c r="AC110" s="53">
        <f t="shared" ref="AC110" si="1099">IF(M110&gt;0,AD110/M110,0)</f>
        <v>2.5233867814703362E-3</v>
      </c>
      <c r="AD110" s="54">
        <f t="shared" ref="AD110" si="1100">SUM(AD107:AD109)</f>
        <v>114.88222999999999</v>
      </c>
      <c r="AE110" s="53">
        <f t="shared" ref="AE110" si="1101">IF(M110&gt;0,(AE107*M107+AE108*M108+AE109*M109)/M110,0)</f>
        <v>2.7687508072133018E-3</v>
      </c>
      <c r="AF110" s="53">
        <f t="shared" ref="AF110" si="1102">IF(K110&gt;0,(K107*AF107+K108*AF108+K109*AF109)/K110,0)</f>
        <v>2.7999999999999998E-4</v>
      </c>
      <c r="AG110" s="50">
        <f t="shared" ref="AG110" si="1103">SUM(AG107:AG109)</f>
        <v>12.74756</v>
      </c>
      <c r="AH110" s="51">
        <f t="shared" ref="AH110" si="1104">IF(K110&gt;0,(K107*AH107+K108*AH108+K109*AH109)/K110,0)</f>
        <v>0.20849116487307978</v>
      </c>
      <c r="AI110" s="56">
        <f t="shared" ref="AI110" si="1105">SUM(AI107:AI109)</f>
        <v>104.3884288</v>
      </c>
      <c r="AJ110" s="51">
        <f t="shared" ref="AJ110" si="1106">IF(AND(AD110&gt;0),((AD107*AJ107+AD108*AJ108+AD109*AJ109)/AD110),0)</f>
        <v>0.89023374080934725</v>
      </c>
      <c r="AK110" s="55">
        <f t="shared" si="639"/>
        <v>0.89998486756310114</v>
      </c>
      <c r="AL110" s="49">
        <f t="shared" ref="AL110" si="1107">SUM(AL107:AL109)</f>
        <v>550</v>
      </c>
      <c r="AM110" s="20">
        <f t="shared" ref="AM110" si="1108">IF(AL110&gt;0,(AM107*AL107+AM108*AL108+AM109*AL109)/AL110,0)</f>
        <v>8.9650909090909073E-2</v>
      </c>
      <c r="AN110" s="51">
        <f>IF(K110&gt;0,(AN107*K107+AN108*K108+AN109*K109)/K110,0)</f>
        <v>0.22630835044771216</v>
      </c>
      <c r="AO110" s="107">
        <f>IF(L110&gt;0,(AO107*K107+AO108*K108+AO109*K109)/K110,0)</f>
        <v>0.21681756346011666</v>
      </c>
      <c r="AP110" s="56">
        <f t="shared" ref="AP110" si="1109">SUM(AP107:AP109)</f>
        <v>113.305358</v>
      </c>
      <c r="AQ110" s="108">
        <f t="shared" si="1065"/>
        <v>108.55502080000001</v>
      </c>
      <c r="AR110" s="54"/>
      <c r="AS110" s="54">
        <f t="shared" ref="AS110" si="1110">SUM(AS107:AS109)</f>
        <v>984.02</v>
      </c>
      <c r="AT110" s="83"/>
      <c r="AU110" s="84">
        <f>AT109</f>
        <v>1512.4599999999996</v>
      </c>
      <c r="AV110" s="49">
        <f t="shared" ref="AV110" si="1111">SUM(AV107:AV109)</f>
        <v>0</v>
      </c>
      <c r="AW110" s="57"/>
      <c r="AX110" s="56"/>
      <c r="AY110" s="56"/>
      <c r="AZ110" s="56"/>
      <c r="BA110" s="56"/>
      <c r="BB110" s="21"/>
    </row>
    <row r="111" spans="1:54">
      <c r="A111" s="146">
        <v>28</v>
      </c>
      <c r="B111" s="22">
        <v>1</v>
      </c>
      <c r="C111" s="10" t="s">
        <v>53</v>
      </c>
      <c r="D111" s="11">
        <v>4464</v>
      </c>
      <c r="E111" s="11">
        <v>1</v>
      </c>
      <c r="F111" s="11">
        <v>14593</v>
      </c>
      <c r="G111" s="12">
        <v>2.4</v>
      </c>
      <c r="H111" s="12">
        <v>5.7</v>
      </c>
      <c r="I111" s="11">
        <v>14647</v>
      </c>
      <c r="J111" s="12">
        <v>6</v>
      </c>
      <c r="K111" s="11">
        <v>16060</v>
      </c>
      <c r="L111" s="13">
        <v>7.3999999999999996E-2</v>
      </c>
      <c r="M111" s="23">
        <f>ROUND(K111*(1-L111),0)</f>
        <v>14872</v>
      </c>
      <c r="N111" s="14">
        <v>0.69399999999999995</v>
      </c>
      <c r="O111" s="24">
        <f t="shared" ref="O111:O113" si="1112">M111*N111</f>
        <v>10321.168</v>
      </c>
      <c r="P111" s="13">
        <v>0.224</v>
      </c>
      <c r="Q111" s="24">
        <f t="shared" ref="Q111:Q113" si="1113">M111*P111</f>
        <v>3331.328</v>
      </c>
      <c r="R111" s="15">
        <v>8.2000000000000003E-2</v>
      </c>
      <c r="S111" s="112">
        <v>0.1885</v>
      </c>
      <c r="T111" s="24">
        <f t="shared" ref="T111:T113" si="1114">M111*R111</f>
        <v>1219.5040000000001</v>
      </c>
      <c r="U111" s="25">
        <v>0.24099999999999999</v>
      </c>
      <c r="V111" s="24">
        <f t="shared" ref="V111:V113" si="1115">M111*U111</f>
        <v>3584.152</v>
      </c>
      <c r="W111" s="15">
        <v>0.44900000000000001</v>
      </c>
      <c r="X111" s="24">
        <f t="shared" ref="X111:X113" si="1116">M111*W111</f>
        <v>6677.5280000000002</v>
      </c>
      <c r="Y111" s="15">
        <v>0.42</v>
      </c>
      <c r="Z111" s="24">
        <f t="shared" ref="Z111:Z113" si="1117">Y111*M111</f>
        <v>6246.24</v>
      </c>
      <c r="AA111" s="116">
        <v>2.5500000000000002E-3</v>
      </c>
      <c r="AB111" s="18">
        <f t="shared" ref="AB111" si="1118">M111*AA111</f>
        <v>37.9236</v>
      </c>
      <c r="AC111" s="16">
        <v>2.5200000000000001E-3</v>
      </c>
      <c r="AD111" s="17">
        <f t="shared" ref="AD111:AD113" si="1119">M111*AC111</f>
        <v>37.477440000000001</v>
      </c>
      <c r="AE111" s="26">
        <f>IF(M111&gt;0,(AG111+AP111)/M111,0)</f>
        <v>2.7329951586874666E-3</v>
      </c>
      <c r="AF111" s="16">
        <v>2.9E-4</v>
      </c>
      <c r="AG111" s="23">
        <f t="shared" ref="AG111:AG113" si="1120">AF111*M111</f>
        <v>4.3128799999999998</v>
      </c>
      <c r="AH111" s="92">
        <v>0.2059</v>
      </c>
      <c r="AI111" s="29">
        <f t="shared" ref="AI111:AI113" si="1121">AL111*(1-AM111)*AH111</f>
        <v>34.891814000000004</v>
      </c>
      <c r="AJ111" s="27">
        <f t="shared" ref="AJ111:AJ113" si="1122">IF(AND(AH111&gt;0,AF111&gt;0,AC111&gt;0),((AC111-AF111)*AH111)/((AH111-AF111)*AC111),0)</f>
        <v>0.88616875993462751</v>
      </c>
      <c r="AK111" s="58">
        <f t="shared" si="639"/>
        <v>0.89510003374532299</v>
      </c>
      <c r="AL111" s="11">
        <v>185</v>
      </c>
      <c r="AM111" s="13">
        <v>8.4000000000000005E-2</v>
      </c>
      <c r="AN111" s="14">
        <v>0.21440000000000001</v>
      </c>
      <c r="AO111" s="101">
        <v>0.20899999999999999</v>
      </c>
      <c r="AP111" s="29">
        <f>AL111*(1-AM111)*AN111</f>
        <v>36.332224000000004</v>
      </c>
      <c r="AQ111" s="102">
        <f t="shared" ref="AQ111" si="1123">AL111*(1-AM111)*AO111</f>
        <v>35.417140000000003</v>
      </c>
      <c r="AR111" s="18">
        <v>1.6</v>
      </c>
      <c r="AS111" s="18">
        <v>531.66</v>
      </c>
      <c r="AT111" s="79">
        <f>AT109+AL111-AS111</f>
        <v>1165.7999999999997</v>
      </c>
      <c r="AU111" s="80"/>
      <c r="AV111" s="11"/>
      <c r="AW111" s="30"/>
      <c r="AX111" s="19"/>
      <c r="AY111" s="19"/>
      <c r="AZ111" s="19"/>
      <c r="BA111" s="19"/>
      <c r="BB111" s="31"/>
    </row>
    <row r="112" spans="1:54">
      <c r="A112" s="147"/>
      <c r="B112" s="32">
        <v>2</v>
      </c>
      <c r="C112" s="143" t="s">
        <v>57</v>
      </c>
      <c r="D112" s="33">
        <v>17806</v>
      </c>
      <c r="E112" s="33">
        <v>5</v>
      </c>
      <c r="F112" s="33">
        <v>14705</v>
      </c>
      <c r="G112" s="34">
        <v>1.5</v>
      </c>
      <c r="H112" s="34">
        <v>5.7</v>
      </c>
      <c r="I112" s="33">
        <v>14349</v>
      </c>
      <c r="J112" s="34">
        <v>6.5</v>
      </c>
      <c r="K112" s="33">
        <v>16320</v>
      </c>
      <c r="L112" s="35">
        <v>7.6999999999999999E-2</v>
      </c>
      <c r="M112" s="36">
        <f>ROUND(K112*(1-L112),0)</f>
        <v>15063</v>
      </c>
      <c r="N112" s="37">
        <v>0.66300000000000003</v>
      </c>
      <c r="O112" s="24">
        <f t="shared" si="1112"/>
        <v>9986.7690000000002</v>
      </c>
      <c r="P112" s="35">
        <v>0.27700000000000002</v>
      </c>
      <c r="Q112" s="24">
        <f t="shared" si="1113"/>
        <v>4172.451</v>
      </c>
      <c r="R112" s="38">
        <v>0.06</v>
      </c>
      <c r="S112" s="105">
        <v>0.18210000000000001</v>
      </c>
      <c r="T112" s="24">
        <f t="shared" si="1114"/>
        <v>903.78</v>
      </c>
      <c r="U112" s="27">
        <v>0.22600000000000001</v>
      </c>
      <c r="V112" s="24">
        <f t="shared" si="1115"/>
        <v>3404.2380000000003</v>
      </c>
      <c r="W112" s="38">
        <v>0.49099999999999999</v>
      </c>
      <c r="X112" s="24">
        <f t="shared" si="1116"/>
        <v>7395.933</v>
      </c>
      <c r="Y112" s="38">
        <v>0.41</v>
      </c>
      <c r="Z112" s="24">
        <f t="shared" si="1117"/>
        <v>6175.83</v>
      </c>
      <c r="AA112" s="117">
        <v>2.5699999999999998E-3</v>
      </c>
      <c r="AB112" s="18">
        <f t="shared" si="722"/>
        <v>38.711909999999996</v>
      </c>
      <c r="AC112" s="39">
        <v>2.66E-3</v>
      </c>
      <c r="AD112" s="17">
        <f t="shared" si="1119"/>
        <v>40.06758</v>
      </c>
      <c r="AE112" s="26">
        <f>IF(M112&gt;0,(AG112+AP112)/M112,0)</f>
        <v>2.860140516497378E-3</v>
      </c>
      <c r="AF112" s="39">
        <v>2.9999999999999997E-4</v>
      </c>
      <c r="AG112" s="36">
        <f t="shared" si="1120"/>
        <v>4.5188999999999995</v>
      </c>
      <c r="AH112" s="27">
        <v>0.20730000000000001</v>
      </c>
      <c r="AI112" s="40">
        <f t="shared" si="1121"/>
        <v>36.189190200000006</v>
      </c>
      <c r="AJ112" s="27">
        <f t="shared" si="1122"/>
        <v>0.88850386836656869</v>
      </c>
      <c r="AK112" s="28">
        <f t="shared" si="639"/>
        <v>0.89632733326462155</v>
      </c>
      <c r="AL112" s="33">
        <v>191</v>
      </c>
      <c r="AM112" s="35">
        <v>8.5999999999999993E-2</v>
      </c>
      <c r="AN112" s="37">
        <v>0.22090000000000001</v>
      </c>
      <c r="AO112" s="103">
        <v>0.21790000000000001</v>
      </c>
      <c r="AP112" s="40">
        <f>AL112*(1-AM112)*AN112</f>
        <v>38.563396600000004</v>
      </c>
      <c r="AQ112" s="104">
        <f t="shared" si="683"/>
        <v>38.039674600000005</v>
      </c>
      <c r="AR112" s="41">
        <v>1.55</v>
      </c>
      <c r="AS112" s="41"/>
      <c r="AT112" s="129">
        <f>AT111+AL112-AS112</f>
        <v>1356.7999999999997</v>
      </c>
      <c r="AU112" s="82"/>
      <c r="AV112" s="42"/>
      <c r="AW112" s="43"/>
      <c r="AX112" s="44"/>
      <c r="AY112" s="44"/>
      <c r="AZ112" s="44"/>
      <c r="BA112" s="44"/>
      <c r="BB112" s="31"/>
    </row>
    <row r="113" spans="1:54">
      <c r="A113" s="147"/>
      <c r="B113" s="32">
        <v>3</v>
      </c>
      <c r="C113" s="143" t="s">
        <v>59</v>
      </c>
      <c r="D113" s="42">
        <v>21900</v>
      </c>
      <c r="E113" s="42">
        <v>0</v>
      </c>
      <c r="F113" s="42">
        <v>15606</v>
      </c>
      <c r="G113" s="36">
        <v>1.6</v>
      </c>
      <c r="H113" s="36">
        <v>6.4</v>
      </c>
      <c r="I113" s="42">
        <v>15484</v>
      </c>
      <c r="J113" s="36">
        <v>3.2</v>
      </c>
      <c r="K113" s="42">
        <v>9085</v>
      </c>
      <c r="L113" s="38">
        <v>7.3999999999999996E-2</v>
      </c>
      <c r="M113" s="36">
        <f>ROUND(K113*(1-L113),0)</f>
        <v>8413</v>
      </c>
      <c r="N113" s="27">
        <v>0.66400000000000003</v>
      </c>
      <c r="O113" s="24">
        <f t="shared" si="1112"/>
        <v>5586.232</v>
      </c>
      <c r="P113" s="38">
        <v>0.26300000000000001</v>
      </c>
      <c r="Q113" s="24">
        <f t="shared" si="1113"/>
        <v>2212.6190000000001</v>
      </c>
      <c r="R113" s="38">
        <v>7.2999999999999995E-2</v>
      </c>
      <c r="S113" s="105">
        <v>0.1835</v>
      </c>
      <c r="T113" s="24">
        <f t="shared" si="1114"/>
        <v>614.149</v>
      </c>
      <c r="U113" s="27">
        <v>0.19600000000000001</v>
      </c>
      <c r="V113" s="24">
        <f t="shared" si="1115"/>
        <v>1648.9480000000001</v>
      </c>
      <c r="W113" s="38">
        <v>0.499</v>
      </c>
      <c r="X113" s="24">
        <f t="shared" si="1116"/>
        <v>4198.0870000000004</v>
      </c>
      <c r="Y113" s="38">
        <v>0.45</v>
      </c>
      <c r="Z113" s="24">
        <f t="shared" si="1117"/>
        <v>3785.85</v>
      </c>
      <c r="AA113" s="118">
        <v>2.6199999999999999E-3</v>
      </c>
      <c r="AB113" s="121">
        <f t="shared" si="722"/>
        <v>22.042059999999999</v>
      </c>
      <c r="AC113" s="45">
        <v>2.48E-3</v>
      </c>
      <c r="AD113" s="17">
        <f t="shared" si="1119"/>
        <v>20.864239999999999</v>
      </c>
      <c r="AE113" s="26">
        <f>IF(M113&gt;0,(AG113+AP113)/M113,0)</f>
        <v>3.1220951384761681E-3</v>
      </c>
      <c r="AF113" s="45">
        <v>2.5999999999999998E-4</v>
      </c>
      <c r="AG113" s="36">
        <f t="shared" si="1120"/>
        <v>2.1873799999999997</v>
      </c>
      <c r="AH113" s="27">
        <v>0.2034</v>
      </c>
      <c r="AI113" s="40">
        <f t="shared" si="1121"/>
        <v>22.445596800000001</v>
      </c>
      <c r="AJ113" s="27">
        <f t="shared" si="1122"/>
        <v>0.89630701216704201</v>
      </c>
      <c r="AK113" s="28">
        <f t="shared" si="639"/>
        <v>0.91781622887838687</v>
      </c>
      <c r="AL113" s="42">
        <v>121</v>
      </c>
      <c r="AM113" s="38">
        <v>8.7999999999999995E-2</v>
      </c>
      <c r="AN113" s="27">
        <v>0.21820000000000001</v>
      </c>
      <c r="AO113" s="105">
        <v>0.20880000000000001</v>
      </c>
      <c r="AP113" s="40">
        <f>AL113*(1-AM113)*AN113</f>
        <v>24.078806400000001</v>
      </c>
      <c r="AQ113" s="106">
        <f t="shared" si="683"/>
        <v>23.041497600000003</v>
      </c>
      <c r="AR113" s="17">
        <v>1.5</v>
      </c>
      <c r="AS113" s="17"/>
      <c r="AT113" s="129">
        <f>AT112+AL113-AS113</f>
        <v>1477.7999999999997</v>
      </c>
      <c r="AU113" s="82"/>
      <c r="AV113" s="42"/>
      <c r="AW113" s="46"/>
      <c r="AX113" s="40"/>
      <c r="AY113" s="40"/>
      <c r="AZ113" s="40"/>
      <c r="BA113" s="40"/>
      <c r="BB113" s="31"/>
    </row>
    <row r="114" spans="1:54">
      <c r="A114" s="148"/>
      <c r="B114" s="47" t="s">
        <v>56</v>
      </c>
      <c r="C114" s="48"/>
      <c r="D114" s="49">
        <f t="shared" ref="D114" si="1124">SUM(D111:D113)</f>
        <v>44170</v>
      </c>
      <c r="E114" s="49"/>
      <c r="F114" s="49">
        <f t="shared" ref="F114" si="1125">SUM(F111:F113)</f>
        <v>44904</v>
      </c>
      <c r="G114" s="50"/>
      <c r="H114" s="50"/>
      <c r="I114" s="49">
        <f t="shared" ref="I114:K114" si="1126">SUM(I111:I113)</f>
        <v>44480</v>
      </c>
      <c r="J114" s="50"/>
      <c r="K114" s="49">
        <f t="shared" si="1126"/>
        <v>41465</v>
      </c>
      <c r="L114" s="20">
        <f t="shared" ref="L114" si="1127">IF(K114&gt;0,(K111*L111+K112*L112+K113*L113)/K114,0)</f>
        <v>7.5180754853490891E-2</v>
      </c>
      <c r="M114" s="50">
        <f t="shared" ref="M114" si="1128">M111+M112+M113</f>
        <v>38348</v>
      </c>
      <c r="N114" s="51">
        <f t="shared" ref="N114" si="1129">IF(M114&gt;0,O114/M114,0)</f>
        <v>0.67524170752060075</v>
      </c>
      <c r="O114" s="52">
        <f t="shared" ref="O114" si="1130">O111+O112+O113</f>
        <v>25894.168999999998</v>
      </c>
      <c r="P114" s="20">
        <f t="shared" ref="P114" si="1131">IF(M114&gt;0,Q114/M114,0)</f>
        <v>0.25337430896005009</v>
      </c>
      <c r="Q114" s="52">
        <f t="shared" ref="Q114" si="1132">Q111+Q112+Q113</f>
        <v>9716.398000000001</v>
      </c>
      <c r="R114" s="20">
        <f t="shared" ref="R114" si="1133">IF(M114&gt;0,T114/M114,0)</f>
        <v>7.1383983519349117E-2</v>
      </c>
      <c r="S114" s="107"/>
      <c r="T114" s="52">
        <f t="shared" ref="T114" si="1134">T111+T112+T113</f>
        <v>2737.433</v>
      </c>
      <c r="U114" s="20">
        <f t="shared" ref="U114" si="1135">IF(M114&gt;0,V114/M114,0)</f>
        <v>0.22523568373839573</v>
      </c>
      <c r="V114" s="52">
        <f t="shared" ref="V114" si="1136">V111+V112+V113</f>
        <v>8637.3379999999997</v>
      </c>
      <c r="W114" s="20">
        <f t="shared" ref="W114" si="1137">IF(M114&gt;0,X114/M114,0)</f>
        <v>0.47646677792844472</v>
      </c>
      <c r="X114" s="52">
        <f t="shared" ref="X114" si="1138">X111+X112+X113</f>
        <v>18271.547999999999</v>
      </c>
      <c r="Y114" s="20">
        <f t="shared" ref="Y114" si="1139">IF(M114&gt;0,Z114/M114,0)</f>
        <v>0.42265359340773967</v>
      </c>
      <c r="Z114" s="52">
        <f t="shared" ref="Z114" si="1140">Z111+Z112+Z113</f>
        <v>16207.92</v>
      </c>
      <c r="AA114" s="119">
        <f t="shared" ref="AA114" si="1141">IF(M114&gt;0,AB114/M114,0)</f>
        <v>2.5732129446124964E-3</v>
      </c>
      <c r="AB114" s="54">
        <f t="shared" ref="AB114" si="1142">SUM(AB111:AB113)</f>
        <v>98.677570000000003</v>
      </c>
      <c r="AC114" s="53">
        <f t="shared" ref="AC114" si="1143">IF(M114&gt;0,AD114/M114,0)</f>
        <v>2.5662162303118803E-3</v>
      </c>
      <c r="AD114" s="54">
        <f t="shared" ref="AD114" si="1144">SUM(AD111:AD113)</f>
        <v>98.409259999999989</v>
      </c>
      <c r="AE114" s="53">
        <f t="shared" ref="AE114" si="1145">IF(M114&gt;0,(AE111*M111+AE112*M112+AE113*M113)/M114,0)</f>
        <v>2.8683004850318145E-3</v>
      </c>
      <c r="AF114" s="53">
        <f t="shared" ref="AF114" si="1146">IF(K114&gt;0,(K111*AF111+K112*AF112+K113*AF113)/K114,0)</f>
        <v>2.8736283612685394E-4</v>
      </c>
      <c r="AG114" s="50">
        <f t="shared" ref="AG114" si="1147">SUM(AG111:AG113)</f>
        <v>11.019159999999998</v>
      </c>
      <c r="AH114" s="51">
        <f t="shared" ref="AH114" si="1148">IF(K114&gt;0,(K111*AH111+K112*AH112+K113*AH113)/K114,0)</f>
        <v>0.20590326781623056</v>
      </c>
      <c r="AI114" s="56">
        <f t="shared" ref="AI114" si="1149">SUM(AI111:AI113)</f>
        <v>93.526601000000014</v>
      </c>
      <c r="AJ114" s="51">
        <f t="shared" ref="AJ114" si="1150">IF(AND(AD114&gt;0),((AD111*AJ111+AD112*AJ112+AD113*AJ113)/AD114),0)</f>
        <v>0.88926896688327361</v>
      </c>
      <c r="AK114" s="55">
        <f t="shared" si="639"/>
        <v>0.90100307265552859</v>
      </c>
      <c r="AL114" s="49">
        <f t="shared" ref="AL114" si="1151">SUM(AL111:AL113)</f>
        <v>497</v>
      </c>
      <c r="AM114" s="20">
        <f t="shared" ref="AM114" si="1152">IF(AL114&gt;0,(AM111*AL111+AM112*AL112+AM113*AL113)/AL114,0)</f>
        <v>8.5742454728370235E-2</v>
      </c>
      <c r="AN114" s="51">
        <f>IF(K114&gt;0,(AN111*K111+AN112*K112+AN113*K113)/K114,0)</f>
        <v>0.21779088387796938</v>
      </c>
      <c r="AO114" s="107">
        <f>IF(L114&gt;0,(AO111*K111+AO112*K112+AO113*K113)/K114,0)</f>
        <v>0.21245908597612445</v>
      </c>
      <c r="AP114" s="56">
        <f t="shared" ref="AP114" si="1153">SUM(AP111:AP113)</f>
        <v>98.974427000000006</v>
      </c>
      <c r="AQ114" s="108">
        <f t="shared" si="1065"/>
        <v>96.498312200000001</v>
      </c>
      <c r="AR114" s="54"/>
      <c r="AS114" s="54">
        <f t="shared" ref="AS114" si="1154">SUM(AS111:AS113)</f>
        <v>531.66</v>
      </c>
      <c r="AT114" s="83"/>
      <c r="AU114" s="84">
        <f>AT113</f>
        <v>1477.7999999999997</v>
      </c>
      <c r="AV114" s="49">
        <f t="shared" ref="AV114" si="1155">SUM(AV111:AV113)</f>
        <v>0</v>
      </c>
      <c r="AW114" s="57"/>
      <c r="AX114" s="56"/>
      <c r="AY114" s="56"/>
      <c r="AZ114" s="56"/>
      <c r="BA114" s="56"/>
      <c r="BB114" s="21"/>
    </row>
    <row r="115" spans="1:54">
      <c r="A115" s="147">
        <v>29</v>
      </c>
      <c r="B115" s="32">
        <v>1</v>
      </c>
      <c r="C115" s="10" t="s">
        <v>53</v>
      </c>
      <c r="D115" s="11">
        <v>5000</v>
      </c>
      <c r="E115" s="11">
        <v>0</v>
      </c>
      <c r="F115" s="11">
        <v>11014</v>
      </c>
      <c r="G115" s="12">
        <v>1.1000000000000001</v>
      </c>
      <c r="H115" s="12">
        <v>5.8</v>
      </c>
      <c r="I115" s="11">
        <v>10582</v>
      </c>
      <c r="J115" s="12">
        <v>3.6</v>
      </c>
      <c r="K115" s="11">
        <v>10756</v>
      </c>
      <c r="L115" s="13">
        <v>6.5000000000000002E-2</v>
      </c>
      <c r="M115" s="23">
        <f>ROUND(K115*(1-L115),0)</f>
        <v>10057</v>
      </c>
      <c r="N115" s="14">
        <v>0.67200000000000004</v>
      </c>
      <c r="O115" s="24">
        <f t="shared" ref="O115:O117" si="1156">M115*N115</f>
        <v>6758.3040000000001</v>
      </c>
      <c r="P115" s="13">
        <v>0.26800000000000002</v>
      </c>
      <c r="Q115" s="24">
        <f t="shared" ref="Q115:Q117" si="1157">M115*P115</f>
        <v>2695.2760000000003</v>
      </c>
      <c r="R115" s="15">
        <v>0.06</v>
      </c>
      <c r="S115" s="112">
        <v>0.23219999999999999</v>
      </c>
      <c r="T115" s="24">
        <f t="shared" ref="T115:T117" si="1158">M115*R115</f>
        <v>603.41999999999996</v>
      </c>
      <c r="U115" s="25">
        <v>0.26900000000000002</v>
      </c>
      <c r="V115" s="24">
        <f t="shared" ref="V115:V117" si="1159">M115*U115</f>
        <v>2705.3330000000001</v>
      </c>
      <c r="W115" s="15">
        <v>0.44900000000000001</v>
      </c>
      <c r="X115" s="24">
        <f t="shared" ref="X115:X117" si="1160">M115*W115</f>
        <v>4515.5929999999998</v>
      </c>
      <c r="Y115" s="15">
        <v>0.5</v>
      </c>
      <c r="Z115" s="24">
        <f t="shared" ref="Z115:Z117" si="1161">Y115*M115</f>
        <v>5028.5</v>
      </c>
      <c r="AA115" s="116">
        <v>2.3700000000000001E-3</v>
      </c>
      <c r="AB115" s="18">
        <f t="shared" ref="AB115" si="1162">M115*AA115</f>
        <v>23.835090000000001</v>
      </c>
      <c r="AC115" s="16">
        <v>2.3800000000000002E-3</v>
      </c>
      <c r="AD115" s="17">
        <f t="shared" ref="AD115:AD117" si="1163">M115*AC115</f>
        <v>23.935660000000002</v>
      </c>
      <c r="AE115" s="26">
        <f>IF(M115&gt;0,(AG115+AP115)/M115,0)</f>
        <v>2.7166913095356469E-3</v>
      </c>
      <c r="AF115" s="16">
        <v>2.9E-4</v>
      </c>
      <c r="AG115" s="23">
        <f t="shared" ref="AG115:AG117" si="1164">AF115*M115</f>
        <v>2.9165299999999998</v>
      </c>
      <c r="AH115" s="92">
        <v>0.19600000000000001</v>
      </c>
      <c r="AI115" s="29">
        <f t="shared" ref="AI115:AI117" si="1165">AL115*(1-AM115)*AH115</f>
        <v>23.390836000000004</v>
      </c>
      <c r="AJ115" s="27">
        <f t="shared" ref="AJ115:AJ117" si="1166">IF(AND(AH115&gt;0,AF115&gt;0,AC115&gt;0),((AC115-AF115)*AH115)/((AH115-AF115)*AC115),0)</f>
        <v>0.8794524912310232</v>
      </c>
      <c r="AK115" s="58">
        <f t="shared" si="639"/>
        <v>0.89452101595848255</v>
      </c>
      <c r="AL115" s="11">
        <v>131</v>
      </c>
      <c r="AM115" s="13">
        <v>8.8999999999999996E-2</v>
      </c>
      <c r="AN115" s="14">
        <v>0.20449999999999999</v>
      </c>
      <c r="AO115" s="101">
        <v>0.18779999999999999</v>
      </c>
      <c r="AP115" s="29">
        <f>AL115*(1-AM115)*AN115</f>
        <v>24.405234499999999</v>
      </c>
      <c r="AQ115" s="102">
        <f t="shared" ref="AQ115" si="1167">AL115*(1-AM115)*AO115</f>
        <v>22.412239800000002</v>
      </c>
      <c r="AR115" s="18">
        <v>1.5</v>
      </c>
      <c r="AS115" s="18">
        <v>520.26</v>
      </c>
      <c r="AT115" s="79">
        <f>AT113+AL115-AS115</f>
        <v>1088.5399999999997</v>
      </c>
      <c r="AU115" s="134"/>
      <c r="AV115" s="11"/>
      <c r="AW115" s="30"/>
      <c r="AX115" s="19"/>
      <c r="AY115" s="19"/>
      <c r="AZ115" s="19"/>
      <c r="BA115" s="19"/>
      <c r="BB115" s="31"/>
    </row>
    <row r="116" spans="1:54">
      <c r="A116" s="147"/>
      <c r="B116" s="32">
        <v>2</v>
      </c>
      <c r="C116" s="10" t="s">
        <v>54</v>
      </c>
      <c r="D116" s="33">
        <v>18600</v>
      </c>
      <c r="E116" s="33">
        <v>2</v>
      </c>
      <c r="F116" s="33">
        <v>15448</v>
      </c>
      <c r="G116" s="34">
        <v>1</v>
      </c>
      <c r="H116" s="34">
        <v>5.9</v>
      </c>
      <c r="I116" s="33">
        <v>14942</v>
      </c>
      <c r="J116" s="34">
        <v>3.4</v>
      </c>
      <c r="K116" s="33">
        <v>14242</v>
      </c>
      <c r="L116" s="35">
        <v>6.8000000000000005E-2</v>
      </c>
      <c r="M116" s="36">
        <f>ROUND(K116*(1-L116),0)</f>
        <v>13274</v>
      </c>
      <c r="N116" s="37">
        <v>0.71399999999999997</v>
      </c>
      <c r="O116" s="24">
        <f t="shared" si="1156"/>
        <v>9477.6360000000004</v>
      </c>
      <c r="P116" s="35">
        <v>0.23300000000000001</v>
      </c>
      <c r="Q116" s="24">
        <f t="shared" si="1157"/>
        <v>3092.8420000000001</v>
      </c>
      <c r="R116" s="38">
        <v>5.2999999999999999E-2</v>
      </c>
      <c r="S116" s="105">
        <v>0.20430000000000001</v>
      </c>
      <c r="T116" s="24">
        <f t="shared" si="1158"/>
        <v>703.52199999999993</v>
      </c>
      <c r="U116" s="27">
        <v>0.26300000000000001</v>
      </c>
      <c r="V116" s="24">
        <f t="shared" si="1159"/>
        <v>3491.0620000000004</v>
      </c>
      <c r="W116" s="38">
        <v>0.45600000000000002</v>
      </c>
      <c r="X116" s="24">
        <f t="shared" si="1160"/>
        <v>6052.9440000000004</v>
      </c>
      <c r="Y116" s="38">
        <v>0.44</v>
      </c>
      <c r="Z116" s="24">
        <f t="shared" si="1161"/>
        <v>5840.56</v>
      </c>
      <c r="AA116" s="117">
        <v>2.5500000000000002E-3</v>
      </c>
      <c r="AB116" s="18">
        <f t="shared" si="722"/>
        <v>33.848700000000001</v>
      </c>
      <c r="AC116" s="39">
        <v>2.66E-3</v>
      </c>
      <c r="AD116" s="17">
        <f t="shared" si="1163"/>
        <v>35.308840000000004</v>
      </c>
      <c r="AE116" s="26">
        <f>IF(M116&gt;0,(AG116+AP116)/M116,0)</f>
        <v>2.6004789437999096E-3</v>
      </c>
      <c r="AF116" s="39">
        <v>2.7E-4</v>
      </c>
      <c r="AG116" s="36">
        <f t="shared" si="1164"/>
        <v>3.5839799999999999</v>
      </c>
      <c r="AH116" s="27">
        <v>0.20519999999999999</v>
      </c>
      <c r="AI116" s="40">
        <f t="shared" si="1165"/>
        <v>30.980069999999998</v>
      </c>
      <c r="AJ116" s="27">
        <f t="shared" si="1166"/>
        <v>0.89968003011481268</v>
      </c>
      <c r="AK116" s="28">
        <f t="shared" si="639"/>
        <v>0.89735543161594855</v>
      </c>
      <c r="AL116" s="33">
        <v>165</v>
      </c>
      <c r="AM116" s="35">
        <v>8.5000000000000006E-2</v>
      </c>
      <c r="AN116" s="37">
        <v>0.2049</v>
      </c>
      <c r="AO116" s="103">
        <v>0.1956</v>
      </c>
      <c r="AP116" s="40">
        <f>AL116*(1-AM116)*AN116</f>
        <v>30.934777499999999</v>
      </c>
      <c r="AQ116" s="104">
        <f t="shared" si="683"/>
        <v>29.530709999999999</v>
      </c>
      <c r="AR116" s="41">
        <v>1.55</v>
      </c>
      <c r="AS116" s="41"/>
      <c r="AT116" s="129">
        <f>AT115+AL116-AS116</f>
        <v>1253.5399999999997</v>
      </c>
      <c r="AU116" s="82"/>
      <c r="AV116" s="42"/>
      <c r="AW116" s="43"/>
      <c r="AX116" s="44"/>
      <c r="AY116" s="44"/>
      <c r="AZ116" s="44"/>
      <c r="BA116" s="44"/>
      <c r="BB116" s="31"/>
    </row>
    <row r="117" spans="1:54">
      <c r="A117" s="147"/>
      <c r="B117" s="32">
        <v>3</v>
      </c>
      <c r="C117" s="143" t="s">
        <v>59</v>
      </c>
      <c r="D117" s="42">
        <v>16400</v>
      </c>
      <c r="E117" s="42">
        <v>3</v>
      </c>
      <c r="F117" s="42">
        <v>15722</v>
      </c>
      <c r="G117" s="36">
        <v>1.2</v>
      </c>
      <c r="H117" s="36">
        <v>5.0999999999999996</v>
      </c>
      <c r="I117" s="42">
        <v>15441</v>
      </c>
      <c r="J117" s="36">
        <v>2.6</v>
      </c>
      <c r="K117" s="42">
        <v>15455</v>
      </c>
      <c r="L117" s="38">
        <v>7.0000000000000007E-2</v>
      </c>
      <c r="M117" s="36">
        <f>ROUND(K117*(1-L117),0)</f>
        <v>14373</v>
      </c>
      <c r="N117" s="27">
        <v>0.70799999999999996</v>
      </c>
      <c r="O117" s="24">
        <f t="shared" si="1156"/>
        <v>10176.083999999999</v>
      </c>
      <c r="P117" s="38">
        <v>0.20200000000000001</v>
      </c>
      <c r="Q117" s="24">
        <f t="shared" si="1157"/>
        <v>2903.346</v>
      </c>
      <c r="R117" s="38">
        <v>0.09</v>
      </c>
      <c r="S117" s="105">
        <v>0.1978</v>
      </c>
      <c r="T117" s="24">
        <f t="shared" si="1158"/>
        <v>1293.57</v>
      </c>
      <c r="U117" s="27">
        <v>0.25900000000000001</v>
      </c>
      <c r="V117" s="24">
        <f t="shared" si="1159"/>
        <v>3722.607</v>
      </c>
      <c r="W117" s="38">
        <v>0.45</v>
      </c>
      <c r="X117" s="24">
        <f t="shared" si="1160"/>
        <v>6467.85</v>
      </c>
      <c r="Y117" s="38">
        <v>0.44</v>
      </c>
      <c r="Z117" s="24">
        <f t="shared" si="1161"/>
        <v>6324.12</v>
      </c>
      <c r="AA117" s="118">
        <v>2.5400000000000002E-3</v>
      </c>
      <c r="AB117" s="121">
        <f t="shared" si="722"/>
        <v>36.507420000000003</v>
      </c>
      <c r="AC117" s="45">
        <v>2.6800000000000001E-3</v>
      </c>
      <c r="AD117" s="17">
        <f t="shared" si="1163"/>
        <v>38.519640000000003</v>
      </c>
      <c r="AE117" s="26">
        <f>IF(M117&gt;0,(AG117+AP117)/M117,0)</f>
        <v>2.8444561678146528E-3</v>
      </c>
      <c r="AF117" s="45">
        <v>2.9E-4</v>
      </c>
      <c r="AG117" s="36">
        <f t="shared" si="1164"/>
        <v>4.1681699999999999</v>
      </c>
      <c r="AH117" s="27">
        <v>0.2059</v>
      </c>
      <c r="AI117" s="40">
        <f t="shared" si="1165"/>
        <v>33.346534500000004</v>
      </c>
      <c r="AJ117" s="27">
        <f t="shared" si="1166"/>
        <v>0.89304886007199547</v>
      </c>
      <c r="AK117" s="28">
        <f t="shared" si="639"/>
        <v>0.89919756998958356</v>
      </c>
      <c r="AL117" s="42">
        <v>177</v>
      </c>
      <c r="AM117" s="38">
        <v>8.5000000000000006E-2</v>
      </c>
      <c r="AN117" s="27">
        <v>0.22670000000000001</v>
      </c>
      <c r="AO117" s="105">
        <v>0.22059999999999999</v>
      </c>
      <c r="AP117" s="40">
        <f>AL117*(1-AM117)*AN117</f>
        <v>36.715198500000007</v>
      </c>
      <c r="AQ117" s="106">
        <f t="shared" si="683"/>
        <v>35.727273000000004</v>
      </c>
      <c r="AR117" s="17">
        <v>1.5</v>
      </c>
      <c r="AS117" s="17"/>
      <c r="AT117" s="129">
        <f>AT116+AL117-AS117</f>
        <v>1430.5399999999997</v>
      </c>
      <c r="AU117" s="82"/>
      <c r="AV117" s="42"/>
      <c r="AW117" s="46"/>
      <c r="AX117" s="40"/>
      <c r="AY117" s="40"/>
      <c r="AZ117" s="40"/>
      <c r="BA117" s="40"/>
      <c r="BB117" s="31"/>
    </row>
    <row r="118" spans="1:54">
      <c r="A118" s="148"/>
      <c r="B118" s="47" t="s">
        <v>56</v>
      </c>
      <c r="C118" s="48"/>
      <c r="D118" s="49">
        <f t="shared" ref="D118" si="1168">SUM(D115:D117)</f>
        <v>40000</v>
      </c>
      <c r="E118" s="49"/>
      <c r="F118" s="49">
        <f t="shared" ref="F118" si="1169">SUM(F115:F117)</f>
        <v>42184</v>
      </c>
      <c r="G118" s="50"/>
      <c r="H118" s="50"/>
      <c r="I118" s="49">
        <f t="shared" ref="I118:K118" si="1170">SUM(I115:I117)</f>
        <v>40965</v>
      </c>
      <c r="J118" s="50"/>
      <c r="K118" s="49">
        <f t="shared" si="1170"/>
        <v>40453</v>
      </c>
      <c r="L118" s="20">
        <f t="shared" ref="L118" si="1171">IF(K118&gt;0,(K115*L115+K116*L116+K117*L117)/K118,0)</f>
        <v>6.7966430178231521E-2</v>
      </c>
      <c r="M118" s="50">
        <f t="shared" ref="M118" si="1172">M115+M116+M117</f>
        <v>37704</v>
      </c>
      <c r="N118" s="51">
        <f t="shared" ref="N118" si="1173">IF(M118&gt;0,O118/M118,0)</f>
        <v>0.70050986632718004</v>
      </c>
      <c r="O118" s="52">
        <f t="shared" ref="O118" si="1174">O115+O116+O117</f>
        <v>26412.023999999998</v>
      </c>
      <c r="P118" s="20">
        <f t="shared" ref="P118" si="1175">IF(M118&gt;0,Q118/M118,0)</f>
        <v>0.23051835349034586</v>
      </c>
      <c r="Q118" s="52">
        <f t="shared" ref="Q118" si="1176">Q115+Q116+Q117</f>
        <v>8691.4639999999999</v>
      </c>
      <c r="R118" s="20">
        <f t="shared" ref="R118" si="1177">IF(M118&gt;0,T118/M118,0)</f>
        <v>6.8971780182474005E-2</v>
      </c>
      <c r="S118" s="107"/>
      <c r="T118" s="52">
        <f t="shared" ref="T118" si="1178">T115+T116+T117</f>
        <v>2600.5119999999997</v>
      </c>
      <c r="U118" s="20">
        <f t="shared" ref="U118" si="1179">IF(M118&gt;0,V118/M118,0)</f>
        <v>0.26307558879694465</v>
      </c>
      <c r="V118" s="52">
        <f t="shared" ref="V118" si="1180">V115+V116+V117</f>
        <v>9919.0020000000004</v>
      </c>
      <c r="W118" s="20">
        <f t="shared" ref="W118" si="1181">IF(M118&gt;0,X118/M118,0)</f>
        <v>0.4518456131975388</v>
      </c>
      <c r="X118" s="52">
        <f t="shared" ref="X118" si="1182">X115+X116+X117</f>
        <v>17036.387000000002</v>
      </c>
      <c r="Y118" s="20">
        <f t="shared" ref="Y118" si="1183">IF(M118&gt;0,Z118/M118,0)</f>
        <v>0.45600413749204327</v>
      </c>
      <c r="Z118" s="52">
        <f t="shared" ref="Z118" si="1184">Z115+Z116+Z117</f>
        <v>17193.18</v>
      </c>
      <c r="AA118" s="119">
        <f t="shared" ref="AA118" si="1185">IF(M118&gt;0,AB118/M118,0)</f>
        <v>2.4981755251432211E-3</v>
      </c>
      <c r="AB118" s="54">
        <f t="shared" ref="AB118" si="1186">SUM(AB115:AB117)</f>
        <v>94.191210000000012</v>
      </c>
      <c r="AC118" s="53">
        <f t="shared" ref="AC118" si="1187">IF(M118&gt;0,AD118/M118,0)</f>
        <v>2.5929381497984297E-3</v>
      </c>
      <c r="AD118" s="54">
        <f t="shared" ref="AD118" si="1188">SUM(AD115:AD117)</f>
        <v>97.764139999999998</v>
      </c>
      <c r="AE118" s="53">
        <f t="shared" ref="AE118" si="1189">IF(M118&gt;0,(AE115*M115+AE116*M116+AE117*M117)/M118,0)</f>
        <v>2.7244825615319332E-3</v>
      </c>
      <c r="AF118" s="53">
        <f t="shared" ref="AF118" si="1190">IF(K118&gt;0,(K115*AF115+K116*AF116+K117*AF117)/K118,0)</f>
        <v>2.8295874224408573E-4</v>
      </c>
      <c r="AG118" s="50">
        <f t="shared" ref="AG118" si="1191">SUM(AG115:AG117)</f>
        <v>10.66868</v>
      </c>
      <c r="AH118" s="51">
        <f t="shared" ref="AH118" si="1192">IF(K118&gt;0,(K115*AH115+K116*AH116+K117*AH117)/K118,0)</f>
        <v>0.20302125676711247</v>
      </c>
      <c r="AI118" s="56">
        <f t="shared" ref="AI118" si="1193">SUM(AI115:AI117)</f>
        <v>87.717440500000009</v>
      </c>
      <c r="AJ118" s="51">
        <f t="shared" ref="AJ118" si="1194">IF(AND(AD118&gt;0),((AD115*AJ115+AD116*AJ116+AD117*AJ117)/AD118),0)</f>
        <v>0.89211498861608662</v>
      </c>
      <c r="AK118" s="55">
        <f t="shared" si="639"/>
        <v>0.89733358242830363</v>
      </c>
      <c r="AL118" s="49">
        <f t="shared" ref="AL118" si="1195">SUM(AL115:AL117)</f>
        <v>473</v>
      </c>
      <c r="AM118" s="20">
        <f t="shared" ref="AM118" si="1196">IF(AL118&gt;0,(AM115*AL115+AM116*AL116+AM117*AL117)/AL118,0)</f>
        <v>8.6107822410147986E-2</v>
      </c>
      <c r="AN118" s="51">
        <f>IF(K118&gt;0,(AN115*K115+AN116*K116+AN117*K117)/K118,0)</f>
        <v>0.2131222974810274</v>
      </c>
      <c r="AO118" s="107">
        <f>IF(L118&gt;0,(AO115*K115+AO116*K116+AO117*K117)/K118,0)</f>
        <v>0.20307727486218571</v>
      </c>
      <c r="AP118" s="56">
        <f t="shared" ref="AP118" si="1197">SUM(AP115:AP117)</f>
        <v>92.055210500000015</v>
      </c>
      <c r="AQ118" s="108">
        <f t="shared" si="1065"/>
        <v>87.670222800000005</v>
      </c>
      <c r="AR118" s="54"/>
      <c r="AS118" s="54">
        <f t="shared" ref="AS118" si="1198">SUM(AS115:AS117)</f>
        <v>520.26</v>
      </c>
      <c r="AT118" s="83"/>
      <c r="AU118" s="84">
        <f>AT117</f>
        <v>1430.5399999999997</v>
      </c>
      <c r="AV118" s="49">
        <f t="shared" ref="AV118" si="1199">SUM(AV115:AV117)</f>
        <v>0</v>
      </c>
      <c r="AW118" s="57"/>
      <c r="AX118" s="56"/>
      <c r="AY118" s="56"/>
      <c r="AZ118" s="56"/>
      <c r="BA118" s="56"/>
      <c r="BB118" s="21"/>
    </row>
    <row r="119" spans="1:54">
      <c r="A119" s="146">
        <v>30</v>
      </c>
      <c r="B119" s="22">
        <v>1</v>
      </c>
      <c r="C119" s="10" t="s">
        <v>53</v>
      </c>
      <c r="D119" s="11">
        <v>7228</v>
      </c>
      <c r="E119" s="11">
        <v>0</v>
      </c>
      <c r="F119" s="11">
        <v>11518</v>
      </c>
      <c r="G119" s="12">
        <v>1.1000000000000001</v>
      </c>
      <c r="H119" s="12">
        <v>4.8</v>
      </c>
      <c r="I119" s="11">
        <v>11371</v>
      </c>
      <c r="J119" s="12">
        <v>4.3</v>
      </c>
      <c r="K119" s="11">
        <v>15582</v>
      </c>
      <c r="L119" s="13">
        <v>6.9000000000000006E-2</v>
      </c>
      <c r="M119" s="36">
        <f>ROUND(K119*(1-L119),0)</f>
        <v>14507</v>
      </c>
      <c r="N119" s="14">
        <v>0.626</v>
      </c>
      <c r="O119" s="24">
        <f t="shared" ref="O119:O121" si="1200">M119*N119</f>
        <v>9081.3819999999996</v>
      </c>
      <c r="P119" s="13">
        <v>0.32700000000000001</v>
      </c>
      <c r="Q119" s="24">
        <f t="shared" ref="Q119:Q121" si="1201">M119*P119</f>
        <v>4743.7889999999998</v>
      </c>
      <c r="R119" s="15">
        <v>4.7E-2</v>
      </c>
      <c r="S119" s="112">
        <v>0.2016</v>
      </c>
      <c r="T119" s="24">
        <f t="shared" ref="T119:T121" si="1202">M119*R119</f>
        <v>681.82899999999995</v>
      </c>
      <c r="U119" s="25">
        <v>0.26300000000000001</v>
      </c>
      <c r="V119" s="24">
        <f t="shared" ref="V119:V121" si="1203">M119*U119</f>
        <v>3815.3410000000003</v>
      </c>
      <c r="W119" s="15">
        <v>0.433</v>
      </c>
      <c r="X119" s="24">
        <f t="shared" ref="X119:X121" si="1204">M119*W119</f>
        <v>6281.5309999999999</v>
      </c>
      <c r="Y119" s="15">
        <v>0.43</v>
      </c>
      <c r="Z119" s="24">
        <f t="shared" ref="Z119:Z121" si="1205">Y119*M119</f>
        <v>6238.01</v>
      </c>
      <c r="AA119" s="116">
        <v>2.5300000000000001E-3</v>
      </c>
      <c r="AB119" s="18">
        <f t="shared" ref="AB119" si="1206">M119*AA119</f>
        <v>36.702710000000003</v>
      </c>
      <c r="AC119" s="16">
        <v>2.64E-3</v>
      </c>
      <c r="AD119" s="17">
        <f t="shared" ref="AD119:AD121" si="1207">M119*AC119</f>
        <v>38.298479999999998</v>
      </c>
      <c r="AE119" s="26">
        <f>IF(M119&gt;0,(AG119+AP119)/M119,0)</f>
        <v>2.6266221134624672E-3</v>
      </c>
      <c r="AF119" s="16">
        <v>2.7E-4</v>
      </c>
      <c r="AG119" s="23">
        <f t="shared" ref="AG119:AG121" si="1208">AF119*M119</f>
        <v>3.91689</v>
      </c>
      <c r="AH119" s="92">
        <v>0.2084</v>
      </c>
      <c r="AI119" s="29">
        <f t="shared" ref="AI119:AI121" si="1209">AL119*(1-AM119)*AH119</f>
        <v>32.429124000000002</v>
      </c>
      <c r="AJ119" s="27">
        <f t="shared" ref="AJ119:AJ121" si="1210">IF(AND(AH119&gt;0,AF119&gt;0,AC119&gt;0),((AC119-AF119)*AH119)/((AH119-AF119)*AC119),0)</f>
        <v>0.89889186391372533</v>
      </c>
      <c r="AK119" s="58">
        <f t="shared" si="639"/>
        <v>0.89831035547774885</v>
      </c>
      <c r="AL119" s="11">
        <v>171</v>
      </c>
      <c r="AM119" s="13">
        <v>0.09</v>
      </c>
      <c r="AN119" s="14">
        <v>0.21970000000000001</v>
      </c>
      <c r="AO119" s="101">
        <v>0.2142</v>
      </c>
      <c r="AP119" s="29">
        <f>AL119*(1-AM119)*AN119</f>
        <v>34.187517000000007</v>
      </c>
      <c r="AQ119" s="102">
        <f t="shared" ref="AQ119" si="1211">AL119*(1-AM119)*AO119</f>
        <v>33.331662000000001</v>
      </c>
      <c r="AR119" s="18">
        <v>1.58</v>
      </c>
      <c r="AS119" s="18">
        <v>490.62</v>
      </c>
      <c r="AT119" s="79">
        <f>AT117+AL119-AS119</f>
        <v>1110.9199999999996</v>
      </c>
      <c r="AU119" s="80"/>
      <c r="AV119" s="11"/>
      <c r="AW119" s="30"/>
      <c r="AX119" s="19"/>
      <c r="AY119" s="19"/>
      <c r="AZ119" s="19"/>
      <c r="BA119" s="19"/>
      <c r="BB119" s="31"/>
    </row>
    <row r="120" spans="1:54">
      <c r="A120" s="147"/>
      <c r="B120" s="32">
        <v>2</v>
      </c>
      <c r="C120" s="10" t="s">
        <v>54</v>
      </c>
      <c r="D120" s="33">
        <v>19300</v>
      </c>
      <c r="E120" s="33">
        <v>1</v>
      </c>
      <c r="F120" s="33">
        <v>14071</v>
      </c>
      <c r="G120" s="34">
        <v>1</v>
      </c>
      <c r="H120" s="34">
        <v>5.8</v>
      </c>
      <c r="I120" s="33">
        <v>13855</v>
      </c>
      <c r="J120" s="34">
        <v>4.5999999999999996</v>
      </c>
      <c r="K120" s="33">
        <v>15486</v>
      </c>
      <c r="L120" s="35">
        <v>7.1999999999999995E-2</v>
      </c>
      <c r="M120" s="36">
        <f>ROUND(K120*(1-L120),0)</f>
        <v>14371</v>
      </c>
      <c r="N120" s="37">
        <v>0.61699999999999999</v>
      </c>
      <c r="O120" s="24">
        <f t="shared" si="1200"/>
        <v>8866.9069999999992</v>
      </c>
      <c r="P120" s="35">
        <v>0.3</v>
      </c>
      <c r="Q120" s="24">
        <f t="shared" si="1201"/>
        <v>4311.3</v>
      </c>
      <c r="R120" s="38">
        <v>8.3000000000000004E-2</v>
      </c>
      <c r="S120" s="105">
        <v>0.20280000000000001</v>
      </c>
      <c r="T120" s="24">
        <f t="shared" si="1202"/>
        <v>1192.7930000000001</v>
      </c>
      <c r="U120" s="27">
        <v>0.26700000000000002</v>
      </c>
      <c r="V120" s="24">
        <f t="shared" si="1203"/>
        <v>3837.0570000000002</v>
      </c>
      <c r="W120" s="38">
        <v>0.46100000000000002</v>
      </c>
      <c r="X120" s="24">
        <f t="shared" si="1204"/>
        <v>6625.0309999999999</v>
      </c>
      <c r="Y120" s="38">
        <v>0.43</v>
      </c>
      <c r="Z120" s="24">
        <f t="shared" si="1205"/>
        <v>6179.53</v>
      </c>
      <c r="AA120" s="117">
        <v>2.64E-3</v>
      </c>
      <c r="AB120" s="18">
        <f t="shared" si="722"/>
        <v>37.939439999999998</v>
      </c>
      <c r="AC120" s="39">
        <v>2.8E-3</v>
      </c>
      <c r="AD120" s="17">
        <f t="shared" si="1207"/>
        <v>40.238799999999998</v>
      </c>
      <c r="AE120" s="26">
        <f>IF(M120&gt;0,(AG120+AP120)/M120,0)</f>
        <v>3.0314845174309372E-3</v>
      </c>
      <c r="AF120" s="39">
        <v>2.7999999999999998E-4</v>
      </c>
      <c r="AG120" s="36">
        <f t="shared" si="1208"/>
        <v>4.0238799999999992</v>
      </c>
      <c r="AH120" s="27">
        <v>0.2112</v>
      </c>
      <c r="AI120" s="40">
        <f t="shared" si="1209"/>
        <v>36.789350400000004</v>
      </c>
      <c r="AJ120" s="27">
        <f t="shared" si="1210"/>
        <v>0.90119476578797642</v>
      </c>
      <c r="AK120" s="28">
        <f t="shared" si="639"/>
        <v>0.90875694554213193</v>
      </c>
      <c r="AL120" s="33">
        <v>191</v>
      </c>
      <c r="AM120" s="35">
        <v>8.7999999999999995E-2</v>
      </c>
      <c r="AN120" s="37">
        <v>0.22700000000000001</v>
      </c>
      <c r="AO120" s="103">
        <v>0.21790000000000001</v>
      </c>
      <c r="AP120" s="40">
        <f>AL120*(1-AM120)*AN120</f>
        <v>39.541584</v>
      </c>
      <c r="AQ120" s="104">
        <f t="shared" si="683"/>
        <v>37.956436800000006</v>
      </c>
      <c r="AR120" s="41">
        <v>1.55</v>
      </c>
      <c r="AS120" s="41"/>
      <c r="AT120" s="129">
        <f>AT119+AL120-AS120</f>
        <v>1301.9199999999996</v>
      </c>
      <c r="AU120" s="82"/>
      <c r="AV120" s="42"/>
      <c r="AW120" s="43"/>
      <c r="AX120" s="44"/>
      <c r="AY120" s="44"/>
      <c r="AZ120" s="44"/>
      <c r="BA120" s="44"/>
      <c r="BB120" s="31"/>
    </row>
    <row r="121" spans="1:54">
      <c r="A121" s="147"/>
      <c r="B121" s="32">
        <v>3</v>
      </c>
      <c r="C121" s="143" t="s">
        <v>59</v>
      </c>
      <c r="D121" s="42">
        <v>15200</v>
      </c>
      <c r="E121" s="42">
        <v>1</v>
      </c>
      <c r="F121" s="42">
        <v>14952</v>
      </c>
      <c r="G121" s="36">
        <v>1.1000000000000001</v>
      </c>
      <c r="H121" s="36">
        <v>5.6</v>
      </c>
      <c r="I121" s="42">
        <v>14215</v>
      </c>
      <c r="J121" s="36">
        <v>5</v>
      </c>
      <c r="K121" s="42">
        <v>16029</v>
      </c>
      <c r="L121" s="38">
        <v>7.0000000000000007E-2</v>
      </c>
      <c r="M121" s="36">
        <f>ROUND(K121*(1-L121),0)</f>
        <v>14907</v>
      </c>
      <c r="N121" s="27">
        <v>0.57099999999999995</v>
      </c>
      <c r="O121" s="24">
        <f t="shared" si="1200"/>
        <v>8511.896999999999</v>
      </c>
      <c r="P121" s="38">
        <v>0.377</v>
      </c>
      <c r="Q121" s="24">
        <f t="shared" si="1201"/>
        <v>5619.9390000000003</v>
      </c>
      <c r="R121" s="38">
        <v>5.1999999999999998E-2</v>
      </c>
      <c r="S121" s="105">
        <v>0.19989999999999999</v>
      </c>
      <c r="T121" s="24">
        <f t="shared" si="1202"/>
        <v>775.16399999999999</v>
      </c>
      <c r="U121" s="27">
        <v>0.26500000000000001</v>
      </c>
      <c r="V121" s="24">
        <f t="shared" si="1203"/>
        <v>3950.355</v>
      </c>
      <c r="W121" s="38">
        <v>0.44500000000000001</v>
      </c>
      <c r="X121" s="24">
        <f t="shared" si="1204"/>
        <v>6633.6149999999998</v>
      </c>
      <c r="Y121" s="38">
        <v>0.43</v>
      </c>
      <c r="Z121" s="24">
        <f t="shared" si="1205"/>
        <v>6410.01</v>
      </c>
      <c r="AA121" s="118">
        <v>2.64E-3</v>
      </c>
      <c r="AB121" s="121">
        <f t="shared" si="722"/>
        <v>39.354480000000002</v>
      </c>
      <c r="AC121" s="45">
        <v>2.8E-3</v>
      </c>
      <c r="AD121" s="17">
        <f t="shared" si="1207"/>
        <v>41.739600000000003</v>
      </c>
      <c r="AE121" s="26">
        <f>IF(M121&gt;0,(AG121+AP121)/M121,0)</f>
        <v>2.8511481317501849E-3</v>
      </c>
      <c r="AF121" s="45">
        <v>2.7999999999999998E-4</v>
      </c>
      <c r="AG121" s="36">
        <f t="shared" si="1208"/>
        <v>4.1739599999999992</v>
      </c>
      <c r="AH121" s="27">
        <v>0.20880000000000001</v>
      </c>
      <c r="AI121" s="40">
        <f t="shared" si="1209"/>
        <v>35.839267200000002</v>
      </c>
      <c r="AJ121" s="27">
        <f t="shared" si="1210"/>
        <v>0.90120851716861705</v>
      </c>
      <c r="AK121" s="28">
        <f t="shared" si="639"/>
        <v>0.90292614438379826</v>
      </c>
      <c r="AL121" s="42">
        <v>188</v>
      </c>
      <c r="AM121" s="38">
        <v>8.6999999999999994E-2</v>
      </c>
      <c r="AN121" s="27">
        <v>0.2233</v>
      </c>
      <c r="AO121" s="105">
        <v>0.2127</v>
      </c>
      <c r="AP121" s="40">
        <f>AL121*(1-AM121)*AN121</f>
        <v>38.328105200000003</v>
      </c>
      <c r="AQ121" s="106">
        <f t="shared" si="683"/>
        <v>36.508678799999998</v>
      </c>
      <c r="AR121" s="17">
        <v>1.55</v>
      </c>
      <c r="AS121" s="17"/>
      <c r="AT121" s="129">
        <f>AT120+AL121-AS121</f>
        <v>1489.9199999999996</v>
      </c>
      <c r="AU121" s="82"/>
      <c r="AV121" s="42"/>
      <c r="AW121" s="46"/>
      <c r="AX121" s="40"/>
      <c r="AY121" s="40"/>
      <c r="AZ121" s="40"/>
      <c r="BA121" s="40"/>
      <c r="BB121" s="31"/>
    </row>
    <row r="122" spans="1:54">
      <c r="A122" s="148"/>
      <c r="B122" s="47" t="s">
        <v>56</v>
      </c>
      <c r="C122" s="48"/>
      <c r="D122" s="49">
        <f t="shared" ref="D122" si="1212">SUM(D119:D121)</f>
        <v>41728</v>
      </c>
      <c r="E122" s="49"/>
      <c r="F122" s="49">
        <f t="shared" ref="F122" si="1213">SUM(F119:F121)</f>
        <v>40541</v>
      </c>
      <c r="G122" s="50"/>
      <c r="H122" s="50"/>
      <c r="I122" s="49">
        <f t="shared" ref="I122:K122" si="1214">SUM(I119:I121)</f>
        <v>39441</v>
      </c>
      <c r="J122" s="50"/>
      <c r="K122" s="49">
        <f t="shared" si="1214"/>
        <v>47097</v>
      </c>
      <c r="L122" s="20">
        <f t="shared" ref="L122" si="1215">IF(K122&gt;0,(K119*L119+K120*L120+K121*L121)/K122,0)</f>
        <v>7.0326772405885737E-2</v>
      </c>
      <c r="M122" s="50">
        <f t="shared" ref="M122" si="1216">M119+M120+M121</f>
        <v>43785</v>
      </c>
      <c r="N122" s="51">
        <f t="shared" ref="N122" si="1217">IF(M122&gt;0,O122/M122,0)</f>
        <v>0.60432079479273715</v>
      </c>
      <c r="O122" s="52">
        <f t="shared" ref="O122" si="1218">O119+O120+O121</f>
        <v>26460.185999999994</v>
      </c>
      <c r="P122" s="20">
        <f t="shared" ref="P122" si="1219">IF(M122&gt;0,Q122/M122,0)</f>
        <v>0.33516108256252142</v>
      </c>
      <c r="Q122" s="52">
        <f t="shared" ref="Q122" si="1220">Q119+Q120+Q121</f>
        <v>14675.028</v>
      </c>
      <c r="R122" s="20">
        <f t="shared" ref="R122" si="1221">IF(M122&gt;0,T122/M122,0)</f>
        <v>6.0518122644741351E-2</v>
      </c>
      <c r="S122" s="107"/>
      <c r="T122" s="52">
        <f t="shared" ref="T122" si="1222">T119+T120+T121</f>
        <v>2649.7860000000001</v>
      </c>
      <c r="U122" s="20">
        <f t="shared" ref="U122" si="1223">IF(M122&gt;0,V122/M122,0)</f>
        <v>0.26499378782688138</v>
      </c>
      <c r="V122" s="52">
        <f t="shared" ref="V122" si="1224">V119+V120+V121</f>
        <v>11602.753000000001</v>
      </c>
      <c r="W122" s="20">
        <f t="shared" ref="W122" si="1225">IF(M122&gt;0,X122/M122,0)</f>
        <v>0.44627559666552474</v>
      </c>
      <c r="X122" s="52">
        <f t="shared" ref="X122" si="1226">X119+X120+X121</f>
        <v>19540.177</v>
      </c>
      <c r="Y122" s="20">
        <f t="shared" ref="Y122" si="1227">IF(M122&gt;0,Z122/M122,0)</f>
        <v>0.43000000000000005</v>
      </c>
      <c r="Z122" s="52">
        <f t="shared" ref="Z122" si="1228">Z119+Z120+Z121</f>
        <v>18827.550000000003</v>
      </c>
      <c r="AA122" s="119">
        <f t="shared" ref="AA122" si="1229">IF(M122&gt;0,AB122/M122,0)</f>
        <v>2.6035544136119677E-3</v>
      </c>
      <c r="AB122" s="54">
        <f t="shared" ref="AB122" si="1230">SUM(AB119:AB121)</f>
        <v>113.99663000000001</v>
      </c>
      <c r="AC122" s="53">
        <f t="shared" ref="AC122" si="1231">IF(M122&gt;0,AD122/M122,0)</f>
        <v>2.7469882379810438E-3</v>
      </c>
      <c r="AD122" s="54">
        <f t="shared" ref="AD122" si="1232">SUM(AD119:AD121)</f>
        <v>120.27688000000001</v>
      </c>
      <c r="AE122" s="53">
        <f t="shared" ref="AE122" si="1233">IF(M122&gt;0,(AE119*M119+AE120*M120+AE121*M121)/M122,0)</f>
        <v>2.8359469270298047E-3</v>
      </c>
      <c r="AF122" s="53">
        <f t="shared" ref="AF122" si="1234">IF(K122&gt;0,(K119*AF119+K120*AF120+K121*AF121)/K122,0)</f>
        <v>2.7669150901331297E-4</v>
      </c>
      <c r="AG122" s="50">
        <f t="shared" ref="AG122" si="1235">SUM(AG119:AG121)</f>
        <v>12.114729999999998</v>
      </c>
      <c r="AH122" s="51">
        <f t="shared" ref="AH122" si="1236">IF(K122&gt;0,(K119*AH119+K120*AH120+K121*AH121)/K122,0)</f>
        <v>0.20945680616599785</v>
      </c>
      <c r="AI122" s="56">
        <f t="shared" ref="AI122" si="1237">SUM(AI119:AI121)</f>
        <v>105.05774160000001</v>
      </c>
      <c r="AJ122" s="51">
        <f t="shared" ref="AJ122" si="1238">IF(AND(AD122&gt;0),((AD119*AJ119+AD120*AJ120+AD121*AJ121)/AD122),0)</f>
        <v>0.90046624951580856</v>
      </c>
      <c r="AK122" s="55">
        <f t="shared" si="639"/>
        <v>0.90355363958159729</v>
      </c>
      <c r="AL122" s="49">
        <f t="shared" ref="AL122" si="1239">SUM(AL119:AL121)</f>
        <v>550</v>
      </c>
      <c r="AM122" s="20">
        <f t="shared" ref="AM122" si="1240">IF(AL122&gt;0,(AM119*AL119+AM120*AL120+AM121*AL121)/AL122,0)</f>
        <v>8.8279999999999997E-2</v>
      </c>
      <c r="AN122" s="51">
        <f>IF(K122&gt;0,(AN119*K119+AN120*K120+AN121*K121)/K122,0)</f>
        <v>0.22332554302821839</v>
      </c>
      <c r="AO122" s="107">
        <f>IF(L122&gt;0,(AO119*K119+AO120*K120+AO121*K121)/K122,0)</f>
        <v>0.21490608955984458</v>
      </c>
      <c r="AP122" s="56">
        <f t="shared" ref="AP122:AQ122" si="1241">SUM(AP119:AP121)</f>
        <v>112.05720620000002</v>
      </c>
      <c r="AQ122" s="108">
        <f t="shared" si="1241"/>
        <v>107.7967776</v>
      </c>
      <c r="AR122" s="54"/>
      <c r="AS122" s="54">
        <f t="shared" ref="AS122" si="1242">SUM(AS119:AS121)</f>
        <v>490.62</v>
      </c>
      <c r="AT122" s="83"/>
      <c r="AU122" s="84">
        <f>AT121</f>
        <v>1489.9199999999996</v>
      </c>
      <c r="AV122" s="49">
        <f t="shared" ref="AV122" si="1243">SUM(AV119:AV121)</f>
        <v>0</v>
      </c>
      <c r="AW122" s="57"/>
      <c r="AX122" s="56"/>
      <c r="AY122" s="56"/>
      <c r="AZ122" s="56"/>
      <c r="BA122" s="56"/>
      <c r="BB122" s="21"/>
    </row>
    <row r="123" spans="1:54">
      <c r="A123" s="146">
        <v>31</v>
      </c>
      <c r="B123" s="22">
        <v>1</v>
      </c>
      <c r="C123" s="143" t="s">
        <v>57</v>
      </c>
      <c r="D123" s="11">
        <v>4843</v>
      </c>
      <c r="E123" s="11">
        <v>0</v>
      </c>
      <c r="F123" s="11">
        <v>14393</v>
      </c>
      <c r="G123" s="12">
        <v>1.3</v>
      </c>
      <c r="H123" s="12">
        <v>7.1</v>
      </c>
      <c r="I123" s="11">
        <v>13822</v>
      </c>
      <c r="J123" s="12">
        <v>5.3</v>
      </c>
      <c r="K123" s="11">
        <v>16329</v>
      </c>
      <c r="L123" s="13">
        <v>6.9000000000000006E-2</v>
      </c>
      <c r="M123" s="23">
        <f>ROUND(K123*(1-L123),0)</f>
        <v>15202</v>
      </c>
      <c r="N123" s="14">
        <v>0.61599999999999999</v>
      </c>
      <c r="O123" s="24">
        <f t="shared" ref="O123:O125" si="1244">M123*N123</f>
        <v>9364.4320000000007</v>
      </c>
      <c r="P123" s="13">
        <v>0.34699999999999998</v>
      </c>
      <c r="Q123" s="24">
        <f t="shared" ref="Q123:Q125" si="1245">M123*P123</f>
        <v>5275.0940000000001</v>
      </c>
      <c r="R123" s="15">
        <v>3.6999999999999998E-2</v>
      </c>
      <c r="S123" s="112">
        <v>0.18740000000000001</v>
      </c>
      <c r="T123" s="24">
        <f t="shared" ref="T123:T125" si="1246">M123*R123</f>
        <v>562.47399999999993</v>
      </c>
      <c r="U123" s="25">
        <v>0.252</v>
      </c>
      <c r="V123" s="24">
        <f t="shared" ref="V123:V125" si="1247">M123*U123</f>
        <v>3830.904</v>
      </c>
      <c r="W123" s="15">
        <v>0.45600000000000002</v>
      </c>
      <c r="X123" s="24">
        <f t="shared" ref="X123:X125" si="1248">M123*W123</f>
        <v>6932.1120000000001</v>
      </c>
      <c r="Y123" s="15">
        <v>0.43</v>
      </c>
      <c r="Z123" s="24">
        <f t="shared" ref="Z123:Z125" si="1249">Y123*M123</f>
        <v>6536.86</v>
      </c>
      <c r="AA123" s="116">
        <v>2.5300000000000001E-3</v>
      </c>
      <c r="AB123" s="18">
        <f t="shared" ref="AB123" si="1250">M123*AA123</f>
        <v>38.461060000000003</v>
      </c>
      <c r="AC123" s="16">
        <v>2.5500000000000002E-3</v>
      </c>
      <c r="AD123" s="17">
        <f t="shared" ref="AD123:AD125" si="1251">M123*AC123</f>
        <v>38.765100000000004</v>
      </c>
      <c r="AE123" s="26">
        <f>IF(M123&gt;0,(AG123+AP123)/M123,0)</f>
        <v>2.674631916853046E-3</v>
      </c>
      <c r="AF123" s="16">
        <v>2.5999999999999998E-4</v>
      </c>
      <c r="AG123" s="23">
        <f t="shared" ref="AG123:AG125" si="1252">AF123*M123</f>
        <v>3.9525199999999998</v>
      </c>
      <c r="AH123" s="92">
        <v>0.2102</v>
      </c>
      <c r="AI123" s="29">
        <f t="shared" ref="AI123:AI125" si="1253">AL123*(1-AM123)*AH123</f>
        <v>34.850319200000001</v>
      </c>
      <c r="AJ123" s="27">
        <f t="shared" ref="AJ123:AJ125" si="1254">IF(AND(AH123&gt;0,AF123&gt;0,AC123&gt;0),((AC123-AF123)*AH123)/((AH123-AF123)*AC123),0)</f>
        <v>0.89915139152736456</v>
      </c>
      <c r="AK123" s="58">
        <f t="shared" si="639"/>
        <v>0.90385179606407984</v>
      </c>
      <c r="AL123" s="11">
        <v>181</v>
      </c>
      <c r="AM123" s="13">
        <v>8.4000000000000005E-2</v>
      </c>
      <c r="AN123" s="14">
        <v>0.22140000000000001</v>
      </c>
      <c r="AO123" s="101">
        <v>0.21360000000000001</v>
      </c>
      <c r="AP123" s="29">
        <f>AL123*(1-AM123)*AN123</f>
        <v>36.707234400000004</v>
      </c>
      <c r="AQ123" s="102">
        <f t="shared" ref="AQ123" si="1255">AL123*(1-AM123)*AO123</f>
        <v>35.414025600000009</v>
      </c>
      <c r="AR123" s="18">
        <v>1.6</v>
      </c>
      <c r="AS123" s="18">
        <v>500.5</v>
      </c>
      <c r="AT123" s="79">
        <f>AT121+AL123-AS123</f>
        <v>1170.4199999999996</v>
      </c>
      <c r="AU123" s="80"/>
      <c r="AV123" s="11"/>
      <c r="AW123" s="30"/>
      <c r="AX123" s="19"/>
      <c r="AY123" s="19"/>
      <c r="AZ123" s="19"/>
      <c r="BA123" s="19"/>
      <c r="BB123" s="31"/>
    </row>
    <row r="124" spans="1:54">
      <c r="A124" s="147"/>
      <c r="B124" s="32">
        <v>2</v>
      </c>
      <c r="C124" s="10" t="s">
        <v>54</v>
      </c>
      <c r="D124" s="33">
        <v>17854</v>
      </c>
      <c r="E124" s="33">
        <v>3</v>
      </c>
      <c r="F124" s="33">
        <v>13177</v>
      </c>
      <c r="G124" s="34">
        <v>0.5</v>
      </c>
      <c r="H124" s="34">
        <v>5.8</v>
      </c>
      <c r="I124" s="33">
        <v>13583</v>
      </c>
      <c r="J124" s="34">
        <v>6</v>
      </c>
      <c r="K124" s="33">
        <v>16061</v>
      </c>
      <c r="L124" s="35">
        <v>6.4000000000000001E-2</v>
      </c>
      <c r="M124" s="36">
        <f>ROUND(K124*(1-L124),0)</f>
        <v>15033</v>
      </c>
      <c r="N124" s="37">
        <v>0.51500000000000001</v>
      </c>
      <c r="O124" s="24">
        <f t="shared" si="1244"/>
        <v>7741.9949999999999</v>
      </c>
      <c r="P124" s="35">
        <v>0.41299999999999998</v>
      </c>
      <c r="Q124" s="24">
        <f t="shared" si="1245"/>
        <v>6208.6289999999999</v>
      </c>
      <c r="R124" s="38">
        <v>7.1999999999999995E-2</v>
      </c>
      <c r="S124" s="105">
        <v>0.192</v>
      </c>
      <c r="T124" s="24">
        <f t="shared" si="1246"/>
        <v>1082.376</v>
      </c>
      <c r="U124" s="27">
        <v>0.249</v>
      </c>
      <c r="V124" s="24">
        <f t="shared" si="1247"/>
        <v>3743.2170000000001</v>
      </c>
      <c r="W124" s="38">
        <v>0.47299999999999998</v>
      </c>
      <c r="X124" s="24">
        <f t="shared" si="1248"/>
        <v>7110.6089999999995</v>
      </c>
      <c r="Y124" s="38">
        <v>0.42</v>
      </c>
      <c r="Z124" s="24">
        <f t="shared" si="1249"/>
        <v>6313.86</v>
      </c>
      <c r="AA124" s="117">
        <v>2.3E-3</v>
      </c>
      <c r="AB124" s="18">
        <f t="shared" si="722"/>
        <v>34.575899999999997</v>
      </c>
      <c r="AC124" s="39">
        <v>2.3400000000000001E-3</v>
      </c>
      <c r="AD124" s="17">
        <f t="shared" si="1251"/>
        <v>35.177219999999998</v>
      </c>
      <c r="AE124" s="26">
        <f>IF(M124&gt;0,(AG124+AP124)/M124,0)</f>
        <v>2.4872514468170025E-3</v>
      </c>
      <c r="AF124" s="39">
        <v>2.4000000000000001E-4</v>
      </c>
      <c r="AG124" s="36">
        <f t="shared" si="1252"/>
        <v>3.60792</v>
      </c>
      <c r="AH124" s="27">
        <v>0.2094</v>
      </c>
      <c r="AI124" s="40">
        <f t="shared" si="1253"/>
        <v>31.822517999999999</v>
      </c>
      <c r="AJ124" s="27">
        <f t="shared" si="1254"/>
        <v>0.89846565750180207</v>
      </c>
      <c r="AK124" s="28">
        <f t="shared" si="639"/>
        <v>0.90448444779714043</v>
      </c>
      <c r="AL124" s="33">
        <v>167</v>
      </c>
      <c r="AM124" s="35">
        <v>0.09</v>
      </c>
      <c r="AN124" s="37">
        <v>0.2223</v>
      </c>
      <c r="AO124" s="103">
        <v>0.21740000000000001</v>
      </c>
      <c r="AP124" s="40">
        <f>AL124*(1-AM124)*AN124</f>
        <v>33.782930999999998</v>
      </c>
      <c r="AQ124" s="104">
        <f t="shared" si="683"/>
        <v>33.038277999999998</v>
      </c>
      <c r="AR124" s="41">
        <v>1.55</v>
      </c>
      <c r="AS124" s="41"/>
      <c r="AT124" s="129">
        <f>AT123+AL124-AS124</f>
        <v>1337.4199999999996</v>
      </c>
      <c r="AU124" s="82"/>
      <c r="AV124" s="42"/>
      <c r="AW124" s="43"/>
      <c r="AX124" s="44"/>
      <c r="AY124" s="44"/>
      <c r="AZ124" s="44"/>
      <c r="BA124" s="44"/>
      <c r="BB124" s="31"/>
    </row>
    <row r="125" spans="1:54">
      <c r="A125" s="147"/>
      <c r="B125" s="32">
        <v>3</v>
      </c>
      <c r="C125" s="143" t="s">
        <v>59</v>
      </c>
      <c r="D125" s="42">
        <v>18400</v>
      </c>
      <c r="E125" s="42">
        <v>1</v>
      </c>
      <c r="F125" s="42">
        <v>15710</v>
      </c>
      <c r="G125" s="36">
        <v>2.2999999999999998</v>
      </c>
      <c r="H125" s="36">
        <v>7.6</v>
      </c>
      <c r="I125" s="42">
        <v>15283</v>
      </c>
      <c r="J125" s="36">
        <v>6.5</v>
      </c>
      <c r="K125" s="42">
        <v>15826</v>
      </c>
      <c r="L125" s="38">
        <v>6.5000000000000002E-2</v>
      </c>
      <c r="M125" s="36">
        <f>ROUND(K125*(1-L125),0)</f>
        <v>14797</v>
      </c>
      <c r="N125" s="27">
        <v>0.623</v>
      </c>
      <c r="O125" s="24">
        <f t="shared" si="1244"/>
        <v>9218.5310000000009</v>
      </c>
      <c r="P125" s="38">
        <v>0.27300000000000002</v>
      </c>
      <c r="Q125" s="24">
        <f t="shared" si="1245"/>
        <v>4039.5810000000001</v>
      </c>
      <c r="R125" s="38">
        <v>0.104</v>
      </c>
      <c r="S125" s="105">
        <v>0.19220000000000001</v>
      </c>
      <c r="T125" s="24">
        <f t="shared" si="1246"/>
        <v>1538.8879999999999</v>
      </c>
      <c r="U125" s="27">
        <v>0.23799999999999999</v>
      </c>
      <c r="V125" s="24">
        <f t="shared" si="1247"/>
        <v>3521.6859999999997</v>
      </c>
      <c r="W125" s="38">
        <v>0.47299999999999998</v>
      </c>
      <c r="X125" s="24">
        <f t="shared" si="1248"/>
        <v>6998.9809999999998</v>
      </c>
      <c r="Y125" s="38">
        <v>0.43</v>
      </c>
      <c r="Z125" s="24">
        <f t="shared" si="1249"/>
        <v>6362.71</v>
      </c>
      <c r="AA125" s="118">
        <v>2.4599999999999999E-3</v>
      </c>
      <c r="AB125" s="121">
        <f t="shared" si="722"/>
        <v>36.400619999999996</v>
      </c>
      <c r="AC125" s="45">
        <v>2.5100000000000001E-3</v>
      </c>
      <c r="AD125" s="17">
        <f t="shared" si="1251"/>
        <v>37.140470000000001</v>
      </c>
      <c r="AE125" s="26">
        <f>IF(M125&gt;0,(AG125+AP125)/M125,0)</f>
        <v>2.5813637899574238E-3</v>
      </c>
      <c r="AF125" s="45">
        <v>2.5000000000000001E-4</v>
      </c>
      <c r="AG125" s="36">
        <f t="shared" si="1252"/>
        <v>3.6992500000000001</v>
      </c>
      <c r="AH125" s="27">
        <v>0.21310000000000001</v>
      </c>
      <c r="AI125" s="40">
        <f t="shared" si="1253"/>
        <v>32.384807000000002</v>
      </c>
      <c r="AJ125" s="27">
        <f t="shared" si="1254"/>
        <v>0.9014559567695859</v>
      </c>
      <c r="AK125" s="28">
        <f t="shared" si="639"/>
        <v>0.90414772654447928</v>
      </c>
      <c r="AL125" s="42">
        <v>167</v>
      </c>
      <c r="AM125" s="38">
        <v>0.09</v>
      </c>
      <c r="AN125" s="27">
        <v>0.22700000000000001</v>
      </c>
      <c r="AO125" s="105">
        <v>0.222</v>
      </c>
      <c r="AP125" s="40">
        <f>AL125*(1-AM125)*AN125</f>
        <v>34.497190000000003</v>
      </c>
      <c r="AQ125" s="106">
        <f t="shared" si="683"/>
        <v>33.737340000000003</v>
      </c>
      <c r="AR125" s="17">
        <v>1.6</v>
      </c>
      <c r="AS125" s="17"/>
      <c r="AT125" s="129">
        <f>AT124+AL125-AS125</f>
        <v>1504.4199999999996</v>
      </c>
      <c r="AU125" s="82"/>
      <c r="AV125" s="42"/>
      <c r="AW125" s="46"/>
      <c r="AX125" s="40"/>
      <c r="AY125" s="40"/>
      <c r="AZ125" s="40"/>
      <c r="BA125" s="40"/>
      <c r="BB125" s="31"/>
    </row>
    <row r="126" spans="1:54">
      <c r="A126" s="148"/>
      <c r="B126" s="47" t="s">
        <v>56</v>
      </c>
      <c r="C126" s="48"/>
      <c r="D126" s="49">
        <f>SUM(D123:D125)</f>
        <v>41097</v>
      </c>
      <c r="E126" s="137"/>
      <c r="F126" s="49">
        <f>SUM(F123:F125)</f>
        <v>43280</v>
      </c>
      <c r="G126" s="138"/>
      <c r="H126" s="138"/>
      <c r="I126" s="49">
        <f>SUM(I123:I125)</f>
        <v>42688</v>
      </c>
      <c r="J126" s="50"/>
      <c r="K126" s="49">
        <f>SUM(K123:K125)</f>
        <v>48216</v>
      </c>
      <c r="L126" s="20">
        <f>IF(K126&gt;0,(K123*L123+K124*L124+K125*L125)/K126,0)</f>
        <v>6.6021548863447826E-2</v>
      </c>
      <c r="M126" s="50">
        <f>M123+M124+M125</f>
        <v>45032</v>
      </c>
      <c r="N126" s="51">
        <f>IF(M126&gt;0,O126/M126,0)</f>
        <v>0.58458336294190794</v>
      </c>
      <c r="O126" s="52">
        <f t="shared" ref="O126" si="1256">O123+O124+O125</f>
        <v>26324.957999999999</v>
      </c>
      <c r="P126" s="20">
        <f>IF(M126&gt;0,Q126/M126,0)</f>
        <v>0.34471717889500797</v>
      </c>
      <c r="Q126" s="52">
        <f t="shared" ref="Q126" si="1257">Q123+Q124+Q125</f>
        <v>15523.304</v>
      </c>
      <c r="R126" s="20">
        <f>IF(M126&gt;0,T126/M126,0)</f>
        <v>7.0699458163084025E-2</v>
      </c>
      <c r="S126" s="107"/>
      <c r="T126" s="52">
        <f t="shared" ref="T126" si="1258">T123+T124+T125</f>
        <v>3183.7379999999998</v>
      </c>
      <c r="U126" s="20">
        <f>IF(M126&gt;0,V126/M126,0)</f>
        <v>0.24639827233966957</v>
      </c>
      <c r="V126" s="52">
        <f t="shared" ref="V126" si="1259">V123+V124+V125</f>
        <v>11095.807000000001</v>
      </c>
      <c r="W126" s="20">
        <f>IF(M126&gt;0,X126/M126,0)</f>
        <v>0.46726110321549114</v>
      </c>
      <c r="X126" s="52">
        <f t="shared" ref="X126" si="1260">X123+X124+X125</f>
        <v>21041.701999999997</v>
      </c>
      <c r="Y126" s="20">
        <f>IF(M126&gt;0,Z126/M126,0)</f>
        <v>0.42666170723041391</v>
      </c>
      <c r="Z126" s="52">
        <f t="shared" ref="Z126" si="1261">Z123+Z124+Z125</f>
        <v>19213.43</v>
      </c>
      <c r="AA126" s="119">
        <f t="shared" ref="AA126" si="1262">IF(M126&gt;0,AB126/M126,0)</f>
        <v>2.4302180671522474E-3</v>
      </c>
      <c r="AB126" s="54">
        <f t="shared" ref="AB126" si="1263">SUM(AB123:AB125)</f>
        <v>109.43758</v>
      </c>
      <c r="AC126" s="53">
        <f>IF(M126&gt;0,AD126/M126,0)</f>
        <v>2.4667523094688221E-3</v>
      </c>
      <c r="AD126" s="54">
        <f t="shared" ref="AD126" si="1264">SUM(AD123:AD125)</f>
        <v>111.08278999999999</v>
      </c>
      <c r="AE126" s="53">
        <f t="shared" ref="AE126" si="1265">IF(M126&gt;0,(AE123*M123+AE124*M124+AE125*M125)/M126,0)</f>
        <v>2.5814319905844729E-3</v>
      </c>
      <c r="AF126" s="53">
        <f>IF(K126&gt;0,(K123*AF123+K124*AF124+K125*AF125)/K126,0)</f>
        <v>2.5005558320889329E-4</v>
      </c>
      <c r="AG126" s="50">
        <f t="shared" ref="AG126" si="1266">SUM(AG123:AG125)</f>
        <v>11.259689999999999</v>
      </c>
      <c r="AH126" s="51">
        <f>IF(K126&gt;0,(K123*AH123+K124*AH124+K125*AH125)/K126,0)</f>
        <v>0.21088538659366188</v>
      </c>
      <c r="AI126" s="56">
        <f>SUM(AI123:AI125)</f>
        <v>99.057644199999999</v>
      </c>
      <c r="AJ126" s="51">
        <f>IF(AND(AD126&gt;0),((AD123*AJ123+AD124*AJ124+AD125*AJ125)/AD126),0)</f>
        <v>0.89970476635314156</v>
      </c>
      <c r="AK126" s="55">
        <f t="shared" si="639"/>
        <v>0.90414439649548406</v>
      </c>
      <c r="AL126" s="49">
        <f>SUM(AL123:AL125)</f>
        <v>515</v>
      </c>
      <c r="AM126" s="20">
        <f>IF(AL126&gt;0,(AM123*AL123+AM124*AL124+AM125*AL125)/AL126,0)</f>
        <v>8.7891262135922341E-2</v>
      </c>
      <c r="AN126" s="51">
        <f>IF(K126&gt;0,(AN123*K123+AN124*K124+AN125*K125)/K126,0)</f>
        <v>0.22353788991206239</v>
      </c>
      <c r="AO126" s="107">
        <f>IF(L126&gt;0,(AO123*K123+AO124*K124+AO125*K125)/K126,0)</f>
        <v>0.21762294259167078</v>
      </c>
      <c r="AP126" s="56">
        <f>SUM(AP123:AP125)</f>
        <v>104.9873554</v>
      </c>
      <c r="AQ126" s="108">
        <f t="shared" ref="AQ126" si="1267">SUM(AQ123:AQ125)</f>
        <v>102.18964360000001</v>
      </c>
      <c r="AR126" s="139"/>
      <c r="AS126" s="54">
        <f>SUM(AS123:AS125)</f>
        <v>500.5</v>
      </c>
      <c r="AT126" s="83"/>
      <c r="AU126" s="84">
        <f>AT125</f>
        <v>1504.4199999999996</v>
      </c>
      <c r="AV126" s="49">
        <f>SUM(AV123:AV125)</f>
        <v>0</v>
      </c>
      <c r="AW126" s="140"/>
      <c r="AX126" s="141"/>
      <c r="AY126" s="141"/>
      <c r="AZ126" s="141"/>
      <c r="BA126" s="141"/>
      <c r="BB126" s="21"/>
    </row>
  </sheetData>
  <protectedRanges>
    <protectedRange sqref="AD31:AE31 AD28:AD30 AD35:AE35 AD32:AD34 AD39:AE39 AD36:AD38 AD43:AE43 AD40:AD42 AD47:AE47 AD44:AD46 AD51:AE51 AD48:AD50 AD55:AE55 AD52:AD54 AD59:AE59 AD56:AD58 AD63:AE63 AD60:AD62 AD64:AD66" name="Range1_1_1_1_1_2_2_1_1"/>
    <protectedRange sqref="O28:O66" name="Range1_1_1_1_1_5_1_1_1"/>
    <protectedRange sqref="Q28:Q66" name="Range1_1_1_1_1_7_1_1_1"/>
    <protectedRange sqref="T28:T66" name="Range1_1_1_1_1_8_1_1_1"/>
    <protectedRange sqref="V28:V66" name="Range1_1_1_1_1_10_1_1_1"/>
    <protectedRange sqref="X28:X66" name="Range1_1_1_1_1_12_1_1_1"/>
    <protectedRange sqref="Z28:Z66" name="Range1_1_1_1_1_16_1_1_1"/>
    <protectedRange sqref="AG28:AG66" name="Range1_1_1_1_1_18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B28:AB66" name="Range1_1_1_1_1_2_2_1_1_1_1_1"/>
    <protectedRange sqref="AP67:AQ126 AK67:AK126 M67:M126" name="Range1_1_1_1_1_1_1_1_1_5"/>
    <protectedRange sqref="AJ126 AH70:AJ70 AH74:AJ74 AH78:AJ78 AH82:AJ82 AH86:AJ86 AH90:AJ90 AH94:AJ94 AH98:AJ98 AH102:AJ102 AH106:AJ106 AH110:AJ110 AH114:AJ114 AH118:AJ118 AH122:AJ122 AH67:AI69 AH71:AI73 AH75:AI77 AH79:AI81 AH83:AI85 AH87:AI89 AH91:AI93 AH95:AI97 AH99:AI101 AH103:AI105 AH107:AI109 AH111:AI113 AH115:AI117 AH119:AI121 AH123:AI126" name="Range1_1_1_1_1_1_1_5"/>
    <protectedRange sqref="AJ67:AJ69 AJ71:AJ73 AJ75:AJ77 AJ79:AJ81 AJ83:AJ85 AJ87:AJ89 AJ91:AJ93 AJ95:AJ97 AJ99:AJ101 AJ103:AJ105 AJ107:AJ109 AJ111:AJ113 AJ115:AJ117 AJ119:AJ121 AJ123:AJ125" name="Range1_1_1_1_3"/>
    <protectedRange sqref="AD70:AE70 AD67:AD69 AD74:AE74 AD71:AD73 AD78:AE78 AD75:AD77 AD82:AE82 AD79:AD81 AD86:AE86 AD83:AD85 AD90:AE90 AD87:AD89 AD94:AE94 AD91:AD93 AD98:AE98 AD95:AD97 AD102:AE102 AD99:AD101 AD106:AE106 AD103:AD105 AD110:AE110 AD107:AD109 AD114:AE114 AD111:AD113 AD118:AE118 AD115:AD117 AD122:AE122 AD119:AD121 AD126:AE126 AD123:AD125" name="Range1_1_1_1_1_2_2_1_3"/>
    <protectedRange sqref="O67:O126" name="Range1_1_1_1_1_5_1_1_3"/>
    <protectedRange sqref="Q67:Q126" name="Range1_1_1_1_1_7_1_1_3"/>
    <protectedRange sqref="T67:T126" name="Range1_1_1_1_1_8_1_1_3"/>
    <protectedRange sqref="V67:V126" name="Range1_1_1_1_1_10_1_1_3"/>
    <protectedRange sqref="X67:X126" name="Range1_1_1_1_1_12_1_1_3"/>
    <protectedRange sqref="Z67:Z126" name="Range1_1_1_1_1_16_1_1_3"/>
    <protectedRange sqref="AG67:AG126" name="Range1_1_1_1_1_18_1_1_3"/>
    <protectedRange sqref="AE67:AE69" name="Range1_1_1_1_1_2_1_16_1_1_1_1"/>
    <protectedRange sqref="AE71:AE73" name="Range1_1_1_1_1_2_1_17_1_1_1_1"/>
    <protectedRange sqref="AE75:AE77" name="Range1_1_1_1_1_2_1_18_1_1_1_1"/>
    <protectedRange sqref="AE79:AE81" name="Range1_1_1_1_1_2_1_19_1_1_1_1"/>
    <protectedRange sqref="AE83:AE85" name="Range1_1_1_1_1_2_1_20_1_1_1_1"/>
    <protectedRange sqref="AE87:AE89" name="Range1_1_1_1_1_2_1_21_1_1_1_1"/>
    <protectedRange sqref="AE91:AE93" name="Range1_1_1_1_1_2_1_22_1_1_1_1"/>
    <protectedRange sqref="AE95:AE97" name="Range1_1_1_1_1_2_1_23_1_1_1_1"/>
    <protectedRange sqref="AE99:AE101" name="Range1_1_1_1_1_2_1_24_1_1_1_1"/>
    <protectedRange sqref="AE103:AE105" name="Range1_1_1_1_1_2_1_25_1_1_1_1"/>
    <protectedRange sqref="AE107:AE109" name="Range1_1_1_1_1_2_1_26_1_1_1_1"/>
    <protectedRange sqref="AE111:AE113" name="Range1_1_1_1_1_2_1_27_1_1_1_1"/>
    <protectedRange sqref="AE115:AE117" name="Range1_1_1_1_1_2_1_28_1_1_1_1"/>
    <protectedRange sqref="AE119:AE121" name="Range1_1_1_1_1_2_1_29_1_1_1_1"/>
    <protectedRange sqref="AE123:AE125" name="Range1_1_1_1_1_2_1_30_1_1_1_1"/>
    <protectedRange sqref="AB67:AB126" name="Range1_1_1_1_1_2_2_1_1_1_1_3"/>
  </protectedRanges>
  <mergeCells count="33">
    <mergeCell ref="A107:A110"/>
    <mergeCell ref="A111:A114"/>
    <mergeCell ref="A115:A118"/>
    <mergeCell ref="A119:A122"/>
    <mergeCell ref="A123:A126"/>
    <mergeCell ref="A87:A90"/>
    <mergeCell ref="A91:A94"/>
    <mergeCell ref="A95:A98"/>
    <mergeCell ref="A99:A102"/>
    <mergeCell ref="A103:A106"/>
    <mergeCell ref="A67:A70"/>
    <mergeCell ref="A71:A74"/>
    <mergeCell ref="A75:A78"/>
    <mergeCell ref="A79:A82"/>
    <mergeCell ref="A83:A86"/>
    <mergeCell ref="A20:A23"/>
    <mergeCell ref="A24:A27"/>
    <mergeCell ref="AX1:AY1"/>
    <mergeCell ref="AZ1:BA1"/>
    <mergeCell ref="A4:A7"/>
    <mergeCell ref="A8:A11"/>
    <mergeCell ref="A12:A15"/>
    <mergeCell ref="A16:A19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91CE-081A-4D37-8080-6B4E0BE3FD15}">
  <dimension ref="A1:BB127"/>
  <sheetViews>
    <sheetView topLeftCell="A94" workbookViewId="0">
      <selection activeCell="A4" sqref="A4:BB127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43" t="s">
        <v>57</v>
      </c>
      <c r="D4" s="11">
        <v>10062</v>
      </c>
      <c r="E4" s="11">
        <v>0</v>
      </c>
      <c r="F4" s="11">
        <v>14926</v>
      </c>
      <c r="G4" s="12">
        <v>1.9</v>
      </c>
      <c r="H4" s="12">
        <v>6.1</v>
      </c>
      <c r="I4" s="11">
        <v>14598</v>
      </c>
      <c r="J4" s="12">
        <v>5.9</v>
      </c>
      <c r="K4" s="11">
        <v>15758</v>
      </c>
      <c r="L4" s="13">
        <v>6.2E-2</v>
      </c>
      <c r="M4" s="23">
        <f>ROUND(K4*(1-L4),0)</f>
        <v>14781</v>
      </c>
      <c r="N4" s="14">
        <v>0.622</v>
      </c>
      <c r="O4" s="24">
        <f t="shared" ref="O4:O6" si="0">M4*N4</f>
        <v>9193.7819999999992</v>
      </c>
      <c r="P4" s="13">
        <v>0.32600000000000001</v>
      </c>
      <c r="Q4" s="24">
        <f t="shared" ref="Q4:Q6" si="1">M4*P4</f>
        <v>4818.6059999999998</v>
      </c>
      <c r="R4" s="15">
        <v>5.1999999999999998E-2</v>
      </c>
      <c r="S4" s="111">
        <v>0.18279999999999999</v>
      </c>
      <c r="T4" s="24">
        <f t="shared" ref="T4:T6" si="2">M4*R4</f>
        <v>768.61199999999997</v>
      </c>
      <c r="U4" s="25">
        <v>0.23599999999999999</v>
      </c>
      <c r="V4" s="24">
        <f t="shared" ref="V4:V6" si="3">M4*U4</f>
        <v>3488.3159999999998</v>
      </c>
      <c r="W4" s="15">
        <v>0.47399999999999998</v>
      </c>
      <c r="X4" s="24">
        <f>M4*W4</f>
        <v>7006.1939999999995</v>
      </c>
      <c r="Y4" s="15">
        <v>0.42</v>
      </c>
      <c r="Z4" s="96">
        <f t="shared" ref="Z4:Z6" si="4">Y4*M4</f>
        <v>6208.0199999999995</v>
      </c>
      <c r="AA4" s="116">
        <v>2.47E-3</v>
      </c>
      <c r="AB4" s="18">
        <f>M4*AA4</f>
        <v>36.509070000000001</v>
      </c>
      <c r="AC4" s="16">
        <v>2.5500000000000002E-3</v>
      </c>
      <c r="AD4" s="18">
        <f>M4*AC4</f>
        <v>37.691549999999999</v>
      </c>
      <c r="AE4" s="26">
        <f>IF(M4&gt;0,(AG4+AP4)/M4,0)</f>
        <v>2.592069481090589E-3</v>
      </c>
      <c r="AF4" s="16">
        <v>2.5000000000000001E-4</v>
      </c>
      <c r="AG4" s="23">
        <f t="shared" ref="AG4:AG6" si="5">AF4*M4</f>
        <v>3.6952500000000001</v>
      </c>
      <c r="AH4" s="92">
        <v>0.2084</v>
      </c>
      <c r="AI4" s="29">
        <f>AL4*(1-AM4)*AH4</f>
        <v>32.049835999999999</v>
      </c>
      <c r="AJ4" s="27">
        <f>IF(AND(AH4&gt;0,AF4&gt;0,AC4&gt;0),((AC4-AF4)*AH4)/((AH4-AF4)*AC4),0)</f>
        <v>0.90304409056440249</v>
      </c>
      <c r="AK4" s="58">
        <f t="shared" ref="AK4:AK67" si="6">IF(AND(AE4&gt;0,AN4&gt;0,AF4&gt;0),((AN4*(AE4-AF4))/(AE4*(AN4-AF4))),0)</f>
        <v>0.9045565844751795</v>
      </c>
      <c r="AL4" s="11">
        <v>169</v>
      </c>
      <c r="AM4" s="13">
        <v>0.09</v>
      </c>
      <c r="AN4" s="14">
        <v>0.22509999999999999</v>
      </c>
      <c r="AO4" s="101">
        <v>0.21360000000000001</v>
      </c>
      <c r="AP4" s="29">
        <f>AL4*(1-AM4)*AN4</f>
        <v>34.618128999999996</v>
      </c>
      <c r="AQ4" s="102">
        <f>AL4*(1-AM4)*AO4</f>
        <v>32.849544000000002</v>
      </c>
      <c r="AR4" s="18">
        <v>1.55</v>
      </c>
      <c r="AS4" s="18"/>
      <c r="AT4" s="88">
        <f>AT3+AL4-AS4</f>
        <v>1615.4599999999994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58</v>
      </c>
      <c r="D5" s="33">
        <v>19868</v>
      </c>
      <c r="E5" s="33">
        <v>0</v>
      </c>
      <c r="F5" s="33">
        <v>14626</v>
      </c>
      <c r="G5" s="34">
        <v>5.3</v>
      </c>
      <c r="H5" s="34">
        <v>7.7</v>
      </c>
      <c r="I5" s="33">
        <v>14461</v>
      </c>
      <c r="J5" s="34">
        <v>6.2</v>
      </c>
      <c r="K5" s="33">
        <v>15615</v>
      </c>
      <c r="L5" s="35">
        <v>7.9000000000000001E-2</v>
      </c>
      <c r="M5" s="36">
        <f>ROUND(K5*(1-L5),0)</f>
        <v>14381</v>
      </c>
      <c r="N5" s="37">
        <v>0.68300000000000005</v>
      </c>
      <c r="O5" s="24">
        <f t="shared" si="0"/>
        <v>9822.223</v>
      </c>
      <c r="P5" s="35">
        <v>0.22</v>
      </c>
      <c r="Q5" s="24">
        <f t="shared" si="1"/>
        <v>3163.82</v>
      </c>
      <c r="R5" s="38">
        <v>9.7000000000000003E-2</v>
      </c>
      <c r="S5" s="105">
        <v>0.1835</v>
      </c>
      <c r="T5" s="24">
        <f t="shared" si="2"/>
        <v>1394.9570000000001</v>
      </c>
      <c r="U5" s="27">
        <v>0.23</v>
      </c>
      <c r="V5" s="24">
        <f t="shared" si="3"/>
        <v>3307.63</v>
      </c>
      <c r="W5" s="38">
        <v>0.48699999999999999</v>
      </c>
      <c r="X5" s="24">
        <f>M5*W5</f>
        <v>7003.5469999999996</v>
      </c>
      <c r="Y5" s="38">
        <v>0.44</v>
      </c>
      <c r="Z5" s="24">
        <f t="shared" si="4"/>
        <v>6327.64</v>
      </c>
      <c r="AA5" s="117">
        <v>2.3500000000000001E-3</v>
      </c>
      <c r="AB5" s="18">
        <f t="shared" ref="AB5:AB6" si="7">M5*AA5</f>
        <v>33.795349999999999</v>
      </c>
      <c r="AC5" s="39">
        <v>2.4099999999999998E-3</v>
      </c>
      <c r="AD5" s="17">
        <f>M5*AC5</f>
        <v>34.658209999999997</v>
      </c>
      <c r="AE5" s="26">
        <f>IF(M5&gt;0,(AG5+AP5)/M5,0)</f>
        <v>2.653393088102357E-3</v>
      </c>
      <c r="AF5" s="39">
        <v>2.3000000000000001E-4</v>
      </c>
      <c r="AG5" s="36">
        <f t="shared" si="5"/>
        <v>3.3076300000000001</v>
      </c>
      <c r="AH5" s="27">
        <v>0.2016</v>
      </c>
      <c r="AI5" s="40">
        <f>AL5*(1-AM5)*AH5</f>
        <v>32.288255999999997</v>
      </c>
      <c r="AJ5" s="27">
        <f>IF(AND(AH5&gt;0,AF5&gt;0,AC5&gt;0),((AC5-AF5)*AH5)/((AH5-AF5)*AC5),0)</f>
        <v>0.90559748708895926</v>
      </c>
      <c r="AK5" s="28">
        <f t="shared" si="6"/>
        <v>0.914284920752647</v>
      </c>
      <c r="AL5" s="33">
        <v>176</v>
      </c>
      <c r="AM5" s="35">
        <v>0.09</v>
      </c>
      <c r="AN5" s="37">
        <v>0.21759999999999999</v>
      </c>
      <c r="AO5" s="103">
        <v>0.2097</v>
      </c>
      <c r="AP5" s="40">
        <f>AL5*(1-AM5)*AN5</f>
        <v>34.850815999999995</v>
      </c>
      <c r="AQ5" s="104">
        <f t="shared" ref="AQ5:AQ6" si="8">AL5*(1-AM5)*AO5</f>
        <v>33.585552</v>
      </c>
      <c r="AR5" s="41">
        <v>1.55</v>
      </c>
      <c r="AS5" s="41"/>
      <c r="AT5" s="88">
        <f>AT4+AL5-AS5</f>
        <v>1791.4599999999994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53</v>
      </c>
      <c r="D6" s="42">
        <v>12865</v>
      </c>
      <c r="E6" s="42">
        <v>1</v>
      </c>
      <c r="F6" s="42">
        <v>15487</v>
      </c>
      <c r="G6" s="36">
        <v>6.6</v>
      </c>
      <c r="H6" s="36">
        <v>8.3000000000000007</v>
      </c>
      <c r="I6" s="42">
        <v>15047</v>
      </c>
      <c r="J6" s="36">
        <v>6.5</v>
      </c>
      <c r="K6" s="42">
        <v>15578</v>
      </c>
      <c r="L6" s="38">
        <v>6.6000000000000003E-2</v>
      </c>
      <c r="M6" s="36">
        <f>ROUND(K6*(1-L6),0)</f>
        <v>14550</v>
      </c>
      <c r="N6" s="27">
        <v>0.747</v>
      </c>
      <c r="O6" s="24">
        <f t="shared" si="0"/>
        <v>10868.85</v>
      </c>
      <c r="P6" s="38">
        <v>0.23499999999999999</v>
      </c>
      <c r="Q6" s="24">
        <f t="shared" si="1"/>
        <v>3419.25</v>
      </c>
      <c r="R6" s="38">
        <v>1.7999999999999999E-2</v>
      </c>
      <c r="S6" s="105">
        <v>0.19350000000000001</v>
      </c>
      <c r="T6" s="24">
        <f t="shared" si="2"/>
        <v>261.89999999999998</v>
      </c>
      <c r="U6" s="27">
        <v>0.22500000000000001</v>
      </c>
      <c r="V6" s="24">
        <f t="shared" si="3"/>
        <v>3273.75</v>
      </c>
      <c r="W6" s="38">
        <v>0.498</v>
      </c>
      <c r="X6" s="24">
        <f>M6*W6</f>
        <v>7245.9</v>
      </c>
      <c r="Y6" s="38">
        <v>0.41</v>
      </c>
      <c r="Z6" s="24">
        <f t="shared" si="4"/>
        <v>5965.5</v>
      </c>
      <c r="AA6" s="118">
        <v>2.3600000000000001E-3</v>
      </c>
      <c r="AB6" s="121">
        <f t="shared" si="7"/>
        <v>34.338000000000001</v>
      </c>
      <c r="AC6" s="45">
        <v>2.3700000000000001E-3</v>
      </c>
      <c r="AD6" s="17">
        <f>M6*AC6</f>
        <v>34.483499999999999</v>
      </c>
      <c r="AE6" s="26">
        <f>IF(M6&gt;0,(AG6+AP6)/M6,0)</f>
        <v>2.4097414432989691E-3</v>
      </c>
      <c r="AF6" s="45">
        <v>2.2000000000000001E-4</v>
      </c>
      <c r="AG6" s="36">
        <f t="shared" si="5"/>
        <v>3.2010000000000001</v>
      </c>
      <c r="AH6" s="27">
        <v>0.20949999999999999</v>
      </c>
      <c r="AI6" s="40">
        <f>AL6*(1-AM6)*AH6</f>
        <v>30.312555</v>
      </c>
      <c r="AJ6" s="27">
        <f>IF(AND(AH6&gt;0,AF6&gt;0,AC6&gt;0),((AC6-AF6)*AH6)/((AH6-AF6)*AC6),0)</f>
        <v>0.90812663711789821</v>
      </c>
      <c r="AK6" s="28">
        <f t="shared" si="6"/>
        <v>0.90961268476463042</v>
      </c>
      <c r="AL6" s="42">
        <v>159</v>
      </c>
      <c r="AM6" s="38">
        <v>0.09</v>
      </c>
      <c r="AN6" s="27">
        <v>0.22020000000000001</v>
      </c>
      <c r="AO6" s="105">
        <v>0.21060000000000001</v>
      </c>
      <c r="AP6" s="40">
        <f>AL6*(1-AM6)*AN6</f>
        <v>31.860738000000001</v>
      </c>
      <c r="AQ6" s="106">
        <f t="shared" si="8"/>
        <v>30.471714000000002</v>
      </c>
      <c r="AR6" s="17">
        <v>1.5</v>
      </c>
      <c r="AS6" s="17"/>
      <c r="AT6" s="88">
        <f>AT5+AL6-AS6</f>
        <v>1950.4599999999994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42795</v>
      </c>
      <c r="E7" s="49"/>
      <c r="F7" s="49">
        <f>SUM(F4:F6)</f>
        <v>45039</v>
      </c>
      <c r="G7" s="50"/>
      <c r="H7" s="50"/>
      <c r="I7" s="49">
        <f>SUM(I4:I6)</f>
        <v>44106</v>
      </c>
      <c r="J7" s="50"/>
      <c r="K7" s="49">
        <f>SUM(K4:K6)</f>
        <v>46951</v>
      </c>
      <c r="L7" s="20">
        <f>IF(K7&gt;0,(K4*L4+K5*L5+K6*L6)/K7,0)</f>
        <v>6.8981044067219027E-2</v>
      </c>
      <c r="M7" s="50">
        <f>M4+M5+M6</f>
        <v>43712</v>
      </c>
      <c r="N7" s="51">
        <f>IF(M7&gt;0,O7/M7,0)</f>
        <v>0.68367622163250352</v>
      </c>
      <c r="O7" s="52">
        <f>O4+O5+O6</f>
        <v>29884.854999999996</v>
      </c>
      <c r="P7" s="20">
        <f>IF(M7&gt;0,Q7/M7,0)</f>
        <v>0.26083629209370424</v>
      </c>
      <c r="Q7" s="52">
        <f>Q4+Q5+Q6</f>
        <v>11401.675999999999</v>
      </c>
      <c r="R7" s="20">
        <f>IF(M7&gt;0,T7/M7,0)</f>
        <v>5.5487486273792096E-2</v>
      </c>
      <c r="S7" s="107"/>
      <c r="T7" s="52">
        <f>T4+T5+T6</f>
        <v>2425.4690000000001</v>
      </c>
      <c r="U7" s="20">
        <f>IF(M7&gt;0,V7/M7,0)</f>
        <v>0.23036456808199121</v>
      </c>
      <c r="V7" s="52">
        <f>V4+V5+V6</f>
        <v>10069.696</v>
      </c>
      <c r="W7" s="20">
        <f>IF(M7&gt;0,X7/M7,0)</f>
        <v>0.48626557924597358</v>
      </c>
      <c r="X7" s="52">
        <f>X4+X5+X6</f>
        <v>21255.640999999996</v>
      </c>
      <c r="Y7" s="20">
        <f>IF(M7&gt;0,Z7/M7,0)</f>
        <v>0.42325128111273791</v>
      </c>
      <c r="Z7" s="52">
        <f>Z4+Z5+Z6</f>
        <v>18501.16</v>
      </c>
      <c r="AA7" s="119">
        <f>IF(M7&gt;0,AB7/M7,0)</f>
        <v>2.393906021229868E-3</v>
      </c>
      <c r="AB7" s="54">
        <f t="shared" ref="AB7" si="9">SUM(AB4:AB6)</f>
        <v>104.64241999999999</v>
      </c>
      <c r="AC7" s="53">
        <f>IF(M7&gt;0,AD7/M7,0)</f>
        <v>2.4440258967789166E-3</v>
      </c>
      <c r="AD7" s="54">
        <f>SUM(AD4:AD6)</f>
        <v>106.83326</v>
      </c>
      <c r="AE7" s="53">
        <f>IF(M7&gt;0,(AE4*M4+AE5*M5+AE6*M6)/M7,0)</f>
        <v>2.551554790446559E-3</v>
      </c>
      <c r="AF7" s="53">
        <f>IF(K7&gt;0,(K4*AF4+K5*AF5+K6*AF6)/K7,0)</f>
        <v>2.3339460288385766E-4</v>
      </c>
      <c r="AG7" s="50">
        <f>SUM(AG4:AG6)</f>
        <v>10.20388</v>
      </c>
      <c r="AH7" s="51">
        <f>IF(K7&gt;0,(K4*AH4+K5*AH5+K6*AH6)/K7,0)</f>
        <v>0.20650342271730102</v>
      </c>
      <c r="AI7" s="56">
        <f>SUM(AI4:AI6)</f>
        <v>94.650646999999992</v>
      </c>
      <c r="AJ7" s="51">
        <f>IF(AND(AD7&gt;0),((AD4*AJ4+AD5*AJ5+AD6*AJ6)/AD7),0)</f>
        <v>0.90551298599115293</v>
      </c>
      <c r="AK7" s="55">
        <f t="shared" si="6"/>
        <v>0.9094890614738752</v>
      </c>
      <c r="AL7" s="49">
        <f>SUM(AL4:AL6)</f>
        <v>504</v>
      </c>
      <c r="AM7" s="20">
        <f>IF(AL7&gt;0,(AM4*AL4+AM5*AL5+AM6*AL6)/AL7,0)</f>
        <v>0.09</v>
      </c>
      <c r="AN7" s="51">
        <f>IF(K7&gt;0,(AN4*K4+AN5*K5+AN6*K6)/K7,0)</f>
        <v>0.22097985985389021</v>
      </c>
      <c r="AO7" s="107">
        <f>IF(K7&gt;0,(AO4*K4+AO5*K5+AO6*K6)/K7,0)</f>
        <v>0.21130755681455135</v>
      </c>
      <c r="AP7" s="56">
        <f>SUM(AP4:AP6)</f>
        <v>101.32968299999999</v>
      </c>
      <c r="AQ7" s="108">
        <f t="shared" ref="AQ7" si="10">SUM(AQ4:AQ6)</f>
        <v>96.906810000000007</v>
      </c>
      <c r="AR7" s="54"/>
      <c r="AS7" s="54">
        <f>SUM(AS4:AS6)</f>
        <v>0</v>
      </c>
      <c r="AT7" s="83"/>
      <c r="AU7" s="84">
        <f>AT6</f>
        <v>1950.4599999999994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43" t="s">
        <v>57</v>
      </c>
      <c r="D8" s="11">
        <v>10561</v>
      </c>
      <c r="E8" s="11">
        <v>0</v>
      </c>
      <c r="F8" s="11">
        <v>15026</v>
      </c>
      <c r="G8" s="12">
        <v>3.5</v>
      </c>
      <c r="H8" s="12">
        <v>7.6</v>
      </c>
      <c r="I8" s="11">
        <v>14665</v>
      </c>
      <c r="J8" s="12">
        <v>5.8</v>
      </c>
      <c r="K8" s="11">
        <v>15731</v>
      </c>
      <c r="L8" s="13">
        <v>7.0000000000000007E-2</v>
      </c>
      <c r="M8" s="23">
        <f>ROUND(K8*(1-L8),0)</f>
        <v>14630</v>
      </c>
      <c r="N8" s="14">
        <v>0.73499999999999999</v>
      </c>
      <c r="O8" s="24">
        <f t="shared" ref="O8:O10" si="11">M8*N8</f>
        <v>10753.05</v>
      </c>
      <c r="P8" s="13">
        <v>0.21199999999999999</v>
      </c>
      <c r="Q8" s="24">
        <f t="shared" ref="Q8:Q10" si="12">M8*P8</f>
        <v>3101.56</v>
      </c>
      <c r="R8" s="15">
        <v>5.2999999999999999E-2</v>
      </c>
      <c r="S8" s="112">
        <v>0.1898</v>
      </c>
      <c r="T8" s="24">
        <f t="shared" ref="T8:T10" si="13">M8*R8</f>
        <v>775.39</v>
      </c>
      <c r="U8" s="25">
        <v>0.23400000000000001</v>
      </c>
      <c r="V8" s="24">
        <f t="shared" ref="V8:V10" si="14">M8*U8</f>
        <v>3423.42</v>
      </c>
      <c r="W8" s="15">
        <v>0.47199999999999998</v>
      </c>
      <c r="X8" s="24">
        <f t="shared" ref="X8:X10" si="15">M8*W8</f>
        <v>6905.36</v>
      </c>
      <c r="Y8" s="15">
        <v>0.42</v>
      </c>
      <c r="Z8" s="24">
        <f t="shared" ref="Z8:Z10" si="16">Y8*M8</f>
        <v>6144.5999999999995</v>
      </c>
      <c r="AA8" s="116">
        <v>2.3900000000000002E-3</v>
      </c>
      <c r="AB8" s="18">
        <f>M8*AA8</f>
        <v>34.965700000000005</v>
      </c>
      <c r="AC8" s="16">
        <v>2.4099999999999998E-3</v>
      </c>
      <c r="AD8" s="17">
        <f t="shared" ref="AD8:AD10" si="17">M8*AC8</f>
        <v>35.258299999999998</v>
      </c>
      <c r="AE8" s="26">
        <f>IF(M8&gt;0,(AG8+AP8)/M8,0)</f>
        <v>2.5591532467532465E-3</v>
      </c>
      <c r="AF8" s="16">
        <v>2.3000000000000001E-4</v>
      </c>
      <c r="AG8" s="23">
        <f t="shared" ref="AG8:AG10" si="18">AF8*M8</f>
        <v>3.3649</v>
      </c>
      <c r="AH8" s="92">
        <v>0.20610000000000001</v>
      </c>
      <c r="AI8" s="29">
        <f t="shared" ref="AI8:AI10" si="19">AL8*(1-AM8)*AH8</f>
        <v>32.141707199999999</v>
      </c>
      <c r="AJ8" s="27">
        <f t="shared" ref="AJ8:AJ10" si="20">IF(AND(AH8&gt;0,AF8&gt;0,AC8&gt;0),((AC8-AF8)*AH8)/((AH8-AF8)*AC8),0)</f>
        <v>0.90557490355171155</v>
      </c>
      <c r="AK8" s="58">
        <f t="shared" si="6"/>
        <v>0.91108556061257762</v>
      </c>
      <c r="AL8" s="11">
        <v>171</v>
      </c>
      <c r="AM8" s="13">
        <v>8.7999999999999995E-2</v>
      </c>
      <c r="AN8" s="14">
        <v>0.2185</v>
      </c>
      <c r="AO8" s="101">
        <v>0.2074</v>
      </c>
      <c r="AP8" s="29">
        <f>AL8*(1-AM8)*AN8</f>
        <v>34.075511999999996</v>
      </c>
      <c r="AQ8" s="102">
        <f t="shared" ref="AQ8:AQ70" si="21">AL8*(1-AM8)*AO8</f>
        <v>32.344444799999998</v>
      </c>
      <c r="AR8" s="18">
        <v>1.55</v>
      </c>
      <c r="AS8" s="18"/>
      <c r="AT8" s="79">
        <f>AT6+AL8-AS8</f>
        <v>2121.4599999999991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0" t="s">
        <v>58</v>
      </c>
      <c r="D9" s="33">
        <v>19100</v>
      </c>
      <c r="E9" s="33">
        <v>0</v>
      </c>
      <c r="F9" s="33">
        <v>13841</v>
      </c>
      <c r="G9" s="34">
        <v>2.2000000000000002</v>
      </c>
      <c r="H9" s="34">
        <v>6.6</v>
      </c>
      <c r="I9" s="33">
        <v>13911</v>
      </c>
      <c r="J9" s="34">
        <v>5</v>
      </c>
      <c r="K9" s="33">
        <v>11149</v>
      </c>
      <c r="L9" s="35">
        <v>7.5999999999999998E-2</v>
      </c>
      <c r="M9" s="36">
        <f>ROUND(K9*(1-L9),0)</f>
        <v>10302</v>
      </c>
      <c r="N9" s="37">
        <v>0.73599999999999999</v>
      </c>
      <c r="O9" s="24">
        <f t="shared" si="11"/>
        <v>7582.2719999999999</v>
      </c>
      <c r="P9" s="35">
        <v>0.21199999999999999</v>
      </c>
      <c r="Q9" s="24">
        <f t="shared" si="12"/>
        <v>2184.0239999999999</v>
      </c>
      <c r="R9" s="38">
        <v>5.1999999999999998E-2</v>
      </c>
      <c r="S9" s="105">
        <v>0.19320000000000001</v>
      </c>
      <c r="T9" s="24">
        <f t="shared" si="13"/>
        <v>535.70399999999995</v>
      </c>
      <c r="U9" s="27">
        <v>0.221</v>
      </c>
      <c r="V9" s="24">
        <f t="shared" si="14"/>
        <v>2276.7420000000002</v>
      </c>
      <c r="W9" s="38">
        <v>0.48099999999999998</v>
      </c>
      <c r="X9" s="24">
        <f t="shared" si="15"/>
        <v>4955.2619999999997</v>
      </c>
      <c r="Y9" s="38">
        <v>0.44</v>
      </c>
      <c r="Z9" s="24">
        <f t="shared" si="16"/>
        <v>4532.88</v>
      </c>
      <c r="AA9" s="117">
        <v>2.4599999999999999E-3</v>
      </c>
      <c r="AB9" s="18">
        <f t="shared" ref="AB9:AB10" si="22">M9*AA9</f>
        <v>25.342919999999999</v>
      </c>
      <c r="AC9" s="39">
        <v>2.5200000000000001E-3</v>
      </c>
      <c r="AD9" s="17">
        <f t="shared" si="17"/>
        <v>25.961040000000001</v>
      </c>
      <c r="AE9" s="26">
        <f>IF(M9&gt;0,(AG9+AP9)/M9,0)</f>
        <v>3.1309764705882352E-3</v>
      </c>
      <c r="AF9" s="39">
        <v>2.1000000000000001E-4</v>
      </c>
      <c r="AG9" s="36">
        <f t="shared" si="18"/>
        <v>2.1634199999999999</v>
      </c>
      <c r="AH9" s="27">
        <v>0.20710000000000001</v>
      </c>
      <c r="AI9" s="40">
        <f t="shared" si="19"/>
        <v>27.6733233</v>
      </c>
      <c r="AJ9" s="27">
        <f t="shared" si="20"/>
        <v>0.91759711279746059</v>
      </c>
      <c r="AK9" s="28">
        <f t="shared" si="6"/>
        <v>0.93379904446124462</v>
      </c>
      <c r="AL9" s="33">
        <v>147</v>
      </c>
      <c r="AM9" s="35">
        <v>9.0999999999999998E-2</v>
      </c>
      <c r="AN9" s="37">
        <v>0.22520000000000001</v>
      </c>
      <c r="AO9" s="103">
        <v>0.21929999999999999</v>
      </c>
      <c r="AP9" s="40">
        <f>AL9*(1-AM9)*AN9</f>
        <v>30.091899599999998</v>
      </c>
      <c r="AQ9" s="104">
        <f t="shared" si="21"/>
        <v>29.303523899999998</v>
      </c>
      <c r="AR9" s="41">
        <v>1.55</v>
      </c>
      <c r="AS9" s="41"/>
      <c r="AT9" s="88">
        <f>AT8+AL9-AS9</f>
        <v>2268.4599999999991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53</v>
      </c>
      <c r="D10" s="42">
        <v>12600</v>
      </c>
      <c r="E10" s="42">
        <v>0</v>
      </c>
      <c r="F10" s="42">
        <v>15869</v>
      </c>
      <c r="G10" s="36">
        <v>1.5</v>
      </c>
      <c r="H10" s="36">
        <v>5.9</v>
      </c>
      <c r="I10" s="42">
        <v>15553</v>
      </c>
      <c r="J10" s="36">
        <v>4.7</v>
      </c>
      <c r="K10" s="42">
        <v>13250</v>
      </c>
      <c r="L10" s="38">
        <v>7.0000000000000007E-2</v>
      </c>
      <c r="M10" s="36">
        <f>ROUND(K10*(1-L10),0)</f>
        <v>12323</v>
      </c>
      <c r="N10" s="27">
        <v>0.71</v>
      </c>
      <c r="O10" s="24">
        <f t="shared" si="11"/>
        <v>8749.33</v>
      </c>
      <c r="P10" s="38">
        <v>0.26600000000000001</v>
      </c>
      <c r="Q10" s="24">
        <f t="shared" si="12"/>
        <v>3277.9180000000001</v>
      </c>
      <c r="R10" s="38">
        <v>2.4E-2</v>
      </c>
      <c r="S10" s="105">
        <v>0.1971</v>
      </c>
      <c r="T10" s="24">
        <f t="shared" si="13"/>
        <v>295.75200000000001</v>
      </c>
      <c r="U10" s="27">
        <v>0.216</v>
      </c>
      <c r="V10" s="24">
        <f t="shared" si="14"/>
        <v>2661.768</v>
      </c>
      <c r="W10" s="38">
        <v>0.45900000000000002</v>
      </c>
      <c r="X10" s="24">
        <f t="shared" si="15"/>
        <v>5656.2570000000005</v>
      </c>
      <c r="Y10" s="38">
        <v>0.43</v>
      </c>
      <c r="Z10" s="24">
        <f t="shared" si="16"/>
        <v>5298.89</v>
      </c>
      <c r="AA10" s="118">
        <v>2.5000000000000001E-3</v>
      </c>
      <c r="AB10" s="121">
        <f t="shared" si="22"/>
        <v>30.807500000000001</v>
      </c>
      <c r="AC10" s="45">
        <v>2.5200000000000001E-3</v>
      </c>
      <c r="AD10" s="17">
        <f t="shared" si="17"/>
        <v>31.05396</v>
      </c>
      <c r="AE10" s="26">
        <f>IF(M10&gt;0,(AG10+AP10)/M10,0)</f>
        <v>2.5690457193865129E-3</v>
      </c>
      <c r="AF10" s="45">
        <v>2.2000000000000001E-4</v>
      </c>
      <c r="AG10" s="36">
        <f t="shared" si="18"/>
        <v>2.7110600000000002</v>
      </c>
      <c r="AH10" s="27">
        <v>0.20860000000000001</v>
      </c>
      <c r="AI10" s="40">
        <f t="shared" si="19"/>
        <v>28.6316016</v>
      </c>
      <c r="AJ10" s="27">
        <f t="shared" si="20"/>
        <v>0.91366200637723805</v>
      </c>
      <c r="AK10" s="28">
        <f t="shared" si="6"/>
        <v>0.91531990410138175</v>
      </c>
      <c r="AL10" s="42">
        <v>152</v>
      </c>
      <c r="AM10" s="38">
        <v>9.7000000000000003E-2</v>
      </c>
      <c r="AN10" s="27">
        <v>0.2109</v>
      </c>
      <c r="AO10" s="105">
        <v>0.18729999999999999</v>
      </c>
      <c r="AP10" s="40">
        <f>AL10*(1-AM10)*AN10</f>
        <v>28.9472904</v>
      </c>
      <c r="AQ10" s="106">
        <f t="shared" si="21"/>
        <v>25.7080488</v>
      </c>
      <c r="AR10" s="17">
        <v>1.54</v>
      </c>
      <c r="AS10" s="17"/>
      <c r="AT10" s="88">
        <f>AT9+AL10-AS10</f>
        <v>2420.4599999999991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42261</v>
      </c>
      <c r="E11" s="49"/>
      <c r="F11" s="49">
        <f t="shared" ref="F11" si="24">SUM(F8:F10)</f>
        <v>44736</v>
      </c>
      <c r="G11" s="50"/>
      <c r="H11" s="50"/>
      <c r="I11" s="49">
        <f t="shared" ref="I11:K11" si="25">SUM(I8:I10)</f>
        <v>44129</v>
      </c>
      <c r="J11" s="50"/>
      <c r="K11" s="49">
        <f t="shared" si="25"/>
        <v>40130</v>
      </c>
      <c r="L11" s="20">
        <f t="shared" ref="L11" si="26">IF(K11&gt;0,(K8*L8+K9*L9+K10*L10)/K11,0)</f>
        <v>7.1666932469474212E-2</v>
      </c>
      <c r="M11" s="50">
        <f t="shared" ref="M11" si="27">M8+M9+M10</f>
        <v>37255</v>
      </c>
      <c r="N11" s="51">
        <f t="shared" ref="N11" si="28">IF(M11&gt;0,O11/M11,0)</f>
        <v>0.72700716682324529</v>
      </c>
      <c r="O11" s="52">
        <f t="shared" ref="O11" si="29">O8+O9+O10</f>
        <v>27084.652000000002</v>
      </c>
      <c r="P11" s="20">
        <f t="shared" ref="P11" si="30">IF(M11&gt;0,Q11/M11,0)</f>
        <v>0.2298618172057442</v>
      </c>
      <c r="Q11" s="52">
        <f t="shared" ref="Q11" si="31">Q8+Q9+Q10</f>
        <v>8563.5020000000004</v>
      </c>
      <c r="R11" s="20">
        <f t="shared" ref="R11" si="32">IF(M11&gt;0,T11/M11,0)</f>
        <v>4.31310159710106E-2</v>
      </c>
      <c r="S11" s="107"/>
      <c r="T11" s="52">
        <f t="shared" ref="T11" si="33">T8+T9+T10</f>
        <v>1606.846</v>
      </c>
      <c r="U11" s="20">
        <f t="shared" ref="U11" si="34">IF(M11&gt;0,V11/M11,0)</f>
        <v>0.22445121460206685</v>
      </c>
      <c r="V11" s="52">
        <f t="shared" ref="V11" si="35">V8+V9+V10</f>
        <v>8361.93</v>
      </c>
      <c r="W11" s="20">
        <f t="shared" ref="W11" si="36">IF(M11&gt;0,X11/M11,0)</f>
        <v>0.47018867266138775</v>
      </c>
      <c r="X11" s="52">
        <f t="shared" ref="X11" si="37">X8+X9+X10</f>
        <v>17516.879000000001</v>
      </c>
      <c r="Y11" s="20">
        <f t="shared" ref="Y11" si="38">IF(M11&gt;0,Z11/M11,0)</f>
        <v>0.42883827674137698</v>
      </c>
      <c r="Z11" s="52">
        <f t="shared" ref="Z11" si="39">Z8+Z9+Z10</f>
        <v>15976.369999999999</v>
      </c>
      <c r="AA11" s="119">
        <f t="shared" ref="AA11" si="40">IF(M11&gt;0,AB11/M11,0)</f>
        <v>2.4457420480472423E-3</v>
      </c>
      <c r="AB11" s="54">
        <f t="shared" ref="AB11" si="41">SUM(AB8:AB10)</f>
        <v>91.116120000000009</v>
      </c>
      <c r="AC11" s="53">
        <f t="shared" ref="AC11" si="42">IF(M11&gt;0,AD11/M11,0)</f>
        <v>2.4768031136760166E-3</v>
      </c>
      <c r="AD11" s="54">
        <f t="shared" ref="AD11" si="43">SUM(AD8:AD10)</f>
        <v>92.273300000000006</v>
      </c>
      <c r="AE11" s="53">
        <f t="shared" ref="AE11" si="44">IF(M11&gt;0,(AE8*M8+AE9*M9+AE10*M10)/M11,0)</f>
        <v>2.7205497785532141E-3</v>
      </c>
      <c r="AF11" s="53">
        <f t="shared" ref="AF11" si="45">IF(K11&gt;0,(K8*AF8+K9*AF9+K10*AF10)/K11,0)</f>
        <v>2.2114178918514828E-4</v>
      </c>
      <c r="AG11" s="50">
        <f t="shared" ref="AG11" si="46">SUM(AG8:AG10)</f>
        <v>8.2393800000000006</v>
      </c>
      <c r="AH11" s="51">
        <f t="shared" ref="AH11" si="47">IF(K11&gt;0,(K8*AH8+K9*AH9+K10*AH10)/K11,0)</f>
        <v>0.20720326439073014</v>
      </c>
      <c r="AI11" s="56">
        <f t="shared" ref="AI11" si="48">SUM(AI8:AI10)</f>
        <v>88.446632100000002</v>
      </c>
      <c r="AJ11" s="51">
        <f t="shared" ref="AJ11" si="49">IF(AND(AD11&gt;0),((AD8*AJ8+AD9*AJ9+AD10*AJ10)/AD11),0)</f>
        <v>0.91167900541841662</v>
      </c>
      <c r="AK11" s="55">
        <f t="shared" si="6"/>
        <v>0.91964783664497929</v>
      </c>
      <c r="AL11" s="49">
        <f t="shared" ref="AL11" si="50">SUM(AL8:AL10)</f>
        <v>470</v>
      </c>
      <c r="AM11" s="20">
        <f t="shared" ref="AM11" si="51">IF(AL11&gt;0,(AM8*AL8+AM9*AL9+AM10*AL10)/AL11,0)</f>
        <v>9.1848936170212753E-2</v>
      </c>
      <c r="AN11" s="51">
        <f>IF(K11&gt;0,(AN8*K8+AN9*K9+AN10*K10)/K11,0)</f>
        <v>0.2178520632942936</v>
      </c>
      <c r="AO11" s="107">
        <f>IF(K11&gt;0,(AO8*K8+AO9*K9+AO10*K10)/K11,0)</f>
        <v>0.20406952653874907</v>
      </c>
      <c r="AP11" s="56">
        <f t="shared" ref="AP11:AQ23" si="52">SUM(AP8:AP10)</f>
        <v>93.114701999999994</v>
      </c>
      <c r="AQ11" s="108">
        <f t="shared" si="52"/>
        <v>87.356017499999993</v>
      </c>
      <c r="AR11" s="54"/>
      <c r="AS11" s="54">
        <f t="shared" ref="AS11" si="53">SUM(AS8:AS10)</f>
        <v>0</v>
      </c>
      <c r="AT11" s="83"/>
      <c r="AU11" s="84">
        <f>AT10</f>
        <v>2420.4599999999991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59</v>
      </c>
      <c r="D12" s="11">
        <v>4824</v>
      </c>
      <c r="E12" s="11">
        <v>0</v>
      </c>
      <c r="F12" s="11">
        <v>11890</v>
      </c>
      <c r="G12" s="12">
        <v>1.6</v>
      </c>
      <c r="H12" s="12">
        <v>6.8</v>
      </c>
      <c r="I12" s="11">
        <v>12084</v>
      </c>
      <c r="J12" s="12">
        <v>4.8</v>
      </c>
      <c r="K12" s="11">
        <v>14666</v>
      </c>
      <c r="L12" s="13">
        <v>6.6000000000000003E-2</v>
      </c>
      <c r="M12" s="23">
        <f>ROUND(K12*(1-L12),0)</f>
        <v>13698</v>
      </c>
      <c r="N12" s="14">
        <v>0.70899999999999996</v>
      </c>
      <c r="O12" s="24">
        <f t="shared" ref="O12:O14" si="55">M12*N12</f>
        <v>9711.8819999999996</v>
      </c>
      <c r="P12" s="13">
        <v>0.21099999999999999</v>
      </c>
      <c r="Q12" s="24">
        <f t="shared" ref="Q12:Q14" si="56">M12*P12</f>
        <v>2890.2779999999998</v>
      </c>
      <c r="R12" s="15">
        <v>0.08</v>
      </c>
      <c r="S12" s="112">
        <v>0.17430000000000001</v>
      </c>
      <c r="T12" s="24">
        <f t="shared" ref="T12:T14" si="57">M12*R12</f>
        <v>1095.8399999999999</v>
      </c>
      <c r="U12" s="25">
        <v>0.224</v>
      </c>
      <c r="V12" s="24">
        <f t="shared" ref="V12:V14" si="58">M12*U12</f>
        <v>3068.3519999999999</v>
      </c>
      <c r="W12" s="15">
        <v>0.48299999999999998</v>
      </c>
      <c r="X12" s="24">
        <f t="shared" ref="X12:X14" si="59">M12*W12</f>
        <v>6616.134</v>
      </c>
      <c r="Y12" s="15">
        <v>0.41</v>
      </c>
      <c r="Z12" s="24">
        <f t="shared" ref="Z12:Z14" si="60">Y12*M12</f>
        <v>5616.1799999999994</v>
      </c>
      <c r="AA12" s="116">
        <v>2.5699999999999998E-3</v>
      </c>
      <c r="AB12" s="18">
        <f t="shared" ref="AB12:AB74" si="61">M12*AA12</f>
        <v>35.203859999999999</v>
      </c>
      <c r="AC12" s="16">
        <v>2.5699999999999998E-3</v>
      </c>
      <c r="AD12" s="17">
        <f t="shared" ref="AD12:AD14" si="62">M12*AC12</f>
        <v>35.203859999999999</v>
      </c>
      <c r="AE12" s="26">
        <f>IF(M12&gt;0,(AG12+AP12)/M12,0)</f>
        <v>2.7946678347203976E-3</v>
      </c>
      <c r="AF12" s="16">
        <v>2.4000000000000001E-4</v>
      </c>
      <c r="AG12" s="23">
        <f t="shared" ref="AG12:AG14" si="63">AF12*M12</f>
        <v>3.2875200000000002</v>
      </c>
      <c r="AH12" s="92">
        <v>0.216</v>
      </c>
      <c r="AI12" s="29">
        <f t="shared" ref="AI12:AI14" si="64">AL12*(1-AM12)*AH12</f>
        <v>34.171200000000006</v>
      </c>
      <c r="AJ12" s="27">
        <f t="shared" ref="AJ12:AJ14" si="65">IF(AND(AH12&gt;0,AF12&gt;0,AC12&gt;0),((AC12-AF12)*AH12)/((AH12-AF12)*AC12),0)</f>
        <v>0.90762325627697005</v>
      </c>
      <c r="AK12" s="58">
        <f t="shared" si="6"/>
        <v>0.91511506486920491</v>
      </c>
      <c r="AL12" s="11">
        <v>175</v>
      </c>
      <c r="AM12" s="13">
        <v>9.6000000000000002E-2</v>
      </c>
      <c r="AN12" s="14">
        <v>0.22120000000000001</v>
      </c>
      <c r="AO12" s="101">
        <v>0.2019</v>
      </c>
      <c r="AP12" s="29">
        <f>AL12*(1-AM12)*AN12</f>
        <v>34.993840000000006</v>
      </c>
      <c r="AQ12" s="102">
        <f t="shared" ref="AQ12" si="66">AL12*(1-AM12)*AO12</f>
        <v>31.940580000000004</v>
      </c>
      <c r="AR12" s="18">
        <v>1.58</v>
      </c>
      <c r="AS12" s="18">
        <v>1126.48</v>
      </c>
      <c r="AT12" s="79">
        <f>AT10+AL12-AS12</f>
        <v>1468.9799999999991</v>
      </c>
      <c r="AU12" s="80"/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0" t="s">
        <v>58</v>
      </c>
      <c r="D13" s="33">
        <v>20600</v>
      </c>
      <c r="E13" s="33">
        <v>4</v>
      </c>
      <c r="F13" s="33">
        <v>16627</v>
      </c>
      <c r="G13" s="34">
        <v>2.2000000000000002</v>
      </c>
      <c r="H13" s="34">
        <v>7.3</v>
      </c>
      <c r="I13" s="33">
        <v>16196</v>
      </c>
      <c r="J13" s="34">
        <v>3.8</v>
      </c>
      <c r="K13" s="33">
        <v>14692</v>
      </c>
      <c r="L13" s="35">
        <v>7.0000000000000007E-2</v>
      </c>
      <c r="M13" s="36">
        <f>ROUND(K13*(1-L13),0)</f>
        <v>13664</v>
      </c>
      <c r="N13" s="37">
        <v>0.84799999999999998</v>
      </c>
      <c r="O13" s="24">
        <f t="shared" si="55"/>
        <v>11587.072</v>
      </c>
      <c r="P13" s="35">
        <v>0.124</v>
      </c>
      <c r="Q13" s="24">
        <f t="shared" si="56"/>
        <v>1694.336</v>
      </c>
      <c r="R13" s="38">
        <v>2.8000000000000001E-2</v>
      </c>
      <c r="S13" s="105">
        <v>0.1953</v>
      </c>
      <c r="T13" s="24">
        <f t="shared" si="57"/>
        <v>382.59199999999998</v>
      </c>
      <c r="U13" s="27">
        <v>0.216</v>
      </c>
      <c r="V13" s="24">
        <f t="shared" si="58"/>
        <v>2951.424</v>
      </c>
      <c r="W13" s="38">
        <v>0.498</v>
      </c>
      <c r="X13" s="24">
        <f t="shared" si="59"/>
        <v>6804.6719999999996</v>
      </c>
      <c r="Y13" s="38">
        <v>0.4</v>
      </c>
      <c r="Z13" s="24">
        <f t="shared" si="60"/>
        <v>5465.6</v>
      </c>
      <c r="AA13" s="117">
        <v>2.5100000000000001E-3</v>
      </c>
      <c r="AB13" s="18">
        <f t="shared" si="61"/>
        <v>34.296640000000004</v>
      </c>
      <c r="AC13" s="39">
        <v>2.5899999999999999E-3</v>
      </c>
      <c r="AD13" s="17">
        <f t="shared" si="62"/>
        <v>35.389759999999995</v>
      </c>
      <c r="AE13" s="26">
        <f>IF(M13&gt;0,(AG13+AP13)/M13,0)</f>
        <v>2.7655962529274008E-3</v>
      </c>
      <c r="AF13" s="39">
        <v>2.2000000000000001E-4</v>
      </c>
      <c r="AG13" s="36">
        <f t="shared" si="63"/>
        <v>3.0060800000000003</v>
      </c>
      <c r="AH13" s="27">
        <v>0.21329999999999999</v>
      </c>
      <c r="AI13" s="40">
        <f t="shared" si="64"/>
        <v>32.201474400000002</v>
      </c>
      <c r="AJ13" s="27">
        <f t="shared" si="65"/>
        <v>0.91600269045360072</v>
      </c>
      <c r="AK13" s="28">
        <f t="shared" si="6"/>
        <v>0.9213308935775828</v>
      </c>
      <c r="AL13" s="33">
        <v>167</v>
      </c>
      <c r="AM13" s="35">
        <v>9.6000000000000002E-2</v>
      </c>
      <c r="AN13" s="37">
        <v>0.23039999999999999</v>
      </c>
      <c r="AO13" s="103">
        <v>0.21249999999999999</v>
      </c>
      <c r="AP13" s="40">
        <f>AL13*(1-AM13)*AN13</f>
        <v>34.783027200000006</v>
      </c>
      <c r="AQ13" s="104">
        <f t="shared" si="21"/>
        <v>32.0807</v>
      </c>
      <c r="AR13" s="41">
        <v>1.55</v>
      </c>
      <c r="AS13" s="41"/>
      <c r="AT13" s="88">
        <f>AT12+AL13-AS13</f>
        <v>1635.9799999999991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53</v>
      </c>
      <c r="D14" s="42">
        <v>13400</v>
      </c>
      <c r="E14" s="42">
        <v>0</v>
      </c>
      <c r="F14" s="42">
        <v>9158</v>
      </c>
      <c r="G14" s="36">
        <v>2.6</v>
      </c>
      <c r="H14" s="36">
        <v>6.3</v>
      </c>
      <c r="I14" s="42">
        <v>9926</v>
      </c>
      <c r="J14" s="36">
        <v>6.6</v>
      </c>
      <c r="K14" s="42">
        <v>14645</v>
      </c>
      <c r="L14" s="38">
        <v>7.5999999999999998E-2</v>
      </c>
      <c r="M14" s="36">
        <f>ROUND(K14*(1-L14),0)</f>
        <v>13532</v>
      </c>
      <c r="N14" s="27">
        <v>0.77200000000000002</v>
      </c>
      <c r="O14" s="24">
        <f t="shared" si="55"/>
        <v>10446.704</v>
      </c>
      <c r="P14" s="38">
        <v>0.20300000000000001</v>
      </c>
      <c r="Q14" s="24">
        <f t="shared" si="56"/>
        <v>2746.9960000000001</v>
      </c>
      <c r="R14" s="38">
        <v>2.5000000000000001E-2</v>
      </c>
      <c r="S14" s="105">
        <v>0.18010000000000001</v>
      </c>
      <c r="T14" s="24">
        <f t="shared" si="57"/>
        <v>338.3</v>
      </c>
      <c r="U14" s="27">
        <v>0.223</v>
      </c>
      <c r="V14" s="24">
        <f t="shared" si="58"/>
        <v>3017.636</v>
      </c>
      <c r="W14" s="38">
        <v>0.48099999999999998</v>
      </c>
      <c r="X14" s="24">
        <f t="shared" si="59"/>
        <v>6508.8919999999998</v>
      </c>
      <c r="Y14" s="38">
        <v>0.4</v>
      </c>
      <c r="Z14" s="24">
        <f t="shared" si="60"/>
        <v>5412.8</v>
      </c>
      <c r="AA14" s="118">
        <v>2.5500000000000002E-3</v>
      </c>
      <c r="AB14" s="121">
        <f t="shared" si="61"/>
        <v>34.506600000000006</v>
      </c>
      <c r="AC14" s="45">
        <v>2.7200000000000002E-3</v>
      </c>
      <c r="AD14" s="17">
        <f t="shared" si="62"/>
        <v>36.807040000000001</v>
      </c>
      <c r="AE14" s="26">
        <f>IF(M14&gt;0,(AG14+AP14)/M14,0)</f>
        <v>2.9174773869346739E-3</v>
      </c>
      <c r="AF14" s="45">
        <v>2.4000000000000001E-4</v>
      </c>
      <c r="AG14" s="36">
        <f t="shared" si="63"/>
        <v>3.2476799999999999</v>
      </c>
      <c r="AH14" s="27">
        <v>0.21279999999999999</v>
      </c>
      <c r="AI14" s="40">
        <f t="shared" si="64"/>
        <v>33.595161600000004</v>
      </c>
      <c r="AJ14" s="27">
        <f t="shared" si="65"/>
        <v>0.91279417299475307</v>
      </c>
      <c r="AK14" s="28">
        <f t="shared" si="6"/>
        <v>0.91869788140782394</v>
      </c>
      <c r="AL14" s="42">
        <v>176</v>
      </c>
      <c r="AM14" s="38">
        <v>0.10299999999999999</v>
      </c>
      <c r="AN14" s="27">
        <v>0.22950000000000001</v>
      </c>
      <c r="AO14" s="105">
        <v>0.20810000000000001</v>
      </c>
      <c r="AP14" s="40">
        <f>AL14*(1-AM14)*AN14</f>
        <v>36.231624000000004</v>
      </c>
      <c r="AQ14" s="106">
        <f t="shared" si="21"/>
        <v>32.853163200000004</v>
      </c>
      <c r="AR14" s="17">
        <v>1.6</v>
      </c>
      <c r="AS14" s="17"/>
      <c r="AT14" s="88">
        <f>AT13+AL14-AS14</f>
        <v>1811.9799999999991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38824</v>
      </c>
      <c r="E15" s="49"/>
      <c r="F15" s="49">
        <f t="shared" ref="F15" si="68">SUM(F12:F14)</f>
        <v>37675</v>
      </c>
      <c r="G15" s="50"/>
      <c r="H15" s="50"/>
      <c r="I15" s="49">
        <f t="shared" ref="I15:K15" si="69">SUM(I12:I14)</f>
        <v>38206</v>
      </c>
      <c r="J15" s="50"/>
      <c r="K15" s="49">
        <f t="shared" si="69"/>
        <v>44003</v>
      </c>
      <c r="L15" s="20">
        <f t="shared" ref="L15" si="70">IF(K15&gt;0,(K12*L12+K13*L13+K14*L14)/K15,0)</f>
        <v>7.0663727473126839E-2</v>
      </c>
      <c r="M15" s="50">
        <f t="shared" ref="M15" si="71">M12+M13+M14</f>
        <v>40894</v>
      </c>
      <c r="N15" s="51">
        <f t="shared" ref="N15" si="72">IF(M15&gt;0,O15/M15,0)</f>
        <v>0.77629133858267707</v>
      </c>
      <c r="O15" s="52">
        <f t="shared" ref="O15" si="73">O12+O13+O14</f>
        <v>31745.657999999996</v>
      </c>
      <c r="P15" s="20">
        <f t="shared" ref="P15" si="74">IF(M15&gt;0,Q15/M15,0)</f>
        <v>0.17928326893920868</v>
      </c>
      <c r="Q15" s="52">
        <f t="shared" ref="Q15" si="75">Q12+Q13+Q14</f>
        <v>7331.61</v>
      </c>
      <c r="R15" s="20">
        <f t="shared" ref="R15" si="76">IF(M15&gt;0,T15/M15,0)</f>
        <v>4.442539247811414E-2</v>
      </c>
      <c r="S15" s="107"/>
      <c r="T15" s="52">
        <f t="shared" ref="T15" si="77">T12+T13+T14</f>
        <v>1816.7319999999997</v>
      </c>
      <c r="U15" s="20">
        <f t="shared" ref="U15" si="78">IF(M15&gt;0,V15/M15,0)</f>
        <v>0.22099603853866093</v>
      </c>
      <c r="V15" s="52">
        <f t="shared" ref="V15" si="79">V12+V13+V14</f>
        <v>9037.4120000000003</v>
      </c>
      <c r="W15" s="20">
        <f t="shared" ref="W15" si="80">IF(M15&gt;0,X15/M15,0)</f>
        <v>0.48735017361960192</v>
      </c>
      <c r="X15" s="52">
        <f t="shared" ref="X15" si="81">X12+X13+X14</f>
        <v>19929.698</v>
      </c>
      <c r="Y15" s="20">
        <f t="shared" ref="Y15" si="82">IF(M15&gt;0,Z15/M15,0)</f>
        <v>0.40334963564337062</v>
      </c>
      <c r="Z15" s="52">
        <f t="shared" ref="Z15" si="83">Z12+Z13+Z14</f>
        <v>16494.579999999998</v>
      </c>
      <c r="AA15" s="119">
        <f t="shared" ref="AA15" si="84">IF(M15&gt;0,AB15/M15,0)</f>
        <v>2.543333985425735E-3</v>
      </c>
      <c r="AB15" s="54">
        <f t="shared" ref="AB15" si="85">SUM(AB12:AB14)</f>
        <v>104.00710000000001</v>
      </c>
      <c r="AC15" s="53">
        <f t="shared" ref="AC15" si="86">IF(M15&gt;0,AD15/M15,0)</f>
        <v>2.6263182863011684E-3</v>
      </c>
      <c r="AD15" s="54">
        <f t="shared" ref="AD15" si="87">SUM(AD12:AD14)</f>
        <v>107.40065999999999</v>
      </c>
      <c r="AE15" s="53">
        <f t="shared" ref="AE15" si="88">IF(M15&gt;0,(AE12*M12+AE13*M13+AE14*M14)/M15,0)</f>
        <v>2.8255922922678146E-3</v>
      </c>
      <c r="AF15" s="53">
        <f t="shared" ref="AF15" si="89">IF(K15&gt;0,(K12*AF12+K13*AF13+K14*AF14)/K15,0)</f>
        <v>2.3332227348135356E-4</v>
      </c>
      <c r="AG15" s="50">
        <f t="shared" ref="AG15" si="90">SUM(AG12:AG14)</f>
        <v>9.5412800000000004</v>
      </c>
      <c r="AH15" s="51">
        <f t="shared" ref="AH15" si="91">IF(K15&gt;0,(K12*AH12+K13*AH13+K14*AH14)/K15,0)</f>
        <v>0.21403348862577551</v>
      </c>
      <c r="AI15" s="56">
        <f t="shared" ref="AI15" si="92">SUM(AI12:AI14)</f>
        <v>99.967836000000005</v>
      </c>
      <c r="AJ15" s="51">
        <f t="shared" ref="AJ15" si="93">IF(AND(AD15&gt;0),((AD12*AJ12+AD13*AJ13+AD14*AJ14)/AD15),0)</f>
        <v>0.91215649008498267</v>
      </c>
      <c r="AK15" s="55">
        <f t="shared" si="6"/>
        <v>0.91836916255084111</v>
      </c>
      <c r="AL15" s="49">
        <f t="shared" ref="AL15" si="94">SUM(AL12:AL14)</f>
        <v>518</v>
      </c>
      <c r="AM15" s="20">
        <f t="shared" ref="AM15" si="95">IF(AL15&gt;0,(AM12*AL12+AM13*AL13+AM14*AL14)/AL15,0)</f>
        <v>9.8378378378378387E-2</v>
      </c>
      <c r="AN15" s="51">
        <f>IF(K15&gt;0,(AN12*K12+AN13*K13+AN14*K14)/K15,0)</f>
        <v>0.22703414539917732</v>
      </c>
      <c r="AO15" s="107">
        <f>IF(K15&gt;0,(AO12*K12+AO13*K13+AO14*K14)/K15,0)</f>
        <v>0.2075026679999091</v>
      </c>
      <c r="AP15" s="56">
        <f t="shared" ref="AP15" si="96">SUM(AP12:AP14)</f>
        <v>106.00849120000001</v>
      </c>
      <c r="AQ15" s="108">
        <f t="shared" si="52"/>
        <v>96.874443200000002</v>
      </c>
      <c r="AR15" s="54"/>
      <c r="AS15" s="54">
        <f t="shared" ref="AS15" si="97">SUM(AS12:AS14)</f>
        <v>1126.48</v>
      </c>
      <c r="AT15" s="83"/>
      <c r="AU15" s="84">
        <f>AT14</f>
        <v>1811.9799999999991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0" t="s">
        <v>59</v>
      </c>
      <c r="D16" s="11">
        <v>0</v>
      </c>
      <c r="E16" s="11">
        <v>0</v>
      </c>
      <c r="F16" s="11">
        <v>10140</v>
      </c>
      <c r="G16" s="12">
        <v>3.9</v>
      </c>
      <c r="H16" s="12">
        <v>8</v>
      </c>
      <c r="I16" s="11">
        <v>9906</v>
      </c>
      <c r="J16" s="12">
        <v>7.6</v>
      </c>
      <c r="K16" s="11">
        <v>14330</v>
      </c>
      <c r="L16" s="13">
        <v>6.4000000000000001E-2</v>
      </c>
      <c r="M16" s="23">
        <f>ROUND(K16*(1-L16),0)</f>
        <v>13413</v>
      </c>
      <c r="N16" s="14">
        <v>0.70899999999999996</v>
      </c>
      <c r="O16" s="24">
        <f t="shared" ref="O16:O18" si="99">M16*N16</f>
        <v>9509.8169999999991</v>
      </c>
      <c r="P16" s="13">
        <v>0.247</v>
      </c>
      <c r="Q16" s="24">
        <f t="shared" ref="Q16:Q18" si="100">M16*P16</f>
        <v>3313.011</v>
      </c>
      <c r="R16" s="15">
        <v>4.3999999999999997E-2</v>
      </c>
      <c r="S16" s="112">
        <v>0.1656</v>
      </c>
      <c r="T16" s="24">
        <f t="shared" ref="T16:T18" si="101">M16*R16</f>
        <v>590.17199999999991</v>
      </c>
      <c r="U16" s="25">
        <v>0.20399999999999999</v>
      </c>
      <c r="V16" s="24">
        <f t="shared" ref="V16:V18" si="102">M16*U16</f>
        <v>2736.252</v>
      </c>
      <c r="W16" s="15">
        <v>0.5</v>
      </c>
      <c r="X16" s="24">
        <f t="shared" ref="X16:X18" si="103">M16*W16</f>
        <v>6706.5</v>
      </c>
      <c r="Y16" s="15">
        <v>0.41</v>
      </c>
      <c r="Z16" s="24">
        <f t="shared" ref="Z16:Z18" si="104">Y16*M16</f>
        <v>5499.33</v>
      </c>
      <c r="AA16" s="116">
        <v>2.7200000000000002E-3</v>
      </c>
      <c r="AB16" s="18">
        <f t="shared" ref="AB16" si="105">M16*AA16</f>
        <v>36.483360000000005</v>
      </c>
      <c r="AC16" s="16">
        <v>2.7799999999999999E-3</v>
      </c>
      <c r="AD16" s="17">
        <f t="shared" ref="AD16:AD18" si="106">M16*AC16</f>
        <v>37.288139999999999</v>
      </c>
      <c r="AE16" s="26">
        <f>IF(M16&gt;0,(AG16+AP16)/M16,0)</f>
        <v>2.8915306642809213E-3</v>
      </c>
      <c r="AF16" s="16">
        <v>2.7999999999999998E-4</v>
      </c>
      <c r="AG16" s="23">
        <f t="shared" ref="AG16:AG18" si="107">AF16*M16</f>
        <v>3.7556399999999996</v>
      </c>
      <c r="AH16" s="92">
        <v>0.214</v>
      </c>
      <c r="AI16" s="29">
        <f t="shared" ref="AI16:AI18" si="108">AL16*(1-AM16)*AH16</f>
        <v>33.227351999999996</v>
      </c>
      <c r="AJ16" s="27">
        <f t="shared" ref="AJ16:AJ18" si="109">IF(AND(AH16&gt;0,AF16&gt;0,AC16&gt;0),((AC16-AF16)*AH16)/((AH16-AF16)*AC16),0)</f>
        <v>0.90045874586125607</v>
      </c>
      <c r="AK16" s="58">
        <f t="shared" si="6"/>
        <v>0.90428781748205</v>
      </c>
      <c r="AL16" s="11">
        <v>171</v>
      </c>
      <c r="AM16" s="13">
        <v>9.1999999999999998E-2</v>
      </c>
      <c r="AN16" s="14">
        <v>0.22559999999999999</v>
      </c>
      <c r="AO16" s="101">
        <v>0.20599999999999999</v>
      </c>
      <c r="AP16" s="29">
        <f>AL16*(1-AM16)*AN16</f>
        <v>35.028460799999998</v>
      </c>
      <c r="AQ16" s="102">
        <f t="shared" ref="AQ16" si="110">AL16*(1-AM16)*AO16</f>
        <v>31.985208</v>
      </c>
      <c r="AR16" s="18">
        <v>1.55</v>
      </c>
      <c r="AS16" s="18">
        <v>1009.82</v>
      </c>
      <c r="AT16" s="79">
        <f>AT14+AL16-AS16+AU16</f>
        <v>979.3599999999991</v>
      </c>
      <c r="AU16" s="80">
        <v>6.2</v>
      </c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43" t="s">
        <v>55</v>
      </c>
      <c r="D17" s="33">
        <v>19000</v>
      </c>
      <c r="E17" s="33">
        <v>5</v>
      </c>
      <c r="F17" s="33">
        <v>16661</v>
      </c>
      <c r="G17" s="34">
        <v>1.4</v>
      </c>
      <c r="H17" s="34">
        <v>6.1</v>
      </c>
      <c r="I17" s="33">
        <v>15864</v>
      </c>
      <c r="J17" s="34">
        <v>5.4</v>
      </c>
      <c r="K17" s="33">
        <v>14790</v>
      </c>
      <c r="L17" s="35">
        <v>6.7000000000000004E-2</v>
      </c>
      <c r="M17" s="36">
        <f>ROUND(K17*(1-L17),0)</f>
        <v>13799</v>
      </c>
      <c r="N17" s="37">
        <v>0.748</v>
      </c>
      <c r="O17" s="24">
        <f t="shared" si="99"/>
        <v>10321.652</v>
      </c>
      <c r="P17" s="35">
        <v>0.22500000000000001</v>
      </c>
      <c r="Q17" s="24">
        <f t="shared" si="100"/>
        <v>3104.7750000000001</v>
      </c>
      <c r="R17" s="38">
        <v>2.7E-2</v>
      </c>
      <c r="S17" s="105">
        <v>0.191</v>
      </c>
      <c r="T17" s="24">
        <f t="shared" si="101"/>
        <v>372.57299999999998</v>
      </c>
      <c r="U17" s="27">
        <v>0.215</v>
      </c>
      <c r="V17" s="24">
        <f t="shared" si="102"/>
        <v>2966.7849999999999</v>
      </c>
      <c r="W17" s="38">
        <v>0.5</v>
      </c>
      <c r="X17" s="24">
        <f t="shared" si="103"/>
        <v>6899.5</v>
      </c>
      <c r="Y17" s="38">
        <v>0.41</v>
      </c>
      <c r="Z17" s="24">
        <f t="shared" si="104"/>
        <v>5657.5899999999992</v>
      </c>
      <c r="AA17" s="117">
        <v>2.6700000000000001E-3</v>
      </c>
      <c r="AB17" s="18">
        <f t="shared" si="61"/>
        <v>36.843330000000002</v>
      </c>
      <c r="AC17" s="39">
        <v>2.8600000000000001E-3</v>
      </c>
      <c r="AD17" s="17">
        <f t="shared" si="106"/>
        <v>39.465140000000005</v>
      </c>
      <c r="AE17" s="26">
        <f>IF(M17&gt;0,(AG17+AP17)/M17,0)</f>
        <v>2.8904004638017245E-3</v>
      </c>
      <c r="AF17" s="39">
        <v>3.4000000000000002E-4</v>
      </c>
      <c r="AG17" s="36">
        <f t="shared" si="107"/>
        <v>4.6916600000000006</v>
      </c>
      <c r="AH17" s="27">
        <v>0.2162</v>
      </c>
      <c r="AI17" s="40">
        <f t="shared" si="108"/>
        <v>33.052655999999999</v>
      </c>
      <c r="AJ17" s="27">
        <f t="shared" si="109"/>
        <v>0.88250672703558841</v>
      </c>
      <c r="AK17" s="28">
        <f t="shared" si="6"/>
        <v>0.88367440749910142</v>
      </c>
      <c r="AL17" s="33">
        <v>168</v>
      </c>
      <c r="AM17" s="35">
        <v>0.09</v>
      </c>
      <c r="AN17" s="37">
        <v>0.23019999999999999</v>
      </c>
      <c r="AO17" s="103">
        <v>0.222</v>
      </c>
      <c r="AP17" s="40">
        <f>AL17*(1-AM17)*AN17</f>
        <v>35.192975999999994</v>
      </c>
      <c r="AQ17" s="104">
        <f t="shared" si="21"/>
        <v>33.939360000000001</v>
      </c>
      <c r="AR17" s="41">
        <v>1.55</v>
      </c>
      <c r="AS17" s="41"/>
      <c r="AT17" s="88">
        <f>AT16+AL17-AS17</f>
        <v>1147.3599999999992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53</v>
      </c>
      <c r="D18" s="42">
        <v>19800</v>
      </c>
      <c r="E18" s="42">
        <v>1</v>
      </c>
      <c r="F18" s="42">
        <v>16788</v>
      </c>
      <c r="G18" s="36">
        <v>1.7</v>
      </c>
      <c r="H18" s="36">
        <v>6.3</v>
      </c>
      <c r="I18" s="42">
        <v>16773</v>
      </c>
      <c r="J18" s="36">
        <v>3.7</v>
      </c>
      <c r="K18" s="42">
        <v>10588</v>
      </c>
      <c r="L18" s="38">
        <v>6.0999999999999999E-2</v>
      </c>
      <c r="M18" s="36">
        <f>ROUND(K18*(1-L18),0)</f>
        <v>9942</v>
      </c>
      <c r="N18" s="27">
        <v>0.69099999999999995</v>
      </c>
      <c r="O18" s="24">
        <f t="shared" si="99"/>
        <v>6869.9219999999996</v>
      </c>
      <c r="P18" s="38">
        <v>0.25700000000000001</v>
      </c>
      <c r="Q18" s="24">
        <f t="shared" si="100"/>
        <v>2555.0940000000001</v>
      </c>
      <c r="R18" s="38">
        <v>5.1999999999999998E-2</v>
      </c>
      <c r="S18" s="105">
        <v>0.2009</v>
      </c>
      <c r="T18" s="24">
        <f t="shared" si="101"/>
        <v>516.98399999999992</v>
      </c>
      <c r="U18" s="27">
        <v>0.24399999999999999</v>
      </c>
      <c r="V18" s="24">
        <f t="shared" si="102"/>
        <v>2425.848</v>
      </c>
      <c r="W18" s="38">
        <v>0.442</v>
      </c>
      <c r="X18" s="24">
        <f t="shared" si="103"/>
        <v>4394.3640000000005</v>
      </c>
      <c r="Y18" s="38">
        <v>0.45</v>
      </c>
      <c r="Z18" s="24">
        <f t="shared" si="104"/>
        <v>4473.9000000000005</v>
      </c>
      <c r="AA18" s="118">
        <v>2.65E-3</v>
      </c>
      <c r="AB18" s="121">
        <f t="shared" si="61"/>
        <v>26.346299999999999</v>
      </c>
      <c r="AC18" s="45">
        <v>2.7000000000000001E-3</v>
      </c>
      <c r="AD18" s="17">
        <f t="shared" si="106"/>
        <v>26.843400000000003</v>
      </c>
      <c r="AE18" s="26">
        <f>IF(M18&gt;0,(AG18+AP18)/M18,0)</f>
        <v>2.8292850533091938E-3</v>
      </c>
      <c r="AF18" s="45">
        <v>2.9999999999999997E-4</v>
      </c>
      <c r="AG18" s="36">
        <f t="shared" si="107"/>
        <v>2.9825999999999997</v>
      </c>
      <c r="AH18" s="27">
        <v>0.21310000000000001</v>
      </c>
      <c r="AI18" s="40">
        <f t="shared" si="108"/>
        <v>23.606365600000004</v>
      </c>
      <c r="AJ18" s="27">
        <f t="shared" si="109"/>
        <v>0.89014202172096901</v>
      </c>
      <c r="AK18" s="28">
        <f t="shared" si="6"/>
        <v>0.89514916190099247</v>
      </c>
      <c r="AL18" s="42">
        <v>122</v>
      </c>
      <c r="AM18" s="38">
        <v>9.1999999999999998E-2</v>
      </c>
      <c r="AN18" s="27">
        <v>0.22700000000000001</v>
      </c>
      <c r="AO18" s="105">
        <v>0.214</v>
      </c>
      <c r="AP18" s="40">
        <f>AL18*(1-AM18)*AN18</f>
        <v>25.146152000000004</v>
      </c>
      <c r="AQ18" s="106">
        <f t="shared" si="21"/>
        <v>23.706064000000001</v>
      </c>
      <c r="AR18" s="17">
        <v>1.5</v>
      </c>
      <c r="AS18" s="17"/>
      <c r="AT18" s="88">
        <f>AT17+AL18-AS18</f>
        <v>1269.3599999999992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38800</v>
      </c>
      <c r="E19" s="49"/>
      <c r="F19" s="49">
        <f t="shared" ref="F19" si="112">SUM(F16:F18)</f>
        <v>43589</v>
      </c>
      <c r="G19" s="50"/>
      <c r="H19" s="50"/>
      <c r="I19" s="49">
        <f t="shared" ref="I19:K19" si="113">SUM(I16:I18)</f>
        <v>42543</v>
      </c>
      <c r="J19" s="50"/>
      <c r="K19" s="49">
        <f t="shared" si="113"/>
        <v>39708</v>
      </c>
      <c r="L19" s="20">
        <f t="shared" ref="L19" si="114">IF(K19&gt;0,(K16*L16+K17*L17+K18*L18)/K19,0)</f>
        <v>6.4317467512843757E-2</v>
      </c>
      <c r="M19" s="50">
        <f t="shared" ref="M19" si="115">M16+M17+M18</f>
        <v>37154</v>
      </c>
      <c r="N19" s="51">
        <f t="shared" ref="N19" si="116">IF(M19&gt;0,O19/M19,0)</f>
        <v>0.71866800344512016</v>
      </c>
      <c r="O19" s="52">
        <f t="shared" ref="O19" si="117">O16+O17+O18</f>
        <v>26701.390999999996</v>
      </c>
      <c r="P19" s="20">
        <f t="shared" ref="P19" si="118">IF(M19&gt;0,Q19/M19,0)</f>
        <v>0.24150508693545786</v>
      </c>
      <c r="Q19" s="52">
        <f t="shared" ref="Q19" si="119">Q16+Q17+Q18</f>
        <v>8972.880000000001</v>
      </c>
      <c r="R19" s="20">
        <f t="shared" ref="R19" si="120">IF(M19&gt;0,T19/M19,0)</f>
        <v>3.9826909619421862E-2</v>
      </c>
      <c r="S19" s="107"/>
      <c r="T19" s="52">
        <f t="shared" ref="T19" si="121">T16+T17+T18</f>
        <v>1479.7289999999998</v>
      </c>
      <c r="U19" s="20">
        <f t="shared" ref="U19" si="122">IF(M19&gt;0,V19/M19,0)</f>
        <v>0.21878895946600635</v>
      </c>
      <c r="V19" s="52">
        <f t="shared" ref="V19" si="123">V16+V17+V18</f>
        <v>8128.8850000000002</v>
      </c>
      <c r="W19" s="20">
        <f t="shared" ref="W19" si="124">IF(M19&gt;0,X19/M19,0)</f>
        <v>0.48447984066318572</v>
      </c>
      <c r="X19" s="52">
        <f t="shared" ref="X19" si="125">X16+X17+X18</f>
        <v>18000.364000000001</v>
      </c>
      <c r="Y19" s="20">
        <f t="shared" ref="Y19" si="126">IF(M19&gt;0,Z19/M19,0)</f>
        <v>0.42070355816332022</v>
      </c>
      <c r="Z19" s="52">
        <f t="shared" ref="Z19" si="127">Z16+Z17+Z18</f>
        <v>15630.82</v>
      </c>
      <c r="AA19" s="119">
        <f t="shared" ref="AA19" si="128">IF(M19&gt;0,AB19/M19,0)</f>
        <v>2.6826987672928892E-3</v>
      </c>
      <c r="AB19" s="54">
        <f t="shared" ref="AB19" si="129">SUM(AB16:AB18)</f>
        <v>99.672990000000013</v>
      </c>
      <c r="AC19" s="53">
        <f t="shared" ref="AC19" si="130">IF(M19&gt;0,AD19/M19,0)</f>
        <v>2.7883048931474407E-3</v>
      </c>
      <c r="AD19" s="54">
        <f t="shared" ref="AD19" si="131">SUM(AD16:AD18)</f>
        <v>103.59668000000001</v>
      </c>
      <c r="AE19" s="53">
        <f t="shared" ref="AE19" si="132">IF(M19&gt;0,(AE16*M16+AE17*M17+AE18*M18)/M19,0)</f>
        <v>2.87445466975292E-3</v>
      </c>
      <c r="AF19" s="53">
        <f t="shared" ref="AF19" si="133">IF(K19&gt;0,(K16*AF16+K17*AF17+K18*AF18)/K19,0)</f>
        <v>3.0768107182431751E-4</v>
      </c>
      <c r="AG19" s="50">
        <f t="shared" ref="AG19" si="134">SUM(AG16:AG18)</f>
        <v>11.4299</v>
      </c>
      <c r="AH19" s="51">
        <f t="shared" ref="AH19" si="135">IF(K19&gt;0,(K16*AH16+K17*AH17+K18*AH18)/K19,0)</f>
        <v>0.2145794499848897</v>
      </c>
      <c r="AI19" s="56">
        <f t="shared" ref="AI19" si="136">SUM(AI16:AI18)</f>
        <v>89.886373599999999</v>
      </c>
      <c r="AJ19" s="51">
        <f t="shared" ref="AJ19" si="137">IF(AND(AD19&gt;0),((AD16*AJ16+AD17*AJ17+AD18*AJ18)/AD19),0)</f>
        <v>0.89094671430749384</v>
      </c>
      <c r="AK19" s="55">
        <f t="shared" si="6"/>
        <v>0.89416851510126838</v>
      </c>
      <c r="AL19" s="49">
        <f t="shared" ref="AL19" si="138">SUM(AL16:AL18)</f>
        <v>461</v>
      </c>
      <c r="AM19" s="20">
        <f t="shared" ref="AM19" si="139">IF(AL19&gt;0,(AM16*AL16+AM17*AL17+AM18*AL18)/AL19,0)</f>
        <v>9.1271149674620369E-2</v>
      </c>
      <c r="AN19" s="51">
        <f>IF(K19&gt;0,(AN16*K16+AN17*K17+AN18*K18)/K19,0)</f>
        <v>0.22768666263725193</v>
      </c>
      <c r="AO19" s="107">
        <f>IF(K19&gt;0,(AO16*K16+AO17*K17+AO18*K18)/K19,0)</f>
        <v>0.21409267653873276</v>
      </c>
      <c r="AP19" s="56">
        <f t="shared" ref="AP19" si="140">SUM(AP16:AP18)</f>
        <v>95.367588799999993</v>
      </c>
      <c r="AQ19" s="108">
        <f t="shared" si="52"/>
        <v>89.630631999999991</v>
      </c>
      <c r="AR19" s="54"/>
      <c r="AS19" s="54">
        <f t="shared" ref="AS19" si="141">SUM(AS16:AS18)</f>
        <v>1009.82</v>
      </c>
      <c r="AT19" s="83"/>
      <c r="AU19" s="84">
        <f>AT18</f>
        <v>1269.3599999999992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58</v>
      </c>
      <c r="D20" s="11">
        <v>6046</v>
      </c>
      <c r="E20" s="11">
        <v>0</v>
      </c>
      <c r="F20" s="11">
        <v>12949</v>
      </c>
      <c r="G20" s="12">
        <v>1.5</v>
      </c>
      <c r="H20" s="12">
        <v>6.1</v>
      </c>
      <c r="I20" s="11">
        <v>12426</v>
      </c>
      <c r="J20" s="12">
        <v>2.7</v>
      </c>
      <c r="K20" s="11">
        <v>10427</v>
      </c>
      <c r="L20" s="13">
        <v>6.7000000000000004E-2</v>
      </c>
      <c r="M20" s="23">
        <f>ROUND(K20*(1-L20),0)</f>
        <v>9728</v>
      </c>
      <c r="N20" s="14">
        <v>0.76300000000000001</v>
      </c>
      <c r="O20" s="24">
        <f t="shared" ref="O20:O22" si="143">M20*N20</f>
        <v>7422.4639999999999</v>
      </c>
      <c r="P20" s="13">
        <v>0.16700000000000001</v>
      </c>
      <c r="Q20" s="24">
        <f t="shared" ref="Q20:Q22" si="144">M20*P20</f>
        <v>1624.576</v>
      </c>
      <c r="R20" s="15">
        <v>7.0000000000000007E-2</v>
      </c>
      <c r="S20" s="112">
        <v>0.2014</v>
      </c>
      <c r="T20" s="24">
        <f t="shared" ref="T20:T22" si="145">M20*R20</f>
        <v>680.96</v>
      </c>
      <c r="U20" s="25">
        <v>0.23400000000000001</v>
      </c>
      <c r="V20" s="24">
        <f t="shared" ref="V20:V22" si="146">M20*U20</f>
        <v>2276.3520000000003</v>
      </c>
      <c r="W20" s="15">
        <v>0.48</v>
      </c>
      <c r="X20" s="24">
        <f t="shared" ref="X20:X22" si="147">M20*W20</f>
        <v>4669.4399999999996</v>
      </c>
      <c r="Y20" s="15">
        <v>0.48</v>
      </c>
      <c r="Z20" s="24">
        <f t="shared" ref="Z20:Z22" si="148">Y20*M20</f>
        <v>4669.4399999999996</v>
      </c>
      <c r="AA20" s="116">
        <v>2.63E-3</v>
      </c>
      <c r="AB20" s="18">
        <f t="shared" ref="AB20" si="149">M20*AA20</f>
        <v>25.58464</v>
      </c>
      <c r="AC20" s="16">
        <v>2.7200000000000002E-3</v>
      </c>
      <c r="AD20" s="17">
        <f t="shared" ref="AD20:AD22" si="150">M20*AC20</f>
        <v>26.460160000000002</v>
      </c>
      <c r="AE20" s="26">
        <f>IF(M20&gt;0,(AG20+AP20)/M20,0)</f>
        <v>3.3460189144736844E-3</v>
      </c>
      <c r="AF20" s="16">
        <v>2.9999999999999997E-4</v>
      </c>
      <c r="AG20" s="23">
        <f t="shared" ref="AG20:AG22" si="151">AF20*M20</f>
        <v>2.9183999999999997</v>
      </c>
      <c r="AH20" s="92">
        <v>0.20760000000000001</v>
      </c>
      <c r="AI20" s="29">
        <f t="shared" ref="AI20:AI22" si="152">AL20*(1-AM20)*AH20</f>
        <v>27.709617600000001</v>
      </c>
      <c r="AJ20" s="27">
        <f t="shared" ref="AJ20:AJ22" si="153">IF(AND(AH20&gt;0,AF20&gt;0,AC20&gt;0),((AC20-AF20)*AH20)/((AH20-AF20)*AC20),0)</f>
        <v>0.89099344513492806</v>
      </c>
      <c r="AK20" s="58">
        <f t="shared" si="6"/>
        <v>0.91157306764528878</v>
      </c>
      <c r="AL20" s="11">
        <v>147</v>
      </c>
      <c r="AM20" s="13">
        <v>9.1999999999999998E-2</v>
      </c>
      <c r="AN20" s="14">
        <v>0.222</v>
      </c>
      <c r="AO20" s="101">
        <v>0.2074</v>
      </c>
      <c r="AP20" s="29">
        <f>AL20*(1-AM20)*AN20</f>
        <v>29.631672000000002</v>
      </c>
      <c r="AQ20" s="102">
        <f t="shared" ref="AQ20" si="154">AL20*(1-AM20)*AO20</f>
        <v>27.682922399999999</v>
      </c>
      <c r="AR20" s="18">
        <v>1.5</v>
      </c>
      <c r="AS20" s="18">
        <v>1002.92</v>
      </c>
      <c r="AT20" s="79">
        <f>AT18+AL20-AS20+12.52</f>
        <v>425.95999999999924</v>
      </c>
      <c r="AU20" s="87"/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43" t="s">
        <v>55</v>
      </c>
      <c r="D21" s="33">
        <v>22900</v>
      </c>
      <c r="E21" s="33">
        <v>2</v>
      </c>
      <c r="F21" s="33">
        <v>15830</v>
      </c>
      <c r="G21" s="34">
        <v>1.9</v>
      </c>
      <c r="H21" s="34">
        <v>5.3</v>
      </c>
      <c r="I21" s="33">
        <v>16058</v>
      </c>
      <c r="J21" s="34">
        <v>0.9</v>
      </c>
      <c r="K21" s="33">
        <v>8474</v>
      </c>
      <c r="L21" s="35">
        <v>7.8E-2</v>
      </c>
      <c r="M21" s="36">
        <f>ROUND(K21*(1-L21),0)</f>
        <v>7813</v>
      </c>
      <c r="N21" s="37">
        <v>0.70299999999999996</v>
      </c>
      <c r="O21" s="24">
        <f t="shared" si="143"/>
        <v>5492.5389999999998</v>
      </c>
      <c r="P21" s="35">
        <v>0.27900000000000003</v>
      </c>
      <c r="Q21" s="24">
        <f t="shared" si="144"/>
        <v>2179.8270000000002</v>
      </c>
      <c r="R21" s="38">
        <v>1.7999999999999999E-2</v>
      </c>
      <c r="S21" s="105">
        <v>0.22</v>
      </c>
      <c r="T21" s="24">
        <f t="shared" si="145"/>
        <v>140.63399999999999</v>
      </c>
      <c r="U21" s="27">
        <v>0.28000000000000003</v>
      </c>
      <c r="V21" s="24">
        <f t="shared" si="146"/>
        <v>2187.6400000000003</v>
      </c>
      <c r="W21" s="38">
        <v>0.46700000000000003</v>
      </c>
      <c r="X21" s="24">
        <f t="shared" si="147"/>
        <v>3648.6710000000003</v>
      </c>
      <c r="Y21" s="38">
        <v>0.5</v>
      </c>
      <c r="Z21" s="24">
        <f t="shared" si="148"/>
        <v>3906.5</v>
      </c>
      <c r="AA21" s="117">
        <v>2.7000000000000001E-3</v>
      </c>
      <c r="AB21" s="18">
        <f t="shared" si="61"/>
        <v>21.095100000000002</v>
      </c>
      <c r="AC21" s="39">
        <v>2.82E-3</v>
      </c>
      <c r="AD21" s="17">
        <f t="shared" si="150"/>
        <v>22.03266</v>
      </c>
      <c r="AE21" s="26">
        <f>IF(M21&gt;0,(AG21+AP21)/M21,0)</f>
        <v>3.0563843594009978E-3</v>
      </c>
      <c r="AF21" s="39">
        <v>3.5E-4</v>
      </c>
      <c r="AG21" s="36">
        <f t="shared" si="151"/>
        <v>2.73455</v>
      </c>
      <c r="AH21" s="27">
        <v>0.21310000000000001</v>
      </c>
      <c r="AI21" s="40">
        <f t="shared" si="152"/>
        <v>21.026577000000003</v>
      </c>
      <c r="AJ21" s="27">
        <f t="shared" si="153"/>
        <v>0.87732746622663349</v>
      </c>
      <c r="AK21" s="28">
        <f t="shared" si="6"/>
        <v>0.88693416947169545</v>
      </c>
      <c r="AL21" s="33">
        <v>110</v>
      </c>
      <c r="AM21" s="35">
        <v>0.10299999999999999</v>
      </c>
      <c r="AN21" s="37">
        <v>0.21429999999999999</v>
      </c>
      <c r="AO21" s="103">
        <v>0.19689999999999999</v>
      </c>
      <c r="AP21" s="40">
        <f>AL21*(1-AM21)*AN21</f>
        <v>21.144980999999998</v>
      </c>
      <c r="AQ21" s="104">
        <f t="shared" si="21"/>
        <v>19.428122999999999</v>
      </c>
      <c r="AR21" s="41">
        <v>1.5</v>
      </c>
      <c r="AS21" s="41"/>
      <c r="AT21" s="129">
        <f>AT20+AL21-AS21</f>
        <v>535.95999999999924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43" t="s">
        <v>57</v>
      </c>
      <c r="D22" s="42">
        <v>13686</v>
      </c>
      <c r="E22" s="42">
        <v>1</v>
      </c>
      <c r="F22" s="42">
        <v>13031</v>
      </c>
      <c r="G22" s="36">
        <v>1.3</v>
      </c>
      <c r="H22" s="36">
        <v>6.7</v>
      </c>
      <c r="I22" s="42">
        <v>13159</v>
      </c>
      <c r="J22" s="36">
        <v>1.9</v>
      </c>
      <c r="K22" s="42">
        <v>13825</v>
      </c>
      <c r="L22" s="38">
        <v>7.0999999999999994E-2</v>
      </c>
      <c r="M22" s="36">
        <f>ROUND(K22*(1-L22),0)</f>
        <v>12843</v>
      </c>
      <c r="N22" s="27">
        <v>0.69699999999999995</v>
      </c>
      <c r="O22" s="24">
        <f t="shared" si="143"/>
        <v>8951.5709999999999</v>
      </c>
      <c r="P22" s="38">
        <v>0.27</v>
      </c>
      <c r="Q22" s="24">
        <f t="shared" si="144"/>
        <v>3467.61</v>
      </c>
      <c r="R22" s="38">
        <v>3.3000000000000002E-2</v>
      </c>
      <c r="S22" s="105">
        <v>0.20200000000000001</v>
      </c>
      <c r="T22" s="24">
        <f t="shared" si="145"/>
        <v>423.81900000000002</v>
      </c>
      <c r="U22" s="27">
        <v>0.26300000000000001</v>
      </c>
      <c r="V22" s="24">
        <f t="shared" si="146"/>
        <v>3377.7090000000003</v>
      </c>
      <c r="W22" s="38">
        <v>0.45300000000000001</v>
      </c>
      <c r="X22" s="24">
        <f t="shared" si="147"/>
        <v>5817.8789999999999</v>
      </c>
      <c r="Y22" s="38">
        <v>0.44</v>
      </c>
      <c r="Z22" s="24">
        <f t="shared" si="148"/>
        <v>5650.92</v>
      </c>
      <c r="AA22" s="118">
        <v>2.7399999999999998E-3</v>
      </c>
      <c r="AB22" s="121">
        <f t="shared" si="61"/>
        <v>35.189819999999997</v>
      </c>
      <c r="AC22" s="45">
        <v>2.7899999999999999E-3</v>
      </c>
      <c r="AD22" s="17">
        <f t="shared" si="150"/>
        <v>35.831969999999998</v>
      </c>
      <c r="AE22" s="26">
        <f>IF(M22&gt;0,(AG22+AP22)/M22,0)</f>
        <v>2.6488122712761816E-3</v>
      </c>
      <c r="AF22" s="45">
        <v>2.7999999999999998E-4</v>
      </c>
      <c r="AG22" s="36">
        <f t="shared" si="151"/>
        <v>3.5960399999999999</v>
      </c>
      <c r="AH22" s="27">
        <v>0.2039</v>
      </c>
      <c r="AI22" s="40">
        <f t="shared" si="152"/>
        <v>29.426848</v>
      </c>
      <c r="AJ22" s="27">
        <f t="shared" si="153"/>
        <v>0.90087868363974077</v>
      </c>
      <c r="AK22" s="28">
        <f t="shared" si="6"/>
        <v>0.895481688844875</v>
      </c>
      <c r="AL22" s="42">
        <v>160</v>
      </c>
      <c r="AM22" s="38">
        <v>9.8000000000000004E-2</v>
      </c>
      <c r="AN22" s="27">
        <v>0.21079999999999999</v>
      </c>
      <c r="AO22" s="105">
        <v>0.1933</v>
      </c>
      <c r="AP22" s="40">
        <f>AL22*(1-AM22)*AN22</f>
        <v>30.422655999999996</v>
      </c>
      <c r="AQ22" s="106">
        <f t="shared" si="21"/>
        <v>27.897055999999999</v>
      </c>
      <c r="AR22" s="17">
        <v>1.55</v>
      </c>
      <c r="AS22" s="17"/>
      <c r="AT22" s="129">
        <f>AT21+AL22-AS22</f>
        <v>695.95999999999924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42632</v>
      </c>
      <c r="E23" s="49"/>
      <c r="F23" s="49">
        <f t="shared" ref="F23" si="156">SUM(F20:F22)</f>
        <v>41810</v>
      </c>
      <c r="G23" s="50"/>
      <c r="H23" s="50"/>
      <c r="I23" s="49">
        <f t="shared" ref="I23:K23" si="157">SUM(I20:I22)</f>
        <v>41643</v>
      </c>
      <c r="J23" s="50"/>
      <c r="K23" s="49">
        <f t="shared" si="157"/>
        <v>32726</v>
      </c>
      <c r="L23" s="20">
        <f t="shared" ref="L23" si="158">IF(K23&gt;0,(K20*L20+K21*L21+K22*L22)/K23,0)</f>
        <v>7.1538104259610089E-2</v>
      </c>
      <c r="M23" s="50">
        <f t="shared" ref="M23" si="159">M20+M21+M22</f>
        <v>30384</v>
      </c>
      <c r="N23" s="51">
        <f t="shared" ref="N23" si="160">IF(M23&gt;0,O23/M23,0)</f>
        <v>0.71967397314375992</v>
      </c>
      <c r="O23" s="52">
        <f t="shared" ref="O23" si="161">O20+O21+O22</f>
        <v>21866.574000000001</v>
      </c>
      <c r="P23" s="20">
        <f t="shared" ref="P23" si="162">IF(M23&gt;0,Q23/M23,0)</f>
        <v>0.239336920747762</v>
      </c>
      <c r="Q23" s="52">
        <f t="shared" ref="Q23" si="163">Q20+Q21+Q22</f>
        <v>7272.0130000000008</v>
      </c>
      <c r="R23" s="20">
        <f t="shared" ref="R23" si="164">IF(M23&gt;0,T23/M23,0)</f>
        <v>4.0989106108478147E-2</v>
      </c>
      <c r="S23" s="107"/>
      <c r="T23" s="52">
        <f t="shared" ref="T23" si="165">T20+T21+T22</f>
        <v>1245.413</v>
      </c>
      <c r="U23" s="20">
        <f t="shared" ref="U23" si="166">IF(M23&gt;0,V23/M23,0)</f>
        <v>0.25808652580305425</v>
      </c>
      <c r="V23" s="52">
        <f t="shared" ref="V23" si="167">V20+V21+V22</f>
        <v>7841.7010000000009</v>
      </c>
      <c r="W23" s="20">
        <f t="shared" ref="W23" si="168">IF(M23&gt;0,X23/M23,0)</f>
        <v>0.46524453659820963</v>
      </c>
      <c r="X23" s="52">
        <f t="shared" ref="X23" si="169">X20+X21+X22</f>
        <v>14135.990000000002</v>
      </c>
      <c r="Y23" s="20">
        <f t="shared" ref="Y23" si="170">IF(M23&gt;0,Z23/M23,0)</f>
        <v>0.46823525539757765</v>
      </c>
      <c r="Z23" s="52">
        <f t="shared" ref="Z23" si="171">Z20+Z21+Z22</f>
        <v>14226.859999999999</v>
      </c>
      <c r="AA23" s="119">
        <v>2.7399999999999998E-3</v>
      </c>
      <c r="AB23" s="54">
        <f t="shared" ref="AB23" si="172">SUM(AB20:AB22)</f>
        <v>81.869560000000007</v>
      </c>
      <c r="AC23" s="53">
        <f t="shared" ref="AC23" si="173">IF(M23&gt;0,AD23/M23,0)</f>
        <v>2.7753024618220119E-3</v>
      </c>
      <c r="AD23" s="54">
        <f t="shared" ref="AD23" si="174">SUM(AD20:AD22)</f>
        <v>84.324790000000007</v>
      </c>
      <c r="AE23" s="53">
        <f t="shared" ref="AE23" si="175">IF(M23&gt;0,(AE20*M20+AE21*M21+AE22*M22)/M23,0)</f>
        <v>2.9768397511848337E-3</v>
      </c>
      <c r="AF23" s="53">
        <f t="shared" ref="AF23" si="176">IF(K23&gt;0,(K20*AF20+K21*AF21+K22*AF22)/K23,0)</f>
        <v>3.0449795269816047E-4</v>
      </c>
      <c r="AG23" s="50">
        <f t="shared" ref="AG23" si="177">SUM(AG20:AG22)</f>
        <v>9.2489899999999992</v>
      </c>
      <c r="AH23" s="51">
        <f t="shared" ref="AH23" si="178">IF(K23&gt;0,(K20*AH20+K21*AH21+K22*AH22)/K23,0)</f>
        <v>0.20746110432072359</v>
      </c>
      <c r="AI23" s="56">
        <f t="shared" ref="AI23" si="179">SUM(AI20:AI22)</f>
        <v>78.163042600000011</v>
      </c>
      <c r="AJ23" s="51">
        <f t="shared" ref="AJ23" si="180">IF(AND(AD23&gt;0),((AD20*AJ20+AD21*AJ21+AD22*AJ22)/AD23),0)</f>
        <v>0.891623268259227</v>
      </c>
      <c r="AK23" s="55">
        <f t="shared" si="6"/>
        <v>0.8989825794547891</v>
      </c>
      <c r="AL23" s="49">
        <f t="shared" ref="AL23" si="181">SUM(AL20:AL22)</f>
        <v>417</v>
      </c>
      <c r="AM23" s="20">
        <f t="shared" ref="AM23" si="182">IF(AL23&gt;0,(AM20*AL20+AM21*AL21+AM22*AL22)/AL23,0)</f>
        <v>9.7203836930455631E-2</v>
      </c>
      <c r="AN23" s="51">
        <f>IF(K23&gt;0,(AN20*K20+AN21*K21+AN22*K22)/K23,0)</f>
        <v>0.21527477235225811</v>
      </c>
      <c r="AO23" s="107">
        <f>IF(K23&gt;0,(AO20*K20+AO21*K21+AO22*K22)/K23,0)</f>
        <v>0.19872465012528268</v>
      </c>
      <c r="AP23" s="56">
        <f t="shared" ref="AP23" si="183">SUM(AP20:AP22)</f>
        <v>81.199309</v>
      </c>
      <c r="AQ23" s="108">
        <f t="shared" si="52"/>
        <v>75.008101399999987</v>
      </c>
      <c r="AR23" s="54"/>
      <c r="AS23" s="54">
        <f t="shared" ref="AS23" si="184">SUM(AS20:AS22)</f>
        <v>1002.92</v>
      </c>
      <c r="AT23" s="83"/>
      <c r="AU23" s="84">
        <f>AT22</f>
        <v>695.95999999999924</v>
      </c>
      <c r="AV23" s="49">
        <f t="shared" ref="AV23" si="185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58</v>
      </c>
      <c r="D24" s="11">
        <v>4200</v>
      </c>
      <c r="E24" s="11">
        <v>0</v>
      </c>
      <c r="F24" s="11">
        <v>10541</v>
      </c>
      <c r="G24" s="12">
        <v>0.9</v>
      </c>
      <c r="H24" s="12">
        <v>5.0999999999999996</v>
      </c>
      <c r="I24" s="11">
        <v>10164</v>
      </c>
      <c r="J24" s="12">
        <v>4</v>
      </c>
      <c r="K24" s="11">
        <v>15712</v>
      </c>
      <c r="L24" s="13">
        <v>6.9000000000000006E-2</v>
      </c>
      <c r="M24" s="23">
        <f>ROUND(K24*(1-L24),0)</f>
        <v>14628</v>
      </c>
      <c r="N24" s="14">
        <v>0.77700000000000002</v>
      </c>
      <c r="O24" s="24">
        <f t="shared" ref="O24:O26" si="186">M24*N24</f>
        <v>11365.956</v>
      </c>
      <c r="P24" s="13">
        <v>0.217</v>
      </c>
      <c r="Q24" s="24">
        <f t="shared" ref="Q24:Q26" si="187">M24*P24</f>
        <v>3174.2759999999998</v>
      </c>
      <c r="R24" s="15">
        <v>6.0000000000000001E-3</v>
      </c>
      <c r="S24" s="112">
        <v>0.19800000000000001</v>
      </c>
      <c r="T24" s="24">
        <f t="shared" ref="T24:T26" si="188">M24*R24</f>
        <v>87.768000000000001</v>
      </c>
      <c r="U24" s="25">
        <v>0.253</v>
      </c>
      <c r="V24" s="24">
        <f t="shared" ref="V24:V26" si="189">M24*U24</f>
        <v>3700.884</v>
      </c>
      <c r="W24" s="15">
        <v>0.47199999999999998</v>
      </c>
      <c r="X24" s="24">
        <f t="shared" ref="X24:X26" si="190">M24*W24</f>
        <v>6904.4159999999993</v>
      </c>
      <c r="Y24" s="15">
        <v>0.44</v>
      </c>
      <c r="Z24" s="24">
        <f t="shared" ref="Z24:Z26" si="191">Y24*M24</f>
        <v>6436.32</v>
      </c>
      <c r="AA24" s="116">
        <v>2.6900000000000001E-3</v>
      </c>
      <c r="AB24" s="18">
        <f t="shared" ref="AB24" si="192">M24*AA24</f>
        <v>39.349319999999999</v>
      </c>
      <c r="AC24" s="16">
        <v>2.81E-3</v>
      </c>
      <c r="AD24" s="17">
        <f t="shared" ref="AD24:AD26" si="193">M24*AC24</f>
        <v>41.104680000000002</v>
      </c>
      <c r="AE24" s="26">
        <f>IF(M24&gt;0,(AG24+AP24)/M24,0)</f>
        <v>2.9817372436423298E-3</v>
      </c>
      <c r="AF24" s="16">
        <v>2.5999999999999998E-4</v>
      </c>
      <c r="AG24" s="23">
        <f t="shared" ref="AG24:AG26" si="194">AF24*M24</f>
        <v>3.8032799999999995</v>
      </c>
      <c r="AH24" s="92">
        <v>0.20880000000000001</v>
      </c>
      <c r="AI24" s="29">
        <f t="shared" ref="AI24:AI26" si="195">AL24*(1-AM24)*AH24</f>
        <v>37.145102399999999</v>
      </c>
      <c r="AJ24" s="27">
        <f t="shared" ref="AJ24:AJ26" si="196">IF(AND(AH24&gt;0,AF24&gt;0,AC24&gt;0),((AC24-AF24)*AH24)/((AH24-AF24)*AC24),0)</f>
        <v>0.90860471394582976</v>
      </c>
      <c r="AK24" s="58">
        <f t="shared" si="6"/>
        <v>0.91386419432577204</v>
      </c>
      <c r="AL24" s="11">
        <v>194</v>
      </c>
      <c r="AM24" s="13">
        <v>8.3000000000000004E-2</v>
      </c>
      <c r="AN24" s="14">
        <v>0.2238</v>
      </c>
      <c r="AO24" s="101">
        <v>0.217</v>
      </c>
      <c r="AP24" s="29">
        <f>AL24*(1-AM24)*AN24</f>
        <v>39.813572399999998</v>
      </c>
      <c r="AQ24" s="102">
        <f t="shared" ref="AQ24" si="197">AL24*(1-AM24)*AO24</f>
        <v>38.603865999999996</v>
      </c>
      <c r="AR24" s="18">
        <v>1.55</v>
      </c>
      <c r="AS24" s="18">
        <v>984.34</v>
      </c>
      <c r="AT24" s="79">
        <f>AT22+AL24-AS24</f>
        <v>-94.380000000000791</v>
      </c>
      <c r="AU24" s="80">
        <v>12.52</v>
      </c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43" t="s">
        <v>55</v>
      </c>
      <c r="D25" s="33">
        <v>20233</v>
      </c>
      <c r="E25" s="33">
        <v>3</v>
      </c>
      <c r="F25" s="33">
        <v>18621</v>
      </c>
      <c r="G25" s="34">
        <v>0.7</v>
      </c>
      <c r="H25" s="34">
        <v>4.4000000000000004</v>
      </c>
      <c r="I25" s="33">
        <v>17679</v>
      </c>
      <c r="J25" s="34">
        <v>2.5</v>
      </c>
      <c r="K25" s="33">
        <v>15829</v>
      </c>
      <c r="L25" s="35">
        <v>6.8000000000000005E-2</v>
      </c>
      <c r="M25" s="36">
        <f>ROUND(K25*(1-L25),0)</f>
        <v>14753</v>
      </c>
      <c r="N25" s="37">
        <v>0.753</v>
      </c>
      <c r="O25" s="24">
        <f t="shared" si="186"/>
        <v>11109.009</v>
      </c>
      <c r="P25" s="35">
        <v>0.22800000000000001</v>
      </c>
      <c r="Q25" s="24">
        <f t="shared" si="187"/>
        <v>3363.6840000000002</v>
      </c>
      <c r="R25" s="38">
        <v>1.9E-2</v>
      </c>
      <c r="S25" s="105">
        <v>0.22359999999999999</v>
      </c>
      <c r="T25" s="24">
        <f t="shared" si="188"/>
        <v>280.30700000000002</v>
      </c>
      <c r="U25" s="27">
        <v>0.255</v>
      </c>
      <c r="V25" s="24">
        <f t="shared" si="189"/>
        <v>3762.0149999999999</v>
      </c>
      <c r="W25" s="38">
        <v>0.46300000000000002</v>
      </c>
      <c r="X25" s="24">
        <f t="shared" si="190"/>
        <v>6830.6390000000001</v>
      </c>
      <c r="Y25" s="38">
        <v>0.43</v>
      </c>
      <c r="Z25" s="24">
        <f t="shared" si="191"/>
        <v>6343.79</v>
      </c>
      <c r="AA25" s="117">
        <v>2.8400000000000001E-3</v>
      </c>
      <c r="AB25" s="18">
        <f t="shared" si="61"/>
        <v>41.898519999999998</v>
      </c>
      <c r="AC25" s="39">
        <v>2.82E-3</v>
      </c>
      <c r="AD25" s="17">
        <f t="shared" si="193"/>
        <v>41.603459999999998</v>
      </c>
      <c r="AE25" s="26">
        <f>IF(M25&gt;0,(AG25+AP25)/M25,0)</f>
        <v>2.9541081000474482E-3</v>
      </c>
      <c r="AF25" s="39">
        <v>2.5999999999999998E-4</v>
      </c>
      <c r="AG25" s="36">
        <f t="shared" si="194"/>
        <v>3.8357799999999997</v>
      </c>
      <c r="AH25" s="27">
        <v>0.21479999999999999</v>
      </c>
      <c r="AI25" s="40">
        <f t="shared" si="195"/>
        <v>36.673018799999994</v>
      </c>
      <c r="AJ25" s="27">
        <f t="shared" si="196"/>
        <v>0.90890157863732213</v>
      </c>
      <c r="AK25" s="28">
        <f t="shared" si="6"/>
        <v>0.91300665260533642</v>
      </c>
      <c r="AL25" s="33">
        <v>187</v>
      </c>
      <c r="AM25" s="35">
        <v>8.6999999999999994E-2</v>
      </c>
      <c r="AN25" s="37">
        <v>0.23280000000000001</v>
      </c>
      <c r="AO25" s="103">
        <v>0.22789999999999999</v>
      </c>
      <c r="AP25" s="40">
        <f>AL25*(1-AM25)*AN25</f>
        <v>39.746176800000001</v>
      </c>
      <c r="AQ25" s="104">
        <f t="shared" si="21"/>
        <v>38.909594899999995</v>
      </c>
      <c r="AR25" s="41">
        <v>1.55</v>
      </c>
      <c r="AS25" s="41"/>
      <c r="AT25" s="129">
        <f>AT24+AL25-AS25</f>
        <v>92.619999999999209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43" t="s">
        <v>57</v>
      </c>
      <c r="D26" s="42">
        <v>19809</v>
      </c>
      <c r="E26" s="42">
        <v>1</v>
      </c>
      <c r="F26" s="42">
        <v>18043</v>
      </c>
      <c r="G26" s="36">
        <v>0.6</v>
      </c>
      <c r="H26" s="36">
        <v>4.5</v>
      </c>
      <c r="I26" s="42">
        <v>17589</v>
      </c>
      <c r="J26" s="36">
        <v>1.8</v>
      </c>
      <c r="K26" s="42">
        <v>16099</v>
      </c>
      <c r="L26" s="38">
        <v>6.9000000000000006E-2</v>
      </c>
      <c r="M26" s="36">
        <f>ROUND(K26*(1-L26),0)</f>
        <v>14988</v>
      </c>
      <c r="N26" s="27">
        <v>0.67500000000000004</v>
      </c>
      <c r="O26" s="24">
        <f t="shared" si="186"/>
        <v>10116.900000000001</v>
      </c>
      <c r="P26" s="38">
        <v>0.28399999999999997</v>
      </c>
      <c r="Q26" s="24">
        <f t="shared" si="187"/>
        <v>4256.5919999999996</v>
      </c>
      <c r="R26" s="38">
        <v>4.1000000000000002E-2</v>
      </c>
      <c r="S26" s="105">
        <v>0.23760000000000001</v>
      </c>
      <c r="T26" s="24">
        <f t="shared" si="188"/>
        <v>614.50800000000004</v>
      </c>
      <c r="U26" s="27">
        <v>0.26400000000000001</v>
      </c>
      <c r="V26" s="24">
        <f t="shared" si="189"/>
        <v>3956.8320000000003</v>
      </c>
      <c r="W26" s="38">
        <v>0.46400000000000002</v>
      </c>
      <c r="X26" s="24">
        <f t="shared" si="190"/>
        <v>6954.4320000000007</v>
      </c>
      <c r="Y26" s="38">
        <v>0.43</v>
      </c>
      <c r="Z26" s="24">
        <f t="shared" si="191"/>
        <v>6444.84</v>
      </c>
      <c r="AA26" s="118">
        <v>2.96E-3</v>
      </c>
      <c r="AB26" s="121">
        <f t="shared" si="61"/>
        <v>44.36448</v>
      </c>
      <c r="AC26" s="45">
        <v>3.0200000000000001E-3</v>
      </c>
      <c r="AD26" s="17">
        <f t="shared" si="193"/>
        <v>45.263760000000005</v>
      </c>
      <c r="AE26" s="26">
        <f>IF(M26&gt;0,(AG26+AP26)/M26,0)</f>
        <v>3.0435512143047773E-3</v>
      </c>
      <c r="AF26" s="45">
        <v>2.7E-4</v>
      </c>
      <c r="AG26" s="36">
        <f t="shared" si="194"/>
        <v>4.0467599999999999</v>
      </c>
      <c r="AH26" s="27">
        <v>0.20569999999999999</v>
      </c>
      <c r="AI26" s="40">
        <f t="shared" si="195"/>
        <v>37.373015899999999</v>
      </c>
      <c r="AJ26" s="27">
        <f t="shared" si="196"/>
        <v>0.91179283770143904</v>
      </c>
      <c r="AK26" s="28">
        <f t="shared" si="6"/>
        <v>0.9123644946583459</v>
      </c>
      <c r="AL26" s="42">
        <v>199</v>
      </c>
      <c r="AM26" s="38">
        <v>8.6999999999999994E-2</v>
      </c>
      <c r="AN26" s="27">
        <v>0.2288</v>
      </c>
      <c r="AO26" s="105">
        <v>0.22520000000000001</v>
      </c>
      <c r="AP26" s="40">
        <f>AL26*(1-AM26)*AN26</f>
        <v>41.569985600000003</v>
      </c>
      <c r="AQ26" s="106">
        <f t="shared" si="21"/>
        <v>40.915912400000003</v>
      </c>
      <c r="AR26" s="17">
        <v>1.55</v>
      </c>
      <c r="AS26" s="17"/>
      <c r="AT26" s="129">
        <f>AT25+AL26-AS26</f>
        <v>291.61999999999921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8">SUM(D24:D26)</f>
        <v>44242</v>
      </c>
      <c r="E27" s="49"/>
      <c r="F27" s="49">
        <f t="shared" ref="F27" si="199">SUM(F24:F26)</f>
        <v>47205</v>
      </c>
      <c r="G27" s="50"/>
      <c r="H27" s="50"/>
      <c r="I27" s="49">
        <f t="shared" ref="I27:K27" si="200">SUM(I24:I26)</f>
        <v>45432</v>
      </c>
      <c r="J27" s="50"/>
      <c r="K27" s="49">
        <f t="shared" si="200"/>
        <v>47640</v>
      </c>
      <c r="L27" s="20">
        <f t="shared" ref="L27" si="201">IF(K27&gt;0,(K24*L24+K25*L25+K26*L26)/K27,0)</f>
        <v>6.8667737195633918E-2</v>
      </c>
      <c r="M27" s="50">
        <f t="shared" ref="M27" si="202">M24+M25+M26</f>
        <v>44369</v>
      </c>
      <c r="N27" s="51">
        <f t="shared" ref="N27" si="203">IF(M27&gt;0,O27/M27,0)</f>
        <v>0.73456388469426859</v>
      </c>
      <c r="O27" s="52">
        <f t="shared" ref="O27" si="204">O24+O25+O26</f>
        <v>32591.865000000002</v>
      </c>
      <c r="P27" s="20">
        <f t="shared" ref="P27" si="205">IF(M27&gt;0,Q27/M27,0)</f>
        <v>0.24329040546327391</v>
      </c>
      <c r="Q27" s="52">
        <f t="shared" ref="Q27" si="206">Q24+Q25+Q26</f>
        <v>10794.552</v>
      </c>
      <c r="R27" s="20">
        <f t="shared" ref="R27" si="207">IF(M27&gt;0,T27/M27,0)</f>
        <v>2.2145709842457572E-2</v>
      </c>
      <c r="S27" s="107"/>
      <c r="T27" s="52">
        <f t="shared" ref="T27" si="208">T24+T25+T26</f>
        <v>982.58300000000008</v>
      </c>
      <c r="U27" s="20">
        <f t="shared" ref="U27" si="209">IF(M27&gt;0,V27/M27,0)</f>
        <v>0.25738085149541345</v>
      </c>
      <c r="V27" s="52">
        <f t="shared" ref="V27" si="210">V24+V25+V26</f>
        <v>11419.731</v>
      </c>
      <c r="W27" s="20">
        <f t="shared" ref="W27" si="211">IF(M27&gt;0,X27/M27,0)</f>
        <v>0.46630501025490773</v>
      </c>
      <c r="X27" s="52">
        <f t="shared" ref="X27" si="212">X24+X25+X26</f>
        <v>20689.487000000001</v>
      </c>
      <c r="Y27" s="20">
        <f t="shared" ref="Y27" si="213">IF(M27&gt;0,Z27/M27,0)</f>
        <v>0.43329689648177783</v>
      </c>
      <c r="Z27" s="52">
        <f t="shared" ref="Z27" si="214">Z24+Z25+Z26</f>
        <v>19224.95</v>
      </c>
      <c r="AA27" s="119">
        <f t="shared" ref="AA27" si="215">IF(M27&gt;0,AB27/M27,0)</f>
        <v>2.8310829633302532E-3</v>
      </c>
      <c r="AB27" s="54">
        <f t="shared" ref="AB27" si="216">SUM(AB24:AB26)</f>
        <v>125.61232</v>
      </c>
      <c r="AC27" s="53">
        <f t="shared" ref="AC27" si="217">IF(M27&gt;0,AD27/M27,0)</f>
        <v>2.8842637877797561E-3</v>
      </c>
      <c r="AD27" s="54">
        <f t="shared" ref="AD27" si="218">SUM(AD24:AD26)</f>
        <v>127.97190000000001</v>
      </c>
      <c r="AE27" s="53">
        <f t="shared" ref="AE27" si="219">IF(M27&gt;0,(AE24*M24+AE25*M25+AE26*M26)/M27,0)</f>
        <v>2.9934313326872367E-3</v>
      </c>
      <c r="AF27" s="53">
        <f t="shared" ref="AF27" si="220">IF(K27&gt;0,(K24*AF24+K25*AF25+K26*AF26)/K27,0)</f>
        <v>2.6337930310663311E-4</v>
      </c>
      <c r="AG27" s="50">
        <f t="shared" ref="AG27" si="221">SUM(AG24:AG26)</f>
        <v>11.68582</v>
      </c>
      <c r="AH27" s="51">
        <f t="shared" ref="AH27" si="222">IF(K27&gt;0,(K24*AH24+K25*AH25+K26*AH26)/K27,0)</f>
        <v>0.20974599286314022</v>
      </c>
      <c r="AI27" s="56">
        <f t="shared" ref="AI27" si="223">SUM(AI24:AI26)</f>
        <v>111.19113709999999</v>
      </c>
      <c r="AJ27" s="51">
        <f t="shared" ref="AJ27" si="224">IF(AND(AD27&gt;0),((AD24*AJ24+AD25*AJ25+AD26*AJ26)/AD27),0)</f>
        <v>0.90982886602016888</v>
      </c>
      <c r="AK27" s="55">
        <f t="shared" si="6"/>
        <v>0.9130667828489506</v>
      </c>
      <c r="AL27" s="49">
        <f t="shared" ref="AL27" si="225">SUM(AL24:AL26)</f>
        <v>580</v>
      </c>
      <c r="AM27" s="20">
        <f t="shared" ref="AM27" si="226">IF(AL27&gt;0,(AM24*AL24+AM25*AL25+AM26*AL26)/AL27,0)</f>
        <v>8.5662068965517243E-2</v>
      </c>
      <c r="AN27" s="51">
        <f>IF(K27&gt;0,(AN24*K24+AN25*K25+AN26*K26)/K27,0)</f>
        <v>0.22848001679261126</v>
      </c>
      <c r="AO27" s="107">
        <f>IF(K27&gt;0,(AO24*K24+AO25*K25+AO26*K26)/K27,0)</f>
        <v>0.22339269311502941</v>
      </c>
      <c r="AP27" s="56">
        <f t="shared" ref="AP27:AQ39" si="227">SUM(AP24:AP26)</f>
        <v>121.12973479999999</v>
      </c>
      <c r="AQ27" s="108">
        <f t="shared" si="227"/>
        <v>118.42937329999998</v>
      </c>
      <c r="AR27" s="54"/>
      <c r="AS27" s="54">
        <f t="shared" ref="AS27" si="228">SUM(AS24:AS26)</f>
        <v>984.34</v>
      </c>
      <c r="AT27" s="83"/>
      <c r="AU27" s="84">
        <f>AT26</f>
        <v>291.61999999999921</v>
      </c>
      <c r="AV27" s="49">
        <f t="shared" ref="AV27" si="229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58</v>
      </c>
      <c r="D28" s="11">
        <v>2428</v>
      </c>
      <c r="E28" s="11">
        <v>0</v>
      </c>
      <c r="F28" s="11">
        <v>7520</v>
      </c>
      <c r="G28" s="12">
        <v>0.4</v>
      </c>
      <c r="H28" s="12">
        <v>4.8</v>
      </c>
      <c r="I28" s="11">
        <v>7711</v>
      </c>
      <c r="J28" s="12">
        <v>5.3</v>
      </c>
      <c r="K28" s="11">
        <v>16636</v>
      </c>
      <c r="L28" s="13">
        <v>6.5000000000000002E-2</v>
      </c>
      <c r="M28" s="23">
        <f>ROUND(K28*(1-L28),0)</f>
        <v>15555</v>
      </c>
      <c r="N28" s="14">
        <v>0.82199999999999995</v>
      </c>
      <c r="O28" s="24">
        <f t="shared" ref="O28:O30" si="230">M28*N28</f>
        <v>12786.21</v>
      </c>
      <c r="P28" s="13">
        <v>0.156</v>
      </c>
      <c r="Q28" s="24">
        <f t="shared" ref="Q28:Q30" si="231">M28*P28</f>
        <v>2426.58</v>
      </c>
      <c r="R28" s="15">
        <v>2.1999999999999999E-2</v>
      </c>
      <c r="S28" s="112">
        <v>0.19409999999999999</v>
      </c>
      <c r="T28" s="24">
        <f t="shared" ref="T28:T30" si="232">M28*R28</f>
        <v>342.21</v>
      </c>
      <c r="U28" s="25">
        <v>0.25800000000000001</v>
      </c>
      <c r="V28" s="24">
        <f t="shared" ref="V28:V30" si="233">M28*U28</f>
        <v>4013.19</v>
      </c>
      <c r="W28" s="15">
        <v>0.47199999999999998</v>
      </c>
      <c r="X28" s="24">
        <f t="shared" ref="X28:X30" si="234">M28*W28</f>
        <v>7341.96</v>
      </c>
      <c r="Y28" s="15">
        <v>0.42</v>
      </c>
      <c r="Z28" s="24">
        <f t="shared" ref="Z28:Z30" si="235">Y28*M28</f>
        <v>6533.0999999999995</v>
      </c>
      <c r="AA28" s="116">
        <v>2.9399999999999999E-3</v>
      </c>
      <c r="AB28" s="18">
        <f t="shared" ref="AB28" si="236">M28*AA28</f>
        <v>45.731699999999996</v>
      </c>
      <c r="AC28" s="16">
        <v>3.0000000000000001E-3</v>
      </c>
      <c r="AD28" s="17">
        <f t="shared" ref="AD28:AD30" si="237">M28*AC28</f>
        <v>46.664999999999999</v>
      </c>
      <c r="AE28" s="26">
        <f>IF(M28&gt;0,(AG28+AP28)/M28,0)</f>
        <v>2.7653662102217935E-3</v>
      </c>
      <c r="AF28" s="16">
        <v>2.7E-4</v>
      </c>
      <c r="AG28" s="23">
        <f t="shared" ref="AG28:AG30" si="238">AF28*M28</f>
        <v>4.1998499999999996</v>
      </c>
      <c r="AH28" s="92">
        <v>0.2117</v>
      </c>
      <c r="AI28" s="29">
        <f t="shared" ref="AI28:AI30" si="239">AL28*(1-AM28)*AH28</f>
        <v>35.930147400000003</v>
      </c>
      <c r="AJ28" s="27">
        <f t="shared" ref="AJ28:AJ30" si="240">IF(AND(AH28&gt;0,AF28&gt;0,AC28&gt;0),((AC28-AF28)*AH28)/((AH28-AF28)*AC28),0)</f>
        <v>0.91116208674265708</v>
      </c>
      <c r="AK28" s="58">
        <f t="shared" si="6"/>
        <v>0.90343032228838827</v>
      </c>
      <c r="AL28" s="11">
        <v>189</v>
      </c>
      <c r="AM28" s="13">
        <v>0.10199999999999999</v>
      </c>
      <c r="AN28" s="14">
        <v>0.22869999999999999</v>
      </c>
      <c r="AO28" s="101">
        <v>0.2215</v>
      </c>
      <c r="AP28" s="29">
        <f>AL28*(1-AM28)*AN28</f>
        <v>38.815421399999998</v>
      </c>
      <c r="AQ28" s="102">
        <f t="shared" ref="AQ28" si="241">AL28*(1-AM28)*AO28</f>
        <v>37.593423000000001</v>
      </c>
      <c r="AR28" s="18">
        <v>1.5</v>
      </c>
      <c r="AS28" s="18">
        <v>525.38</v>
      </c>
      <c r="AT28" s="79">
        <f>AT26+AL28-AS28</f>
        <v>-44.760000000000787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53</v>
      </c>
      <c r="D29" s="33">
        <v>19600</v>
      </c>
      <c r="E29" s="33">
        <v>5</v>
      </c>
      <c r="F29" s="33">
        <v>18657</v>
      </c>
      <c r="G29" s="34">
        <v>0.6</v>
      </c>
      <c r="H29" s="34">
        <v>5</v>
      </c>
      <c r="I29" s="33">
        <v>17717</v>
      </c>
      <c r="J29" s="34">
        <v>3.8</v>
      </c>
      <c r="K29" s="33">
        <v>16380</v>
      </c>
      <c r="L29" s="35">
        <v>6.2E-2</v>
      </c>
      <c r="M29" s="36">
        <f>ROUND(K29*(1-L29),0)</f>
        <v>15364</v>
      </c>
      <c r="N29" s="37">
        <v>0.72699999999999998</v>
      </c>
      <c r="O29" s="24">
        <f t="shared" si="230"/>
        <v>11169.627999999999</v>
      </c>
      <c r="P29" s="35">
        <v>0.246</v>
      </c>
      <c r="Q29" s="24">
        <f t="shared" si="231"/>
        <v>3779.5439999999999</v>
      </c>
      <c r="R29" s="38">
        <v>2.7E-2</v>
      </c>
      <c r="S29" s="105">
        <v>0.18790000000000001</v>
      </c>
      <c r="T29" s="24">
        <f t="shared" si="232"/>
        <v>414.82799999999997</v>
      </c>
      <c r="U29" s="27">
        <v>0.25</v>
      </c>
      <c r="V29" s="24">
        <f t="shared" si="233"/>
        <v>3841</v>
      </c>
      <c r="W29" s="38">
        <v>0.495</v>
      </c>
      <c r="X29" s="24">
        <f t="shared" si="234"/>
        <v>7605.18</v>
      </c>
      <c r="Y29" s="38">
        <v>0.43</v>
      </c>
      <c r="Z29" s="24">
        <f t="shared" si="235"/>
        <v>6606.5199999999995</v>
      </c>
      <c r="AA29" s="117">
        <v>2.7000000000000001E-3</v>
      </c>
      <c r="AB29" s="18">
        <f t="shared" si="61"/>
        <v>41.482800000000005</v>
      </c>
      <c r="AC29" s="39">
        <v>2.8999999999999998E-3</v>
      </c>
      <c r="AD29" s="17">
        <f t="shared" si="237"/>
        <v>44.555599999999998</v>
      </c>
      <c r="AE29" s="26">
        <f>IF(M29&gt;0,(AG29+AP29)/M29,0)</f>
        <v>2.8630738479562615E-3</v>
      </c>
      <c r="AF29" s="39">
        <v>2.5000000000000001E-4</v>
      </c>
      <c r="AG29" s="36">
        <f t="shared" si="238"/>
        <v>3.8410000000000002</v>
      </c>
      <c r="AH29" s="27">
        <v>0.2122</v>
      </c>
      <c r="AI29" s="40">
        <f t="shared" si="239"/>
        <v>36.375960599999999</v>
      </c>
      <c r="AJ29" s="27">
        <f t="shared" si="240"/>
        <v>0.9148709438628172</v>
      </c>
      <c r="AK29" s="28">
        <f t="shared" si="6"/>
        <v>0.91365655553799707</v>
      </c>
      <c r="AL29" s="33">
        <v>189</v>
      </c>
      <c r="AM29" s="35">
        <v>9.2999999999999999E-2</v>
      </c>
      <c r="AN29" s="37">
        <v>0.23419999999999999</v>
      </c>
      <c r="AO29" s="103">
        <v>0.22750000000000001</v>
      </c>
      <c r="AP29" s="40">
        <f>AL29*(1-AM29)*AN29</f>
        <v>40.147266600000002</v>
      </c>
      <c r="AQ29" s="104">
        <f t="shared" si="21"/>
        <v>38.998732500000003</v>
      </c>
      <c r="AR29" s="41">
        <v>1.6</v>
      </c>
      <c r="AS29" s="41"/>
      <c r="AT29" s="129">
        <f>AT28+AL29-AS29</f>
        <v>144.23999999999921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43" t="s">
        <v>57</v>
      </c>
      <c r="D30" s="42">
        <v>17363</v>
      </c>
      <c r="E30" s="42">
        <v>2</v>
      </c>
      <c r="F30" s="42">
        <v>17620</v>
      </c>
      <c r="G30" s="36">
        <v>0.5</v>
      </c>
      <c r="H30" s="36">
        <v>4.9000000000000004</v>
      </c>
      <c r="I30" s="42">
        <v>17449</v>
      </c>
      <c r="J30" s="36">
        <v>2.9</v>
      </c>
      <c r="K30" s="42">
        <v>16722</v>
      </c>
      <c r="L30" s="38">
        <v>6.6000000000000003E-2</v>
      </c>
      <c r="M30" s="36">
        <f>ROUND(K30*(1-L30),0)</f>
        <v>15618</v>
      </c>
      <c r="N30" s="27">
        <v>0.66200000000000003</v>
      </c>
      <c r="O30" s="24">
        <f t="shared" si="230"/>
        <v>10339.116</v>
      </c>
      <c r="P30" s="38">
        <v>0.29499999999999998</v>
      </c>
      <c r="Q30" s="24">
        <f t="shared" si="231"/>
        <v>4607.3099999999995</v>
      </c>
      <c r="R30" s="38">
        <v>4.2999999999999997E-2</v>
      </c>
      <c r="S30" s="105">
        <v>0.18640000000000001</v>
      </c>
      <c r="T30" s="24">
        <f t="shared" si="232"/>
        <v>671.57399999999996</v>
      </c>
      <c r="U30" s="27">
        <v>0.252</v>
      </c>
      <c r="V30" s="24">
        <f t="shared" si="233"/>
        <v>3935.7359999999999</v>
      </c>
      <c r="W30" s="38">
        <v>0.47799999999999998</v>
      </c>
      <c r="X30" s="24">
        <f t="shared" si="234"/>
        <v>7465.4039999999995</v>
      </c>
      <c r="Y30" s="38">
        <v>0.42</v>
      </c>
      <c r="Z30" s="24">
        <f t="shared" si="235"/>
        <v>6559.5599999999995</v>
      </c>
      <c r="AA30" s="118">
        <v>2.6900000000000001E-3</v>
      </c>
      <c r="AB30" s="121">
        <f t="shared" si="61"/>
        <v>42.012419999999999</v>
      </c>
      <c r="AC30" s="45">
        <v>2.8300000000000001E-3</v>
      </c>
      <c r="AD30" s="17">
        <f t="shared" si="237"/>
        <v>44.19894</v>
      </c>
      <c r="AE30" s="26">
        <f>IF(M30&gt;0,(AG30+AP30)/M30,0)</f>
        <v>2.8701549494173392E-3</v>
      </c>
      <c r="AF30" s="45">
        <v>2.4000000000000001E-4</v>
      </c>
      <c r="AG30" s="36">
        <f t="shared" si="238"/>
        <v>3.7483200000000001</v>
      </c>
      <c r="AH30" s="27">
        <v>0.20979999999999999</v>
      </c>
      <c r="AI30" s="40">
        <f t="shared" si="239"/>
        <v>37.931840000000001</v>
      </c>
      <c r="AJ30" s="27">
        <f t="shared" si="240"/>
        <v>0.91624247877261911</v>
      </c>
      <c r="AK30" s="28">
        <f t="shared" si="6"/>
        <v>0.91734985269936331</v>
      </c>
      <c r="AL30" s="42">
        <v>200</v>
      </c>
      <c r="AM30" s="38">
        <v>9.6000000000000002E-2</v>
      </c>
      <c r="AN30" s="27">
        <v>0.22720000000000001</v>
      </c>
      <c r="AO30" s="105">
        <v>0.22070000000000001</v>
      </c>
      <c r="AP30" s="40">
        <f>AL30*(1-AM30)*AN30</f>
        <v>41.077760000000005</v>
      </c>
      <c r="AQ30" s="106">
        <f t="shared" si="21"/>
        <v>39.902560000000001</v>
      </c>
      <c r="AR30" s="17">
        <v>1.55</v>
      </c>
      <c r="AS30" s="17"/>
      <c r="AT30" s="129">
        <f>AT29+AL30-AS30</f>
        <v>344.23999999999921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2">SUM(D28:D30)</f>
        <v>39391</v>
      </c>
      <c r="E31" s="49"/>
      <c r="F31" s="49">
        <f t="shared" ref="F31" si="243">SUM(F28:F30)</f>
        <v>43797</v>
      </c>
      <c r="G31" s="50"/>
      <c r="H31" s="50"/>
      <c r="I31" s="49">
        <f t="shared" ref="I31:K31" si="244">SUM(I28:I30)</f>
        <v>42877</v>
      </c>
      <c r="J31" s="50"/>
      <c r="K31" s="49">
        <f t="shared" si="244"/>
        <v>49738</v>
      </c>
      <c r="L31" s="20">
        <f t="shared" ref="L31" si="245">IF(K31&gt;0,(K28*L28+K29*L29+K30*L30)/K31,0)</f>
        <v>6.4348224697414455E-2</v>
      </c>
      <c r="M31" s="50">
        <f t="shared" ref="M31" si="246">M28+M29+M30</f>
        <v>46537</v>
      </c>
      <c r="N31" s="51">
        <f t="shared" ref="N31" si="247">IF(M31&gt;0,O31/M31,0)</f>
        <v>0.73693951049702378</v>
      </c>
      <c r="O31" s="52">
        <f t="shared" ref="O31" si="248">O28+O29+O30</f>
        <v>34294.953999999998</v>
      </c>
      <c r="P31" s="20">
        <f t="shared" ref="P31" si="249">IF(M31&gt;0,Q31/M31,0)</f>
        <v>0.23236207748673096</v>
      </c>
      <c r="Q31" s="52">
        <f t="shared" ref="Q31" si="250">Q28+Q29+Q30</f>
        <v>10813.433999999999</v>
      </c>
      <c r="R31" s="20">
        <f t="shared" ref="R31" si="251">IF(M31&gt;0,T31/M31,0)</f>
        <v>3.0698412016245138E-2</v>
      </c>
      <c r="S31" s="107"/>
      <c r="T31" s="52">
        <f t="shared" ref="T31" si="252">T28+T29+T30</f>
        <v>1428.6120000000001</v>
      </c>
      <c r="U31" s="20">
        <f t="shared" ref="U31" si="253">IF(M31&gt;0,V31/M31,0)</f>
        <v>0.25334520918838771</v>
      </c>
      <c r="V31" s="52">
        <f t="shared" ref="V31" si="254">V28+V29+V30</f>
        <v>11789.925999999999</v>
      </c>
      <c r="W31" s="20">
        <f t="shared" ref="W31" si="255">IF(M31&gt;0,X31/M31,0)</f>
        <v>0.48160697939274122</v>
      </c>
      <c r="X31" s="52">
        <f t="shared" ref="X31" si="256">X28+X29+X30</f>
        <v>22412.543999999998</v>
      </c>
      <c r="Y31" s="20">
        <f t="shared" ref="Y31" si="257">IF(M31&gt;0,Z31/M31,0)</f>
        <v>0.423301459054086</v>
      </c>
      <c r="Z31" s="52">
        <f t="shared" ref="Z31" si="258">Z28+Z29+Z30</f>
        <v>19699.18</v>
      </c>
      <c r="AA31" s="119">
        <f t="shared" ref="AA31" si="259">IF(M31&gt;0,AB31/M31,0)</f>
        <v>2.7768640006876249E-3</v>
      </c>
      <c r="AB31" s="54">
        <f t="shared" ref="AB31" si="260">SUM(AB28:AB30)</f>
        <v>129.22692000000001</v>
      </c>
      <c r="AC31" s="53">
        <f t="shared" ref="AC31" si="261">IF(M31&gt;0,AD31/M31,0)</f>
        <v>2.9099327416894079E-3</v>
      </c>
      <c r="AD31" s="54">
        <f t="shared" ref="AD31" si="262">SUM(AD28:AD30)</f>
        <v>135.41953999999998</v>
      </c>
      <c r="AE31" s="53">
        <f t="shared" ref="AE31" si="263">IF(M31&gt;0,(AE28*M28+AE29*M29+AE30*M30)/M31,0)</f>
        <v>2.8327914992371658E-3</v>
      </c>
      <c r="AF31" s="53">
        <f t="shared" ref="AF31" si="264">IF(K31&gt;0,(K28*AF28+K29*AF29+K30*AF30)/K31,0)</f>
        <v>2.5332743576340021E-4</v>
      </c>
      <c r="AG31" s="50">
        <f t="shared" ref="AG31" si="265">SUM(AG28:AG30)</f>
        <v>11.789169999999999</v>
      </c>
      <c r="AH31" s="51">
        <f t="shared" ref="AH31" si="266">IF(K31&gt;0,(K28*AH28+K29*AH29+K30*AH30)/K31,0)</f>
        <v>0.21122587960915193</v>
      </c>
      <c r="AI31" s="56">
        <f t="shared" ref="AI31" si="267">SUM(AI28:AI30)</f>
        <v>110.23794799999999</v>
      </c>
      <c r="AJ31" s="51">
        <f t="shared" ref="AJ31" si="268">IF(AND(AD31&gt;0),((AD28*AJ28+AD29*AJ29+AD30*AJ30)/AD31),0)</f>
        <v>0.91404053616592185</v>
      </c>
      <c r="AK31" s="55">
        <f t="shared" si="6"/>
        <v>0.91157721739213327</v>
      </c>
      <c r="AL31" s="49">
        <f t="shared" ref="AL31" si="269">SUM(AL28:AL30)</f>
        <v>578</v>
      </c>
      <c r="AM31" s="20">
        <f t="shared" ref="AM31" si="270">IF(AL31&gt;0,(AM28*AL28+AM29*AL29+AM30*AL30)/AL31,0)</f>
        <v>9.6980968858131469E-2</v>
      </c>
      <c r="AN31" s="51">
        <f>IF(K31&gt;0,(AN28*K28+AN29*K29+AN30*K30)/K31,0)</f>
        <v>0.23000698862037072</v>
      </c>
      <c r="AO31" s="107">
        <f>IF(L31&gt;0,(AO28*K28+AO29*K29+AO30*K30)/K31,0)</f>
        <v>0.22320699264144114</v>
      </c>
      <c r="AP31" s="56">
        <f t="shared" ref="AP31" si="271">SUM(AP28:AP30)</f>
        <v>120.040448</v>
      </c>
      <c r="AQ31" s="108">
        <f t="shared" si="227"/>
        <v>116.49471550000001</v>
      </c>
      <c r="AR31" s="54"/>
      <c r="AS31" s="54">
        <f t="shared" ref="AS31" si="272">SUM(AS28:AS30)</f>
        <v>525.38</v>
      </c>
      <c r="AT31" s="83"/>
      <c r="AU31" s="84">
        <f>AT30</f>
        <v>344.23999999999921</v>
      </c>
      <c r="AV31" s="49">
        <f t="shared" ref="AV31" si="273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58</v>
      </c>
      <c r="D32" s="11">
        <v>14000</v>
      </c>
      <c r="E32" s="11">
        <v>0</v>
      </c>
      <c r="F32" s="11">
        <v>17513</v>
      </c>
      <c r="G32" s="12">
        <v>0.4</v>
      </c>
      <c r="H32" s="12">
        <v>5</v>
      </c>
      <c r="I32" s="11">
        <v>17126</v>
      </c>
      <c r="J32" s="12">
        <v>3.2</v>
      </c>
      <c r="K32" s="11">
        <v>16937</v>
      </c>
      <c r="L32" s="13">
        <v>6.8000000000000005E-2</v>
      </c>
      <c r="M32" s="23">
        <f>ROUND(K32*(1-L32),0)</f>
        <v>15785</v>
      </c>
      <c r="N32" s="14">
        <v>0.83499999999999996</v>
      </c>
      <c r="O32" s="24">
        <f t="shared" ref="O32:O34" si="274">M32*N32</f>
        <v>13180.474999999999</v>
      </c>
      <c r="P32" s="13">
        <v>0.152</v>
      </c>
      <c r="Q32" s="24">
        <f t="shared" ref="Q32:Q34" si="275">M32*P32</f>
        <v>2399.3200000000002</v>
      </c>
      <c r="R32" s="15">
        <v>1.2999999999999999E-2</v>
      </c>
      <c r="S32" s="112">
        <v>0.21740000000000001</v>
      </c>
      <c r="T32" s="24">
        <f t="shared" ref="T32:T34" si="276">M32*R32</f>
        <v>205.20499999999998</v>
      </c>
      <c r="U32" s="25">
        <v>0.24299999999999999</v>
      </c>
      <c r="V32" s="24">
        <f t="shared" ref="V32:V34" si="277">M32*U32</f>
        <v>3835.7550000000001</v>
      </c>
      <c r="W32" s="15">
        <v>0.45300000000000001</v>
      </c>
      <c r="X32" s="24">
        <f t="shared" ref="X32:X34" si="278">M32*W32</f>
        <v>7150.6050000000005</v>
      </c>
      <c r="Y32" s="15">
        <v>0.42</v>
      </c>
      <c r="Z32" s="24">
        <f t="shared" ref="Z32:Z34" si="279">Y32*M32</f>
        <v>6629.7</v>
      </c>
      <c r="AA32" s="116">
        <v>2.8900000000000002E-3</v>
      </c>
      <c r="AB32" s="18">
        <f t="shared" ref="AB32" si="280">M32*AA32</f>
        <v>45.618650000000002</v>
      </c>
      <c r="AC32" s="16">
        <v>2.7000000000000001E-3</v>
      </c>
      <c r="AD32" s="17">
        <f t="shared" ref="AD32:AD34" si="281">M32*AC32</f>
        <v>42.619500000000002</v>
      </c>
      <c r="AE32" s="26">
        <f>IF(M32&gt;0,(AG32+AP32)/M32,0)</f>
        <v>2.9743237250554329E-3</v>
      </c>
      <c r="AF32" s="16">
        <v>2.4000000000000001E-4</v>
      </c>
      <c r="AG32" s="23">
        <f t="shared" ref="AG32:AG34" si="282">AF32*M32</f>
        <v>3.7884000000000002</v>
      </c>
      <c r="AH32" s="92">
        <v>0.21010000000000001</v>
      </c>
      <c r="AI32" s="29">
        <f t="shared" ref="AI32:AI34" si="283">AL32*(1-AM32)*AH32</f>
        <v>39.002964000000006</v>
      </c>
      <c r="AJ32" s="27">
        <f t="shared" ref="AJ32:AJ34" si="284">IF(AND(AH32&gt;0,AF32&gt;0,AC32&gt;0),((AC32-AF32)*AH32)/((AH32-AF32)*AC32),0)</f>
        <v>0.9121530755953704</v>
      </c>
      <c r="AK32" s="58">
        <f t="shared" si="6"/>
        <v>0.92025933367702761</v>
      </c>
      <c r="AL32" s="11">
        <v>204</v>
      </c>
      <c r="AM32" s="13">
        <v>0.09</v>
      </c>
      <c r="AN32" s="14">
        <v>0.23250000000000001</v>
      </c>
      <c r="AO32" s="101">
        <v>0.2291</v>
      </c>
      <c r="AP32" s="29">
        <f>AL32*(1-AM32)*AN32</f>
        <v>43.161300000000004</v>
      </c>
      <c r="AQ32" s="102">
        <f t="shared" ref="AQ32" si="285">AL32*(1-AM32)*AO32</f>
        <v>42.530124000000001</v>
      </c>
      <c r="AR32" s="18">
        <v>1.55</v>
      </c>
      <c r="AS32" s="18"/>
      <c r="AT32" s="79">
        <f>AT30+AL32-AS32</f>
        <v>548.23999999999921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53</v>
      </c>
      <c r="D33" s="33">
        <v>19600</v>
      </c>
      <c r="E33" s="33">
        <v>4</v>
      </c>
      <c r="F33" s="33">
        <v>17681</v>
      </c>
      <c r="G33" s="34">
        <v>0.7</v>
      </c>
      <c r="H33" s="34">
        <v>7.7</v>
      </c>
      <c r="I33" s="33">
        <v>17117</v>
      </c>
      <c r="J33" s="34">
        <v>3.2</v>
      </c>
      <c r="K33" s="33">
        <v>17037</v>
      </c>
      <c r="L33" s="35">
        <v>7.4999999999999997E-2</v>
      </c>
      <c r="M33" s="36">
        <f>ROUND(K33*(1-L33),0)</f>
        <v>15759</v>
      </c>
      <c r="N33" s="37">
        <v>0.70899999999999996</v>
      </c>
      <c r="O33" s="24">
        <f t="shared" si="274"/>
        <v>11173.130999999999</v>
      </c>
      <c r="P33" s="35">
        <v>0.26300000000000001</v>
      </c>
      <c r="Q33" s="24">
        <f t="shared" si="275"/>
        <v>4144.6170000000002</v>
      </c>
      <c r="R33" s="38">
        <v>2.8000000000000001E-2</v>
      </c>
      <c r="S33" s="105">
        <v>0.1893</v>
      </c>
      <c r="T33" s="24">
        <f t="shared" si="276"/>
        <v>441.25200000000001</v>
      </c>
      <c r="U33" s="27">
        <v>0.253</v>
      </c>
      <c r="V33" s="24">
        <f t="shared" si="277"/>
        <v>3987.027</v>
      </c>
      <c r="W33" s="38">
        <v>0.44600000000000001</v>
      </c>
      <c r="X33" s="24">
        <f t="shared" si="278"/>
        <v>7028.5140000000001</v>
      </c>
      <c r="Y33" s="38">
        <v>0.43</v>
      </c>
      <c r="Z33" s="24">
        <f t="shared" si="279"/>
        <v>6776.37</v>
      </c>
      <c r="AA33" s="117">
        <v>2.7599999999999999E-3</v>
      </c>
      <c r="AB33" s="18">
        <f t="shared" si="61"/>
        <v>43.494839999999996</v>
      </c>
      <c r="AC33" s="39">
        <v>2.5799999999999998E-3</v>
      </c>
      <c r="AD33" s="17">
        <f t="shared" si="281"/>
        <v>40.65822</v>
      </c>
      <c r="AE33" s="26">
        <f>IF(M33&gt;0,(AG33+AP33)/M33,0)</f>
        <v>3.1436346214861349E-3</v>
      </c>
      <c r="AF33" s="39">
        <v>2.3000000000000001E-4</v>
      </c>
      <c r="AG33" s="36">
        <f t="shared" si="282"/>
        <v>3.6245700000000003</v>
      </c>
      <c r="AH33" s="27">
        <v>0.21290000000000001</v>
      </c>
      <c r="AI33" s="40">
        <f t="shared" si="283"/>
        <v>43.640667800000003</v>
      </c>
      <c r="AJ33" s="27">
        <f t="shared" si="284"/>
        <v>0.91183778923053993</v>
      </c>
      <c r="AK33" s="28">
        <f t="shared" si="6"/>
        <v>0.92778892143746972</v>
      </c>
      <c r="AL33" s="33">
        <v>226</v>
      </c>
      <c r="AM33" s="35">
        <v>9.2999999999999999E-2</v>
      </c>
      <c r="AN33" s="37">
        <v>0.224</v>
      </c>
      <c r="AO33" s="103">
        <v>0.2172</v>
      </c>
      <c r="AP33" s="40">
        <f>AL33*(1-AM33)*AN33</f>
        <v>45.915967999999999</v>
      </c>
      <c r="AQ33" s="104">
        <f t="shared" si="21"/>
        <v>44.522090400000003</v>
      </c>
      <c r="AR33" s="41">
        <v>1.65</v>
      </c>
      <c r="AS33" s="41"/>
      <c r="AT33" s="129">
        <f>AT32+AL33-AS33</f>
        <v>774.23999999999921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0" t="s">
        <v>54</v>
      </c>
      <c r="D34" s="42">
        <v>18666</v>
      </c>
      <c r="E34" s="42">
        <v>1</v>
      </c>
      <c r="F34" s="42">
        <v>18121</v>
      </c>
      <c r="G34" s="36">
        <v>0.5</v>
      </c>
      <c r="H34" s="36">
        <v>4.5</v>
      </c>
      <c r="I34" s="42">
        <v>17752</v>
      </c>
      <c r="J34" s="36">
        <v>2.2999999999999998</v>
      </c>
      <c r="K34" s="42">
        <v>16959</v>
      </c>
      <c r="L34" s="38">
        <v>7.3999999999999996E-2</v>
      </c>
      <c r="M34" s="36">
        <f>ROUND(K34*(1-L34),0)</f>
        <v>15704</v>
      </c>
      <c r="N34" s="27">
        <v>0.70099999999999996</v>
      </c>
      <c r="O34" s="24">
        <f t="shared" si="274"/>
        <v>11008.503999999999</v>
      </c>
      <c r="P34" s="38">
        <v>0.27800000000000002</v>
      </c>
      <c r="Q34" s="24">
        <f t="shared" si="275"/>
        <v>4365.7120000000004</v>
      </c>
      <c r="R34" s="38">
        <v>2.1000000000000001E-2</v>
      </c>
      <c r="S34" s="105">
        <v>0.1993</v>
      </c>
      <c r="T34" s="24">
        <f t="shared" si="276"/>
        <v>329.78400000000005</v>
      </c>
      <c r="U34" s="27">
        <v>0.255</v>
      </c>
      <c r="V34" s="24">
        <f t="shared" si="277"/>
        <v>4004.52</v>
      </c>
      <c r="W34" s="38">
        <v>0.48199999999999998</v>
      </c>
      <c r="X34" s="24">
        <f t="shared" si="278"/>
        <v>7569.3279999999995</v>
      </c>
      <c r="Y34" s="38">
        <v>0.44</v>
      </c>
      <c r="Z34" s="24">
        <f t="shared" si="279"/>
        <v>6909.76</v>
      </c>
      <c r="AA34" s="118">
        <v>2.7000000000000001E-3</v>
      </c>
      <c r="AB34" s="121">
        <f t="shared" si="61"/>
        <v>42.400800000000004</v>
      </c>
      <c r="AC34" s="45">
        <v>2.64E-3</v>
      </c>
      <c r="AD34" s="17">
        <f t="shared" si="281"/>
        <v>41.458559999999999</v>
      </c>
      <c r="AE34" s="26">
        <f>IF(M34&gt;0,(AG34+AP34)/M34,0)</f>
        <v>2.9430153846153845E-3</v>
      </c>
      <c r="AF34" s="45">
        <v>2.3000000000000001E-4</v>
      </c>
      <c r="AG34" s="36">
        <f t="shared" si="282"/>
        <v>3.61192</v>
      </c>
      <c r="AH34" s="27">
        <v>0.219</v>
      </c>
      <c r="AI34" s="40">
        <f t="shared" si="283"/>
        <v>38.492316000000002</v>
      </c>
      <c r="AJ34" s="27">
        <f t="shared" si="284"/>
        <v>0.91383852697104051</v>
      </c>
      <c r="AK34" s="28">
        <f t="shared" si="6"/>
        <v>0.9227243848081359</v>
      </c>
      <c r="AL34" s="42">
        <v>194</v>
      </c>
      <c r="AM34" s="38">
        <v>9.4E-2</v>
      </c>
      <c r="AN34" s="27">
        <v>0.2424</v>
      </c>
      <c r="AO34" s="105">
        <v>0.23089999999999999</v>
      </c>
      <c r="AP34" s="40">
        <f>AL34*(1-AM34)*AN34</f>
        <v>42.6051936</v>
      </c>
      <c r="AQ34" s="106">
        <f t="shared" si="21"/>
        <v>40.583907600000003</v>
      </c>
      <c r="AR34" s="17">
        <v>1.55</v>
      </c>
      <c r="AS34" s="17"/>
      <c r="AT34" s="129">
        <f>AT33+AL34-AS34</f>
        <v>968.23999999999921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6">SUM(D32:D34)</f>
        <v>52266</v>
      </c>
      <c r="E35" s="49"/>
      <c r="F35" s="49">
        <f t="shared" ref="F35" si="287">SUM(F32:F34)</f>
        <v>53315</v>
      </c>
      <c r="G35" s="50"/>
      <c r="H35" s="50"/>
      <c r="I35" s="49">
        <f t="shared" ref="I35:K35" si="288">SUM(I32:I34)</f>
        <v>51995</v>
      </c>
      <c r="J35" s="50"/>
      <c r="K35" s="49">
        <f t="shared" si="288"/>
        <v>50933</v>
      </c>
      <c r="L35" s="20">
        <f t="shared" ref="L35" si="289">IF(K35&gt;0,(K32*L32+K33*L33+K34*L34)/K35,0)</f>
        <v>7.2339288869691556E-2</v>
      </c>
      <c r="M35" s="50">
        <f t="shared" ref="M35" si="290">M32+M33+M34</f>
        <v>47248</v>
      </c>
      <c r="N35" s="51">
        <f t="shared" ref="N35" si="291">IF(M35&gt;0,O35/M35,0)</f>
        <v>0.74843612428039286</v>
      </c>
      <c r="O35" s="52">
        <f t="shared" ref="O35" si="292">O32+O33+O34</f>
        <v>35362.11</v>
      </c>
      <c r="P35" s="20">
        <f t="shared" ref="P35" si="293">IF(M35&gt;0,Q35/M35,0)</f>
        <v>0.23090181594988149</v>
      </c>
      <c r="Q35" s="52">
        <f t="shared" ref="Q35" si="294">Q32+Q33+Q34</f>
        <v>10909.649000000001</v>
      </c>
      <c r="R35" s="20">
        <f t="shared" ref="R35" si="295">IF(M35&gt;0,T35/M35,0)</f>
        <v>2.0662059769725703E-2</v>
      </c>
      <c r="S35" s="107"/>
      <c r="T35" s="52">
        <f t="shared" ref="T35" si="296">T32+T33+T34</f>
        <v>976.24099999999999</v>
      </c>
      <c r="U35" s="20">
        <f t="shared" ref="U35" si="297">IF(M35&gt;0,V35/M35,0)</f>
        <v>0.250323865560447</v>
      </c>
      <c r="V35" s="52">
        <f t="shared" ref="V35" si="298">V32+V33+V34</f>
        <v>11827.302</v>
      </c>
      <c r="W35" s="20">
        <f t="shared" ref="W35" si="299">IF(M35&gt;0,X35/M35,0)</f>
        <v>0.46030407636302068</v>
      </c>
      <c r="X35" s="52">
        <f t="shared" ref="X35" si="300">X32+X33+X34</f>
        <v>21748.447</v>
      </c>
      <c r="Y35" s="20">
        <f t="shared" ref="Y35" si="301">IF(M35&gt;0,Z35/M35,0)</f>
        <v>0.42998285641720291</v>
      </c>
      <c r="Z35" s="52">
        <f t="shared" ref="Z35" si="302">Z32+Z33+Z34</f>
        <v>20315.830000000002</v>
      </c>
      <c r="AA35" s="119">
        <f t="shared" ref="AA35" si="303">IF(M35&gt;0,AB35/M35,0)</f>
        <v>2.783489036572977E-3</v>
      </c>
      <c r="AB35" s="54">
        <f t="shared" ref="AB35" si="304">SUM(AB32:AB34)</f>
        <v>131.51429000000002</v>
      </c>
      <c r="AC35" s="53">
        <f t="shared" ref="AC35" si="305">IF(M35&gt;0,AD35/M35,0)</f>
        <v>2.6400330172705721E-3</v>
      </c>
      <c r="AD35" s="54">
        <f t="shared" ref="AD35" si="306">SUM(AD32:AD34)</f>
        <v>124.73627999999999</v>
      </c>
      <c r="AE35" s="53">
        <f t="shared" ref="AE35" si="307">IF(M35&gt;0,(AE32*M32+AE33*M33+AE34*M34)/M35,0)</f>
        <v>3.020389256688114E-3</v>
      </c>
      <c r="AF35" s="53">
        <f t="shared" ref="AF35" si="308">IF(K35&gt;0,(K32*AF32+K33*AF33+K34*AF34)/K35,0)</f>
        <v>2.3332534898788605E-4</v>
      </c>
      <c r="AG35" s="50">
        <f t="shared" ref="AG35" si="309">SUM(AG32:AG34)</f>
        <v>11.024890000000001</v>
      </c>
      <c r="AH35" s="51">
        <f t="shared" ref="AH35" si="310">IF(K35&gt;0,(K32*AH32+K33*AH33+K34*AH34)/K35,0)</f>
        <v>0.214</v>
      </c>
      <c r="AI35" s="56">
        <f t="shared" ref="AI35" si="311">SUM(AI32:AI34)</f>
        <v>121.13594780000001</v>
      </c>
      <c r="AJ35" s="51">
        <f t="shared" ref="AJ35" si="312">IF(AND(AD35&gt;0),((AD32*AJ32+AD33*AJ33+AD34*AJ34)/AD35),0)</f>
        <v>0.91261049988765353</v>
      </c>
      <c r="AK35" s="55">
        <f t="shared" si="6"/>
        <v>0.92367505856456378</v>
      </c>
      <c r="AL35" s="49">
        <f t="shared" ref="AL35" si="313">SUM(AL32:AL34)</f>
        <v>624</v>
      </c>
      <c r="AM35" s="20">
        <f t="shared" ref="AM35" si="314">IF(AL35&gt;0,(AM32*AL32+AM33*AL33+AM34*AL34)/AL35,0)</f>
        <v>9.2330128205128217E-2</v>
      </c>
      <c r="AN35" s="51">
        <f>IF(K35&gt;0,(AN32*K32+AN33*K33+AN34*K34)/K35,0)</f>
        <v>0.23295313647340626</v>
      </c>
      <c r="AO35" s="107">
        <f>IF(L35&gt;0,(AO32*K32+AO33*K33+AO34*K34)/K35,0)</f>
        <v>0.2257188109869829</v>
      </c>
      <c r="AP35" s="56">
        <f t="shared" ref="AP35" si="315">SUM(AP32:AP34)</f>
        <v>131.68246160000001</v>
      </c>
      <c r="AQ35" s="108">
        <f t="shared" si="227"/>
        <v>127.636122</v>
      </c>
      <c r="AR35" s="54"/>
      <c r="AS35" s="54">
        <f t="shared" ref="AS35" si="316">SUM(AS32:AS34)</f>
        <v>0</v>
      </c>
      <c r="AT35" s="83"/>
      <c r="AU35" s="84">
        <f>AT34</f>
        <v>968.23999999999921</v>
      </c>
      <c r="AV35" s="49">
        <f t="shared" ref="AV35" si="317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55</v>
      </c>
      <c r="D36" s="11">
        <v>10500</v>
      </c>
      <c r="E36" s="11">
        <v>0</v>
      </c>
      <c r="F36" s="11">
        <v>15941</v>
      </c>
      <c r="G36" s="12">
        <v>0.7</v>
      </c>
      <c r="H36" s="12">
        <v>5</v>
      </c>
      <c r="I36" s="11">
        <v>15884</v>
      </c>
      <c r="J36" s="12">
        <v>2.8</v>
      </c>
      <c r="K36" s="11">
        <v>16977</v>
      </c>
      <c r="L36" s="13">
        <v>8.4000000000000005E-2</v>
      </c>
      <c r="M36" s="23">
        <f>ROUND(K36*(1-L36),0)</f>
        <v>15551</v>
      </c>
      <c r="N36" s="14">
        <v>0.64500000000000002</v>
      </c>
      <c r="O36" s="24">
        <f t="shared" ref="O36:O38" si="318">M36*N36</f>
        <v>10030.395</v>
      </c>
      <c r="P36" s="13">
        <v>0.34699999999999998</v>
      </c>
      <c r="Q36" s="24">
        <f t="shared" ref="Q36:Q38" si="319">M36*P36</f>
        <v>5396.1969999999992</v>
      </c>
      <c r="R36" s="15">
        <v>8.0000000000000002E-3</v>
      </c>
      <c r="S36" s="112">
        <v>0.23</v>
      </c>
      <c r="T36" s="24">
        <f t="shared" ref="T36:T38" si="320">M36*R36</f>
        <v>124.408</v>
      </c>
      <c r="U36" s="25">
        <v>0.25700000000000001</v>
      </c>
      <c r="V36" s="24">
        <f t="shared" ref="V36:V38" si="321">M36*U36</f>
        <v>3996.607</v>
      </c>
      <c r="W36" s="15">
        <v>0.45900000000000002</v>
      </c>
      <c r="X36" s="24">
        <f t="shared" ref="X36:X38" si="322">M36*W36</f>
        <v>7137.9090000000006</v>
      </c>
      <c r="Y36" s="15">
        <v>0.43</v>
      </c>
      <c r="Z36" s="24">
        <f t="shared" ref="Z36:Z38" si="323">Y36*M36</f>
        <v>6686.93</v>
      </c>
      <c r="AA36" s="116">
        <v>2.7799999999999999E-3</v>
      </c>
      <c r="AB36" s="18">
        <f t="shared" ref="AB36" si="324">M36*AA36</f>
        <v>43.231780000000001</v>
      </c>
      <c r="AC36" s="16">
        <v>2.8E-3</v>
      </c>
      <c r="AD36" s="17">
        <f t="shared" ref="AD36:AD38" si="325">M36*AC36</f>
        <v>43.5428</v>
      </c>
      <c r="AE36" s="26">
        <f>IF(M36&gt;0,(AG36+AP36)/M36,0)</f>
        <v>3.0003999035431803E-3</v>
      </c>
      <c r="AF36" s="16">
        <v>2.2000000000000001E-4</v>
      </c>
      <c r="AG36" s="23">
        <f t="shared" ref="AG36:AG38" si="326">AF36*M36</f>
        <v>3.4212199999999999</v>
      </c>
      <c r="AH36" s="92">
        <v>0.2104</v>
      </c>
      <c r="AI36" s="29">
        <f t="shared" ref="AI36:AI38" si="327">AL36*(1-AM36)*AH36</f>
        <v>40.378495200000003</v>
      </c>
      <c r="AJ36" s="27">
        <f t="shared" ref="AJ36:AJ38" si="328">IF(AND(AH36&gt;0,AF36&gt;0,AC36&gt;0),((AC36-AF36)*AH36)/((AH36-AF36)*AC36),0)</f>
        <v>0.92239305085436962</v>
      </c>
      <c r="AK36" s="58">
        <f t="shared" si="6"/>
        <v>0.92758220236613564</v>
      </c>
      <c r="AL36" s="11">
        <v>213</v>
      </c>
      <c r="AM36" s="13">
        <v>9.9000000000000005E-2</v>
      </c>
      <c r="AN36" s="14">
        <v>0.2253</v>
      </c>
      <c r="AO36" s="101">
        <v>0.21160000000000001</v>
      </c>
      <c r="AP36" s="29">
        <f>AL36*(1-AM36)*AN36</f>
        <v>43.237998900000001</v>
      </c>
      <c r="AQ36" s="102">
        <f t="shared" ref="AQ36" si="329">AL36*(1-AM36)*AO36</f>
        <v>40.608790800000001</v>
      </c>
      <c r="AR36" s="18">
        <v>1.55</v>
      </c>
      <c r="AS36" s="18"/>
      <c r="AT36" s="79">
        <f>AT34+AL36-AS36</f>
        <v>1181.2399999999993</v>
      </c>
      <c r="AU36" s="80"/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59</v>
      </c>
      <c r="D37" s="33">
        <v>20100</v>
      </c>
      <c r="E37" s="33">
        <v>4</v>
      </c>
      <c r="F37" s="33">
        <v>16021</v>
      </c>
      <c r="G37" s="34">
        <v>0.2</v>
      </c>
      <c r="H37" s="34">
        <v>4.5999999999999996</v>
      </c>
      <c r="I37" s="33">
        <v>16117</v>
      </c>
      <c r="J37" s="34">
        <v>2.7</v>
      </c>
      <c r="K37" s="33">
        <v>16987</v>
      </c>
      <c r="L37" s="35">
        <v>6.8000000000000005E-2</v>
      </c>
      <c r="M37" s="36">
        <f>ROUND(K37*(1-L37),0)</f>
        <v>15832</v>
      </c>
      <c r="N37" s="37">
        <v>0.77300000000000002</v>
      </c>
      <c r="O37" s="24">
        <f t="shared" si="318"/>
        <v>12238.136</v>
      </c>
      <c r="P37" s="35">
        <v>0.21299999999999999</v>
      </c>
      <c r="Q37" s="24">
        <f t="shared" si="319"/>
        <v>3372.2159999999999</v>
      </c>
      <c r="R37" s="38">
        <v>1.4E-2</v>
      </c>
      <c r="S37" s="105">
        <v>0.20749999999999999</v>
      </c>
      <c r="T37" s="24">
        <f t="shared" si="320"/>
        <v>221.648</v>
      </c>
      <c r="U37" s="27">
        <v>0.248</v>
      </c>
      <c r="V37" s="24">
        <f t="shared" si="321"/>
        <v>3926.3359999999998</v>
      </c>
      <c r="W37" s="38">
        <v>0.46</v>
      </c>
      <c r="X37" s="24">
        <f t="shared" si="322"/>
        <v>7282.72</v>
      </c>
      <c r="Y37" s="38">
        <v>0.44</v>
      </c>
      <c r="Z37" s="24">
        <f t="shared" si="323"/>
        <v>6966.08</v>
      </c>
      <c r="AA37" s="117">
        <v>2.7299999999999998E-3</v>
      </c>
      <c r="AB37" s="18">
        <f t="shared" si="61"/>
        <v>43.221359999999997</v>
      </c>
      <c r="AC37" s="39">
        <v>2.6900000000000001E-3</v>
      </c>
      <c r="AD37" s="17">
        <f t="shared" si="325"/>
        <v>42.588080000000005</v>
      </c>
      <c r="AE37" s="26">
        <f>IF(M37&gt;0,(AG37+AP37)/M37,0)</f>
        <v>2.5846941763516926E-3</v>
      </c>
      <c r="AF37" s="39">
        <v>2.2000000000000001E-4</v>
      </c>
      <c r="AG37" s="36">
        <f t="shared" si="326"/>
        <v>3.4830399999999999</v>
      </c>
      <c r="AH37" s="27">
        <v>0.20780000000000001</v>
      </c>
      <c r="AI37" s="40">
        <f t="shared" si="327"/>
        <v>34.901672400000002</v>
      </c>
      <c r="AJ37" s="27">
        <f t="shared" si="328"/>
        <v>0.9191887679977192</v>
      </c>
      <c r="AK37" s="28">
        <f t="shared" si="6"/>
        <v>0.91578741988117784</v>
      </c>
      <c r="AL37" s="33">
        <v>186</v>
      </c>
      <c r="AM37" s="35">
        <v>9.7000000000000003E-2</v>
      </c>
      <c r="AN37" s="37">
        <v>0.22289999999999999</v>
      </c>
      <c r="AO37" s="103">
        <v>0.21379999999999999</v>
      </c>
      <c r="AP37" s="40">
        <f>AL37*(1-AM37)*AN37</f>
        <v>37.437838199999995</v>
      </c>
      <c r="AQ37" s="104">
        <f t="shared" si="21"/>
        <v>35.909420399999995</v>
      </c>
      <c r="AR37" s="41">
        <v>1.5</v>
      </c>
      <c r="AS37" s="41"/>
      <c r="AT37" s="129">
        <f>AT36+AL37-AS37</f>
        <v>1367.2399999999993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0" t="s">
        <v>54</v>
      </c>
      <c r="D38" s="42">
        <v>18000</v>
      </c>
      <c r="E38" s="42">
        <v>0</v>
      </c>
      <c r="F38" s="42">
        <v>18575</v>
      </c>
      <c r="G38" s="36">
        <v>0.6</v>
      </c>
      <c r="H38" s="36">
        <v>4.8</v>
      </c>
      <c r="I38" s="42">
        <v>17764</v>
      </c>
      <c r="J38" s="36">
        <v>2</v>
      </c>
      <c r="K38" s="42">
        <v>16979</v>
      </c>
      <c r="L38" s="38">
        <v>7.3999999999999996E-2</v>
      </c>
      <c r="M38" s="36">
        <f>ROUND(K38*(1-L38),0)</f>
        <v>15723</v>
      </c>
      <c r="N38" s="27">
        <v>0.64800000000000002</v>
      </c>
      <c r="O38" s="24">
        <f t="shared" si="318"/>
        <v>10188.504000000001</v>
      </c>
      <c r="P38" s="38">
        <v>0.3</v>
      </c>
      <c r="Q38" s="24">
        <f t="shared" si="319"/>
        <v>4716.8999999999996</v>
      </c>
      <c r="R38" s="38">
        <v>5.1999999999999998E-2</v>
      </c>
      <c r="S38" s="105">
        <v>0.20930000000000001</v>
      </c>
      <c r="T38" s="24">
        <f t="shared" si="320"/>
        <v>817.596</v>
      </c>
      <c r="U38" s="27">
        <v>0.252</v>
      </c>
      <c r="V38" s="24">
        <f t="shared" si="321"/>
        <v>3962.1959999999999</v>
      </c>
      <c r="W38" s="38">
        <v>0.47699999999999998</v>
      </c>
      <c r="X38" s="24">
        <f t="shared" si="322"/>
        <v>7499.8710000000001</v>
      </c>
      <c r="Y38" s="38">
        <v>0.44</v>
      </c>
      <c r="Z38" s="24">
        <f t="shared" si="323"/>
        <v>6918.12</v>
      </c>
      <c r="AA38" s="118">
        <v>2.64E-3</v>
      </c>
      <c r="AB38" s="121">
        <f t="shared" si="61"/>
        <v>41.508719999999997</v>
      </c>
      <c r="AC38" s="45">
        <v>2.7399999999999998E-3</v>
      </c>
      <c r="AD38" s="17">
        <f t="shared" si="325"/>
        <v>43.081019999999995</v>
      </c>
      <c r="AE38" s="26">
        <f>IF(M38&gt;0,(AG38+AP38)/M38,0)</f>
        <v>2.9348785219105765E-3</v>
      </c>
      <c r="AF38" s="45">
        <v>2.1000000000000001E-4</v>
      </c>
      <c r="AG38" s="36">
        <f t="shared" si="326"/>
        <v>3.3018300000000003</v>
      </c>
      <c r="AH38" s="27">
        <v>0.21640000000000001</v>
      </c>
      <c r="AI38" s="40">
        <f t="shared" si="327"/>
        <v>41.408140000000003</v>
      </c>
      <c r="AJ38" s="27">
        <f t="shared" si="328"/>
        <v>0.9242545841164993</v>
      </c>
      <c r="AK38" s="28">
        <f t="shared" si="6"/>
        <v>0.92931840803966048</v>
      </c>
      <c r="AL38" s="42">
        <v>215</v>
      </c>
      <c r="AM38" s="38">
        <v>0.11</v>
      </c>
      <c r="AN38" s="27">
        <v>0.22389999999999999</v>
      </c>
      <c r="AO38" s="105">
        <v>0.20849999999999999</v>
      </c>
      <c r="AP38" s="40">
        <f>AL38*(1-AM38)*AN38</f>
        <v>42.843264999999995</v>
      </c>
      <c r="AQ38" s="106">
        <f t="shared" si="21"/>
        <v>39.896474999999995</v>
      </c>
      <c r="AR38" s="17">
        <v>1.6</v>
      </c>
      <c r="AS38" s="17"/>
      <c r="AT38" s="129">
        <f>AT37+AL38-AS38</f>
        <v>1582.2399999999993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0">SUM(D36:D38)</f>
        <v>48600</v>
      </c>
      <c r="E39" s="49"/>
      <c r="F39" s="49">
        <f t="shared" ref="F39" si="331">SUM(F36:F38)</f>
        <v>50537</v>
      </c>
      <c r="G39" s="50"/>
      <c r="H39" s="50"/>
      <c r="I39" s="49">
        <f t="shared" ref="I39:K39" si="332">SUM(I36:I38)</f>
        <v>49765</v>
      </c>
      <c r="J39" s="50"/>
      <c r="K39" s="49">
        <f t="shared" si="332"/>
        <v>50943</v>
      </c>
      <c r="L39" s="20">
        <f t="shared" ref="L39" si="333">IF(K39&gt;0,(K36*L36+K37*L37+K38*L38)/K39,0)</f>
        <v>7.5331841469878105E-2</v>
      </c>
      <c r="M39" s="50">
        <f t="shared" ref="M39" si="334">M36+M37+M38</f>
        <v>47106</v>
      </c>
      <c r="N39" s="51">
        <f t="shared" ref="N39" si="335">IF(M39&gt;0,O39/M39,0)</f>
        <v>0.68902124994692826</v>
      </c>
      <c r="O39" s="52">
        <f t="shared" ref="O39" si="336">O36+O37+O38</f>
        <v>32457.035000000003</v>
      </c>
      <c r="P39" s="20">
        <f t="shared" ref="P39" si="337">IF(M39&gt;0,Q39/M39,0)</f>
        <v>0.28627590965057526</v>
      </c>
      <c r="Q39" s="52">
        <f t="shared" ref="Q39" si="338">Q36+Q37+Q38</f>
        <v>13485.312999999998</v>
      </c>
      <c r="R39" s="20">
        <f t="shared" ref="R39" si="339">IF(M39&gt;0,T39/M39,0)</f>
        <v>2.4702840402496498E-2</v>
      </c>
      <c r="S39" s="107"/>
      <c r="T39" s="52">
        <f t="shared" ref="T39" si="340">T36+T37+T38</f>
        <v>1163.652</v>
      </c>
      <c r="U39" s="20">
        <f t="shared" ref="U39" si="341">IF(M39&gt;0,V39/M39,0)</f>
        <v>0.25230626671761558</v>
      </c>
      <c r="V39" s="52">
        <f t="shared" ref="V39" si="342">V36+V37+V38</f>
        <v>11885.138999999999</v>
      </c>
      <c r="W39" s="20">
        <f t="shared" ref="W39" si="343">IF(M39&gt;0,X39/M39,0)</f>
        <v>0.46534411752218402</v>
      </c>
      <c r="X39" s="52">
        <f t="shared" ref="X39" si="344">X36+X37+X38</f>
        <v>21920.5</v>
      </c>
      <c r="Y39" s="20">
        <f t="shared" ref="Y39" si="345">IF(M39&gt;0,Z39/M39,0)</f>
        <v>0.43669872203116378</v>
      </c>
      <c r="Z39" s="52">
        <f t="shared" ref="Z39" si="346">Z36+Z37+Z38</f>
        <v>20571.13</v>
      </c>
      <c r="AA39" s="119">
        <f t="shared" ref="AA39" si="347">IF(M39&gt;0,AB39/M39,0)</f>
        <v>2.7164662675667642E-3</v>
      </c>
      <c r="AB39" s="54">
        <f t="shared" ref="AB39" si="348">SUM(AB36:AB38)</f>
        <v>127.96185999999999</v>
      </c>
      <c r="AC39" s="53">
        <f t="shared" ref="AC39" si="349">IF(M39&gt;0,AD39/M39,0)</f>
        <v>2.743003014477986E-3</v>
      </c>
      <c r="AD39" s="54">
        <f t="shared" ref="AD39" si="350">SUM(AD36:AD38)</f>
        <v>129.21190000000001</v>
      </c>
      <c r="AE39" s="53">
        <f t="shared" ref="AE39" si="351">IF(M39&gt;0,(AE36*M36+AE37*M37+AE38*M38)/M39,0)</f>
        <v>2.8388144206682796E-3</v>
      </c>
      <c r="AF39" s="53">
        <f t="shared" ref="AF39" si="352">IF(K39&gt;0,(K36*AF36+K37*AF37+K38*AF38)/K39,0)</f>
        <v>2.1666705926231278E-4</v>
      </c>
      <c r="AG39" s="50">
        <f t="shared" ref="AG39" si="353">SUM(AG36:AG38)</f>
        <v>10.20609</v>
      </c>
      <c r="AH39" s="51">
        <f t="shared" ref="AH39" si="354">IF(K39&gt;0,(K36*AH36+K37*AH37+K38*AH38)/K39,0)</f>
        <v>0.21153279155134169</v>
      </c>
      <c r="AI39" s="56">
        <f t="shared" ref="AI39" si="355">SUM(AI36:AI38)</f>
        <v>116.6883076</v>
      </c>
      <c r="AJ39" s="51">
        <f t="shared" ref="AJ39" si="356">IF(AND(AD39&gt;0),((AD36*AJ36+AD37*AJ37+AD38*AJ38)/AD39),0)</f>
        <v>0.92195758397442118</v>
      </c>
      <c r="AK39" s="55">
        <f t="shared" si="6"/>
        <v>0.92457109217082956</v>
      </c>
      <c r="AL39" s="49">
        <f t="shared" ref="AL39" si="357">SUM(AL36:AL38)</f>
        <v>614</v>
      </c>
      <c r="AM39" s="20">
        <f t="shared" ref="AM39" si="358">IF(AL39&gt;0,(AM36*AL36+AM37*AL37+AM38*AL38)/AL39,0)</f>
        <v>0.10224592833876223</v>
      </c>
      <c r="AN39" s="51">
        <f>IF(K39&gt;0,(AN36*K36+AN37*K37+AN38*K38)/K39,0)</f>
        <v>0.22403310562785858</v>
      </c>
      <c r="AO39" s="107">
        <f>IF(L39&gt;0,(AO36*K36+AO37*K37+AO38*K38)/K39,0)</f>
        <v>0.21130038081777672</v>
      </c>
      <c r="AP39" s="56">
        <f t="shared" ref="AP39" si="359">SUM(AP36:AP38)</f>
        <v>123.5191021</v>
      </c>
      <c r="AQ39" s="108">
        <f t="shared" si="227"/>
        <v>116.41468619999999</v>
      </c>
      <c r="AR39" s="54"/>
      <c r="AS39" s="54">
        <f t="shared" ref="AS39" si="360">SUM(AS36:AS38)</f>
        <v>0</v>
      </c>
      <c r="AT39" s="83"/>
      <c r="AU39" s="84">
        <f>AT38</f>
        <v>1582.2399999999993</v>
      </c>
      <c r="AV39" s="49">
        <f t="shared" ref="AV39" si="361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55</v>
      </c>
      <c r="D40" s="11">
        <v>3829</v>
      </c>
      <c r="E40" s="11">
        <v>1</v>
      </c>
      <c r="F40" s="11">
        <v>13791</v>
      </c>
      <c r="G40" s="12">
        <v>0.4</v>
      </c>
      <c r="H40" s="12">
        <v>5</v>
      </c>
      <c r="I40" s="11">
        <v>13695</v>
      </c>
      <c r="J40" s="12">
        <v>3</v>
      </c>
      <c r="K40" s="11">
        <v>16892</v>
      </c>
      <c r="L40" s="13">
        <v>7.5999999999999998E-2</v>
      </c>
      <c r="M40" s="23">
        <f>ROUND(K40*(1-L40),0)</f>
        <v>15608</v>
      </c>
      <c r="N40" s="14">
        <v>0.58599999999999997</v>
      </c>
      <c r="O40" s="24">
        <f t="shared" ref="O40:O42" si="362">M40*N40</f>
        <v>9146.2879999999986</v>
      </c>
      <c r="P40" s="13">
        <v>0.40100000000000002</v>
      </c>
      <c r="Q40" s="24">
        <f t="shared" ref="Q40:Q42" si="363">M40*P40</f>
        <v>6258.808</v>
      </c>
      <c r="R40" s="15">
        <v>1.2999999999999999E-2</v>
      </c>
      <c r="S40" s="112">
        <v>0.2359</v>
      </c>
      <c r="T40" s="24">
        <f t="shared" ref="T40:T42" si="364">M40*R40</f>
        <v>202.904</v>
      </c>
      <c r="U40" s="25">
        <v>0.24199999999999999</v>
      </c>
      <c r="V40" s="24">
        <f t="shared" ref="V40:V42" si="365">M40*U40</f>
        <v>3777.136</v>
      </c>
      <c r="W40" s="15">
        <v>0.495</v>
      </c>
      <c r="X40" s="24">
        <f t="shared" ref="X40:X42" si="366">M40*W40</f>
        <v>7725.96</v>
      </c>
      <c r="Y40" s="15">
        <v>0.44</v>
      </c>
      <c r="Z40" s="24">
        <f t="shared" ref="Z40:Z42" si="367">Y40*M40</f>
        <v>6867.52</v>
      </c>
      <c r="AA40" s="116">
        <v>2.7499999999999998E-3</v>
      </c>
      <c r="AB40" s="18">
        <f t="shared" ref="AB40" si="368">M40*AA40</f>
        <v>42.921999999999997</v>
      </c>
      <c r="AC40" s="16">
        <v>2.7399999999999998E-3</v>
      </c>
      <c r="AD40" s="17">
        <f t="shared" ref="AD40:AD42" si="369">M40*AC40</f>
        <v>42.765919999999994</v>
      </c>
      <c r="AE40" s="26">
        <f>IF(M40&gt;0,(AG40+AP40)/M40,0)</f>
        <v>3.0139644541260897E-3</v>
      </c>
      <c r="AF40" s="16">
        <v>2.4000000000000001E-4</v>
      </c>
      <c r="AG40" s="23">
        <f t="shared" ref="AG40:AG42" si="370">AF40*M40</f>
        <v>3.7459199999999999</v>
      </c>
      <c r="AH40" s="92">
        <v>0.21029999999999999</v>
      </c>
      <c r="AI40" s="29">
        <f t="shared" ref="AI40:AI42" si="371">AL40*(1-AM40)*AH40</f>
        <v>41.311962899999997</v>
      </c>
      <c r="AJ40" s="27">
        <f t="shared" ref="AJ40:AJ42" si="372">IF(AND(AH40&gt;0,AF40&gt;0,AC40&gt;0),((AC40-AF40)*AH40)/((AH40-AF40)*AC40),0)</f>
        <v>0.91345121414736552</v>
      </c>
      <c r="AK40" s="58">
        <f t="shared" si="6"/>
        <v>0.92137397112743702</v>
      </c>
      <c r="AL40" s="11">
        <v>219</v>
      </c>
      <c r="AM40" s="13">
        <v>0.10299999999999999</v>
      </c>
      <c r="AN40" s="14">
        <v>0.22040000000000001</v>
      </c>
      <c r="AO40" s="101">
        <v>0.20810000000000001</v>
      </c>
      <c r="AP40" s="29">
        <f>AL40*(1-AM40)*AN40</f>
        <v>43.296037200000008</v>
      </c>
      <c r="AQ40" s="102">
        <f t="shared" ref="AQ40" si="373">AL40*(1-AM40)*AO40</f>
        <v>40.879788300000001</v>
      </c>
      <c r="AR40" s="18">
        <v>1.6</v>
      </c>
      <c r="AS40" s="18">
        <v>1004</v>
      </c>
      <c r="AT40" s="79">
        <f>AT38+AL40-AS40+AU40</f>
        <v>800.55999999999938</v>
      </c>
      <c r="AU40" s="80">
        <v>3.32</v>
      </c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43" t="s">
        <v>57</v>
      </c>
      <c r="D41" s="33">
        <v>18575</v>
      </c>
      <c r="E41" s="33">
        <v>5</v>
      </c>
      <c r="F41" s="33">
        <v>15679</v>
      </c>
      <c r="G41" s="34">
        <v>0.8</v>
      </c>
      <c r="H41" s="34">
        <v>5.8</v>
      </c>
      <c r="I41" s="33">
        <v>15397</v>
      </c>
      <c r="J41" s="34">
        <v>4</v>
      </c>
      <c r="K41" s="33">
        <v>16965</v>
      </c>
      <c r="L41" s="35">
        <v>6.7000000000000004E-2</v>
      </c>
      <c r="M41" s="36">
        <f>ROUND(K41*(1-L41),0)</f>
        <v>15828</v>
      </c>
      <c r="N41" s="37">
        <v>0.58199999999999996</v>
      </c>
      <c r="O41" s="24">
        <f t="shared" si="362"/>
        <v>9211.8959999999988</v>
      </c>
      <c r="P41" s="35">
        <v>0.40200000000000002</v>
      </c>
      <c r="Q41" s="24">
        <f t="shared" si="363"/>
        <v>6362.8560000000007</v>
      </c>
      <c r="R41" s="38">
        <v>1.6E-2</v>
      </c>
      <c r="S41" s="105">
        <v>0.2046</v>
      </c>
      <c r="T41" s="24">
        <f t="shared" si="364"/>
        <v>253.24800000000002</v>
      </c>
      <c r="U41" s="27">
        <v>0.248</v>
      </c>
      <c r="V41" s="24">
        <f t="shared" si="365"/>
        <v>3925.3440000000001</v>
      </c>
      <c r="W41" s="38">
        <v>0.47699999999999998</v>
      </c>
      <c r="X41" s="24">
        <f t="shared" si="366"/>
        <v>7549.9560000000001</v>
      </c>
      <c r="Y41" s="38">
        <v>0.45</v>
      </c>
      <c r="Z41" s="24">
        <f t="shared" si="367"/>
        <v>7122.6</v>
      </c>
      <c r="AA41" s="117">
        <v>2.6800000000000001E-3</v>
      </c>
      <c r="AB41" s="18">
        <f t="shared" si="61"/>
        <v>42.419040000000003</v>
      </c>
      <c r="AC41" s="39">
        <v>2.5300000000000001E-3</v>
      </c>
      <c r="AD41" s="17">
        <f t="shared" si="369"/>
        <v>40.044840000000001</v>
      </c>
      <c r="AE41" s="26">
        <f>IF(M41&gt;0,(AG41+AP41)/M41,0)</f>
        <v>2.725914152135456E-3</v>
      </c>
      <c r="AF41" s="39">
        <v>2.5000000000000001E-4</v>
      </c>
      <c r="AG41" s="36">
        <f t="shared" si="370"/>
        <v>3.9570000000000003</v>
      </c>
      <c r="AH41" s="27">
        <v>0.21809999999999999</v>
      </c>
      <c r="AI41" s="40">
        <f t="shared" si="371"/>
        <v>38.173606799999995</v>
      </c>
      <c r="AJ41" s="27">
        <f t="shared" si="372"/>
        <v>0.90221995226435836</v>
      </c>
      <c r="AK41" s="28">
        <f t="shared" si="6"/>
        <v>0.90930294765409037</v>
      </c>
      <c r="AL41" s="33">
        <v>196</v>
      </c>
      <c r="AM41" s="35">
        <v>0.107</v>
      </c>
      <c r="AN41" s="37">
        <v>0.22389999999999999</v>
      </c>
      <c r="AO41" s="103">
        <v>0.21079999999999999</v>
      </c>
      <c r="AP41" s="40">
        <f>AL41*(1-AM41)*AN41</f>
        <v>39.188769199999996</v>
      </c>
      <c r="AQ41" s="104">
        <f t="shared" si="21"/>
        <v>36.895902399999997</v>
      </c>
      <c r="AR41" s="41">
        <v>1.55</v>
      </c>
      <c r="AS41" s="41"/>
      <c r="AT41" s="129">
        <f>AT40+AL41-AS41</f>
        <v>996.55999999999938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54</v>
      </c>
      <c r="D42" s="42">
        <v>21300</v>
      </c>
      <c r="E42" s="42">
        <v>0</v>
      </c>
      <c r="F42" s="42">
        <v>14454</v>
      </c>
      <c r="G42" s="36">
        <v>0.3</v>
      </c>
      <c r="H42" s="36">
        <v>5.2</v>
      </c>
      <c r="I42" s="42">
        <v>14414</v>
      </c>
      <c r="J42" s="36">
        <v>2.5</v>
      </c>
      <c r="K42" s="42">
        <v>11458</v>
      </c>
      <c r="L42" s="38">
        <v>7.1999999999999995E-2</v>
      </c>
      <c r="M42" s="36">
        <f>ROUND(K42*(1-L42),0)</f>
        <v>10633</v>
      </c>
      <c r="N42" s="27">
        <v>0.53900000000000003</v>
      </c>
      <c r="O42" s="24">
        <f t="shared" si="362"/>
        <v>5731.1870000000008</v>
      </c>
      <c r="P42" s="38">
        <v>0.41099999999999998</v>
      </c>
      <c r="Q42" s="24">
        <f t="shared" si="363"/>
        <v>4370.1629999999996</v>
      </c>
      <c r="R42" s="38">
        <v>0.05</v>
      </c>
      <c r="S42" s="105">
        <v>0.1895</v>
      </c>
      <c r="T42" s="24">
        <f t="shared" si="364"/>
        <v>531.65</v>
      </c>
      <c r="U42" s="27">
        <v>0.24</v>
      </c>
      <c r="V42" s="24">
        <f t="shared" si="365"/>
        <v>2551.92</v>
      </c>
      <c r="W42" s="38">
        <v>0.47199999999999998</v>
      </c>
      <c r="X42" s="24">
        <f t="shared" si="366"/>
        <v>5018.7759999999998</v>
      </c>
      <c r="Y42" s="38">
        <v>0.5</v>
      </c>
      <c r="Z42" s="24">
        <f t="shared" si="367"/>
        <v>5316.5</v>
      </c>
      <c r="AA42" s="118">
        <v>2.5600000000000002E-3</v>
      </c>
      <c r="AB42" s="121">
        <f t="shared" si="61"/>
        <v>27.220480000000002</v>
      </c>
      <c r="AC42" s="45">
        <v>2.49E-3</v>
      </c>
      <c r="AD42" s="17">
        <f t="shared" si="369"/>
        <v>26.47617</v>
      </c>
      <c r="AE42" s="26">
        <f>IF(M42&gt;0,(AG42+AP42)/M42,0)</f>
        <v>3.3529753785385124E-3</v>
      </c>
      <c r="AF42" s="45">
        <v>2.4000000000000001E-4</v>
      </c>
      <c r="AG42" s="36">
        <f t="shared" si="370"/>
        <v>2.55192</v>
      </c>
      <c r="AH42" s="27">
        <v>0.20610000000000001</v>
      </c>
      <c r="AI42" s="40">
        <f t="shared" si="371"/>
        <v>29.3544108</v>
      </c>
      <c r="AJ42" s="27">
        <f t="shared" si="372"/>
        <v>0.90466792849041144</v>
      </c>
      <c r="AK42" s="28">
        <f t="shared" si="6"/>
        <v>0.92938155718715876</v>
      </c>
      <c r="AL42" s="42">
        <v>156</v>
      </c>
      <c r="AM42" s="38">
        <v>8.6999999999999994E-2</v>
      </c>
      <c r="AN42" s="27">
        <v>0.2324</v>
      </c>
      <c r="AO42" s="105">
        <v>0.22459999999999999</v>
      </c>
      <c r="AP42" s="40">
        <f>AL42*(1-AM42)*AN42</f>
        <v>33.100267199999998</v>
      </c>
      <c r="AQ42" s="106">
        <f t="shared" si="21"/>
        <v>31.989328799999999</v>
      </c>
      <c r="AR42" s="17">
        <v>1.5</v>
      </c>
      <c r="AS42" s="17"/>
      <c r="AT42" s="129">
        <f>AT41+AL42-AS42</f>
        <v>1152.5599999999995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4">SUM(D40:D42)</f>
        <v>43704</v>
      </c>
      <c r="E43" s="49"/>
      <c r="F43" s="49">
        <f t="shared" ref="F43" si="375">SUM(F40:F42)</f>
        <v>43924</v>
      </c>
      <c r="G43" s="50"/>
      <c r="H43" s="50"/>
      <c r="I43" s="49">
        <f t="shared" ref="I43:K43" si="376">SUM(I40:I42)</f>
        <v>43506</v>
      </c>
      <c r="J43" s="50"/>
      <c r="K43" s="49">
        <f t="shared" si="376"/>
        <v>45315</v>
      </c>
      <c r="L43" s="20">
        <f t="shared" ref="L43" si="377">IF(K43&gt;0,(K40*L40+K41*L41+K42*L42)/K43,0)</f>
        <v>7.1619176873000109E-2</v>
      </c>
      <c r="M43" s="50">
        <f t="shared" ref="M43" si="378">M40+M41+M42</f>
        <v>42069</v>
      </c>
      <c r="N43" s="51">
        <f t="shared" ref="N43" si="379">IF(M43&gt;0,O43/M43,0)</f>
        <v>0.57261572654448645</v>
      </c>
      <c r="O43" s="52">
        <f t="shared" ref="O43" si="380">O40+O41+O42</f>
        <v>24089.370999999999</v>
      </c>
      <c r="P43" s="20">
        <f t="shared" ref="P43" si="381">IF(M43&gt;0,Q43/M43,0)</f>
        <v>0.40390375335757922</v>
      </c>
      <c r="Q43" s="52">
        <f t="shared" ref="Q43" si="382">Q40+Q41+Q42</f>
        <v>16991.827000000001</v>
      </c>
      <c r="R43" s="20">
        <f t="shared" ref="R43" si="383">IF(M43&gt;0,T43/M43,0)</f>
        <v>2.3480520097934346E-2</v>
      </c>
      <c r="S43" s="107"/>
      <c r="T43" s="52">
        <f t="shared" ref="T43" si="384">T40+T41+T42</f>
        <v>987.80200000000002</v>
      </c>
      <c r="U43" s="20">
        <f t="shared" ref="U43" si="385">IF(M43&gt;0,V43/M43,0)</f>
        <v>0.24375193135087594</v>
      </c>
      <c r="V43" s="52">
        <f t="shared" ref="V43" si="386">V40+V41+V42</f>
        <v>10254.4</v>
      </c>
      <c r="W43" s="20">
        <f t="shared" ref="W43" si="387">IF(M43&gt;0,X43/M43,0)</f>
        <v>0.48241441441441446</v>
      </c>
      <c r="X43" s="52">
        <f t="shared" ref="X43" si="388">X40+X41+X42</f>
        <v>20294.692000000003</v>
      </c>
      <c r="Y43" s="20">
        <f t="shared" ref="Y43" si="389">IF(M43&gt;0,Z43/M43,0)</f>
        <v>0.45892747628895392</v>
      </c>
      <c r="Z43" s="52">
        <f t="shared" ref="Z43" si="390">Z40+Z41+Z42</f>
        <v>19306.620000000003</v>
      </c>
      <c r="AA43" s="119">
        <f t="shared" ref="AA43" si="391">IF(M43&gt;0,AB43/M43,0)</f>
        <v>2.6756404953766433E-3</v>
      </c>
      <c r="AB43" s="54">
        <f t="shared" ref="AB43" si="392">SUM(AB40:AB42)</f>
        <v>112.56152</v>
      </c>
      <c r="AC43" s="53">
        <f t="shared" ref="AC43" si="393">IF(M43&gt;0,AD43/M43,0)</f>
        <v>2.5978019444246351E-3</v>
      </c>
      <c r="AD43" s="54">
        <f t="shared" ref="AD43" si="394">SUM(AD40:AD42)</f>
        <v>109.28692999999998</v>
      </c>
      <c r="AE43" s="53">
        <f t="shared" ref="AE43" si="395">IF(M43&gt;0,(AE40*M40+AE41*M41+AE42*M42)/M43,0)</f>
        <v>2.9912741828900143E-3</v>
      </c>
      <c r="AF43" s="53">
        <f t="shared" ref="AF43" si="396">IF(K43&gt;0,(K40*AF40+K41*AF41+K42*AF42)/K43,0)</f>
        <v>2.4374379344587884E-4</v>
      </c>
      <c r="AG43" s="50">
        <f t="shared" ref="AG43" si="397">SUM(AG40:AG42)</f>
        <v>10.254840000000002</v>
      </c>
      <c r="AH43" s="51">
        <f t="shared" ref="AH43" si="398">IF(K43&gt;0,(K40*AH40+K41*AH41+K42*AH42)/K43,0)</f>
        <v>0.2121581794107911</v>
      </c>
      <c r="AI43" s="56">
        <f t="shared" ref="AI43" si="399">SUM(AI40:AI42)</f>
        <v>108.83998049999998</v>
      </c>
      <c r="AJ43" s="51">
        <f t="shared" ref="AJ43" si="400">IF(AND(AD43&gt;0),((AD40*AJ40+AD41*AJ41+AD42*AJ42)/AD43),0)</f>
        <v>0.90720799870234214</v>
      </c>
      <c r="AK43" s="55">
        <f t="shared" si="6"/>
        <v>0.91951230644590609</v>
      </c>
      <c r="AL43" s="49">
        <f t="shared" ref="AL43" si="401">SUM(AL40:AL42)</f>
        <v>571</v>
      </c>
      <c r="AM43" s="20">
        <f t="shared" ref="AM43" si="402">IF(AL43&gt;0,(AM40*AL40+AM41*AL41+AM42*AL42)/AL43,0)</f>
        <v>0.10000175131348511</v>
      </c>
      <c r="AN43" s="51">
        <f>IF(K43&gt;0,(AN40*K40+AN41*K41+AN42*K42)/K43,0)</f>
        <v>0.22474455478318439</v>
      </c>
      <c r="AO43" s="107">
        <f>IF(L43&gt;0,(AO40*K40+AO41*K41+AO42*K42)/K43,0)</f>
        <v>0.21328288646143662</v>
      </c>
      <c r="AP43" s="56">
        <f t="shared" ref="AP43:AQ55" si="403">SUM(AP40:AP42)</f>
        <v>115.58507359999999</v>
      </c>
      <c r="AQ43" s="108">
        <f t="shared" si="403"/>
        <v>109.76501949999999</v>
      </c>
      <c r="AR43" s="54"/>
      <c r="AS43" s="54">
        <f t="shared" ref="AS43" si="404">SUM(AS40:AS42)</f>
        <v>1004</v>
      </c>
      <c r="AT43" s="83"/>
      <c r="AU43" s="84">
        <f>AT42</f>
        <v>1152.5599999999995</v>
      </c>
      <c r="AV43" s="49">
        <f t="shared" ref="AV43" si="405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55</v>
      </c>
      <c r="D44" s="11">
        <v>2500</v>
      </c>
      <c r="E44" s="11">
        <v>0</v>
      </c>
      <c r="F44" s="11">
        <v>7407</v>
      </c>
      <c r="G44" s="12">
        <v>0.4</v>
      </c>
      <c r="H44" s="12">
        <v>4.7</v>
      </c>
      <c r="I44" s="11">
        <v>6955</v>
      </c>
      <c r="J44" s="12">
        <v>1.5</v>
      </c>
      <c r="K44" s="11">
        <v>6520</v>
      </c>
      <c r="L44" s="13">
        <v>7.1999999999999995E-2</v>
      </c>
      <c r="M44" s="23">
        <f>ROUND(K44*(1-L44),0)</f>
        <v>6051</v>
      </c>
      <c r="N44" s="14">
        <v>0.73</v>
      </c>
      <c r="O44" s="24">
        <f t="shared" ref="O44:O46" si="406">M44*N44</f>
        <v>4417.2299999999996</v>
      </c>
      <c r="P44" s="13">
        <v>0.26100000000000001</v>
      </c>
      <c r="Q44" s="24">
        <f t="shared" ref="Q44:Q46" si="407">M44*P44</f>
        <v>1579.3110000000001</v>
      </c>
      <c r="R44" s="15">
        <v>8.9999999999999993E-3</v>
      </c>
      <c r="S44" s="112">
        <v>0.19850000000000001</v>
      </c>
      <c r="T44" s="24">
        <f t="shared" ref="T44:T46" si="408">M44*R44</f>
        <v>54.458999999999996</v>
      </c>
      <c r="U44" s="25">
        <v>0.20899999999999999</v>
      </c>
      <c r="V44" s="24">
        <f t="shared" ref="V44:V46" si="409">M44*U44</f>
        <v>1264.6589999999999</v>
      </c>
      <c r="W44" s="15">
        <v>0.52300000000000002</v>
      </c>
      <c r="X44" s="24">
        <f t="shared" ref="X44:X46" si="410">M44*W44</f>
        <v>3164.6730000000002</v>
      </c>
      <c r="Y44" s="15">
        <v>0.5</v>
      </c>
      <c r="Z44" s="24">
        <f t="shared" ref="Z44:Z46" si="411">Y44*M44</f>
        <v>3025.5</v>
      </c>
      <c r="AA44" s="116">
        <v>2.66E-3</v>
      </c>
      <c r="AB44" s="18">
        <f t="shared" ref="AB44" si="412">M44*AA44</f>
        <v>16.095659999999999</v>
      </c>
      <c r="AC44" s="16">
        <v>2.6099999999999999E-3</v>
      </c>
      <c r="AD44" s="17">
        <f t="shared" ref="AD44:AD46" si="413">M44*AC44</f>
        <v>15.793109999999999</v>
      </c>
      <c r="AE44" s="26">
        <f>IF(M44&gt;0,(AG44+AP44)/M44,0)</f>
        <v>3.2147876384068749E-3</v>
      </c>
      <c r="AF44" s="16">
        <v>2.7999999999999998E-4</v>
      </c>
      <c r="AG44" s="23">
        <f t="shared" ref="AG44:AG46" si="414">AF44*M44</f>
        <v>1.6942799999999998</v>
      </c>
      <c r="AH44" s="92">
        <v>0.2064</v>
      </c>
      <c r="AI44" s="29">
        <f t="shared" ref="AI44:AI46" si="415">AL44*(1-AM44)*AH44</f>
        <v>18.1632</v>
      </c>
      <c r="AJ44" s="27">
        <f t="shared" ref="AJ44:AJ46" si="416">IF(AND(AH44&gt;0,AF44&gt;0,AC44&gt;0),((AC44-AF44)*AH44)/((AH44-AF44)*AC44),0)</f>
        <v>0.89393300632819639</v>
      </c>
      <c r="AK44" s="58">
        <f t="shared" si="6"/>
        <v>0.91417091299542597</v>
      </c>
      <c r="AL44" s="11">
        <v>100</v>
      </c>
      <c r="AM44" s="13">
        <v>0.12</v>
      </c>
      <c r="AN44" s="14">
        <v>0.20180000000000001</v>
      </c>
      <c r="AO44" s="101">
        <v>0.17879999999999999</v>
      </c>
      <c r="AP44" s="29">
        <f>AL44*(1-AM44)*AN44</f>
        <v>17.758400000000002</v>
      </c>
      <c r="AQ44" s="102">
        <f t="shared" ref="AQ44" si="417">AL44*(1-AM44)*AO44</f>
        <v>15.734399999999999</v>
      </c>
      <c r="AR44" s="18">
        <v>1.45</v>
      </c>
      <c r="AS44" s="18">
        <v>1002.72</v>
      </c>
      <c r="AT44" s="79">
        <f>AT42+AL44-AS44+AU44</f>
        <v>253.18999999999946</v>
      </c>
      <c r="AU44" s="80">
        <v>3.35</v>
      </c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43" t="s">
        <v>57</v>
      </c>
      <c r="D45" s="33">
        <v>15549</v>
      </c>
      <c r="E45" s="33">
        <v>1</v>
      </c>
      <c r="F45" s="33">
        <v>13882</v>
      </c>
      <c r="G45" s="34">
        <v>1.1000000000000001</v>
      </c>
      <c r="H45" s="34">
        <v>5.0999999999999996</v>
      </c>
      <c r="I45" s="33">
        <v>13470</v>
      </c>
      <c r="J45" s="34">
        <v>2.1</v>
      </c>
      <c r="K45" s="33">
        <v>13169</v>
      </c>
      <c r="L45" s="35">
        <v>7.2999999999999995E-2</v>
      </c>
      <c r="M45" s="36">
        <f>ROUND(K45*(1-L45),0)</f>
        <v>12208</v>
      </c>
      <c r="N45" s="37">
        <v>0.68</v>
      </c>
      <c r="O45" s="24">
        <f t="shared" si="406"/>
        <v>8301.44</v>
      </c>
      <c r="P45" s="35">
        <v>0.26900000000000002</v>
      </c>
      <c r="Q45" s="24">
        <f t="shared" si="407"/>
        <v>3283.9520000000002</v>
      </c>
      <c r="R45" s="38">
        <v>5.0999999999999997E-2</v>
      </c>
      <c r="S45" s="105">
        <v>0.19409999999999999</v>
      </c>
      <c r="T45" s="24">
        <f t="shared" si="408"/>
        <v>622.60799999999995</v>
      </c>
      <c r="U45" s="27">
        <v>0.23799999999999999</v>
      </c>
      <c r="V45" s="24">
        <f t="shared" si="409"/>
        <v>2905.5039999999999</v>
      </c>
      <c r="W45" s="38">
        <v>0.49</v>
      </c>
      <c r="X45" s="24">
        <f t="shared" si="410"/>
        <v>5981.92</v>
      </c>
      <c r="Y45" s="38">
        <v>0.45</v>
      </c>
      <c r="Z45" s="24">
        <f t="shared" si="411"/>
        <v>5493.6</v>
      </c>
      <c r="AA45" s="117">
        <v>2.6700000000000001E-3</v>
      </c>
      <c r="AB45" s="18">
        <f t="shared" si="61"/>
        <v>32.595359999999999</v>
      </c>
      <c r="AC45" s="39">
        <v>2.5799999999999998E-3</v>
      </c>
      <c r="AD45" s="17">
        <f t="shared" si="413"/>
        <v>31.496639999999999</v>
      </c>
      <c r="AE45" s="26">
        <f>IF(M45&gt;0,(AG45+AP45)/M45,0)</f>
        <v>2.3609570117955436E-3</v>
      </c>
      <c r="AF45" s="39">
        <v>2.2000000000000001E-4</v>
      </c>
      <c r="AG45" s="36">
        <f t="shared" si="414"/>
        <v>2.6857600000000001</v>
      </c>
      <c r="AH45" s="27">
        <v>0.21360000000000001</v>
      </c>
      <c r="AI45" s="40">
        <f t="shared" si="415"/>
        <v>27.474513600000002</v>
      </c>
      <c r="AJ45" s="27">
        <f t="shared" si="416"/>
        <v>0.91567178981923281</v>
      </c>
      <c r="AK45" s="28">
        <f t="shared" si="6"/>
        <v>0.90780030245545695</v>
      </c>
      <c r="AL45" s="33">
        <v>146</v>
      </c>
      <c r="AM45" s="35">
        <v>0.11899999999999999</v>
      </c>
      <c r="AN45" s="37">
        <v>0.20319999999999999</v>
      </c>
      <c r="AO45" s="103">
        <v>0.17580000000000001</v>
      </c>
      <c r="AP45" s="40">
        <f>AL45*(1-AM45)*AN45</f>
        <v>26.136803199999999</v>
      </c>
      <c r="AQ45" s="104">
        <f t="shared" si="21"/>
        <v>22.612450800000001</v>
      </c>
      <c r="AR45" s="41">
        <v>1.5</v>
      </c>
      <c r="AS45" s="41"/>
      <c r="AT45" s="129">
        <f>AT44+AL45-AS45</f>
        <v>399.18999999999949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58</v>
      </c>
      <c r="D46" s="42">
        <v>16200</v>
      </c>
      <c r="E46" s="42">
        <v>0</v>
      </c>
      <c r="F46" s="42">
        <v>15836</v>
      </c>
      <c r="G46" s="36">
        <v>0.7</v>
      </c>
      <c r="H46" s="36">
        <v>4.2</v>
      </c>
      <c r="I46" s="42">
        <v>15355</v>
      </c>
      <c r="J46" s="36">
        <v>2.4</v>
      </c>
      <c r="K46" s="42">
        <v>17009</v>
      </c>
      <c r="L46" s="38">
        <v>6.4000000000000001E-2</v>
      </c>
      <c r="M46" s="36">
        <f>ROUND(K46*(1-L46),0)</f>
        <v>15920</v>
      </c>
      <c r="N46" s="27">
        <v>0.65400000000000003</v>
      </c>
      <c r="O46" s="24">
        <f t="shared" si="406"/>
        <v>10411.68</v>
      </c>
      <c r="P46" s="38">
        <v>0.309</v>
      </c>
      <c r="Q46" s="24">
        <f t="shared" si="407"/>
        <v>4919.28</v>
      </c>
      <c r="R46" s="38">
        <v>3.6999999999999998E-2</v>
      </c>
      <c r="S46" s="105">
        <v>0.1976</v>
      </c>
      <c r="T46" s="24">
        <f t="shared" si="408"/>
        <v>589.04</v>
      </c>
      <c r="U46" s="27">
        <v>0.254</v>
      </c>
      <c r="V46" s="24">
        <f t="shared" si="409"/>
        <v>4043.68</v>
      </c>
      <c r="W46" s="38">
        <v>0.47199999999999998</v>
      </c>
      <c r="X46" s="24">
        <f t="shared" si="410"/>
        <v>7514.24</v>
      </c>
      <c r="Y46" s="38">
        <v>0.45</v>
      </c>
      <c r="Z46" s="24">
        <f t="shared" si="411"/>
        <v>7164</v>
      </c>
      <c r="AA46" s="118">
        <v>2.7100000000000002E-3</v>
      </c>
      <c r="AB46" s="121">
        <f t="shared" si="61"/>
        <v>43.1432</v>
      </c>
      <c r="AC46" s="45">
        <v>2.63E-3</v>
      </c>
      <c r="AD46" s="17">
        <f t="shared" si="413"/>
        <v>41.869599999999998</v>
      </c>
      <c r="AE46" s="26">
        <f>IF(M46&gt;0,(AG46+AP46)/M46,0)</f>
        <v>2.8105760050251257E-3</v>
      </c>
      <c r="AF46" s="45">
        <v>2.9999999999999997E-4</v>
      </c>
      <c r="AG46" s="36">
        <f t="shared" si="414"/>
        <v>4.7759999999999998</v>
      </c>
      <c r="AH46" s="27">
        <v>0.21579999999999999</v>
      </c>
      <c r="AI46" s="40">
        <f t="shared" si="415"/>
        <v>37.484460000000006</v>
      </c>
      <c r="AJ46" s="27">
        <f t="shared" si="416"/>
        <v>0.88716487433063085</v>
      </c>
      <c r="AK46" s="28">
        <f t="shared" si="6"/>
        <v>0.89442645027118783</v>
      </c>
      <c r="AL46" s="42">
        <v>193</v>
      </c>
      <c r="AM46" s="38">
        <v>0.1</v>
      </c>
      <c r="AN46" s="27">
        <v>0.2301</v>
      </c>
      <c r="AO46" s="105">
        <v>0.2127</v>
      </c>
      <c r="AP46" s="40">
        <f>AL46*(1-AM46)*AN46</f>
        <v>39.968370000000007</v>
      </c>
      <c r="AQ46" s="106">
        <f t="shared" si="21"/>
        <v>36.945990000000002</v>
      </c>
      <c r="AR46" s="17">
        <v>1.55</v>
      </c>
      <c r="AS46" s="17"/>
      <c r="AT46" s="129">
        <f>AT45+AL46-AS46</f>
        <v>592.18999999999949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8">SUM(D44:D46)</f>
        <v>34249</v>
      </c>
      <c r="E47" s="49"/>
      <c r="F47" s="49">
        <f t="shared" ref="F47" si="419">SUM(F44:F46)</f>
        <v>37125</v>
      </c>
      <c r="G47" s="50"/>
      <c r="H47" s="50"/>
      <c r="I47" s="49">
        <f t="shared" ref="I47:K47" si="420">SUM(I44:I46)</f>
        <v>35780</v>
      </c>
      <c r="J47" s="50"/>
      <c r="K47" s="49">
        <f t="shared" si="420"/>
        <v>36698</v>
      </c>
      <c r="L47" s="20">
        <f t="shared" ref="L47" si="421">IF(K47&gt;0,(K44*L44+K45*L45+K46*L46)/K47,0)</f>
        <v>6.8650961905280944E-2</v>
      </c>
      <c r="M47" s="50">
        <f t="shared" ref="M47" si="422">M44+M45+M46</f>
        <v>34179</v>
      </c>
      <c r="N47" s="51">
        <f t="shared" ref="N47" si="423">IF(M47&gt;0,O47/M47,0)</f>
        <v>0.67674156645893668</v>
      </c>
      <c r="O47" s="52">
        <f t="shared" ref="O47" si="424">O44+O45+O46</f>
        <v>23130.35</v>
      </c>
      <c r="P47" s="20">
        <f t="shared" ref="P47" si="425">IF(M47&gt;0,Q47/M47,0)</f>
        <v>0.28621501506773167</v>
      </c>
      <c r="Q47" s="52">
        <f t="shared" ref="Q47" si="426">Q44+Q45+Q46</f>
        <v>9782.5430000000015</v>
      </c>
      <c r="R47" s="20">
        <f t="shared" ref="R47" si="427">IF(M47&gt;0,T47/M47,0)</f>
        <v>3.7043418473331577E-2</v>
      </c>
      <c r="S47" s="107"/>
      <c r="T47" s="52">
        <f t="shared" ref="T47" si="428">T44+T45+T46</f>
        <v>1266.107</v>
      </c>
      <c r="U47" s="20">
        <f t="shared" ref="U47" si="429">IF(M47&gt;0,V47/M47,0)</f>
        <v>0.240318411890342</v>
      </c>
      <c r="V47" s="52">
        <f t="shared" ref="V47" si="430">V44+V45+V46</f>
        <v>8213.8429999999989</v>
      </c>
      <c r="W47" s="20">
        <f t="shared" ref="W47" si="431">IF(M47&gt;0,X47/M47,0)</f>
        <v>0.48745817607302727</v>
      </c>
      <c r="X47" s="52">
        <f t="shared" ref="X47" si="432">X44+X45+X46</f>
        <v>16660.832999999999</v>
      </c>
      <c r="Y47" s="20">
        <f t="shared" ref="Y47" si="433">IF(M47&gt;0,Z47/M47,0)</f>
        <v>0.45885192662160978</v>
      </c>
      <c r="Z47" s="52">
        <f t="shared" ref="Z47" si="434">Z44+Z45+Z46</f>
        <v>15683.1</v>
      </c>
      <c r="AA47" s="119">
        <f t="shared" ref="AA47" si="435">IF(M47&gt;0,AB47/M47,0)</f>
        <v>2.6868609380028669E-3</v>
      </c>
      <c r="AB47" s="54">
        <f t="shared" ref="AB47" si="436">SUM(AB44:AB46)</f>
        <v>91.834219999999988</v>
      </c>
      <c r="AC47" s="53">
        <f t="shared" ref="AC47" si="437">IF(M47&gt;0,AD47/M47,0)</f>
        <v>2.6086003101319522E-3</v>
      </c>
      <c r="AD47" s="54">
        <f t="shared" ref="AD47" si="438">SUM(AD44:AD46)</f>
        <v>89.159349999999989</v>
      </c>
      <c r="AE47" s="53">
        <f t="shared" ref="AE47" si="439">IF(M47&gt;0,(AE44*M44+AE45*M45+AE46*M46)/M47,0)</f>
        <v>2.7215428537991169E-3</v>
      </c>
      <c r="AF47" s="53">
        <f t="shared" ref="AF47" si="440">IF(K47&gt;0,(K44*AF44+K45*AF45+K46*AF46)/K47,0)</f>
        <v>2.6773884135375224E-4</v>
      </c>
      <c r="AG47" s="50">
        <f t="shared" ref="AG47" si="441">SUM(AG44:AG46)</f>
        <v>9.1560400000000008</v>
      </c>
      <c r="AH47" s="51">
        <f t="shared" ref="AH47" si="442">IF(K47&gt;0,(K44*AH44+K45*AH45+K46*AH46)/K47,0)</f>
        <v>0.21334047087034716</v>
      </c>
      <c r="AI47" s="56">
        <f t="shared" ref="AI47" si="443">SUM(AI44:AI46)</f>
        <v>83.122173599999996</v>
      </c>
      <c r="AJ47" s="51">
        <f t="shared" ref="AJ47" si="444">IF(AND(AD47&gt;0),((AD44*AJ44+AD45*AJ45+AD46*AJ46)/AD47),0)</f>
        <v>0.89843415688806316</v>
      </c>
      <c r="AK47" s="55">
        <f t="shared" si="6"/>
        <v>0.90274440281166679</v>
      </c>
      <c r="AL47" s="49">
        <f t="shared" ref="AL47" si="445">SUM(AL44:AL46)</f>
        <v>439</v>
      </c>
      <c r="AM47" s="20">
        <f t="shared" ref="AM47" si="446">IF(AL47&gt;0,(AM44*AL44+AM45*AL45+AM46*AL46)/AL47,0)</f>
        <v>0.11087471526195899</v>
      </c>
      <c r="AN47" s="51">
        <f>IF(K47&gt;0,(AN44*K44+AN45*K45+AN46*K46)/K47,0)</f>
        <v>0.21541903373480845</v>
      </c>
      <c r="AO47" s="107">
        <f>IF(L47&gt;0,(AO44*K44+AO45*K45+AO46*K46)/K47,0)</f>
        <v>0.19343562319472452</v>
      </c>
      <c r="AP47" s="56">
        <f t="shared" ref="AP47" si="447">SUM(AP44:AP46)</f>
        <v>83.863573200000005</v>
      </c>
      <c r="AQ47" s="108">
        <f t="shared" si="403"/>
        <v>75.292840799999993</v>
      </c>
      <c r="AR47" s="54"/>
      <c r="AS47" s="54">
        <f t="shared" ref="AS47" si="448">SUM(AS44:AS46)</f>
        <v>1002.72</v>
      </c>
      <c r="AT47" s="83"/>
      <c r="AU47" s="84">
        <f>AT46</f>
        <v>592.18999999999949</v>
      </c>
      <c r="AV47" s="49">
        <f t="shared" ref="AV47" si="449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59</v>
      </c>
      <c r="D48" s="11">
        <v>3400</v>
      </c>
      <c r="E48" s="11">
        <v>0</v>
      </c>
      <c r="F48" s="11">
        <v>11528</v>
      </c>
      <c r="G48" s="12">
        <v>0.1</v>
      </c>
      <c r="H48" s="12">
        <v>5.8</v>
      </c>
      <c r="I48" s="11">
        <v>11824</v>
      </c>
      <c r="J48" s="12">
        <v>4.7</v>
      </c>
      <c r="K48" s="11">
        <v>16664</v>
      </c>
      <c r="L48" s="13">
        <v>6.6000000000000003E-2</v>
      </c>
      <c r="M48" s="23">
        <f>ROUND(K48*(1-L48),0)</f>
        <v>15564</v>
      </c>
      <c r="N48" s="14">
        <v>0.76300000000000001</v>
      </c>
      <c r="O48" s="24">
        <f t="shared" ref="O48:O50" si="450">M48*N48</f>
        <v>11875.332</v>
      </c>
      <c r="P48" s="13">
        <v>0.224</v>
      </c>
      <c r="Q48" s="24">
        <f t="shared" ref="Q48:Q50" si="451">M48*P48</f>
        <v>3486.3360000000002</v>
      </c>
      <c r="R48" s="15">
        <v>1.2999999999999999E-2</v>
      </c>
      <c r="S48" s="112">
        <v>0.19600000000000001</v>
      </c>
      <c r="T48" s="24">
        <f t="shared" ref="T48:T50" si="452">M48*R48</f>
        <v>202.33199999999999</v>
      </c>
      <c r="U48" s="25">
        <v>0.254</v>
      </c>
      <c r="V48" s="24">
        <f t="shared" ref="V48:V50" si="453">M48*U48</f>
        <v>3953.2559999999999</v>
      </c>
      <c r="W48" s="15">
        <v>0.47899999999999998</v>
      </c>
      <c r="X48" s="24">
        <f t="shared" ref="X48:X50" si="454">M48*W48</f>
        <v>7455.1559999999999</v>
      </c>
      <c r="Y48" s="15">
        <v>0.44</v>
      </c>
      <c r="Z48" s="24">
        <f t="shared" ref="Z48:Z50" si="455">Y48*M48</f>
        <v>6848.16</v>
      </c>
      <c r="AA48" s="116">
        <v>2.7799999999999999E-3</v>
      </c>
      <c r="AB48" s="18">
        <f t="shared" ref="AB48" si="456">M48*AA48</f>
        <v>43.267919999999997</v>
      </c>
      <c r="AC48" s="16">
        <v>2.5699999999999998E-3</v>
      </c>
      <c r="AD48" s="17">
        <f t="shared" ref="AD48:AD50" si="457">M48*AC48</f>
        <v>39.999479999999998</v>
      </c>
      <c r="AE48" s="26">
        <f>IF(M48&gt;0,(AG48+AP48)/M48,0)</f>
        <v>3.0285366229760987E-3</v>
      </c>
      <c r="AF48" s="16">
        <v>2.9999999999999997E-4</v>
      </c>
      <c r="AG48" s="23">
        <f t="shared" ref="AG48:AG50" si="458">AF48*M48</f>
        <v>4.6692</v>
      </c>
      <c r="AH48" s="92">
        <v>0.20810000000000001</v>
      </c>
      <c r="AI48" s="29">
        <f t="shared" ref="AI48:AI50" si="459">AL48*(1-AM48)*AH48</f>
        <v>39.172744000000002</v>
      </c>
      <c r="AJ48" s="27">
        <f t="shared" ref="AJ48:AJ50" si="460">IF(AND(AH48&gt;0,AF48&gt;0,AC48&gt;0),((AC48-AF48)*AH48)/((AH48-AF48)*AC48),0)</f>
        <v>0.88454365354295317</v>
      </c>
      <c r="AK48" s="58">
        <f t="shared" si="6"/>
        <v>0.9021419146152263</v>
      </c>
      <c r="AL48" s="11">
        <v>208</v>
      </c>
      <c r="AM48" s="13">
        <v>9.5000000000000001E-2</v>
      </c>
      <c r="AN48" s="14">
        <v>0.22559999999999999</v>
      </c>
      <c r="AO48" s="101">
        <v>0.21479999999999999</v>
      </c>
      <c r="AP48" s="29">
        <f>AL48*(1-AM48)*AN48</f>
        <v>42.466943999999998</v>
      </c>
      <c r="AQ48" s="102">
        <f t="shared" ref="AQ48" si="461">AL48*(1-AM48)*AO48</f>
        <v>40.433951999999998</v>
      </c>
      <c r="AR48" s="18">
        <v>1.55</v>
      </c>
      <c r="AS48" s="18">
        <v>504.1</v>
      </c>
      <c r="AT48" s="79">
        <f>AT46+AL48-AS48</f>
        <v>296.08999999999946</v>
      </c>
      <c r="AU48" s="80"/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43" t="s">
        <v>57</v>
      </c>
      <c r="D49" s="33">
        <v>20136</v>
      </c>
      <c r="E49" s="33">
        <v>3</v>
      </c>
      <c r="F49" s="33">
        <v>17700</v>
      </c>
      <c r="G49" s="34">
        <v>0.7</v>
      </c>
      <c r="H49" s="34">
        <v>4</v>
      </c>
      <c r="I49" s="33">
        <v>17068</v>
      </c>
      <c r="J49" s="34">
        <v>3.6</v>
      </c>
      <c r="K49" s="33">
        <v>16372</v>
      </c>
      <c r="L49" s="35">
        <v>6.7000000000000004E-2</v>
      </c>
      <c r="M49" s="36">
        <f>ROUND(K49*(1-L49),0)</f>
        <v>15275</v>
      </c>
      <c r="N49" s="37">
        <v>0.73399999999999999</v>
      </c>
      <c r="O49" s="24">
        <f t="shared" si="450"/>
        <v>11211.85</v>
      </c>
      <c r="P49" s="35">
        <v>0.24399999999999999</v>
      </c>
      <c r="Q49" s="24">
        <f t="shared" si="451"/>
        <v>3727.1</v>
      </c>
      <c r="R49" s="38">
        <v>2.1999999999999999E-2</v>
      </c>
      <c r="S49" s="105">
        <v>0.20269999999999999</v>
      </c>
      <c r="T49" s="24">
        <f t="shared" si="452"/>
        <v>336.04999999999995</v>
      </c>
      <c r="U49" s="27">
        <v>0.245</v>
      </c>
      <c r="V49" s="24">
        <f t="shared" si="453"/>
        <v>3742.375</v>
      </c>
      <c r="W49" s="38">
        <v>0.47899999999999998</v>
      </c>
      <c r="X49" s="24">
        <f t="shared" si="454"/>
        <v>7316.7249999999995</v>
      </c>
      <c r="Y49" s="38">
        <v>0.45</v>
      </c>
      <c r="Z49" s="24">
        <f t="shared" si="455"/>
        <v>6873.75</v>
      </c>
      <c r="AA49" s="117">
        <v>2.6199999999999999E-3</v>
      </c>
      <c r="AB49" s="18">
        <f t="shared" si="61"/>
        <v>40.020499999999998</v>
      </c>
      <c r="AC49" s="39">
        <v>2.6800000000000001E-3</v>
      </c>
      <c r="AD49" s="17">
        <f t="shared" si="457"/>
        <v>40.937000000000005</v>
      </c>
      <c r="AE49" s="26">
        <f>IF(M49&gt;0,(AG49+AP49)/M49,0)</f>
        <v>2.8318301538461537E-3</v>
      </c>
      <c r="AF49" s="39">
        <v>2.9E-4</v>
      </c>
      <c r="AG49" s="36">
        <f t="shared" si="458"/>
        <v>4.4297500000000003</v>
      </c>
      <c r="AH49" s="27">
        <v>0.21440000000000001</v>
      </c>
      <c r="AI49" s="40">
        <f t="shared" si="459"/>
        <v>36.719859200000002</v>
      </c>
      <c r="AJ49" s="27">
        <f t="shared" si="460"/>
        <v>0.89299892578581108</v>
      </c>
      <c r="AK49" s="28">
        <f t="shared" si="6"/>
        <v>0.8987424208447623</v>
      </c>
      <c r="AL49" s="33">
        <v>188</v>
      </c>
      <c r="AM49" s="35">
        <v>8.8999999999999996E-2</v>
      </c>
      <c r="AN49" s="37">
        <v>0.22670000000000001</v>
      </c>
      <c r="AO49" s="103">
        <v>0.21560000000000001</v>
      </c>
      <c r="AP49" s="40">
        <f>AL49*(1-AM49)*AN49</f>
        <v>38.826455600000003</v>
      </c>
      <c r="AQ49" s="104">
        <f t="shared" si="21"/>
        <v>36.925380799999999</v>
      </c>
      <c r="AR49" s="41">
        <v>1.55</v>
      </c>
      <c r="AS49" s="41"/>
      <c r="AT49" s="129">
        <f>AT48+AL49-AS49</f>
        <v>484.08999999999946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0" t="s">
        <v>58</v>
      </c>
      <c r="D50" s="42">
        <v>16500</v>
      </c>
      <c r="E50" s="42">
        <v>5</v>
      </c>
      <c r="F50" s="42">
        <v>19222</v>
      </c>
      <c r="G50" s="36">
        <v>0.4</v>
      </c>
      <c r="H50" s="36">
        <v>3</v>
      </c>
      <c r="I50" s="42">
        <v>18516</v>
      </c>
      <c r="J50" s="36">
        <v>2.6</v>
      </c>
      <c r="K50" s="42">
        <v>16357</v>
      </c>
      <c r="L50" s="38">
        <v>6.8000000000000005E-2</v>
      </c>
      <c r="M50" s="36">
        <f>ROUND(K50*(1-L50),0)</f>
        <v>15245</v>
      </c>
      <c r="N50" s="27">
        <v>0.749</v>
      </c>
      <c r="O50" s="24">
        <f t="shared" si="450"/>
        <v>11418.504999999999</v>
      </c>
      <c r="P50" s="38">
        <v>0.23400000000000001</v>
      </c>
      <c r="Q50" s="24">
        <f t="shared" si="451"/>
        <v>3567.3300000000004</v>
      </c>
      <c r="R50" s="38">
        <v>1.7000000000000001E-2</v>
      </c>
      <c r="S50" s="105">
        <v>0.2021</v>
      </c>
      <c r="T50" s="24">
        <f t="shared" si="452"/>
        <v>259.16500000000002</v>
      </c>
      <c r="U50" s="27">
        <v>0.23799999999999999</v>
      </c>
      <c r="V50" s="24">
        <f t="shared" si="453"/>
        <v>3628.31</v>
      </c>
      <c r="W50" s="38">
        <v>0.46100000000000002</v>
      </c>
      <c r="X50" s="24">
        <f t="shared" si="454"/>
        <v>7027.9450000000006</v>
      </c>
      <c r="Y50" s="38">
        <v>0.44</v>
      </c>
      <c r="Z50" s="24">
        <f t="shared" si="455"/>
        <v>6707.8</v>
      </c>
      <c r="AA50" s="118">
        <v>2.5899999999999999E-3</v>
      </c>
      <c r="AB50" s="121">
        <f t="shared" si="61"/>
        <v>39.484549999999999</v>
      </c>
      <c r="AC50" s="45">
        <v>2.5899999999999999E-3</v>
      </c>
      <c r="AD50" s="17">
        <f t="shared" si="457"/>
        <v>39.484549999999999</v>
      </c>
      <c r="AE50" s="26">
        <f>IF(M50&gt;0,(AG50+AP50)/M50,0)</f>
        <v>2.7704632338471629E-3</v>
      </c>
      <c r="AF50" s="45">
        <v>2.7999999999999998E-4</v>
      </c>
      <c r="AG50" s="36">
        <f t="shared" si="458"/>
        <v>4.2685999999999993</v>
      </c>
      <c r="AH50" s="27">
        <v>0.21099999999999999</v>
      </c>
      <c r="AI50" s="40">
        <f t="shared" si="459"/>
        <v>35.291015999999999</v>
      </c>
      <c r="AJ50" s="27">
        <f t="shared" si="460"/>
        <v>0.89307701779227977</v>
      </c>
      <c r="AK50" s="28">
        <f t="shared" si="6"/>
        <v>0.90004405554451294</v>
      </c>
      <c r="AL50" s="42">
        <v>184</v>
      </c>
      <c r="AM50" s="38">
        <v>9.0999999999999998E-2</v>
      </c>
      <c r="AN50" s="27">
        <v>0.22700000000000001</v>
      </c>
      <c r="AO50" s="105">
        <v>0.21820000000000001</v>
      </c>
      <c r="AP50" s="40">
        <f>AL50*(1-AM50)*AN50</f>
        <v>37.967112</v>
      </c>
      <c r="AQ50" s="106">
        <f t="shared" si="21"/>
        <v>36.4952592</v>
      </c>
      <c r="AR50" s="17">
        <v>1.55</v>
      </c>
      <c r="AS50" s="17"/>
      <c r="AT50" s="129">
        <f>AT49+AL50-AS50</f>
        <v>668.08999999999946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2">SUM(D48:D50)</f>
        <v>40036</v>
      </c>
      <c r="E51" s="49"/>
      <c r="F51" s="49">
        <f t="shared" ref="F51" si="463">SUM(F48:F50)</f>
        <v>48450</v>
      </c>
      <c r="G51" s="50"/>
      <c r="H51" s="50"/>
      <c r="I51" s="49">
        <f t="shared" ref="I51:K51" si="464">SUM(I48:I50)</f>
        <v>47408</v>
      </c>
      <c r="J51" s="50"/>
      <c r="K51" s="49">
        <f t="shared" si="464"/>
        <v>49393</v>
      </c>
      <c r="L51" s="20">
        <f t="shared" ref="L51" si="465">IF(K51&gt;0,(K48*L48+K49*L49+K50*L50)/K51,0)</f>
        <v>6.6993784544368648E-2</v>
      </c>
      <c r="M51" s="50">
        <f t="shared" ref="M51" si="466">M48+M49+M50</f>
        <v>46084</v>
      </c>
      <c r="N51" s="51">
        <f t="shared" ref="N51" si="467">IF(M51&gt;0,O51/M51,0)</f>
        <v>0.74875633625553328</v>
      </c>
      <c r="O51" s="52">
        <f t="shared" ref="O51" si="468">O48+O49+O50</f>
        <v>34505.686999999998</v>
      </c>
      <c r="P51" s="20">
        <f t="shared" ref="P51" si="469">IF(M51&gt;0,Q51/M51,0)</f>
        <v>0.23393728842982378</v>
      </c>
      <c r="Q51" s="52">
        <f t="shared" ref="Q51" si="470">Q48+Q49+Q50</f>
        <v>10780.766</v>
      </c>
      <c r="R51" s="20">
        <f t="shared" ref="R51" si="471">IF(M51&gt;0,T51/M51,0)</f>
        <v>1.7306375314642828E-2</v>
      </c>
      <c r="S51" s="107"/>
      <c r="T51" s="52">
        <f t="shared" ref="T51" si="472">T48+T49+T50</f>
        <v>797.54700000000003</v>
      </c>
      <c r="U51" s="20">
        <f t="shared" ref="U51" si="473">IF(M51&gt;0,V51/M51,0)</f>
        <v>0.24572391719468795</v>
      </c>
      <c r="V51" s="52">
        <f t="shared" ref="V51" si="474">V48+V49+V50</f>
        <v>11323.940999999999</v>
      </c>
      <c r="W51" s="20">
        <f t="shared" ref="W51" si="475">IF(M51&gt;0,X51/M51,0)</f>
        <v>0.47304543876399618</v>
      </c>
      <c r="X51" s="52">
        <f t="shared" ref="X51" si="476">X48+X49+X50</f>
        <v>21799.826000000001</v>
      </c>
      <c r="Y51" s="20">
        <f t="shared" ref="Y51" si="477">IF(M51&gt;0,Z51/M51,0)</f>
        <v>0.44331459942713303</v>
      </c>
      <c r="Z51" s="52">
        <f t="shared" ref="Z51" si="478">Z48+Z49+Z50</f>
        <v>20429.71</v>
      </c>
      <c r="AA51" s="119">
        <f t="shared" ref="AA51" si="479">IF(M51&gt;0,AB51/M51,0)</f>
        <v>2.6641127072302754E-3</v>
      </c>
      <c r="AB51" s="54">
        <f t="shared" ref="AB51" si="480">SUM(AB48:AB50)</f>
        <v>122.77297</v>
      </c>
      <c r="AC51" s="53">
        <f t="shared" ref="AC51" si="481">IF(M51&gt;0,AD51/M51,0)</f>
        <v>2.6130767728495792E-3</v>
      </c>
      <c r="AD51" s="54">
        <f t="shared" ref="AD51" si="482">SUM(AD48:AD50)</f>
        <v>120.42103</v>
      </c>
      <c r="AE51" s="53">
        <f t="shared" ref="AE51" si="483">IF(M51&gt;0,(AE48*M48+AE49*M49+AE50*M50)/M51,0)</f>
        <v>2.8779633191563232E-3</v>
      </c>
      <c r="AF51" s="53">
        <f t="shared" ref="AF51" si="484">IF(K51&gt;0,(K48*AF48+K49*AF49+K50*AF50)/K51,0)</f>
        <v>2.9006215455631366E-4</v>
      </c>
      <c r="AG51" s="50">
        <f t="shared" ref="AG51" si="485">SUM(AG48:AG50)</f>
        <v>13.36755</v>
      </c>
      <c r="AH51" s="51">
        <f t="shared" ref="AH51" si="486">IF(K51&gt;0,(K48*AH48+K49*AH49+K50*AH50)/K51,0)</f>
        <v>0.21114858785657886</v>
      </c>
      <c r="AI51" s="56">
        <f t="shared" ref="AI51" si="487">SUM(AI48:AI50)</f>
        <v>111.1836192</v>
      </c>
      <c r="AJ51" s="51">
        <f t="shared" ref="AJ51" si="488">IF(AND(AD51&gt;0),((AD48*AJ48+AD49*AJ49+AD50*AJ50)/AD51),0)</f>
        <v>0.89021599771055093</v>
      </c>
      <c r="AK51" s="55">
        <f t="shared" si="6"/>
        <v>0.90036609839972126</v>
      </c>
      <c r="AL51" s="49">
        <f t="shared" ref="AL51" si="489">SUM(AL48:AL50)</f>
        <v>580</v>
      </c>
      <c r="AM51" s="20">
        <f t="shared" ref="AM51" si="490">IF(AL51&gt;0,(AM48*AL48+AM49*AL49+AM50*AL50)/AL51,0)</f>
        <v>9.1786206896551731E-2</v>
      </c>
      <c r="AN51" s="51">
        <f>IF(K51&gt;0,(AN48*K48+AN49*K49+AN50*K50)/K51,0)</f>
        <v>0.22642823477010915</v>
      </c>
      <c r="AO51" s="107">
        <f>IF(L51&gt;0,(AO48*K48+AO49*K49+AO50*K50)/K51,0)</f>
        <v>0.21619111615006176</v>
      </c>
      <c r="AP51" s="56">
        <f t="shared" ref="AP51" si="491">SUM(AP48:AP50)</f>
        <v>119.2605116</v>
      </c>
      <c r="AQ51" s="108">
        <f t="shared" si="403"/>
        <v>113.854592</v>
      </c>
      <c r="AR51" s="54"/>
      <c r="AS51" s="54">
        <f t="shared" ref="AS51" si="492">SUM(AS48:AS50)</f>
        <v>504.1</v>
      </c>
      <c r="AT51" s="83"/>
      <c r="AU51" s="84">
        <f>AT50</f>
        <v>668.08999999999946</v>
      </c>
      <c r="AV51" s="49">
        <f t="shared" ref="AV51" si="493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59</v>
      </c>
      <c r="D52" s="11">
        <v>2200</v>
      </c>
      <c r="E52" s="11">
        <v>6</v>
      </c>
      <c r="F52" s="11">
        <v>12466</v>
      </c>
      <c r="G52" s="12">
        <v>0.9</v>
      </c>
      <c r="H52" s="12">
        <v>6.6</v>
      </c>
      <c r="I52" s="11">
        <v>11946</v>
      </c>
      <c r="J52" s="12">
        <v>5</v>
      </c>
      <c r="K52" s="11">
        <v>16375</v>
      </c>
      <c r="L52" s="13">
        <v>6.8000000000000005E-2</v>
      </c>
      <c r="M52" s="23">
        <f>ROUND(K52*(1-L52),0)</f>
        <v>15262</v>
      </c>
      <c r="N52" s="14">
        <v>0.74</v>
      </c>
      <c r="O52" s="24">
        <f t="shared" ref="O52:O54" si="494">M52*N52</f>
        <v>11293.88</v>
      </c>
      <c r="P52" s="13">
        <v>0.23100000000000001</v>
      </c>
      <c r="Q52" s="24">
        <f t="shared" ref="Q52:Q54" si="495">M52*P52</f>
        <v>3525.5220000000004</v>
      </c>
      <c r="R52" s="15">
        <v>2.9000000000000001E-2</v>
      </c>
      <c r="S52" s="112">
        <v>0.18909999999999999</v>
      </c>
      <c r="T52" s="24">
        <f t="shared" ref="T52:T54" si="496">M52*R52</f>
        <v>442.59800000000001</v>
      </c>
      <c r="U52" s="25">
        <v>0.249</v>
      </c>
      <c r="V52" s="24">
        <f t="shared" ref="V52:V54" si="497">M52*U52</f>
        <v>3800.2379999999998</v>
      </c>
      <c r="W52" s="15">
        <v>0.46</v>
      </c>
      <c r="X52" s="24">
        <f t="shared" ref="X52:X54" si="498">M52*W52</f>
        <v>7020.52</v>
      </c>
      <c r="Y52" s="15">
        <v>0.44</v>
      </c>
      <c r="Z52" s="24">
        <f t="shared" ref="Z52:Z54" si="499">Y52*M52</f>
        <v>6715.28</v>
      </c>
      <c r="AA52" s="116">
        <v>2.5200000000000001E-3</v>
      </c>
      <c r="AB52" s="18">
        <f t="shared" ref="AB52" si="500">M52*AA52</f>
        <v>38.460239999999999</v>
      </c>
      <c r="AC52" s="16">
        <v>2.5799999999999998E-3</v>
      </c>
      <c r="AD52" s="17">
        <f t="shared" ref="AD52:AD54" si="501">M52*AC52</f>
        <v>39.375959999999999</v>
      </c>
      <c r="AE52" s="26">
        <f>IF(M52&gt;0,(AG52+AP52)/M52,0)</f>
        <v>2.7946640545144803E-3</v>
      </c>
      <c r="AF52" s="16">
        <v>2.9999999999999997E-4</v>
      </c>
      <c r="AG52" s="23">
        <f t="shared" ref="AG52:AG54" si="502">AF52*M52</f>
        <v>4.5785999999999998</v>
      </c>
      <c r="AH52" s="92">
        <v>0.21260000000000001</v>
      </c>
      <c r="AI52" s="29">
        <f t="shared" ref="AI52:AI54" si="503">AL52*(1-AM52)*AH52</f>
        <v>35.056039200000001</v>
      </c>
      <c r="AJ52" s="27">
        <f t="shared" ref="AJ52:AJ54" si="504">IF(AND(AH52&gt;0,AF52&gt;0,AC52&gt;0),((AC52-AF52)*AH52)/((AH52-AF52)*AC52),0)</f>
        <v>0.88496971157532667</v>
      </c>
      <c r="AK52" s="58">
        <f t="shared" si="6"/>
        <v>0.89381387138177493</v>
      </c>
      <c r="AL52" s="11">
        <v>182</v>
      </c>
      <c r="AM52" s="13">
        <v>9.4E-2</v>
      </c>
      <c r="AN52" s="14">
        <v>0.23089999999999999</v>
      </c>
      <c r="AO52" s="101">
        <v>0.22409999999999999</v>
      </c>
      <c r="AP52" s="29">
        <f>AL52*(1-AM52)*AN52</f>
        <v>38.073562799999998</v>
      </c>
      <c r="AQ52" s="102">
        <f t="shared" ref="AQ52" si="505">AL52*(1-AM52)*AO52</f>
        <v>36.952297199999997</v>
      </c>
      <c r="AR52" s="18">
        <v>1.6</v>
      </c>
      <c r="AS52" s="18">
        <v>501.62</v>
      </c>
      <c r="AT52" s="79">
        <f>AT50+AL52-AS52</f>
        <v>348.46999999999946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0" t="s">
        <v>54</v>
      </c>
      <c r="D53" s="33">
        <v>18855</v>
      </c>
      <c r="E53" s="33">
        <v>7</v>
      </c>
      <c r="F53" s="33">
        <v>15203</v>
      </c>
      <c r="G53" s="34">
        <v>0.4</v>
      </c>
      <c r="H53" s="34">
        <v>4.7</v>
      </c>
      <c r="I53" s="33">
        <v>15364</v>
      </c>
      <c r="J53" s="34">
        <v>4.7</v>
      </c>
      <c r="K53" s="33">
        <v>16354</v>
      </c>
      <c r="L53" s="35">
        <v>6.5000000000000002E-2</v>
      </c>
      <c r="M53" s="36">
        <f>ROUND(K53*(1-L53),0)</f>
        <v>15291</v>
      </c>
      <c r="N53" s="37">
        <v>0.66200000000000003</v>
      </c>
      <c r="O53" s="24">
        <f t="shared" si="494"/>
        <v>10122.642</v>
      </c>
      <c r="P53" s="35">
        <v>0.309</v>
      </c>
      <c r="Q53" s="24">
        <f t="shared" si="495"/>
        <v>4724.9189999999999</v>
      </c>
      <c r="R53" s="38">
        <v>2.9000000000000001E-2</v>
      </c>
      <c r="S53" s="105">
        <v>0.22720000000000001</v>
      </c>
      <c r="T53" s="24">
        <f t="shared" si="496"/>
        <v>443.43900000000002</v>
      </c>
      <c r="U53" s="27">
        <v>0.23200000000000001</v>
      </c>
      <c r="V53" s="24">
        <f t="shared" si="497"/>
        <v>3547.5120000000002</v>
      </c>
      <c r="W53" s="38">
        <v>0.47099999999999997</v>
      </c>
      <c r="X53" s="24">
        <f t="shared" si="498"/>
        <v>7202.0609999999997</v>
      </c>
      <c r="Y53" s="38">
        <v>0.43</v>
      </c>
      <c r="Z53" s="24">
        <f t="shared" si="499"/>
        <v>6575.13</v>
      </c>
      <c r="AA53" s="117">
        <v>2.6099999999999999E-3</v>
      </c>
      <c r="AB53" s="18">
        <f t="shared" si="61"/>
        <v>39.909509999999997</v>
      </c>
      <c r="AC53" s="39">
        <v>2.6099999999999999E-3</v>
      </c>
      <c r="AD53" s="17">
        <f t="shared" si="501"/>
        <v>39.909509999999997</v>
      </c>
      <c r="AE53" s="26">
        <f>IF(M53&gt;0,(AG53+AP53)/M53,0)</f>
        <v>2.7773175070302794E-3</v>
      </c>
      <c r="AF53" s="39">
        <v>2.7E-4</v>
      </c>
      <c r="AG53" s="36">
        <f t="shared" si="502"/>
        <v>4.1285699999999999</v>
      </c>
      <c r="AH53" s="27">
        <v>0.21740000000000001</v>
      </c>
      <c r="AI53" s="40">
        <f t="shared" si="503"/>
        <v>35.926654400000004</v>
      </c>
      <c r="AJ53" s="27">
        <f t="shared" si="504"/>
        <v>0.89766658143778477</v>
      </c>
      <c r="AK53" s="28">
        <f t="shared" si="6"/>
        <v>0.9038357693719169</v>
      </c>
      <c r="AL53" s="33">
        <v>182</v>
      </c>
      <c r="AM53" s="35">
        <v>9.1999999999999998E-2</v>
      </c>
      <c r="AN53" s="37">
        <v>0.23200000000000001</v>
      </c>
      <c r="AO53" s="103">
        <v>0.22689999999999999</v>
      </c>
      <c r="AP53" s="40">
        <f>AL53*(1-AM53)*AN53</f>
        <v>38.339392000000004</v>
      </c>
      <c r="AQ53" s="104">
        <f t="shared" si="21"/>
        <v>37.496586399999998</v>
      </c>
      <c r="AR53" s="41">
        <v>1.55</v>
      </c>
      <c r="AS53" s="41"/>
      <c r="AT53" s="129">
        <f>AT52+AL53-AS53</f>
        <v>530.46999999999946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43" t="s">
        <v>58</v>
      </c>
      <c r="D54" s="42">
        <v>21000</v>
      </c>
      <c r="E54" s="42">
        <v>2</v>
      </c>
      <c r="F54" s="42">
        <v>14909</v>
      </c>
      <c r="G54" s="36">
        <v>0.4</v>
      </c>
      <c r="H54" s="36">
        <v>4.9000000000000004</v>
      </c>
      <c r="I54" s="42">
        <v>15175</v>
      </c>
      <c r="J54" s="36">
        <v>4.5999999999999996</v>
      </c>
      <c r="K54" s="42">
        <v>16289</v>
      </c>
      <c r="L54" s="38">
        <v>6.2E-2</v>
      </c>
      <c r="M54" s="36">
        <f>ROUND(K54*(1-L54),0)</f>
        <v>15279</v>
      </c>
      <c r="N54" s="27">
        <v>0.75800000000000001</v>
      </c>
      <c r="O54" s="24">
        <f t="shared" si="494"/>
        <v>11581.482</v>
      </c>
      <c r="P54" s="38">
        <v>0.21199999999999999</v>
      </c>
      <c r="Q54" s="24">
        <f t="shared" si="495"/>
        <v>3239.1479999999997</v>
      </c>
      <c r="R54" s="38">
        <v>0.03</v>
      </c>
      <c r="S54" s="105">
        <v>0.2238</v>
      </c>
      <c r="T54" s="24">
        <f t="shared" si="496"/>
        <v>458.37</v>
      </c>
      <c r="U54" s="27">
        <v>0.24</v>
      </c>
      <c r="V54" s="24">
        <f t="shared" si="497"/>
        <v>3666.96</v>
      </c>
      <c r="W54" s="38">
        <v>0.45900000000000002</v>
      </c>
      <c r="X54" s="24">
        <f t="shared" si="498"/>
        <v>7013.0610000000006</v>
      </c>
      <c r="Y54" s="38">
        <v>0.43</v>
      </c>
      <c r="Z54" s="24">
        <f t="shared" si="499"/>
        <v>6569.97</v>
      </c>
      <c r="AA54" s="118">
        <v>2.5200000000000001E-3</v>
      </c>
      <c r="AB54" s="121">
        <f t="shared" si="61"/>
        <v>38.503080000000004</v>
      </c>
      <c r="AC54" s="45">
        <v>2.7000000000000001E-3</v>
      </c>
      <c r="AD54" s="17">
        <f t="shared" si="501"/>
        <v>41.253300000000003</v>
      </c>
      <c r="AE54" s="26">
        <f>IF(M54&gt;0,(AG54+AP54)/M54,0)</f>
        <v>2.7978547418024743E-3</v>
      </c>
      <c r="AF54" s="45">
        <v>2.5999999999999998E-4</v>
      </c>
      <c r="AG54" s="36">
        <f t="shared" si="502"/>
        <v>3.9725399999999995</v>
      </c>
      <c r="AH54" s="27">
        <v>0.2087</v>
      </c>
      <c r="AI54" s="40">
        <f t="shared" si="503"/>
        <v>35.775980099999998</v>
      </c>
      <c r="AJ54" s="27">
        <f t="shared" si="504"/>
        <v>0.90483094877644865</v>
      </c>
      <c r="AK54" s="28">
        <f t="shared" si="6"/>
        <v>0.90811546971126689</v>
      </c>
      <c r="AL54" s="42">
        <v>189</v>
      </c>
      <c r="AM54" s="38">
        <v>9.2999999999999999E-2</v>
      </c>
      <c r="AN54" s="27">
        <v>0.22620000000000001</v>
      </c>
      <c r="AO54" s="105">
        <v>0.22</v>
      </c>
      <c r="AP54" s="40">
        <f>AL54*(1-AM54)*AN54</f>
        <v>38.775882600000003</v>
      </c>
      <c r="AQ54" s="106">
        <f t="shared" si="21"/>
        <v>37.713059999999999</v>
      </c>
      <c r="AR54" s="17">
        <v>1.55</v>
      </c>
      <c r="AS54" s="17"/>
      <c r="AT54" s="129">
        <f>AT53+AL54-AS54</f>
        <v>719.46999999999946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6">SUM(D52:D54)</f>
        <v>42055</v>
      </c>
      <c r="E55" s="49"/>
      <c r="F55" s="49">
        <f t="shared" ref="F55" si="507">SUM(F52:F54)</f>
        <v>42578</v>
      </c>
      <c r="G55" s="50"/>
      <c r="H55" s="50"/>
      <c r="I55" s="49">
        <f t="shared" ref="I55:K55" si="508">SUM(I52:I54)</f>
        <v>42485</v>
      </c>
      <c r="J55" s="50"/>
      <c r="K55" s="49">
        <f t="shared" si="508"/>
        <v>49018</v>
      </c>
      <c r="L55" s="20">
        <f t="shared" ref="L55" si="509">IF(K55&gt;0,(K52*L52+K53*L53+K54*L54)/K55,0)</f>
        <v>6.5005263372638636E-2</v>
      </c>
      <c r="M55" s="50">
        <f t="shared" ref="M55" si="510">M52+M53+M54</f>
        <v>45832</v>
      </c>
      <c r="N55" s="51">
        <f t="shared" ref="N55" si="511">IF(M55&gt;0,O55/M55,0)</f>
        <v>0.7199773957060569</v>
      </c>
      <c r="O55" s="52">
        <f t="shared" ref="O55" si="512">O52+O53+O54</f>
        <v>32998.004000000001</v>
      </c>
      <c r="P55" s="20">
        <f t="shared" ref="P55" si="513">IF(M55&gt;0,Q55/M55,0)</f>
        <v>0.25068923459591552</v>
      </c>
      <c r="Q55" s="52">
        <f t="shared" ref="Q55" si="514">Q52+Q53+Q54</f>
        <v>11489.589</v>
      </c>
      <c r="R55" s="20">
        <f t="shared" ref="R55" si="515">IF(M55&gt;0,T55/M55,0)</f>
        <v>2.9333369698027582E-2</v>
      </c>
      <c r="S55" s="107"/>
      <c r="T55" s="52">
        <f t="shared" ref="T55" si="516">T52+T53+T54</f>
        <v>1344.4070000000002</v>
      </c>
      <c r="U55" s="20">
        <f t="shared" ref="U55" si="517">IF(M55&gt;0,V55/M55,0)</f>
        <v>0.24032793681270725</v>
      </c>
      <c r="V55" s="52">
        <f t="shared" ref="V55" si="518">V52+V53+V54</f>
        <v>11014.71</v>
      </c>
      <c r="W55" s="20">
        <f t="shared" ref="W55" si="519">IF(M55&gt;0,X55/M55,0)</f>
        <v>0.46333657706406006</v>
      </c>
      <c r="X55" s="52">
        <f t="shared" ref="X55" si="520">X52+X53+X54</f>
        <v>21235.642</v>
      </c>
      <c r="Y55" s="20">
        <f t="shared" ref="Y55" si="521">IF(M55&gt;0,Z55/M55,0)</f>
        <v>0.43332998778146276</v>
      </c>
      <c r="Z55" s="52">
        <f t="shared" ref="Z55" si="522">Z52+Z53+Z54</f>
        <v>19860.38</v>
      </c>
      <c r="AA55" s="119">
        <f t="shared" ref="AA55" si="523">IF(M55&gt;0,AB55/M55,0)</f>
        <v>2.5500268371443533E-3</v>
      </c>
      <c r="AB55" s="54">
        <f t="shared" ref="AB55" si="524">SUM(AB52:AB54)</f>
        <v>116.87282999999999</v>
      </c>
      <c r="AC55" s="53">
        <f t="shared" ref="AC55" si="525">IF(M55&gt;0,AD55/M55,0)</f>
        <v>2.6300133094780938E-3</v>
      </c>
      <c r="AD55" s="54">
        <f t="shared" ref="AD55" si="526">SUM(AD52:AD54)</f>
        <v>120.53877</v>
      </c>
      <c r="AE55" s="53">
        <f t="shared" ref="AE55" si="527">IF(M55&gt;0,(AE52*M52+AE53*M53+AE54*M54)/M55,0)</f>
        <v>2.7899403779019028E-3</v>
      </c>
      <c r="AF55" s="53">
        <f t="shared" ref="AF55" si="528">IF(K55&gt;0,(K52*AF52+K53*AF53+K54*AF54)/K55,0)</f>
        <v>2.7669876371945001E-4</v>
      </c>
      <c r="AG55" s="50">
        <f t="shared" ref="AG55" si="529">SUM(AG52:AG54)</f>
        <v>12.67971</v>
      </c>
      <c r="AH55" s="51">
        <f t="shared" ref="AH55" si="530">IF(K55&gt;0,(K52*AH52+K53*AH53+K54*AH54)/K55,0)</f>
        <v>0.21290544085846014</v>
      </c>
      <c r="AI55" s="56">
        <f t="shared" ref="AI55" si="531">SUM(AI52:AI54)</f>
        <v>106.7586737</v>
      </c>
      <c r="AJ55" s="51">
        <f t="shared" ref="AJ55" si="532">IF(AND(AD55&gt;0),((AD52*AJ52+AD53*AJ53+AD54*AJ54)/AD55),0)</f>
        <v>0.89597088100300137</v>
      </c>
      <c r="AK55" s="55">
        <f t="shared" si="6"/>
        <v>0.90190912021977876</v>
      </c>
      <c r="AL55" s="49">
        <f t="shared" ref="AL55" si="533">SUM(AL52:AL54)</f>
        <v>553</v>
      </c>
      <c r="AM55" s="20">
        <f t="shared" ref="AM55" si="534">IF(AL55&gt;0,(AM52*AL52+AM53*AL53+AM54*AL54)/AL55,0)</f>
        <v>9.2999999999999999E-2</v>
      </c>
      <c r="AN55" s="51">
        <f>IF(K55&gt;0,(AN52*K52+AN53*K53+AN54*K54)/K55,0)</f>
        <v>0.22970515524909216</v>
      </c>
      <c r="AO55" s="107">
        <f>IF(L55&gt;0,(AO52*K52+AO53*K53+AO54*K54)/K55,0)</f>
        <v>0.22367171447223469</v>
      </c>
      <c r="AP55" s="56">
        <f t="shared" ref="AP55" si="535">SUM(AP52:AP54)</f>
        <v>115.1888374</v>
      </c>
      <c r="AQ55" s="108">
        <f t="shared" si="403"/>
        <v>112.16194359999999</v>
      </c>
      <c r="AR55" s="54"/>
      <c r="AS55" s="54">
        <f t="shared" ref="AS55" si="536">SUM(AS52:AS54)</f>
        <v>501.62</v>
      </c>
      <c r="AT55" s="83"/>
      <c r="AU55" s="84">
        <f>AT54</f>
        <v>719.46999999999946</v>
      </c>
      <c r="AV55" s="49">
        <f t="shared" ref="AV55" si="537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43" t="s">
        <v>57</v>
      </c>
      <c r="D56" s="11">
        <v>5800</v>
      </c>
      <c r="E56" s="11">
        <v>1</v>
      </c>
      <c r="F56" s="11">
        <v>15173</v>
      </c>
      <c r="G56" s="12">
        <v>0.6</v>
      </c>
      <c r="H56" s="12">
        <v>5.5</v>
      </c>
      <c r="I56" s="11">
        <v>14521</v>
      </c>
      <c r="J56" s="12">
        <v>5</v>
      </c>
      <c r="K56" s="11">
        <v>16192</v>
      </c>
      <c r="L56" s="13">
        <v>6.6000000000000003E-2</v>
      </c>
      <c r="M56" s="23">
        <f>ROUND(K56*(1-L56),0)</f>
        <v>15123</v>
      </c>
      <c r="N56" s="14">
        <v>0.85199999999999998</v>
      </c>
      <c r="O56" s="24">
        <f t="shared" ref="O56:O58" si="538">M56*N56</f>
        <v>12884.796</v>
      </c>
      <c r="P56" s="13">
        <v>0.123</v>
      </c>
      <c r="Q56" s="24">
        <f t="shared" ref="Q56:Q58" si="539">M56*P56</f>
        <v>1860.1289999999999</v>
      </c>
      <c r="R56" s="15">
        <v>2.5000000000000001E-2</v>
      </c>
      <c r="S56" s="112">
        <v>0.20169999999999999</v>
      </c>
      <c r="T56" s="24">
        <f t="shared" ref="T56:T58" si="540">M56*R56</f>
        <v>378.07500000000005</v>
      </c>
      <c r="U56" s="25">
        <v>0.248</v>
      </c>
      <c r="V56" s="24">
        <f t="shared" ref="V56:V58" si="541">M56*U56</f>
        <v>3750.5039999999999</v>
      </c>
      <c r="W56" s="15">
        <v>0.44900000000000001</v>
      </c>
      <c r="X56" s="24">
        <f t="shared" ref="X56:X58" si="542">M56*W56</f>
        <v>6790.2269999999999</v>
      </c>
      <c r="Y56" s="15">
        <v>0.43</v>
      </c>
      <c r="Z56" s="24">
        <f t="shared" ref="Z56:Z58" si="543">Y56*M56</f>
        <v>6502.89</v>
      </c>
      <c r="AA56" s="116">
        <v>2.64E-3</v>
      </c>
      <c r="AB56" s="18">
        <f t="shared" ref="AB56" si="544">M56*AA56</f>
        <v>39.924720000000001</v>
      </c>
      <c r="AC56" s="16">
        <v>2.7100000000000002E-3</v>
      </c>
      <c r="AD56" s="17">
        <f t="shared" ref="AD56:AD58" si="545">M56*AC56</f>
        <v>40.983330000000002</v>
      </c>
      <c r="AE56" s="26">
        <f>IF(M56&gt;0,(AG56+AP56)/M56,0)</f>
        <v>2.8129039873041064E-3</v>
      </c>
      <c r="AF56" s="16">
        <v>2.5000000000000001E-4</v>
      </c>
      <c r="AG56" s="23">
        <f t="shared" ref="AG56:AG58" si="546">AF56*M56</f>
        <v>3.7807500000000003</v>
      </c>
      <c r="AH56" s="92">
        <v>0.2145</v>
      </c>
      <c r="AI56" s="29">
        <f t="shared" ref="AI56:AI58" si="547">AL56*(1-AM56)*AH56</f>
        <v>36.689152500000006</v>
      </c>
      <c r="AJ56" s="27">
        <f t="shared" ref="AJ56:AJ58" si="548">IF(AND(AH56&gt;0,AF56&gt;0,AC56&gt;0),((AC56-AF56)*AH56)/((AH56-AF56)*AC56),0)</f>
        <v>0.90880829461736867</v>
      </c>
      <c r="AK56" s="58">
        <f t="shared" si="6"/>
        <v>0.91213019920323202</v>
      </c>
      <c r="AL56" s="11">
        <v>189</v>
      </c>
      <c r="AM56" s="13">
        <v>9.5000000000000001E-2</v>
      </c>
      <c r="AN56" s="14">
        <v>0.2266</v>
      </c>
      <c r="AO56" s="101">
        <v>0.21540000000000001</v>
      </c>
      <c r="AP56" s="29">
        <f>AL56*(1-AM56)*AN56</f>
        <v>38.758797000000001</v>
      </c>
      <c r="AQ56" s="102">
        <f t="shared" ref="AQ56" si="549">AL56*(1-AM56)*AO56</f>
        <v>36.843093000000003</v>
      </c>
      <c r="AR56" s="18">
        <v>1.55</v>
      </c>
      <c r="AS56" s="18">
        <v>504.94</v>
      </c>
      <c r="AT56" s="79">
        <f>AT54+AL56-AS56+AU56</f>
        <v>413.60999999999945</v>
      </c>
      <c r="AU56" s="80">
        <v>10.08</v>
      </c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54</v>
      </c>
      <c r="D57" s="33">
        <v>18190</v>
      </c>
      <c r="E57" s="33">
        <v>8</v>
      </c>
      <c r="F57" s="33">
        <v>16809</v>
      </c>
      <c r="G57" s="34">
        <v>0.6</v>
      </c>
      <c r="H57" s="34">
        <v>5.4</v>
      </c>
      <c r="I57" s="33">
        <v>16504</v>
      </c>
      <c r="J57" s="34">
        <v>4.7</v>
      </c>
      <c r="K57" s="33">
        <v>16048</v>
      </c>
      <c r="L57" s="35">
        <v>0.06</v>
      </c>
      <c r="M57" s="36">
        <f>ROUND(K57*(1-L57),0)</f>
        <v>15085</v>
      </c>
      <c r="N57" s="37">
        <v>0.66</v>
      </c>
      <c r="O57" s="24">
        <f t="shared" si="538"/>
        <v>9956.1</v>
      </c>
      <c r="P57" s="35">
        <v>0.28899999999999998</v>
      </c>
      <c r="Q57" s="24">
        <f t="shared" si="539"/>
        <v>4359.5649999999996</v>
      </c>
      <c r="R57" s="38">
        <v>5.0999999999999997E-2</v>
      </c>
      <c r="S57" s="105">
        <v>0.189</v>
      </c>
      <c r="T57" s="24">
        <f t="shared" si="540"/>
        <v>769.33499999999992</v>
      </c>
      <c r="U57" s="27">
        <v>0.23300000000000001</v>
      </c>
      <c r="V57" s="24">
        <f t="shared" si="541"/>
        <v>3514.8050000000003</v>
      </c>
      <c r="W57" s="38">
        <v>0.49199999999999999</v>
      </c>
      <c r="X57" s="24">
        <f t="shared" si="542"/>
        <v>7421.82</v>
      </c>
      <c r="Y57" s="38">
        <v>0.43</v>
      </c>
      <c r="Z57" s="24">
        <f t="shared" si="543"/>
        <v>6486.55</v>
      </c>
      <c r="AA57" s="117">
        <v>2.4499999999999999E-3</v>
      </c>
      <c r="AB57" s="18">
        <f t="shared" si="61"/>
        <v>36.95825</v>
      </c>
      <c r="AC57" s="39">
        <v>2.49E-3</v>
      </c>
      <c r="AD57" s="17">
        <f t="shared" si="545"/>
        <v>37.56165</v>
      </c>
      <c r="AE57" s="26">
        <f>IF(M57&gt;0,(AG57+AP57)/M57,0)</f>
        <v>2.8074825986078886E-3</v>
      </c>
      <c r="AF57" s="39">
        <v>2.2000000000000001E-4</v>
      </c>
      <c r="AG57" s="36">
        <f t="shared" si="546"/>
        <v>3.3187000000000002</v>
      </c>
      <c r="AH57" s="27">
        <v>0.21879999999999999</v>
      </c>
      <c r="AI57" s="40">
        <f t="shared" si="547"/>
        <v>35.958904799999999</v>
      </c>
      <c r="AJ57" s="27">
        <f t="shared" si="548"/>
        <v>0.91256415542304625</v>
      </c>
      <c r="AK57" s="28">
        <f t="shared" si="6"/>
        <v>0.92249250205663424</v>
      </c>
      <c r="AL57" s="33">
        <v>182</v>
      </c>
      <c r="AM57" s="35">
        <v>9.7000000000000003E-2</v>
      </c>
      <c r="AN57" s="37">
        <v>0.23749999999999999</v>
      </c>
      <c r="AO57" s="103">
        <v>0.22020000000000001</v>
      </c>
      <c r="AP57" s="40">
        <f>AL57*(1-AM57)*AN57</f>
        <v>39.032175000000002</v>
      </c>
      <c r="AQ57" s="104">
        <f t="shared" si="21"/>
        <v>36.188989200000002</v>
      </c>
      <c r="AR57" s="41">
        <v>1.55</v>
      </c>
      <c r="AS57" s="41"/>
      <c r="AT57" s="129">
        <f>AT56+AL57-AS57</f>
        <v>595.60999999999945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0" t="s">
        <v>55</v>
      </c>
      <c r="D58" s="42">
        <v>20500</v>
      </c>
      <c r="E58" s="42">
        <v>5</v>
      </c>
      <c r="F58" s="42">
        <v>18082</v>
      </c>
      <c r="G58" s="36">
        <v>0.5</v>
      </c>
      <c r="H58" s="36">
        <v>5.7</v>
      </c>
      <c r="I58" s="42">
        <v>18286</v>
      </c>
      <c r="J58" s="36">
        <v>3.4</v>
      </c>
      <c r="K58" s="42">
        <v>16031</v>
      </c>
      <c r="L58" s="38">
        <v>6.7000000000000004E-2</v>
      </c>
      <c r="M58" s="36">
        <f>ROUND(K58*(1-L58),0)</f>
        <v>14957</v>
      </c>
      <c r="N58" s="27">
        <v>0.79200000000000004</v>
      </c>
      <c r="O58" s="24">
        <f t="shared" si="538"/>
        <v>11845.944000000001</v>
      </c>
      <c r="P58" s="38">
        <v>0.20100000000000001</v>
      </c>
      <c r="Q58" s="24">
        <f t="shared" si="539"/>
        <v>3006.357</v>
      </c>
      <c r="R58" s="38">
        <v>7.0000000000000001E-3</v>
      </c>
      <c r="S58" s="105">
        <v>0.19059999999999999</v>
      </c>
      <c r="T58" s="24">
        <f t="shared" si="540"/>
        <v>104.699</v>
      </c>
      <c r="U58" s="27">
        <v>0.22600000000000001</v>
      </c>
      <c r="V58" s="24">
        <f t="shared" si="541"/>
        <v>3380.2820000000002</v>
      </c>
      <c r="W58" s="38">
        <v>0.48799999999999999</v>
      </c>
      <c r="X58" s="24">
        <f t="shared" si="542"/>
        <v>7299.0159999999996</v>
      </c>
      <c r="Y58" s="38">
        <v>0.42</v>
      </c>
      <c r="Z58" s="24">
        <f t="shared" si="543"/>
        <v>6281.94</v>
      </c>
      <c r="AA58" s="118">
        <v>2.14E-3</v>
      </c>
      <c r="AB58" s="121">
        <f t="shared" si="61"/>
        <v>32.007979999999996</v>
      </c>
      <c r="AC58" s="45">
        <v>2.0999999999999999E-3</v>
      </c>
      <c r="AD58" s="17">
        <f t="shared" si="545"/>
        <v>31.409699999999997</v>
      </c>
      <c r="AE58" s="26">
        <f>IF(M58&gt;0,(AG58+AP58)/M58,0)</f>
        <v>2.4745290633148361E-3</v>
      </c>
      <c r="AF58" s="45">
        <v>2.2000000000000001E-4</v>
      </c>
      <c r="AG58" s="36">
        <f t="shared" si="546"/>
        <v>3.29054</v>
      </c>
      <c r="AH58" s="27">
        <v>0.20979999999999999</v>
      </c>
      <c r="AI58" s="40">
        <f t="shared" si="547"/>
        <v>29.750479199999997</v>
      </c>
      <c r="AJ58" s="27">
        <f t="shared" si="548"/>
        <v>0.89617784321477434</v>
      </c>
      <c r="AK58" s="28">
        <f t="shared" si="6"/>
        <v>0.9119378710933117</v>
      </c>
      <c r="AL58" s="42">
        <v>156</v>
      </c>
      <c r="AM58" s="38">
        <v>9.0999999999999998E-2</v>
      </c>
      <c r="AN58" s="27">
        <v>0.23780000000000001</v>
      </c>
      <c r="AO58" s="105">
        <v>0.22339999999999999</v>
      </c>
      <c r="AP58" s="40">
        <f>AL58*(1-AM58)*AN58</f>
        <v>33.7209912</v>
      </c>
      <c r="AQ58" s="106">
        <f t="shared" si="21"/>
        <v>31.679013599999998</v>
      </c>
      <c r="AR58" s="17">
        <v>1.55</v>
      </c>
      <c r="AS58" s="17"/>
      <c r="AT58" s="129">
        <f>AT57+AL58-AS58</f>
        <v>751.60999999999945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0">SUM(D56:D58)</f>
        <v>44490</v>
      </c>
      <c r="E59" s="49"/>
      <c r="F59" s="49">
        <f t="shared" ref="F59" si="551">SUM(F56:F58)</f>
        <v>50064</v>
      </c>
      <c r="G59" s="50"/>
      <c r="H59" s="50"/>
      <c r="I59" s="49">
        <f t="shared" ref="I59:K59" si="552">SUM(I56:I58)</f>
        <v>49311</v>
      </c>
      <c r="J59" s="50"/>
      <c r="K59" s="49">
        <f t="shared" si="552"/>
        <v>48271</v>
      </c>
      <c r="L59" s="20">
        <f t="shared" ref="L59" si="553">IF(K59&gt;0,(K56*L56+K57*L57+K58*L58)/K59,0)</f>
        <v>6.433736612044498E-2</v>
      </c>
      <c r="M59" s="50">
        <f t="shared" ref="M59" si="554">M56+M57+M58</f>
        <v>45165</v>
      </c>
      <c r="N59" s="51">
        <f t="shared" ref="N59" si="555">IF(M59&gt;0,O59/M59,0)</f>
        <v>0.76800265692460989</v>
      </c>
      <c r="O59" s="52">
        <f t="shared" ref="O59" si="556">O56+O57+O58</f>
        <v>34686.840000000004</v>
      </c>
      <c r="P59" s="20">
        <f t="shared" ref="P59" si="557">IF(M59&gt;0,Q59/M59,0)</f>
        <v>0.20427434960699656</v>
      </c>
      <c r="Q59" s="52">
        <f t="shared" ref="Q59" si="558">Q56+Q57+Q58</f>
        <v>9226.0509999999995</v>
      </c>
      <c r="R59" s="20">
        <f t="shared" ref="R59" si="559">IF(M59&gt;0,T59/M59,0)</f>
        <v>2.7722993468393665E-2</v>
      </c>
      <c r="S59" s="107"/>
      <c r="T59" s="52">
        <f t="shared" ref="T59" si="560">T56+T57+T58</f>
        <v>1252.1089999999999</v>
      </c>
      <c r="U59" s="20">
        <f t="shared" ref="U59" si="561">IF(M59&gt;0,V59/M59,0)</f>
        <v>0.23570443927820214</v>
      </c>
      <c r="V59" s="52">
        <f t="shared" ref="V59" si="562">V56+V57+V58</f>
        <v>10645.591</v>
      </c>
      <c r="W59" s="20">
        <f t="shared" ref="W59" si="563">IF(M59&gt;0,X59/M59,0)</f>
        <v>0.47627727222406729</v>
      </c>
      <c r="X59" s="52">
        <f t="shared" ref="X59" si="564">X56+X57+X58</f>
        <v>21511.062999999998</v>
      </c>
      <c r="Y59" s="20">
        <f t="shared" ref="Y59" si="565">IF(M59&gt;0,Z59/M59,0)</f>
        <v>0.42668836488431311</v>
      </c>
      <c r="Z59" s="52">
        <f t="shared" ref="Z59" si="566">Z56+Z57+Z58</f>
        <v>19271.38</v>
      </c>
      <c r="AA59" s="119">
        <f t="shared" ref="AA59" si="567">IF(M59&gt;0,AB59/M59,0)</f>
        <v>2.4109587069633567E-3</v>
      </c>
      <c r="AB59" s="54">
        <f t="shared" ref="AB59" si="568">SUM(AB56:AB58)</f>
        <v>108.89095</v>
      </c>
      <c r="AC59" s="53">
        <f t="shared" ref="AC59" si="569">IF(M59&gt;0,AD59/M59,0)</f>
        <v>2.4345107937562274E-3</v>
      </c>
      <c r="AD59" s="54">
        <f t="shared" ref="AD59" si="570">SUM(AD56:AD58)</f>
        <v>109.95468000000001</v>
      </c>
      <c r="AE59" s="53">
        <f t="shared" ref="AE59" si="571">IF(M59&gt;0,(AE56*M56+AE57*M57+AE58*M58)/M59,0)</f>
        <v>2.6990358286283628E-3</v>
      </c>
      <c r="AF59" s="53">
        <f t="shared" ref="AF59" si="572">IF(K59&gt;0,(K56*AF56+K57*AF57+K58*AF58)/K59,0)</f>
        <v>2.3006318493505419E-4</v>
      </c>
      <c r="AG59" s="50">
        <f t="shared" ref="AG59" si="573">SUM(AG56:AG58)</f>
        <v>10.389990000000001</v>
      </c>
      <c r="AH59" s="51">
        <f t="shared" ref="AH59" si="574">IF(K59&gt;0,(K56*AH56+K57*AH57+K58*AH58)/K59,0)</f>
        <v>0.21436867270203641</v>
      </c>
      <c r="AI59" s="56">
        <f t="shared" ref="AI59" si="575">SUM(AI56:AI58)</f>
        <v>102.39853650000001</v>
      </c>
      <c r="AJ59" s="51">
        <f t="shared" ref="AJ59" si="576">IF(AND(AD59&gt;0),((AD56*AJ56+AD57*AJ57+AD58*AJ58)/AD59),0)</f>
        <v>0.90648331526779935</v>
      </c>
      <c r="AK59" s="55">
        <f t="shared" si="6"/>
        <v>0.91566144848666453</v>
      </c>
      <c r="AL59" s="49">
        <f t="shared" ref="AL59" si="577">SUM(AL56:AL58)</f>
        <v>527</v>
      </c>
      <c r="AM59" s="20">
        <f t="shared" ref="AM59" si="578">IF(AL59&gt;0,(AM56*AL56+AM57*AL57+AM58*AL58)/AL59,0)</f>
        <v>9.4506641366223915E-2</v>
      </c>
      <c r="AN59" s="51">
        <f>IF(K59&gt;0,(AN56*K56+AN57*K57+AN58*K58)/K59,0)</f>
        <v>0.23394334072217274</v>
      </c>
      <c r="AO59" s="107">
        <f>IF(L59&gt;0,(AO56*K56+AO57*K57+AO58*K58)/K59,0)</f>
        <v>0.21965262372853267</v>
      </c>
      <c r="AP59" s="56">
        <f t="shared" ref="AP59:AQ71" si="579">SUM(AP56:AP58)</f>
        <v>111.51196320000001</v>
      </c>
      <c r="AQ59" s="108">
        <f t="shared" si="579"/>
        <v>104.71109580000001</v>
      </c>
      <c r="AR59" s="54"/>
      <c r="AS59" s="54">
        <f t="shared" ref="AS59" si="580">SUM(AS56:AS58)</f>
        <v>504.94</v>
      </c>
      <c r="AT59" s="83"/>
      <c r="AU59" s="84">
        <f>AT58</f>
        <v>751.60999999999945</v>
      </c>
      <c r="AV59" s="49">
        <f t="shared" ref="AV59" si="581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43" t="s">
        <v>57</v>
      </c>
      <c r="D60" s="11">
        <v>12788</v>
      </c>
      <c r="E60" s="11">
        <v>4</v>
      </c>
      <c r="F60" s="11">
        <v>17529</v>
      </c>
      <c r="G60" s="12">
        <v>0.7</v>
      </c>
      <c r="H60" s="12">
        <v>5.2</v>
      </c>
      <c r="I60" s="11">
        <v>17021</v>
      </c>
      <c r="J60" s="12">
        <v>3.6</v>
      </c>
      <c r="K60" s="11">
        <v>16681</v>
      </c>
      <c r="L60" s="13">
        <v>6.4000000000000001E-2</v>
      </c>
      <c r="M60" s="23">
        <f>ROUND(K60*(1-L60),0)</f>
        <v>15613</v>
      </c>
      <c r="N60" s="14">
        <v>0.66100000000000003</v>
      </c>
      <c r="O60" s="24">
        <f t="shared" ref="O60:O62" si="582">M60*N60</f>
        <v>10320.193000000001</v>
      </c>
      <c r="P60" s="13">
        <v>0.29599999999999999</v>
      </c>
      <c r="Q60" s="24">
        <f t="shared" ref="Q60:Q62" si="583">M60*P60</f>
        <v>4621.4479999999994</v>
      </c>
      <c r="R60" s="15">
        <v>4.2999999999999997E-2</v>
      </c>
      <c r="S60" s="112">
        <v>0.17949999999999999</v>
      </c>
      <c r="T60" s="24">
        <f t="shared" ref="T60:T62" si="584">M60*R60</f>
        <v>671.35899999999992</v>
      </c>
      <c r="U60" s="25">
        <v>0.23599999999999999</v>
      </c>
      <c r="V60" s="24">
        <f t="shared" ref="V60:V62" si="585">M60*U60</f>
        <v>3684.6679999999997</v>
      </c>
      <c r="W60" s="15">
        <v>0.48399999999999999</v>
      </c>
      <c r="X60" s="24">
        <f t="shared" ref="X60:X62" si="586">M60*W60</f>
        <v>7556.692</v>
      </c>
      <c r="Y60" s="15">
        <v>0.43</v>
      </c>
      <c r="Z60" s="24">
        <f t="shared" ref="Z60:Z62" si="587">Y60*M60</f>
        <v>6713.59</v>
      </c>
      <c r="AA60" s="116">
        <v>2.15E-3</v>
      </c>
      <c r="AB60" s="18">
        <f t="shared" ref="AB60" si="588">M60*AA60</f>
        <v>33.567950000000003</v>
      </c>
      <c r="AC60" s="16">
        <v>2.1700000000000001E-3</v>
      </c>
      <c r="AD60" s="17">
        <f t="shared" ref="AD60:AD62" si="589">M60*AC60</f>
        <v>33.880209999999998</v>
      </c>
      <c r="AE60" s="26">
        <f>IF(M60&gt;0,(AG60+AP60)/M60,0)</f>
        <v>2.4127960033305581E-3</v>
      </c>
      <c r="AF60" s="16">
        <v>2.5000000000000001E-4</v>
      </c>
      <c r="AG60" s="23">
        <f t="shared" ref="AG60:AG62" si="590">AF60*M60</f>
        <v>3.9032499999999999</v>
      </c>
      <c r="AH60" s="92">
        <v>0.20810000000000001</v>
      </c>
      <c r="AI60" s="29">
        <f t="shared" ref="AI60:AI62" si="591">AL60*(1-AM60)*AH60</f>
        <v>31.624957000000002</v>
      </c>
      <c r="AJ60" s="27">
        <f t="shared" ref="AJ60:AJ62" si="592">IF(AND(AH60&gt;0,AF60&gt;0,AC60&gt;0),((AC60-AF60)*AH60)/((AH60-AF60)*AC60),0)</f>
        <v>0.88585684687091559</v>
      </c>
      <c r="AK60" s="58">
        <f t="shared" si="6"/>
        <v>0.8973954408513759</v>
      </c>
      <c r="AL60" s="11">
        <v>167</v>
      </c>
      <c r="AM60" s="13">
        <v>0.09</v>
      </c>
      <c r="AN60" s="14">
        <v>0.22220000000000001</v>
      </c>
      <c r="AO60" s="101">
        <v>0.215</v>
      </c>
      <c r="AP60" s="29">
        <f>AL60*(1-AM60)*AN60</f>
        <v>33.767734000000004</v>
      </c>
      <c r="AQ60" s="102">
        <f t="shared" ref="AQ60" si="593">AL60*(1-AM60)*AO60</f>
        <v>32.673549999999999</v>
      </c>
      <c r="AR60" s="18">
        <v>1.55</v>
      </c>
      <c r="AS60" s="18"/>
      <c r="AT60" s="79">
        <f>AT58+AL60-AS60</f>
        <v>918.60999999999945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54</v>
      </c>
      <c r="D61" s="33">
        <v>20412</v>
      </c>
      <c r="E61" s="33">
        <v>5</v>
      </c>
      <c r="F61" s="33">
        <v>16561</v>
      </c>
      <c r="G61" s="34">
        <v>1</v>
      </c>
      <c r="H61" s="34">
        <v>5.0999999999999996</v>
      </c>
      <c r="I61" s="33">
        <v>16239</v>
      </c>
      <c r="J61" s="34">
        <v>3.9</v>
      </c>
      <c r="K61" s="33">
        <v>16932</v>
      </c>
      <c r="L61" s="35">
        <v>6.8000000000000005E-2</v>
      </c>
      <c r="M61" s="36">
        <f>ROUND(K61*(1-L61),0)</f>
        <v>15781</v>
      </c>
      <c r="N61" s="37">
        <v>0.64100000000000001</v>
      </c>
      <c r="O61" s="24">
        <f t="shared" si="582"/>
        <v>10115.621000000001</v>
      </c>
      <c r="P61" s="35">
        <v>0.33500000000000002</v>
      </c>
      <c r="Q61" s="24">
        <f t="shared" si="583"/>
        <v>5286.6350000000002</v>
      </c>
      <c r="R61" s="38">
        <v>2.4E-2</v>
      </c>
      <c r="S61" s="105">
        <v>0.18629999999999999</v>
      </c>
      <c r="T61" s="24">
        <f t="shared" si="584"/>
        <v>378.74400000000003</v>
      </c>
      <c r="U61" s="27">
        <v>0.25700000000000001</v>
      </c>
      <c r="V61" s="24">
        <f t="shared" si="585"/>
        <v>4055.7170000000001</v>
      </c>
      <c r="W61" s="38">
        <v>0.47499999999999998</v>
      </c>
      <c r="X61" s="24">
        <f t="shared" si="586"/>
        <v>7495.9749999999995</v>
      </c>
      <c r="Y61" s="38">
        <v>0.43</v>
      </c>
      <c r="Z61" s="24">
        <f t="shared" si="587"/>
        <v>6785.83</v>
      </c>
      <c r="AA61" s="117">
        <v>2.31E-3</v>
      </c>
      <c r="AB61" s="18">
        <f t="shared" si="61"/>
        <v>36.45411</v>
      </c>
      <c r="AC61" s="39">
        <v>2.2699999999999999E-3</v>
      </c>
      <c r="AD61" s="17">
        <f t="shared" si="589"/>
        <v>35.822869999999995</v>
      </c>
      <c r="AE61" s="26">
        <f>IF(M61&gt;0,(AG61+AP61)/M61,0)</f>
        <v>2.5809122045497754E-3</v>
      </c>
      <c r="AF61" s="39">
        <v>2.4000000000000001E-4</v>
      </c>
      <c r="AG61" s="36">
        <f t="shared" si="590"/>
        <v>3.7874400000000001</v>
      </c>
      <c r="AH61" s="27">
        <v>0.2092</v>
      </c>
      <c r="AI61" s="40">
        <f t="shared" si="591"/>
        <v>33.880986</v>
      </c>
      <c r="AJ61" s="27">
        <f t="shared" si="592"/>
        <v>0.8953002408403099</v>
      </c>
      <c r="AK61" s="28">
        <f t="shared" si="6"/>
        <v>0.9079649561551959</v>
      </c>
      <c r="AL61" s="33">
        <v>177</v>
      </c>
      <c r="AM61" s="35">
        <v>8.5000000000000006E-2</v>
      </c>
      <c r="AN61" s="37">
        <v>0.2281</v>
      </c>
      <c r="AO61" s="103">
        <v>0.22</v>
      </c>
      <c r="AP61" s="40">
        <f>AL61*(1-AM61)*AN61</f>
        <v>36.9419355</v>
      </c>
      <c r="AQ61" s="104">
        <f t="shared" si="21"/>
        <v>35.630100000000006</v>
      </c>
      <c r="AR61" s="41">
        <v>1.55</v>
      </c>
      <c r="AS61" s="41"/>
      <c r="AT61" s="129">
        <f>AT60+AL61-AS61</f>
        <v>1095.6099999999994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55</v>
      </c>
      <c r="D62" s="42">
        <v>20000</v>
      </c>
      <c r="E62" s="42">
        <v>4</v>
      </c>
      <c r="F62" s="42">
        <v>22486</v>
      </c>
      <c r="G62" s="36">
        <v>0.5</v>
      </c>
      <c r="H62" s="36">
        <v>4.9000000000000004</v>
      </c>
      <c r="I62" s="42">
        <v>18352</v>
      </c>
      <c r="J62" s="36">
        <v>2.8</v>
      </c>
      <c r="K62" s="42">
        <v>16920</v>
      </c>
      <c r="L62" s="38">
        <v>6.2E-2</v>
      </c>
      <c r="M62" s="36">
        <f>ROUND(K62*(1-L62),0)</f>
        <v>15871</v>
      </c>
      <c r="N62" s="27">
        <v>0.68899999999999995</v>
      </c>
      <c r="O62" s="24">
        <f t="shared" si="582"/>
        <v>10935.118999999999</v>
      </c>
      <c r="P62" s="38">
        <v>0.28599999999999998</v>
      </c>
      <c r="Q62" s="24">
        <f t="shared" si="583"/>
        <v>4539.1059999999998</v>
      </c>
      <c r="R62" s="38">
        <v>2.5000000000000001E-2</v>
      </c>
      <c r="S62" s="105">
        <v>0.1812</v>
      </c>
      <c r="T62" s="24">
        <f t="shared" si="584"/>
        <v>396.77500000000003</v>
      </c>
      <c r="U62" s="27">
        <v>0.249</v>
      </c>
      <c r="V62" s="24">
        <f t="shared" si="585"/>
        <v>3951.8789999999999</v>
      </c>
      <c r="W62" s="38">
        <v>0.47899999999999998</v>
      </c>
      <c r="X62" s="24">
        <f t="shared" si="586"/>
        <v>7602.2089999999998</v>
      </c>
      <c r="Y62" s="38">
        <v>0.43</v>
      </c>
      <c r="Z62" s="24">
        <f t="shared" si="587"/>
        <v>6824.53</v>
      </c>
      <c r="AA62" s="118">
        <v>2.3800000000000002E-3</v>
      </c>
      <c r="AB62" s="121">
        <f t="shared" si="61"/>
        <v>37.772980000000004</v>
      </c>
      <c r="AC62" s="45">
        <v>2.3400000000000001E-3</v>
      </c>
      <c r="AD62" s="17">
        <f t="shared" si="589"/>
        <v>37.13814</v>
      </c>
      <c r="AE62" s="26">
        <f>IF(M62&gt;0,(AG62+AP62)/M62,0)</f>
        <v>2.560575137042405E-3</v>
      </c>
      <c r="AF62" s="45">
        <v>2.4000000000000001E-4</v>
      </c>
      <c r="AG62" s="36">
        <f t="shared" si="590"/>
        <v>3.80904</v>
      </c>
      <c r="AH62" s="27">
        <v>0.2102</v>
      </c>
      <c r="AI62" s="40">
        <f t="shared" si="591"/>
        <v>33.850608000000001</v>
      </c>
      <c r="AJ62" s="27">
        <f t="shared" si="592"/>
        <v>0.89846173385895223</v>
      </c>
      <c r="AK62" s="28">
        <f t="shared" si="6"/>
        <v>0.90722310615077373</v>
      </c>
      <c r="AL62" s="42">
        <v>176</v>
      </c>
      <c r="AM62" s="38">
        <v>8.5000000000000006E-2</v>
      </c>
      <c r="AN62" s="27">
        <v>0.22869999999999999</v>
      </c>
      <c r="AO62" s="105">
        <v>0.22439999999999999</v>
      </c>
      <c r="AP62" s="40">
        <f>AL62*(1-AM62)*AN62</f>
        <v>36.829848000000005</v>
      </c>
      <c r="AQ62" s="106">
        <f t="shared" si="21"/>
        <v>36.137376000000003</v>
      </c>
      <c r="AR62" s="17">
        <v>1.55</v>
      </c>
      <c r="AS62" s="17"/>
      <c r="AT62" s="129">
        <f>AT61+AL62-AS62</f>
        <v>1271.6099999999994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4">SUM(D60:D62)</f>
        <v>53200</v>
      </c>
      <c r="E63" s="49"/>
      <c r="F63" s="49">
        <f t="shared" ref="F63" si="595">SUM(F60:F62)</f>
        <v>56576</v>
      </c>
      <c r="G63" s="50"/>
      <c r="H63" s="50"/>
      <c r="I63" s="49">
        <f t="shared" ref="I63:K63" si="596">SUM(I60:I62)</f>
        <v>51612</v>
      </c>
      <c r="J63" s="50"/>
      <c r="K63" s="49">
        <f t="shared" si="596"/>
        <v>50533</v>
      </c>
      <c r="L63" s="20">
        <f t="shared" ref="L63" si="597">IF(K63&gt;0,(K60*L60+K61*L61+K62*L62)/K63,0)</f>
        <v>6.4670611283715596E-2</v>
      </c>
      <c r="M63" s="50">
        <f t="shared" ref="M63" si="598">M60+M61+M62</f>
        <v>47265</v>
      </c>
      <c r="N63" s="51">
        <f t="shared" ref="N63" si="599">IF(M63&gt;0,O63/M63,0)</f>
        <v>0.66372438379350474</v>
      </c>
      <c r="O63" s="52">
        <f t="shared" ref="O63" si="600">O60+O61+O62</f>
        <v>31370.933000000001</v>
      </c>
      <c r="P63" s="20">
        <f t="shared" ref="P63" si="601">IF(M63&gt;0,Q63/M63,0)</f>
        <v>0.30566357770020097</v>
      </c>
      <c r="Q63" s="52">
        <f t="shared" ref="Q63" si="602">Q60+Q61+Q62</f>
        <v>14447.188999999998</v>
      </c>
      <c r="R63" s="20">
        <f t="shared" ref="R63" si="603">IF(M63&gt;0,T63/M63,0)</f>
        <v>3.0612038506294303E-2</v>
      </c>
      <c r="S63" s="107"/>
      <c r="T63" s="52">
        <f t="shared" ref="T63" si="604">T60+T61+T62</f>
        <v>1446.8780000000002</v>
      </c>
      <c r="U63" s="20">
        <f t="shared" ref="U63" si="605">IF(M63&gt;0,V63/M63,0)</f>
        <v>0.24737679043689834</v>
      </c>
      <c r="V63" s="52">
        <f t="shared" ref="V63" si="606">V60+V61+V62</f>
        <v>11692.263999999999</v>
      </c>
      <c r="W63" s="20">
        <f t="shared" ref="W63" si="607">IF(M63&gt;0,X63/M63,0)</f>
        <v>0.47931611128742196</v>
      </c>
      <c r="X63" s="52">
        <f t="shared" ref="X63" si="608">X60+X61+X62</f>
        <v>22654.876</v>
      </c>
      <c r="Y63" s="20">
        <f t="shared" ref="Y63" si="609">IF(M63&gt;0,Z63/M63,0)</f>
        <v>0.43</v>
      </c>
      <c r="Z63" s="52">
        <f t="shared" ref="Z63" si="610">Z60+Z61+Z62</f>
        <v>20323.95</v>
      </c>
      <c r="AA63" s="119">
        <f t="shared" ref="AA63" si="611">IF(M63&gt;0,AB63/M63,0)</f>
        <v>2.2806524912726122E-3</v>
      </c>
      <c r="AB63" s="54">
        <f t="shared" ref="AB63" si="612">SUM(AB60:AB62)</f>
        <v>107.79504000000001</v>
      </c>
      <c r="AC63" s="53">
        <f t="shared" ref="AC63" si="613">IF(M63&gt;0,AD63/M63,0)</f>
        <v>2.2604722310377657E-3</v>
      </c>
      <c r="AD63" s="54">
        <f t="shared" ref="AD63" si="614">SUM(AD60:AD62)</f>
        <v>106.84121999999999</v>
      </c>
      <c r="AE63" s="53">
        <f t="shared" ref="AE63" si="615">IF(M63&gt;0,(AE60*M60+AE61*M61+AE62*M62)/M63,0)</f>
        <v>2.518549613879192E-3</v>
      </c>
      <c r="AF63" s="53">
        <f t="shared" ref="AF63" si="616">IF(K63&gt;0,(K60*AF60+K61*AF61+K62*AF62)/K63,0)</f>
        <v>2.4330101122039066E-4</v>
      </c>
      <c r="AG63" s="50">
        <f t="shared" ref="AG63" si="617">SUM(AG60:AG62)</f>
        <v>11.49973</v>
      </c>
      <c r="AH63" s="51">
        <f t="shared" ref="AH63" si="618">IF(K63&gt;0,(K60*AH60+K61*AH61+K62*AH62)/K63,0)</f>
        <v>0.20917171947044502</v>
      </c>
      <c r="AI63" s="56">
        <f t="shared" ref="AI63" si="619">SUM(AI60:AI62)</f>
        <v>99.356550999999996</v>
      </c>
      <c r="AJ63" s="51">
        <f t="shared" ref="AJ63" si="620">IF(AND(AD63&gt;0),((AD60*AJ60+AD61*AJ61+AD62*AJ62)/AD63),0)</f>
        <v>0.89340460355293672</v>
      </c>
      <c r="AK63" s="55">
        <f t="shared" si="6"/>
        <v>0.9043684605310871</v>
      </c>
      <c r="AL63" s="49">
        <f t="shared" ref="AL63" si="621">SUM(AL60:AL62)</f>
        <v>520</v>
      </c>
      <c r="AM63" s="20">
        <f t="shared" ref="AM63" si="622">IF(AL63&gt;0,(AM60*AL60+AM61*AL61+AM62*AL62)/AL63,0)</f>
        <v>8.6605769230769236E-2</v>
      </c>
      <c r="AN63" s="51">
        <f>IF(K63&gt;0,(AN60*K60+AN61*K61+AN62*K62)/K63,0)</f>
        <v>0.22635330180278232</v>
      </c>
      <c r="AO63" s="107">
        <f>IF(L63&gt;0,(AO60*K60+AO61*K61+AO62*K62)/K63,0)</f>
        <v>0.21982274949043198</v>
      </c>
      <c r="AP63" s="56">
        <f t="shared" ref="AP63" si="623">SUM(AP60:AP62)</f>
        <v>107.53951750000002</v>
      </c>
      <c r="AQ63" s="108">
        <f t="shared" si="579"/>
        <v>104.44102600000001</v>
      </c>
      <c r="AR63" s="54"/>
      <c r="AS63" s="54">
        <f t="shared" ref="AS63" si="624">SUM(AS60:AS62)</f>
        <v>0</v>
      </c>
      <c r="AT63" s="83"/>
      <c r="AU63" s="84">
        <f>AT62</f>
        <v>1271.6099999999994</v>
      </c>
      <c r="AV63" s="49">
        <f t="shared" ref="AV63" si="625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43" t="s">
        <v>57</v>
      </c>
      <c r="D64" s="11">
        <v>10270</v>
      </c>
      <c r="E64" s="11">
        <v>3</v>
      </c>
      <c r="F64" s="11">
        <v>13882</v>
      </c>
      <c r="G64" s="12">
        <v>1</v>
      </c>
      <c r="H64" s="12">
        <v>4.3</v>
      </c>
      <c r="I64" s="11">
        <v>13236</v>
      </c>
      <c r="J64" s="12">
        <v>4.5</v>
      </c>
      <c r="K64" s="11">
        <v>16899</v>
      </c>
      <c r="L64" s="13">
        <v>7.0000000000000007E-2</v>
      </c>
      <c r="M64" s="23">
        <f>ROUND(K64*(1-L64),0)</f>
        <v>15716</v>
      </c>
      <c r="N64" s="14">
        <v>0.66600000000000004</v>
      </c>
      <c r="O64" s="24">
        <f t="shared" ref="O64:O66" si="626">M64*N64</f>
        <v>10466.856</v>
      </c>
      <c r="P64" s="13">
        <v>0.29699999999999999</v>
      </c>
      <c r="Q64" s="24">
        <f t="shared" ref="Q64:Q66" si="627">M64*P64</f>
        <v>4667.652</v>
      </c>
      <c r="R64" s="15">
        <v>3.6999999999999998E-2</v>
      </c>
      <c r="S64" s="112">
        <v>0.18390000000000001</v>
      </c>
      <c r="T64" s="24">
        <f t="shared" ref="T64:T66" si="628">M64*R64</f>
        <v>581.49199999999996</v>
      </c>
      <c r="U64" s="25">
        <v>0.25800000000000001</v>
      </c>
      <c r="V64" s="24">
        <f t="shared" ref="V64:V66" si="629">M64*U64</f>
        <v>4054.7280000000001</v>
      </c>
      <c r="W64" s="15">
        <v>0.47399999999999998</v>
      </c>
      <c r="X64" s="24">
        <f t="shared" ref="X64:X66" si="630">M64*W64</f>
        <v>7449.384</v>
      </c>
      <c r="Y64" s="15">
        <v>0.43</v>
      </c>
      <c r="Z64" s="24">
        <f t="shared" ref="Z64:Z66" si="631">Y64*M64</f>
        <v>6757.88</v>
      </c>
      <c r="AA64" s="116">
        <v>2.48E-3</v>
      </c>
      <c r="AB64" s="18">
        <f t="shared" ref="AB64" si="632">M64*AA64</f>
        <v>38.975679999999997</v>
      </c>
      <c r="AC64" s="16">
        <v>2.4599999999999999E-3</v>
      </c>
      <c r="AD64" s="17">
        <f t="shared" ref="AD64:AD66" si="633">M64*AC64</f>
        <v>38.661360000000002</v>
      </c>
      <c r="AE64" s="26">
        <f>IF(M64&gt;0,(AG64+AP64)/M64,0)</f>
        <v>2.5359376431662002E-3</v>
      </c>
      <c r="AF64" s="16">
        <v>2.4000000000000001E-4</v>
      </c>
      <c r="AG64" s="23">
        <f t="shared" ref="AG64:AG66" si="634">AF64*M64</f>
        <v>3.7718400000000001</v>
      </c>
      <c r="AH64" s="92">
        <v>0.215</v>
      </c>
      <c r="AI64" s="29">
        <f t="shared" ref="AI64:AI66" si="635">AL64*(1-AM64)*AH64</f>
        <v>33.847450000000002</v>
      </c>
      <c r="AJ64" s="27">
        <f t="shared" ref="AJ64:AJ66" si="636">IF(AND(AH64&gt;0,AF64&gt;0,AC64&gt;0),((AC64-AF64)*AH64)/((AH64-AF64)*AC64),0)</f>
        <v>0.90344752395186445</v>
      </c>
      <c r="AK64" s="58">
        <f t="shared" si="6"/>
        <v>0.90630946411145707</v>
      </c>
      <c r="AL64" s="11">
        <v>173</v>
      </c>
      <c r="AM64" s="13">
        <v>0.09</v>
      </c>
      <c r="AN64" s="14">
        <v>0.22919999999999999</v>
      </c>
      <c r="AO64" s="101">
        <v>0.22600000000000001</v>
      </c>
      <c r="AP64" s="29">
        <f>AL64*(1-AM64)*AN64</f>
        <v>36.082956000000003</v>
      </c>
      <c r="AQ64" s="102">
        <f t="shared" ref="AQ64" si="637">AL64*(1-AM64)*AO64</f>
        <v>35.579180000000001</v>
      </c>
      <c r="AR64" s="18">
        <v>1.55</v>
      </c>
      <c r="AS64" s="18"/>
      <c r="AT64" s="79">
        <f>AT62+AL64-AS64</f>
        <v>1444.6099999999994</v>
      </c>
      <c r="AU64" s="80"/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58</v>
      </c>
      <c r="D65" s="33">
        <v>20130</v>
      </c>
      <c r="E65" s="33">
        <v>2</v>
      </c>
      <c r="F65" s="33">
        <v>16122</v>
      </c>
      <c r="G65" s="34">
        <v>0.6</v>
      </c>
      <c r="H65" s="34">
        <v>5.4</v>
      </c>
      <c r="I65" s="33">
        <v>15861</v>
      </c>
      <c r="J65" s="34">
        <v>4.0999999999999996</v>
      </c>
      <c r="K65" s="33">
        <v>16934</v>
      </c>
      <c r="L65" s="35">
        <v>7.0999999999999994E-2</v>
      </c>
      <c r="M65" s="36">
        <f>ROUND(K65*(1-L65),0)</f>
        <v>15732</v>
      </c>
      <c r="N65" s="37">
        <v>0.66700000000000004</v>
      </c>
      <c r="O65" s="24">
        <f t="shared" si="626"/>
        <v>10493.244000000001</v>
      </c>
      <c r="P65" s="35">
        <v>0.316</v>
      </c>
      <c r="Q65" s="24">
        <f t="shared" si="627"/>
        <v>4971.3119999999999</v>
      </c>
      <c r="R65" s="38">
        <v>1.7000000000000001E-2</v>
      </c>
      <c r="S65" s="105">
        <v>0.19789999999999999</v>
      </c>
      <c r="T65" s="24">
        <f t="shared" si="628"/>
        <v>267.44400000000002</v>
      </c>
      <c r="U65" s="27">
        <v>0.26500000000000001</v>
      </c>
      <c r="V65" s="24">
        <f t="shared" si="629"/>
        <v>4168.9800000000005</v>
      </c>
      <c r="W65" s="38">
        <v>0.47599999999999998</v>
      </c>
      <c r="X65" s="24">
        <f t="shared" si="630"/>
        <v>7488.4319999999998</v>
      </c>
      <c r="Y65" s="38">
        <v>0.44</v>
      </c>
      <c r="Z65" s="24">
        <f t="shared" si="631"/>
        <v>6922.08</v>
      </c>
      <c r="AA65" s="117">
        <v>2.5100000000000001E-3</v>
      </c>
      <c r="AB65" s="18">
        <f t="shared" si="61"/>
        <v>39.487320000000004</v>
      </c>
      <c r="AC65" s="39">
        <v>2.4499999999999999E-3</v>
      </c>
      <c r="AD65" s="17">
        <f t="shared" si="633"/>
        <v>38.543399999999998</v>
      </c>
      <c r="AE65" s="26">
        <f>IF(M65&gt;0,(AG65+AP65)/M65,0)</f>
        <v>2.716796109839817E-3</v>
      </c>
      <c r="AF65" s="39">
        <v>2.5999999999999998E-4</v>
      </c>
      <c r="AG65" s="36">
        <f t="shared" si="634"/>
        <v>4.0903199999999993</v>
      </c>
      <c r="AH65" s="27">
        <v>0.20860000000000001</v>
      </c>
      <c r="AI65" s="40">
        <f t="shared" si="635"/>
        <v>35.268836400000005</v>
      </c>
      <c r="AJ65" s="27">
        <f t="shared" si="636"/>
        <v>0.89499307450733012</v>
      </c>
      <c r="AK65" s="28">
        <f t="shared" si="6"/>
        <v>0.90532872117728913</v>
      </c>
      <c r="AL65" s="33">
        <v>186</v>
      </c>
      <c r="AM65" s="35">
        <v>9.0999999999999998E-2</v>
      </c>
      <c r="AN65" s="37">
        <v>0.2286</v>
      </c>
      <c r="AO65" s="103">
        <v>0.223</v>
      </c>
      <c r="AP65" s="40">
        <f>AL65*(1-AM65)*AN65</f>
        <v>38.650316400000001</v>
      </c>
      <c r="AQ65" s="104">
        <f t="shared" si="21"/>
        <v>37.703502</v>
      </c>
      <c r="AR65" s="41">
        <v>1.55</v>
      </c>
      <c r="AS65" s="41"/>
      <c r="AT65" s="129">
        <f>AT64+AL65-AS65</f>
        <v>1630.6099999999994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43" t="s">
        <v>55</v>
      </c>
      <c r="D66" s="42">
        <v>19200</v>
      </c>
      <c r="E66" s="42">
        <v>1</v>
      </c>
      <c r="F66" s="42">
        <v>18105</v>
      </c>
      <c r="G66" s="36">
        <v>0.7</v>
      </c>
      <c r="H66" s="36">
        <v>5.7</v>
      </c>
      <c r="I66" s="42">
        <v>17612</v>
      </c>
      <c r="J66" s="36">
        <v>3.5</v>
      </c>
      <c r="K66" s="42">
        <v>16954</v>
      </c>
      <c r="L66" s="38">
        <v>6.9000000000000006E-2</v>
      </c>
      <c r="M66" s="36">
        <f>ROUND(K66*(1-L66),0)</f>
        <v>15784</v>
      </c>
      <c r="N66" s="27">
        <v>0.65</v>
      </c>
      <c r="O66" s="24">
        <f t="shared" si="626"/>
        <v>10259.6</v>
      </c>
      <c r="P66" s="38">
        <v>0.27400000000000002</v>
      </c>
      <c r="Q66" s="24">
        <f t="shared" si="627"/>
        <v>4324.8160000000007</v>
      </c>
      <c r="R66" s="38">
        <v>7.5999999999999998E-2</v>
      </c>
      <c r="S66" s="105">
        <v>0.18390000000000001</v>
      </c>
      <c r="T66" s="24">
        <f t="shared" si="628"/>
        <v>1199.5840000000001</v>
      </c>
      <c r="U66" s="27">
        <v>0.26200000000000001</v>
      </c>
      <c r="V66" s="24">
        <f t="shared" si="629"/>
        <v>4135.4080000000004</v>
      </c>
      <c r="W66" s="38">
        <v>0.46899999999999997</v>
      </c>
      <c r="X66" s="24">
        <f t="shared" si="630"/>
        <v>7402.6959999999999</v>
      </c>
      <c r="Y66" s="38">
        <v>0.42</v>
      </c>
      <c r="Z66" s="24">
        <f t="shared" si="631"/>
        <v>6629.28</v>
      </c>
      <c r="AA66" s="118">
        <v>2.4199999999999998E-3</v>
      </c>
      <c r="AB66" s="121">
        <f t="shared" si="61"/>
        <v>38.197279999999999</v>
      </c>
      <c r="AC66" s="45">
        <v>2.4399999999999999E-3</v>
      </c>
      <c r="AD66" s="17">
        <f t="shared" si="633"/>
        <v>38.51296</v>
      </c>
      <c r="AE66" s="26">
        <f>IF(M66&gt;0,(AG66+AP66)/M66,0)</f>
        <v>2.5847916877850988E-3</v>
      </c>
      <c r="AF66" s="45">
        <v>2.3000000000000001E-4</v>
      </c>
      <c r="AG66" s="36">
        <f t="shared" si="634"/>
        <v>3.6303200000000002</v>
      </c>
      <c r="AH66" s="27">
        <v>0.20799999999999999</v>
      </c>
      <c r="AI66" s="40">
        <f t="shared" si="635"/>
        <v>33.496320000000004</v>
      </c>
      <c r="AJ66" s="27">
        <f t="shared" si="636"/>
        <v>0.90674035049791024</v>
      </c>
      <c r="AK66" s="28">
        <f t="shared" si="6"/>
        <v>0.91192674026720777</v>
      </c>
      <c r="AL66" s="42">
        <v>176</v>
      </c>
      <c r="AM66" s="38">
        <v>8.5000000000000006E-2</v>
      </c>
      <c r="AN66" s="27">
        <v>0.23080000000000001</v>
      </c>
      <c r="AO66" s="105">
        <v>0.22850000000000001</v>
      </c>
      <c r="AP66" s="40">
        <f>AL66*(1-AM66)*AN66</f>
        <v>37.168032000000004</v>
      </c>
      <c r="AQ66" s="106">
        <f t="shared" si="21"/>
        <v>36.797640000000008</v>
      </c>
      <c r="AR66" s="17">
        <v>1.55</v>
      </c>
      <c r="AS66" s="17"/>
      <c r="AT66" s="129">
        <f>AT65+AL66-AS66</f>
        <v>1806.6099999999994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38">SUM(D64:D66)</f>
        <v>49600</v>
      </c>
      <c r="E67" s="49"/>
      <c r="F67" s="49">
        <f t="shared" ref="F67" si="639">SUM(F64:F66)</f>
        <v>48109</v>
      </c>
      <c r="G67" s="50"/>
      <c r="H67" s="50"/>
      <c r="I67" s="49">
        <f t="shared" ref="I67:K67" si="640">SUM(I64:I66)</f>
        <v>46709</v>
      </c>
      <c r="J67" s="50"/>
      <c r="K67" s="49">
        <f t="shared" si="640"/>
        <v>50787</v>
      </c>
      <c r="L67" s="20">
        <f t="shared" ref="L67" si="641">IF(K67&gt;0,(K64*L64+K65*L65+K66*L66)/K67,0)</f>
        <v>6.9999606198436606E-2</v>
      </c>
      <c r="M67" s="50">
        <f t="shared" ref="M67" si="642">M64+M65+M66</f>
        <v>47232</v>
      </c>
      <c r="N67" s="51">
        <f t="shared" ref="N67" si="643">IF(M67&gt;0,O67/M67,0)</f>
        <v>0.66098619579945794</v>
      </c>
      <c r="O67" s="52">
        <f t="shared" ref="O67" si="644">O64+O65+O66</f>
        <v>31219.699999999997</v>
      </c>
      <c r="P67" s="20">
        <f t="shared" ref="P67" si="645">IF(M67&gt;0,Q67/M67,0)</f>
        <v>0.29564236111111114</v>
      </c>
      <c r="Q67" s="52">
        <f t="shared" ref="Q67" si="646">Q64+Q65+Q66</f>
        <v>13963.78</v>
      </c>
      <c r="R67" s="20">
        <f t="shared" ref="R67" si="647">IF(M67&gt;0,T67/M67,0)</f>
        <v>4.3371443089430896E-2</v>
      </c>
      <c r="S67" s="107"/>
      <c r="T67" s="52">
        <f t="shared" ref="T67" si="648">T64+T65+T66</f>
        <v>2048.52</v>
      </c>
      <c r="U67" s="20">
        <f t="shared" ref="U67" si="649">IF(M67&gt;0,V67/M67,0)</f>
        <v>0.26166827574525747</v>
      </c>
      <c r="V67" s="52">
        <f t="shared" ref="V67" si="650">V64+V65+V66</f>
        <v>12359.116000000002</v>
      </c>
      <c r="W67" s="20">
        <f t="shared" ref="W67" si="651">IF(M67&gt;0,X67/M67,0)</f>
        <v>0.47299525745257448</v>
      </c>
      <c r="X67" s="52">
        <f t="shared" ref="X67" si="652">X64+X65+X66</f>
        <v>22340.511999999999</v>
      </c>
      <c r="Y67" s="20">
        <f t="shared" ref="Y67" si="653">IF(M67&gt;0,Z67/M67,0)</f>
        <v>0.42998899051490508</v>
      </c>
      <c r="Z67" s="52">
        <f t="shared" ref="Z67" si="654">Z64+Z65+Z66</f>
        <v>20309.239999999998</v>
      </c>
      <c r="AA67" s="119">
        <f t="shared" ref="AA67" si="655">IF(M67&gt;0,AB67/M67,0)</f>
        <v>2.4699415650406504E-3</v>
      </c>
      <c r="AB67" s="54">
        <f t="shared" ref="AB67" si="656">SUM(AB64:AB66)</f>
        <v>116.66028</v>
      </c>
      <c r="AC67" s="53">
        <f t="shared" ref="AC67" si="657">IF(M67&gt;0,AD67/M67,0)</f>
        <v>2.4499856029810297E-3</v>
      </c>
      <c r="AD67" s="54">
        <f t="shared" ref="AD67" si="658">SUM(AD64:AD66)</f>
        <v>115.71771999999999</v>
      </c>
      <c r="AE67" s="53">
        <f t="shared" ref="AE67" si="659">IF(M67&gt;0,(AE64*M64+AE65*M65+AE66*M66)/M67,0)</f>
        <v>2.6125039041327912E-3</v>
      </c>
      <c r="AF67" s="53">
        <f t="shared" ref="AF67" si="660">IF(K67&gt;0,(K64*AF64+K65*AF65+K66*AF66)/K67,0)</f>
        <v>2.4333037982160788E-4</v>
      </c>
      <c r="AG67" s="50">
        <f t="shared" ref="AG67" si="661">SUM(AG64:AG66)</f>
        <v>11.49248</v>
      </c>
      <c r="AH67" s="51">
        <f t="shared" ref="AH67" si="662">IF(K67&gt;0,(K64*AH64+K65*AH65+K66*AH66)/K67,0)</f>
        <v>0.2105292574871522</v>
      </c>
      <c r="AI67" s="56">
        <f t="shared" ref="AI67" si="663">SUM(AI64:AI66)</f>
        <v>102.6126064</v>
      </c>
      <c r="AJ67" s="51">
        <f t="shared" ref="AJ67" si="664">IF(AND(AD67&gt;0),((AD64*AJ64+AD65*AJ65+AD66*AJ66)/AD67),0)</f>
        <v>0.90172741807987122</v>
      </c>
      <c r="AK67" s="55">
        <f t="shared" si="6"/>
        <v>0.9078217109669523</v>
      </c>
      <c r="AL67" s="49">
        <f t="shared" ref="AL67" si="665">SUM(AL64:AL66)</f>
        <v>535</v>
      </c>
      <c r="AM67" s="20">
        <f t="shared" ref="AM67" si="666">IF(AL67&gt;0,(AM64*AL64+AM65*AL65+AM66*AL66)/AL67,0)</f>
        <v>8.8702803738317751E-2</v>
      </c>
      <c r="AN67" s="51">
        <f>IF(K67&gt;0,(AN64*K64+AN65*K65+AN66*K66)/K67,0)</f>
        <v>0.2295340618662256</v>
      </c>
      <c r="AO67" s="107">
        <f>IF(L67&gt;0,(AO64*K64+AO65*K65+AO66*K66)/K67,0)</f>
        <v>0.22583426861204639</v>
      </c>
      <c r="AP67" s="56">
        <f t="shared" ref="AP67" si="667">SUM(AP64:AP66)</f>
        <v>111.90130440000001</v>
      </c>
      <c r="AQ67" s="108">
        <f t="shared" si="579"/>
        <v>110.080322</v>
      </c>
      <c r="AR67" s="54"/>
      <c r="AS67" s="54">
        <f t="shared" ref="AS67" si="668">SUM(AS64:AS66)</f>
        <v>0</v>
      </c>
      <c r="AT67" s="83"/>
      <c r="AU67" s="84">
        <f>AT66</f>
        <v>1806.6099999999994</v>
      </c>
      <c r="AV67" s="49">
        <f t="shared" ref="AV67" si="669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43" t="s">
        <v>57</v>
      </c>
      <c r="D68" s="11">
        <v>0</v>
      </c>
      <c r="E68" s="11">
        <v>3</v>
      </c>
      <c r="F68" s="11">
        <v>12482</v>
      </c>
      <c r="G68" s="12">
        <v>0.7</v>
      </c>
      <c r="H68" s="12">
        <v>4.9000000000000004</v>
      </c>
      <c r="I68" s="11">
        <v>12280</v>
      </c>
      <c r="J68" s="12">
        <v>5.2</v>
      </c>
      <c r="K68" s="11">
        <v>16829</v>
      </c>
      <c r="L68" s="13">
        <v>7.0999999999999994E-2</v>
      </c>
      <c r="M68" s="23">
        <f>ROUND(K68*(1-L68),0)</f>
        <v>15634</v>
      </c>
      <c r="N68" s="14">
        <v>0.64</v>
      </c>
      <c r="O68" s="24">
        <f t="shared" ref="O68:O70" si="670">M68*N68</f>
        <v>10005.76</v>
      </c>
      <c r="P68" s="13">
        <v>0.318</v>
      </c>
      <c r="Q68" s="24">
        <f t="shared" ref="Q68:Q70" si="671">M68*P68</f>
        <v>4971.6120000000001</v>
      </c>
      <c r="R68" s="15">
        <v>4.2000000000000003E-2</v>
      </c>
      <c r="S68" s="112">
        <v>0.18529999999999999</v>
      </c>
      <c r="T68" s="24">
        <f t="shared" ref="T68:T70" si="672">M68*R68</f>
        <v>656.62800000000004</v>
      </c>
      <c r="U68" s="25">
        <v>0.25900000000000001</v>
      </c>
      <c r="V68" s="24">
        <f t="shared" ref="V68:V70" si="673">M68*U68</f>
        <v>4049.2060000000001</v>
      </c>
      <c r="W68" s="15">
        <v>0.46600000000000003</v>
      </c>
      <c r="X68" s="24">
        <f t="shared" ref="X68:X70" si="674">M68*W68</f>
        <v>7285.4440000000004</v>
      </c>
      <c r="Y68" s="15">
        <v>0.43</v>
      </c>
      <c r="Z68" s="24">
        <f t="shared" ref="Z68:Z70" si="675">Y68*M68</f>
        <v>6722.62</v>
      </c>
      <c r="AA68" s="116">
        <v>2.5400000000000002E-3</v>
      </c>
      <c r="AB68" s="18">
        <f t="shared" ref="AB68" si="676">M68*AA68</f>
        <v>39.710360000000001</v>
      </c>
      <c r="AC68" s="16">
        <v>2.4099999999999998E-3</v>
      </c>
      <c r="AD68" s="17">
        <f t="shared" ref="AD68:AD70" si="677">M68*AC68</f>
        <v>37.67794</v>
      </c>
      <c r="AE68" s="26">
        <f>IF(M68&gt;0,(AG68+AP68)/M68,0)</f>
        <v>2.6486640654982733E-3</v>
      </c>
      <c r="AF68" s="16">
        <v>2.5000000000000001E-4</v>
      </c>
      <c r="AG68" s="23">
        <f t="shared" ref="AG68:AG70" si="678">AF68*M68</f>
        <v>3.9085000000000001</v>
      </c>
      <c r="AH68" s="92">
        <v>0.20219999999999999</v>
      </c>
      <c r="AI68" s="29">
        <f t="shared" ref="AI68:AI70" si="679">AL68*(1-AM68)*AH68</f>
        <v>33.447924</v>
      </c>
      <c r="AJ68" s="27">
        <f t="shared" ref="AJ68:AJ70" si="680">IF(AND(AH68&gt;0,AF68&gt;0,AC68&gt;0),((AC68-AF68)*AH68)/((AH68-AF68)*AC68),0)</f>
        <v>0.89737507435286035</v>
      </c>
      <c r="AK68" s="58">
        <f t="shared" ref="AK68:AK127" si="681">IF(AND(AE68&gt;0,AN68&gt;0,AF68&gt;0),((AN68*(AE68-AF68))/(AE68*(AN68-AF68))),0)</f>
        <v>0.90661258761815444</v>
      </c>
      <c r="AL68" s="11">
        <v>180</v>
      </c>
      <c r="AM68" s="13">
        <v>8.1000000000000003E-2</v>
      </c>
      <c r="AN68" s="14">
        <v>0.22670000000000001</v>
      </c>
      <c r="AO68" s="101">
        <v>0.2283</v>
      </c>
      <c r="AP68" s="29">
        <f>AL68*(1-AM68)*AN68</f>
        <v>37.500714000000009</v>
      </c>
      <c r="AQ68" s="102">
        <f t="shared" ref="AQ68" si="682">AL68*(1-AM68)*AO68</f>
        <v>37.765386000000007</v>
      </c>
      <c r="AR68" s="18">
        <v>1.55</v>
      </c>
      <c r="AS68" s="18">
        <v>1010.34</v>
      </c>
      <c r="AT68" s="79">
        <f>AT66+AL68-AS68</f>
        <v>976.26999999999941</v>
      </c>
      <c r="AU68" s="80"/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58</v>
      </c>
      <c r="D69" s="33">
        <v>17290</v>
      </c>
      <c r="E69" s="33">
        <v>6</v>
      </c>
      <c r="F69" s="33">
        <v>14737</v>
      </c>
      <c r="G69" s="34">
        <v>0.7</v>
      </c>
      <c r="H69" s="34">
        <v>5.0999999999999996</v>
      </c>
      <c r="I69" s="33">
        <v>14825</v>
      </c>
      <c r="J69" s="34">
        <v>6</v>
      </c>
      <c r="K69" s="33">
        <v>17024</v>
      </c>
      <c r="L69" s="35">
        <v>6.6000000000000003E-2</v>
      </c>
      <c r="M69" s="36">
        <f>ROUND(K69*(1-L69),0)</f>
        <v>15900</v>
      </c>
      <c r="N69" s="37">
        <v>0.65500000000000003</v>
      </c>
      <c r="O69" s="24">
        <f t="shared" si="670"/>
        <v>10414.5</v>
      </c>
      <c r="P69" s="35">
        <v>0.28100000000000003</v>
      </c>
      <c r="Q69" s="24">
        <f t="shared" si="671"/>
        <v>4467.9000000000005</v>
      </c>
      <c r="R69" s="38">
        <v>6.4000000000000001E-2</v>
      </c>
      <c r="S69" s="105">
        <v>0.15040000000000001</v>
      </c>
      <c r="T69" s="24">
        <f t="shared" si="672"/>
        <v>1017.6</v>
      </c>
      <c r="U69" s="27">
        <v>0.26100000000000001</v>
      </c>
      <c r="V69" s="24">
        <f t="shared" si="673"/>
        <v>4149.9000000000005</v>
      </c>
      <c r="W69" s="38">
        <v>0.46600000000000003</v>
      </c>
      <c r="X69" s="24">
        <f t="shared" si="674"/>
        <v>7409.4000000000005</v>
      </c>
      <c r="Y69" s="38">
        <v>0.44</v>
      </c>
      <c r="Z69" s="24">
        <f t="shared" si="675"/>
        <v>6996</v>
      </c>
      <c r="AA69" s="117">
        <v>2.3900000000000002E-3</v>
      </c>
      <c r="AB69" s="18">
        <f t="shared" si="61"/>
        <v>38.001000000000005</v>
      </c>
      <c r="AC69" s="39">
        <v>2.3E-3</v>
      </c>
      <c r="AD69" s="17">
        <f t="shared" si="677"/>
        <v>36.57</v>
      </c>
      <c r="AE69" s="26">
        <f>IF(M69&gt;0,(AG69+AP69)/M69,0)</f>
        <v>2.5175898113207551E-3</v>
      </c>
      <c r="AF69" s="39">
        <v>2.5999999999999998E-4</v>
      </c>
      <c r="AG69" s="36">
        <f t="shared" si="678"/>
        <v>4.1339999999999995</v>
      </c>
      <c r="AH69" s="27">
        <v>0.20380000000000001</v>
      </c>
      <c r="AI69" s="40">
        <f t="shared" si="679"/>
        <v>32.269691999999999</v>
      </c>
      <c r="AJ69" s="27">
        <f t="shared" si="680"/>
        <v>0.88808951130212632</v>
      </c>
      <c r="AK69" s="28">
        <f t="shared" si="681"/>
        <v>0.89775625149536109</v>
      </c>
      <c r="AL69" s="33">
        <v>174</v>
      </c>
      <c r="AM69" s="35">
        <v>0.09</v>
      </c>
      <c r="AN69" s="37">
        <v>0.22670000000000001</v>
      </c>
      <c r="AO69" s="103">
        <v>0.23150000000000001</v>
      </c>
      <c r="AP69" s="40">
        <f>AL69*(1-AM69)*AN69</f>
        <v>35.895678000000004</v>
      </c>
      <c r="AQ69" s="104">
        <f t="shared" si="21"/>
        <v>36.655709999999999</v>
      </c>
      <c r="AR69" s="41">
        <v>1.55</v>
      </c>
      <c r="AS69" s="41"/>
      <c r="AT69" s="129">
        <f>AT68+AL69-AS69</f>
        <v>1150.2699999999995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43" t="s">
        <v>55</v>
      </c>
      <c r="D70" s="42">
        <v>23700</v>
      </c>
      <c r="E70" s="42">
        <v>3</v>
      </c>
      <c r="F70" s="42">
        <v>19211</v>
      </c>
      <c r="G70" s="36">
        <v>0.6</v>
      </c>
      <c r="H70" s="36">
        <v>5.6</v>
      </c>
      <c r="I70" s="42">
        <v>18703</v>
      </c>
      <c r="J70" s="36">
        <v>4.8</v>
      </c>
      <c r="K70" s="42">
        <v>17188</v>
      </c>
      <c r="L70" s="38">
        <v>6.0999999999999999E-2</v>
      </c>
      <c r="M70" s="36">
        <f>ROUND(K70*(1-L70),0)</f>
        <v>16140</v>
      </c>
      <c r="N70" s="27">
        <v>0.78500000000000003</v>
      </c>
      <c r="O70" s="24">
        <f t="shared" si="670"/>
        <v>12669.9</v>
      </c>
      <c r="P70" s="38">
        <v>0.17799999999999999</v>
      </c>
      <c r="Q70" s="24">
        <f t="shared" si="671"/>
        <v>2872.92</v>
      </c>
      <c r="R70" s="38">
        <v>3.6999999999999998E-2</v>
      </c>
      <c r="S70" s="105">
        <v>0.18140000000000001</v>
      </c>
      <c r="T70" s="24">
        <f t="shared" si="672"/>
        <v>597.17999999999995</v>
      </c>
      <c r="U70" s="27">
        <v>0.27</v>
      </c>
      <c r="V70" s="24">
        <f t="shared" si="673"/>
        <v>4357.8</v>
      </c>
      <c r="W70" s="38">
        <v>0.45600000000000002</v>
      </c>
      <c r="X70" s="24">
        <f t="shared" si="674"/>
        <v>7359.84</v>
      </c>
      <c r="Y70" s="38">
        <v>0.45</v>
      </c>
      <c r="Z70" s="24">
        <f t="shared" si="675"/>
        <v>7263</v>
      </c>
      <c r="AA70" s="118">
        <v>2.49E-3</v>
      </c>
      <c r="AB70" s="121">
        <f t="shared" si="61"/>
        <v>40.188600000000001</v>
      </c>
      <c r="AC70" s="45">
        <v>2.5200000000000001E-3</v>
      </c>
      <c r="AD70" s="17">
        <f t="shared" si="677"/>
        <v>40.672800000000002</v>
      </c>
      <c r="AE70" s="26">
        <f>IF(M70&gt;0,(AG70+AP70)/M70,0)</f>
        <v>2.6067687732342013E-3</v>
      </c>
      <c r="AF70" s="45">
        <v>2.5000000000000001E-4</v>
      </c>
      <c r="AG70" s="36">
        <f t="shared" si="678"/>
        <v>4.0350000000000001</v>
      </c>
      <c r="AH70" s="27">
        <v>0.2046</v>
      </c>
      <c r="AI70" s="40">
        <f t="shared" si="679"/>
        <v>33.808104</v>
      </c>
      <c r="AJ70" s="27">
        <f t="shared" si="680"/>
        <v>0.90189567385554681</v>
      </c>
      <c r="AK70" s="28">
        <f t="shared" si="681"/>
        <v>0.90507875484054323</v>
      </c>
      <c r="AL70" s="42">
        <v>180</v>
      </c>
      <c r="AM70" s="38">
        <v>8.2000000000000003E-2</v>
      </c>
      <c r="AN70" s="27">
        <v>0.23019999999999999</v>
      </c>
      <c r="AO70" s="105">
        <v>0.22889999999999999</v>
      </c>
      <c r="AP70" s="40">
        <f>AL70*(1-AM70)*AN70</f>
        <v>38.038248000000003</v>
      </c>
      <c r="AQ70" s="106">
        <f t="shared" si="21"/>
        <v>37.823436000000001</v>
      </c>
      <c r="AR70" s="17">
        <v>1.55</v>
      </c>
      <c r="AS70" s="17"/>
      <c r="AT70" s="129">
        <f>AT69+AL70-AS70</f>
        <v>1330.2699999999995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3">SUM(D68:D70)</f>
        <v>40990</v>
      </c>
      <c r="E71" s="49"/>
      <c r="F71" s="49">
        <f t="shared" ref="F71" si="684">SUM(F68:F70)</f>
        <v>46430</v>
      </c>
      <c r="G71" s="50"/>
      <c r="H71" s="50"/>
      <c r="I71" s="49">
        <f t="shared" ref="I71:K71" si="685">SUM(I68:I70)</f>
        <v>45808</v>
      </c>
      <c r="J71" s="50"/>
      <c r="K71" s="49">
        <f t="shared" si="685"/>
        <v>51041</v>
      </c>
      <c r="L71" s="20">
        <f t="shared" ref="L71" si="686">IF(K71&gt;0,(K68*L68+K69*L69+K70*L70)/K71,0)</f>
        <v>6.5964832193726619E-2</v>
      </c>
      <c r="M71" s="50">
        <f t="shared" ref="M71" si="687">M68+M69+M70</f>
        <v>47674</v>
      </c>
      <c r="N71" s="51">
        <f t="shared" ref="N71" si="688">IF(M71&gt;0,O71/M71,0)</f>
        <v>0.69409237739648455</v>
      </c>
      <c r="O71" s="52">
        <f t="shared" ref="O71" si="689">O68+O69+O70</f>
        <v>33090.160000000003</v>
      </c>
      <c r="P71" s="20">
        <f t="shared" ref="P71" si="690">IF(M71&gt;0,Q71/M71,0)</f>
        <v>0.25826303645592985</v>
      </c>
      <c r="Q71" s="52">
        <f t="shared" ref="Q71" si="691">Q68+Q69+Q70</f>
        <v>12312.432000000001</v>
      </c>
      <c r="R71" s="20">
        <f t="shared" ref="R71" si="692">IF(M71&gt;0,T71/M71,0)</f>
        <v>4.7644586147585682E-2</v>
      </c>
      <c r="S71" s="107"/>
      <c r="T71" s="52">
        <f t="shared" ref="T71" si="693">T68+T69+T70</f>
        <v>2271.4079999999999</v>
      </c>
      <c r="U71" s="20">
        <f t="shared" ref="U71" si="694">IF(M71&gt;0,V71/M71,0)</f>
        <v>0.26339107270210177</v>
      </c>
      <c r="V71" s="52">
        <f t="shared" ref="V71" si="695">V68+V69+V70</f>
        <v>12556.905999999999</v>
      </c>
      <c r="W71" s="20">
        <f t="shared" ref="W71" si="696">IF(M71&gt;0,X71/M71,0)</f>
        <v>0.46261450685908462</v>
      </c>
      <c r="X71" s="52">
        <f t="shared" ref="X71" si="697">X68+X69+X70</f>
        <v>22054.684000000001</v>
      </c>
      <c r="Y71" s="20">
        <f t="shared" ref="Y71" si="698">IF(M71&gt;0,Z71/M71,0)</f>
        <v>0.44010613751730498</v>
      </c>
      <c r="Z71" s="52">
        <f t="shared" ref="Z71" si="699">Z68+Z69+Z70</f>
        <v>20981.62</v>
      </c>
      <c r="AA71" s="119">
        <f t="shared" ref="AA71" si="700">IF(M71&gt;0,AB71/M71,0)</f>
        <v>2.4730452657633095E-3</v>
      </c>
      <c r="AB71" s="54">
        <f t="shared" ref="AB71" si="701">SUM(AB68:AB70)</f>
        <v>117.89996000000002</v>
      </c>
      <c r="AC71" s="53">
        <f t="shared" ref="AC71" si="702">IF(M71&gt;0,AD71/M71,0)</f>
        <v>2.4105537609598522E-3</v>
      </c>
      <c r="AD71" s="54">
        <f t="shared" ref="AD71" si="703">SUM(AD68:AD70)</f>
        <v>114.92074</v>
      </c>
      <c r="AE71" s="53">
        <f t="shared" ref="AE71" si="704">IF(M71&gt;0,(AE68*M68+AE69*M69+AE70*M70)/M71,0)</f>
        <v>2.5907651969627053E-3</v>
      </c>
      <c r="AF71" s="53">
        <f t="shared" ref="AF71" si="705">IF(K71&gt;0,(K68*AF68+K69*AF69+K70*AF70)/K71,0)</f>
        <v>2.533353578495719E-4</v>
      </c>
      <c r="AG71" s="50">
        <f t="shared" ref="AG71" si="706">SUM(AG68:AG70)</f>
        <v>12.077500000000001</v>
      </c>
      <c r="AH71" s="51">
        <f t="shared" ref="AH71" si="707">IF(K71&gt;0,(K68*AH68+K69*AH69+K70*AH70)/K71,0)</f>
        <v>0.20354185458748847</v>
      </c>
      <c r="AI71" s="56">
        <f t="shared" ref="AI71" si="708">SUM(AI68:AI70)</f>
        <v>99.525719999999993</v>
      </c>
      <c r="AJ71" s="51">
        <f t="shared" ref="AJ71" si="709">IF(AND(AD71&gt;0),((AD68*AJ68+AD69*AJ69+AD70*AJ70)/AD71),0)</f>
        <v>0.89602016138142926</v>
      </c>
      <c r="AK71" s="55">
        <f t="shared" si="681"/>
        <v>0.90322013060150952</v>
      </c>
      <c r="AL71" s="49">
        <f t="shared" ref="AL71" si="710">SUM(AL68:AL70)</f>
        <v>534</v>
      </c>
      <c r="AM71" s="20">
        <f t="shared" ref="AM71" si="711">IF(AL71&gt;0,(AM68*AL68+AM69*AL69+AM70*AL70)/AL71,0)</f>
        <v>8.4269662921348312E-2</v>
      </c>
      <c r="AN71" s="51">
        <f>IF(K71&gt;0,(AN68*K68+AN69*K69+AN70*K70)/K71,0)</f>
        <v>0.22787862110852061</v>
      </c>
      <c r="AO71" s="107">
        <f>IF(L71&gt;0,(AO68*K68+AO69*K69+AO70*K70)/K71,0)</f>
        <v>0.22956936384475224</v>
      </c>
      <c r="AP71" s="56">
        <f t="shared" ref="AP71" si="712">SUM(AP68:AP70)</f>
        <v>111.43464000000003</v>
      </c>
      <c r="AQ71" s="108">
        <f t="shared" si="579"/>
        <v>112.24453200000001</v>
      </c>
      <c r="AR71" s="54"/>
      <c r="AS71" s="54">
        <f t="shared" ref="AS71" si="713">SUM(AS68:AS70)</f>
        <v>1010.34</v>
      </c>
      <c r="AT71" s="83"/>
      <c r="AU71" s="84">
        <f>AT70</f>
        <v>1330.2699999999995</v>
      </c>
      <c r="AV71" s="49">
        <f t="shared" ref="AV71" si="714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54</v>
      </c>
      <c r="D72" s="11">
        <v>1198</v>
      </c>
      <c r="E72" s="11">
        <v>4</v>
      </c>
      <c r="F72" s="11">
        <v>14563</v>
      </c>
      <c r="G72" s="12">
        <v>0.5</v>
      </c>
      <c r="H72" s="12">
        <v>4.9000000000000004</v>
      </c>
      <c r="I72" s="11">
        <v>14491</v>
      </c>
      <c r="J72" s="131">
        <v>5.5</v>
      </c>
      <c r="K72" s="11">
        <v>16869</v>
      </c>
      <c r="L72" s="13">
        <v>6.5000000000000002E-2</v>
      </c>
      <c r="M72" s="23">
        <f>ROUND(K72*(1-L72),0)</f>
        <v>15773</v>
      </c>
      <c r="N72" s="14">
        <v>0.70299999999999996</v>
      </c>
      <c r="O72" s="24">
        <f t="shared" ref="O72:O74" si="715">M72*N72</f>
        <v>11088.419</v>
      </c>
      <c r="P72" s="13">
        <v>0.249</v>
      </c>
      <c r="Q72" s="24">
        <f t="shared" ref="Q72:Q74" si="716">M72*P72</f>
        <v>3927.4769999999999</v>
      </c>
      <c r="R72" s="15">
        <v>4.8000000000000001E-2</v>
      </c>
      <c r="S72" s="112">
        <v>0.19670000000000001</v>
      </c>
      <c r="T72" s="24">
        <f t="shared" ref="T72:T74" si="717">M72*R72</f>
        <v>757.10400000000004</v>
      </c>
      <c r="U72" s="25">
        <v>0.26700000000000002</v>
      </c>
      <c r="V72" s="24">
        <f t="shared" ref="V72:V74" si="718">M72*U72</f>
        <v>4211.3910000000005</v>
      </c>
      <c r="W72" s="15">
        <v>0.46100000000000002</v>
      </c>
      <c r="X72" s="24">
        <f t="shared" ref="X72:X74" si="719">M72*W72</f>
        <v>7271.3530000000001</v>
      </c>
      <c r="Y72" s="15">
        <v>0.44</v>
      </c>
      <c r="Z72" s="24">
        <f t="shared" ref="Z72:Z74" si="720">Y72*M72</f>
        <v>6940.12</v>
      </c>
      <c r="AA72" s="116">
        <v>2.47E-3</v>
      </c>
      <c r="AB72" s="18">
        <f t="shared" ref="AB72" si="721">M72*AA72</f>
        <v>38.959310000000002</v>
      </c>
      <c r="AC72" s="16">
        <v>2.5600000000000002E-3</v>
      </c>
      <c r="AD72" s="17">
        <f t="shared" ref="AD72:AD74" si="722">M72*AC72</f>
        <v>40.378880000000002</v>
      </c>
      <c r="AE72" s="26">
        <f>IF(M72&gt;0,(AG72+AP72)/M72,0)</f>
        <v>2.5865230203512331E-3</v>
      </c>
      <c r="AF72" s="16">
        <v>2.5000000000000001E-4</v>
      </c>
      <c r="AG72" s="23">
        <f t="shared" ref="AG72:AG74" si="723">AF72*M72</f>
        <v>3.9432499999999999</v>
      </c>
      <c r="AH72" s="92">
        <v>0.20930000000000001</v>
      </c>
      <c r="AI72" s="29">
        <f t="shared" ref="AI72:AI74" si="724">AL72*(1-AM72)*AH72</f>
        <v>33.742508800000003</v>
      </c>
      <c r="AJ72" s="27">
        <f t="shared" ref="AJ72:AJ74" si="725">IF(AND(AH72&gt;0,AF72&gt;0,AC72&gt;0),((AC72-AF72)*AH72)/((AH72-AF72)*AC72),0)</f>
        <v>0.90342285039464254</v>
      </c>
      <c r="AK72" s="58">
        <f t="shared" si="681"/>
        <v>0.9043341397356699</v>
      </c>
      <c r="AL72" s="11">
        <v>176</v>
      </c>
      <c r="AM72" s="13">
        <v>8.4000000000000005E-2</v>
      </c>
      <c r="AN72" s="14">
        <v>0.2286</v>
      </c>
      <c r="AO72" s="101">
        <v>0.22639999999999999</v>
      </c>
      <c r="AP72" s="29">
        <f>AL72*(1-AM72)*AN72</f>
        <v>36.8539776</v>
      </c>
      <c r="AQ72" s="102">
        <f t="shared" ref="AQ72:AQ126" si="726">AL72*(1-AM72)*AO72</f>
        <v>36.499302399999998</v>
      </c>
      <c r="AR72" s="18">
        <v>1.55</v>
      </c>
      <c r="AS72" s="18">
        <v>1037.6400000000001</v>
      </c>
      <c r="AT72" s="79">
        <f>AT70+AL72-AS72</f>
        <v>468.62999999999943</v>
      </c>
      <c r="AU72" s="80"/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58</v>
      </c>
      <c r="D73" s="33">
        <v>18502</v>
      </c>
      <c r="E73" s="33">
        <v>10</v>
      </c>
      <c r="F73" s="33">
        <v>16565</v>
      </c>
      <c r="G73" s="34">
        <v>0.6</v>
      </c>
      <c r="H73" s="34">
        <v>5.5</v>
      </c>
      <c r="I73" s="33">
        <v>16306</v>
      </c>
      <c r="J73" s="132">
        <v>5.8</v>
      </c>
      <c r="K73" s="33">
        <v>16940</v>
      </c>
      <c r="L73" s="35">
        <v>6.9000000000000006E-2</v>
      </c>
      <c r="M73" s="36">
        <f>ROUND(K73*(1-L73),0)</f>
        <v>15771</v>
      </c>
      <c r="N73" s="37">
        <v>0.78300000000000003</v>
      </c>
      <c r="O73" s="24">
        <f t="shared" si="715"/>
        <v>12348.693000000001</v>
      </c>
      <c r="P73" s="35">
        <v>0.192</v>
      </c>
      <c r="Q73" s="24">
        <f t="shared" si="716"/>
        <v>3028.0320000000002</v>
      </c>
      <c r="R73" s="38">
        <v>2.5000000000000001E-2</v>
      </c>
      <c r="S73" s="105">
        <v>0.1862</v>
      </c>
      <c r="T73" s="24">
        <f t="shared" si="717"/>
        <v>394.27500000000003</v>
      </c>
      <c r="U73" s="27">
        <v>0.26400000000000001</v>
      </c>
      <c r="V73" s="24">
        <f t="shared" si="718"/>
        <v>4163.5439999999999</v>
      </c>
      <c r="W73" s="38">
        <v>0.45</v>
      </c>
      <c r="X73" s="24">
        <f t="shared" si="719"/>
        <v>7096.95</v>
      </c>
      <c r="Y73" s="38">
        <v>0.44</v>
      </c>
      <c r="Z73" s="24">
        <f t="shared" si="720"/>
        <v>6939.24</v>
      </c>
      <c r="AA73" s="117">
        <v>2.5000000000000001E-3</v>
      </c>
      <c r="AB73" s="18">
        <f t="shared" si="61"/>
        <v>39.427500000000002</v>
      </c>
      <c r="AC73" s="39">
        <v>2.4499999999999999E-3</v>
      </c>
      <c r="AD73" s="17">
        <f t="shared" si="722"/>
        <v>38.638950000000001</v>
      </c>
      <c r="AE73" s="26">
        <f>IF(M73&gt;0,(AG73+AP73)/M73,0)</f>
        <v>2.5556762031576949E-3</v>
      </c>
      <c r="AF73" s="39">
        <v>2.4000000000000001E-4</v>
      </c>
      <c r="AG73" s="36">
        <f t="shared" si="723"/>
        <v>3.78504</v>
      </c>
      <c r="AH73" s="27">
        <v>0.2054</v>
      </c>
      <c r="AI73" s="40">
        <f t="shared" si="724"/>
        <v>32.487296399999998</v>
      </c>
      <c r="AJ73" s="27">
        <f t="shared" si="725"/>
        <v>0.9030960405218823</v>
      </c>
      <c r="AK73" s="28">
        <f t="shared" si="681"/>
        <v>0.9070341712361174</v>
      </c>
      <c r="AL73" s="33">
        <v>174</v>
      </c>
      <c r="AM73" s="35">
        <v>9.0999999999999998E-2</v>
      </c>
      <c r="AN73" s="37">
        <v>0.23089999999999999</v>
      </c>
      <c r="AO73" s="103">
        <v>0.22409999999999999</v>
      </c>
      <c r="AP73" s="40">
        <f>AL73*(1-AM73)*AN73</f>
        <v>36.520529400000001</v>
      </c>
      <c r="AQ73" s="104">
        <f t="shared" si="726"/>
        <v>35.4450006</v>
      </c>
      <c r="AR73" s="41">
        <v>1.55</v>
      </c>
      <c r="AS73" s="41"/>
      <c r="AT73" s="129">
        <f>AT72+AL73-AS73</f>
        <v>642.62999999999943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43" t="s">
        <v>57</v>
      </c>
      <c r="D74" s="42">
        <v>23100</v>
      </c>
      <c r="E74" s="42">
        <v>6</v>
      </c>
      <c r="F74" s="42">
        <v>18212</v>
      </c>
      <c r="G74" s="36">
        <v>1.2</v>
      </c>
      <c r="H74" s="36">
        <v>7</v>
      </c>
      <c r="I74" s="42">
        <v>18236</v>
      </c>
      <c r="J74" s="36">
        <v>5.0999999999999996</v>
      </c>
      <c r="K74" s="42">
        <v>16599</v>
      </c>
      <c r="L74" s="38">
        <v>5.8999999999999997E-2</v>
      </c>
      <c r="M74" s="36">
        <f>ROUND(K74*(1-L74),0)</f>
        <v>15620</v>
      </c>
      <c r="N74" s="27">
        <v>0.72099999999999997</v>
      </c>
      <c r="O74" s="24">
        <f t="shared" si="715"/>
        <v>11262.02</v>
      </c>
      <c r="P74" s="38">
        <v>0.247</v>
      </c>
      <c r="Q74" s="24">
        <f t="shared" si="716"/>
        <v>3858.14</v>
      </c>
      <c r="R74" s="38">
        <v>3.2000000000000001E-2</v>
      </c>
      <c r="S74" s="105">
        <v>0.16300000000000001</v>
      </c>
      <c r="T74" s="24">
        <f t="shared" si="717"/>
        <v>499.84000000000003</v>
      </c>
      <c r="U74" s="27">
        <v>0.26300000000000001</v>
      </c>
      <c r="V74" s="24">
        <f t="shared" si="718"/>
        <v>4108.0600000000004</v>
      </c>
      <c r="W74" s="38">
        <v>0.46300000000000002</v>
      </c>
      <c r="X74" s="24">
        <f t="shared" si="719"/>
        <v>7232.06</v>
      </c>
      <c r="Y74" s="38">
        <v>0.44</v>
      </c>
      <c r="Z74" s="24">
        <f t="shared" si="720"/>
        <v>6872.8</v>
      </c>
      <c r="AA74" s="118">
        <v>2.3500000000000001E-3</v>
      </c>
      <c r="AB74" s="121">
        <f t="shared" si="61"/>
        <v>36.707000000000001</v>
      </c>
      <c r="AC74" s="45">
        <v>2.4199999999999998E-3</v>
      </c>
      <c r="AD74" s="17">
        <f t="shared" si="722"/>
        <v>37.800399999999996</v>
      </c>
      <c r="AE74" s="26">
        <f>IF(M74&gt;0,(AG74+AP74)/M74,0)</f>
        <v>2.4468408450704225E-3</v>
      </c>
      <c r="AF74" s="45">
        <v>2.1000000000000001E-4</v>
      </c>
      <c r="AG74" s="36">
        <f t="shared" si="723"/>
        <v>3.2802000000000002</v>
      </c>
      <c r="AH74" s="27">
        <v>0.20530000000000001</v>
      </c>
      <c r="AI74" s="40">
        <f t="shared" si="724"/>
        <v>31.655207000000001</v>
      </c>
      <c r="AJ74" s="27">
        <f t="shared" si="725"/>
        <v>0.91415822684578307</v>
      </c>
      <c r="AK74" s="28">
        <f t="shared" si="681"/>
        <v>0.91502303855723555</v>
      </c>
      <c r="AL74" s="42">
        <v>170</v>
      </c>
      <c r="AM74" s="38">
        <v>9.2999999999999999E-2</v>
      </c>
      <c r="AN74" s="27">
        <v>0.2266</v>
      </c>
      <c r="AO74" s="105">
        <v>0.21820000000000001</v>
      </c>
      <c r="AP74" s="40">
        <f>AL74*(1-AM74)*AN74</f>
        <v>34.939453999999998</v>
      </c>
      <c r="AQ74" s="106">
        <f t="shared" si="726"/>
        <v>33.644258000000001</v>
      </c>
      <c r="AR74" s="17">
        <v>1.55</v>
      </c>
      <c r="AS74" s="17"/>
      <c r="AT74" s="129">
        <f>AT73+AL74-AS74</f>
        <v>812.62999999999943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7">SUM(D72:D74)</f>
        <v>42800</v>
      </c>
      <c r="E75" s="49"/>
      <c r="F75" s="49">
        <f t="shared" ref="F75" si="728">SUM(F72:F74)</f>
        <v>49340</v>
      </c>
      <c r="G75" s="50"/>
      <c r="H75" s="50"/>
      <c r="I75" s="49">
        <f t="shared" ref="I75:K75" si="729">SUM(I72:I74)</f>
        <v>49033</v>
      </c>
      <c r="J75" s="50"/>
      <c r="K75" s="49">
        <f t="shared" si="729"/>
        <v>50408</v>
      </c>
      <c r="L75" s="20">
        <f t="shared" ref="L75" si="730">IF(K75&gt;0,(K72*L72+K73*L73+K74*L74)/K75,0)</f>
        <v>6.4368473258212988E-2</v>
      </c>
      <c r="M75" s="50">
        <f t="shared" ref="M75" si="731">M72+M73+M74</f>
        <v>47164</v>
      </c>
      <c r="N75" s="51">
        <f t="shared" ref="N75" si="732">IF(M75&gt;0,O75/M75,0)</f>
        <v>0.73571223814773978</v>
      </c>
      <c r="O75" s="52">
        <f t="shared" ref="O75" si="733">O72+O73+O74</f>
        <v>34699.131999999998</v>
      </c>
      <c r="P75" s="20">
        <f t="shared" ref="P75" si="734">IF(M75&gt;0,Q75/M75,0)</f>
        <v>0.22927760580103468</v>
      </c>
      <c r="Q75" s="52">
        <f t="shared" ref="Q75" si="735">Q72+Q73+Q74</f>
        <v>10813.648999999999</v>
      </c>
      <c r="R75" s="20">
        <f t="shared" ref="R75" si="736">IF(M75&gt;0,T75/M75,0)</f>
        <v>3.5010156051225511E-2</v>
      </c>
      <c r="S75" s="107"/>
      <c r="T75" s="52">
        <f t="shared" ref="T75" si="737">T72+T73+T74</f>
        <v>1651.2190000000001</v>
      </c>
      <c r="U75" s="20">
        <f t="shared" ref="U75" si="738">IF(M75&gt;0,V75/M75,0)</f>
        <v>0.26467210160291754</v>
      </c>
      <c r="V75" s="52">
        <f t="shared" ref="V75" si="739">V72+V73+V74</f>
        <v>12482.995000000003</v>
      </c>
      <c r="W75" s="20">
        <f t="shared" ref="W75" si="740">IF(M75&gt;0,X75/M75,0)</f>
        <v>0.45798411924349081</v>
      </c>
      <c r="X75" s="52">
        <f t="shared" ref="X75" si="741">X72+X73+X74</f>
        <v>21600.363000000001</v>
      </c>
      <c r="Y75" s="20">
        <f t="shared" ref="Y75" si="742">IF(M75&gt;0,Z75/M75,0)</f>
        <v>0.44</v>
      </c>
      <c r="Z75" s="52">
        <f t="shared" ref="Z75" si="743">Z72+Z73+Z74</f>
        <v>20752.16</v>
      </c>
      <c r="AA75" s="119">
        <f t="shared" ref="AA75" si="744">IF(M75&gt;0,AB75/M75,0)</f>
        <v>2.4402894156560087E-3</v>
      </c>
      <c r="AB75" s="54">
        <f t="shared" ref="AB75" si="745">SUM(AB72:AB74)</f>
        <v>115.09380999999999</v>
      </c>
      <c r="AC75" s="53">
        <f t="shared" ref="AC75" si="746">IF(M75&gt;0,AD75/M75,0)</f>
        <v>2.4768516241200915E-3</v>
      </c>
      <c r="AD75" s="54">
        <f t="shared" ref="AD75" si="747">SUM(AD72:AD74)</f>
        <v>116.81823</v>
      </c>
      <c r="AE75" s="53">
        <f t="shared" ref="AE75" si="748">IF(M75&gt;0,(AE72*M72+AE73*M73+AE74*M74)/M75,0)</f>
        <v>2.5299476507505726E-3</v>
      </c>
      <c r="AF75" s="53">
        <f t="shared" ref="AF75" si="749">IF(K75&gt;0,(K72*AF72+K73*AF73+K74*AF74)/K75,0)</f>
        <v>2.3346770353912077E-4</v>
      </c>
      <c r="AG75" s="50">
        <f t="shared" ref="AG75" si="750">SUM(AG72:AG74)</f>
        <v>11.00849</v>
      </c>
      <c r="AH75" s="51">
        <f t="shared" ref="AH75" si="751">IF(K75&gt;0,(K72*AH72+K73*AH73+K74*AH74)/K75,0)</f>
        <v>0.20667220282494841</v>
      </c>
      <c r="AI75" s="56">
        <f t="shared" ref="AI75" si="752">SUM(AI72:AI74)</f>
        <v>97.885012200000006</v>
      </c>
      <c r="AJ75" s="51">
        <f t="shared" ref="AJ75" si="753">IF(AND(AD75&gt;0),((AD72*AJ72+AD73*AJ73+AD74*AJ74)/AD75),0)</f>
        <v>0.9067885402674527</v>
      </c>
      <c r="AK75" s="55">
        <f t="shared" si="681"/>
        <v>0.90864589607395851</v>
      </c>
      <c r="AL75" s="49">
        <f t="shared" ref="AL75" si="754">SUM(AL72:AL74)</f>
        <v>520</v>
      </c>
      <c r="AM75" s="20">
        <f t="shared" ref="AM75" si="755">IF(AL75&gt;0,(AM72*AL72+AM73*AL73+AM74*AL74)/AL75,0)</f>
        <v>8.9284615384615393E-2</v>
      </c>
      <c r="AN75" s="51">
        <f>IF(K75&gt;0,(AN72*K72+AN73*K73+AN74*K74)/K75,0)</f>
        <v>0.22871434692905887</v>
      </c>
      <c r="AO75" s="107">
        <f>IF(L75&gt;0,(AO72*K72+AO73*K73+AO74*K74)/K75,0)</f>
        <v>0.22292686478336771</v>
      </c>
      <c r="AP75" s="56">
        <f t="shared" ref="AP75:AQ87" si="756">SUM(AP72:AP74)</f>
        <v>108.31396099999999</v>
      </c>
      <c r="AQ75" s="108">
        <f t="shared" si="756"/>
        <v>105.588561</v>
      </c>
      <c r="AR75" s="54"/>
      <c r="AS75" s="54">
        <f t="shared" ref="AS75" si="757">SUM(AS72:AS74)</f>
        <v>1037.6400000000001</v>
      </c>
      <c r="AT75" s="83"/>
      <c r="AU75" s="84">
        <f>AT74</f>
        <v>812.62999999999943</v>
      </c>
      <c r="AV75" s="49">
        <f t="shared" ref="AV75" si="758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54</v>
      </c>
      <c r="D76" s="11">
        <v>5853</v>
      </c>
      <c r="E76" s="11">
        <v>4</v>
      </c>
      <c r="F76" s="11">
        <v>12614</v>
      </c>
      <c r="G76" s="12">
        <v>1.1000000000000001</v>
      </c>
      <c r="H76" s="12">
        <v>7.2</v>
      </c>
      <c r="I76" s="11">
        <v>11974</v>
      </c>
      <c r="J76" s="12">
        <v>6</v>
      </c>
      <c r="K76" s="11">
        <v>16782</v>
      </c>
      <c r="L76" s="13">
        <v>5.6000000000000001E-2</v>
      </c>
      <c r="M76" s="23">
        <f>ROUND(K76*(1-L76),0)</f>
        <v>15842</v>
      </c>
      <c r="N76" s="14">
        <v>0.61</v>
      </c>
      <c r="O76" s="24">
        <f t="shared" ref="O76:O78" si="759">M76*N76</f>
        <v>9663.619999999999</v>
      </c>
      <c r="P76" s="13">
        <v>0.33100000000000002</v>
      </c>
      <c r="Q76" s="24">
        <f t="shared" ref="Q76:Q78" si="760">M76*P76</f>
        <v>5243.7020000000002</v>
      </c>
      <c r="R76" s="15">
        <v>5.8999999999999997E-2</v>
      </c>
      <c r="S76" s="112">
        <v>0.20030000000000001</v>
      </c>
      <c r="T76" s="24">
        <f t="shared" ref="T76:T78" si="761">M76*R76</f>
        <v>934.678</v>
      </c>
      <c r="U76" s="25">
        <v>0.251</v>
      </c>
      <c r="V76" s="24">
        <f t="shared" ref="V76:V78" si="762">M76*U76</f>
        <v>3976.3420000000001</v>
      </c>
      <c r="W76" s="15">
        <v>0.47699999999999998</v>
      </c>
      <c r="X76" s="24">
        <f t="shared" ref="X76:X78" si="763">M76*W76</f>
        <v>7556.634</v>
      </c>
      <c r="Y76" s="15">
        <v>0.43</v>
      </c>
      <c r="Z76" s="24">
        <f t="shared" ref="Z76:Z78" si="764">Y76*M76</f>
        <v>6812.0599999999995</v>
      </c>
      <c r="AA76" s="116">
        <v>2.5899999999999999E-3</v>
      </c>
      <c r="AB76" s="18">
        <f t="shared" ref="AB76:AB126" si="765">M76*AA76</f>
        <v>41.03078</v>
      </c>
      <c r="AC76" s="16">
        <v>2.6800000000000001E-3</v>
      </c>
      <c r="AD76" s="17">
        <f t="shared" ref="AD76:AD78" si="766">M76*AC76</f>
        <v>42.456560000000003</v>
      </c>
      <c r="AE76" s="26">
        <f>IF(M76&gt;0,(AG76+AP76)/M76,0)</f>
        <v>2.549132584269663E-3</v>
      </c>
      <c r="AF76" s="16">
        <v>2.2000000000000001E-4</v>
      </c>
      <c r="AG76" s="23">
        <f t="shared" ref="AG76:AG78" si="767">AF76*M76</f>
        <v>3.4852400000000001</v>
      </c>
      <c r="AH76" s="92">
        <v>0.2099</v>
      </c>
      <c r="AI76" s="29">
        <f t="shared" ref="AI76:AI78" si="768">AL76*(1-AM76)*AH76</f>
        <v>33.850153200000001</v>
      </c>
      <c r="AJ76" s="27">
        <f t="shared" ref="AJ76:AJ78" si="769">IF(AND(AH76&gt;0,AF76&gt;0,AC76&gt;0),((AC76-AF76)*AH76)/((AH76-AF76)*AC76),0)</f>
        <v>0.91887353579299236</v>
      </c>
      <c r="AK76" s="58">
        <f t="shared" si="681"/>
        <v>0.91457553236133216</v>
      </c>
      <c r="AL76" s="11">
        <v>178</v>
      </c>
      <c r="AM76" s="13">
        <v>9.4E-2</v>
      </c>
      <c r="AN76" s="14">
        <v>0.2288</v>
      </c>
      <c r="AO76" s="101">
        <v>0.2223</v>
      </c>
      <c r="AP76" s="29">
        <f>AL76*(1-AM76)*AN76</f>
        <v>36.898118400000001</v>
      </c>
      <c r="AQ76" s="102">
        <f t="shared" ref="AQ76" si="770">AL76*(1-AM76)*AO76</f>
        <v>35.849876399999999</v>
      </c>
      <c r="AR76" s="18">
        <v>1.55</v>
      </c>
      <c r="AS76" s="18">
        <v>1019.5</v>
      </c>
      <c r="AT76" s="79">
        <f>AT74+AL76-AS76+AU76</f>
        <v>-43.78000000000057</v>
      </c>
      <c r="AU76" s="130">
        <v>-14.91</v>
      </c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43" t="s">
        <v>55</v>
      </c>
      <c r="D77" s="33">
        <v>14412</v>
      </c>
      <c r="E77" s="33">
        <v>9</v>
      </c>
      <c r="F77" s="33">
        <v>17387</v>
      </c>
      <c r="G77" s="34">
        <v>1.4</v>
      </c>
      <c r="H77" s="34">
        <v>6.9</v>
      </c>
      <c r="I77" s="33">
        <v>17172</v>
      </c>
      <c r="J77" s="34">
        <v>5.9</v>
      </c>
      <c r="K77" s="33">
        <v>16863</v>
      </c>
      <c r="L77" s="35">
        <v>5.8999999999999997E-2</v>
      </c>
      <c r="M77" s="36">
        <f>ROUND(K77*(1-L77),0)</f>
        <v>15868</v>
      </c>
      <c r="N77" s="37">
        <v>0.65400000000000003</v>
      </c>
      <c r="O77" s="24">
        <f t="shared" si="759"/>
        <v>10377.672</v>
      </c>
      <c r="P77" s="35">
        <v>0.32100000000000001</v>
      </c>
      <c r="Q77" s="24">
        <f t="shared" si="760"/>
        <v>5093.6279999999997</v>
      </c>
      <c r="R77" s="38">
        <v>2.5000000000000001E-2</v>
      </c>
      <c r="S77" s="105">
        <v>0.21199999999999999</v>
      </c>
      <c r="T77" s="24">
        <f t="shared" si="761"/>
        <v>396.70000000000005</v>
      </c>
      <c r="U77" s="27">
        <v>0.25600000000000001</v>
      </c>
      <c r="V77" s="24">
        <f t="shared" si="762"/>
        <v>4062.2080000000001</v>
      </c>
      <c r="W77" s="38">
        <v>0.46700000000000003</v>
      </c>
      <c r="X77" s="24">
        <f t="shared" si="763"/>
        <v>7410.3560000000007</v>
      </c>
      <c r="Y77" s="38">
        <v>0.43</v>
      </c>
      <c r="Z77" s="24">
        <f t="shared" si="764"/>
        <v>6823.24</v>
      </c>
      <c r="AA77" s="117">
        <v>2.5500000000000002E-3</v>
      </c>
      <c r="AB77" s="18">
        <f t="shared" si="765"/>
        <v>40.4634</v>
      </c>
      <c r="AC77" s="39">
        <v>2.65E-3</v>
      </c>
      <c r="AD77" s="17">
        <f t="shared" si="766"/>
        <v>42.050199999999997</v>
      </c>
      <c r="AE77" s="26">
        <f>IF(M77&gt;0,(AG77+AP77)/M77,0)</f>
        <v>2.3452775397025459E-3</v>
      </c>
      <c r="AF77" s="39">
        <v>2.3000000000000001E-4</v>
      </c>
      <c r="AG77" s="36">
        <f t="shared" si="767"/>
        <v>3.6496400000000002</v>
      </c>
      <c r="AH77" s="27">
        <v>0.2102</v>
      </c>
      <c r="AI77" s="40">
        <f t="shared" si="768"/>
        <v>31.287849600000001</v>
      </c>
      <c r="AJ77" s="27">
        <f t="shared" si="769"/>
        <v>0.91420786976755875</v>
      </c>
      <c r="AK77" s="28">
        <f t="shared" si="681"/>
        <v>0.90285145187885185</v>
      </c>
      <c r="AL77" s="33">
        <v>168</v>
      </c>
      <c r="AM77" s="35">
        <v>0.114</v>
      </c>
      <c r="AN77" s="37">
        <v>0.22550000000000001</v>
      </c>
      <c r="AO77" s="103">
        <v>0.2155</v>
      </c>
      <c r="AP77" s="40">
        <f>AL77*(1-AM77)*AN77</f>
        <v>33.565224000000001</v>
      </c>
      <c r="AQ77" s="104">
        <f t="shared" si="726"/>
        <v>32.076744000000005</v>
      </c>
      <c r="AR77" s="41">
        <v>1.55</v>
      </c>
      <c r="AS77" s="41"/>
      <c r="AT77" s="129">
        <f>AT76+AL77-AS77</f>
        <v>124.21999999999943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58</v>
      </c>
      <c r="D78" s="42">
        <v>22700</v>
      </c>
      <c r="E78" s="42">
        <v>5</v>
      </c>
      <c r="F78" s="42">
        <v>16449</v>
      </c>
      <c r="G78" s="36">
        <v>1.1000000000000001</v>
      </c>
      <c r="H78" s="36">
        <v>4.3</v>
      </c>
      <c r="I78" s="42">
        <v>16183</v>
      </c>
      <c r="J78" s="133">
        <v>5.6</v>
      </c>
      <c r="K78" s="42">
        <v>16807</v>
      </c>
      <c r="L78" s="38">
        <v>0.06</v>
      </c>
      <c r="M78" s="36">
        <f>ROUND(K78*(1-L78),0)</f>
        <v>15799</v>
      </c>
      <c r="N78" s="27">
        <v>0.70699999999999996</v>
      </c>
      <c r="O78" s="24">
        <f t="shared" si="759"/>
        <v>11169.893</v>
      </c>
      <c r="P78" s="38">
        <v>0.28100000000000003</v>
      </c>
      <c r="Q78" s="24">
        <f t="shared" si="760"/>
        <v>4439.5190000000002</v>
      </c>
      <c r="R78" s="38">
        <v>1.2E-2</v>
      </c>
      <c r="S78" s="105">
        <v>0.19950000000000001</v>
      </c>
      <c r="T78" s="24">
        <f t="shared" si="761"/>
        <v>189.58799999999999</v>
      </c>
      <c r="U78" s="27">
        <v>0.26</v>
      </c>
      <c r="V78" s="24">
        <f t="shared" si="762"/>
        <v>4107.74</v>
      </c>
      <c r="W78" s="38">
        <v>0.45300000000000001</v>
      </c>
      <c r="X78" s="24">
        <f t="shared" si="763"/>
        <v>7156.9470000000001</v>
      </c>
      <c r="Y78" s="38">
        <v>0.43</v>
      </c>
      <c r="Z78" s="24">
        <f t="shared" si="764"/>
        <v>6793.57</v>
      </c>
      <c r="AA78" s="118">
        <v>2.2699999999999999E-3</v>
      </c>
      <c r="AB78" s="121">
        <f t="shared" si="765"/>
        <v>35.863729999999997</v>
      </c>
      <c r="AC78" s="45">
        <v>2.3400000000000001E-3</v>
      </c>
      <c r="AD78" s="17">
        <f t="shared" si="766"/>
        <v>36.969659999999998</v>
      </c>
      <c r="AE78" s="26">
        <f>IF(M78&gt;0,(AG78+AP78)/M78,0)</f>
        <v>2.9541661497563144E-3</v>
      </c>
      <c r="AF78" s="45">
        <v>2.1000000000000001E-4</v>
      </c>
      <c r="AG78" s="36">
        <f t="shared" si="767"/>
        <v>3.31779</v>
      </c>
      <c r="AH78" s="27">
        <v>0.20030000000000001</v>
      </c>
      <c r="AI78" s="40">
        <f t="shared" si="768"/>
        <v>39.205520200000002</v>
      </c>
      <c r="AJ78" s="27">
        <f t="shared" si="769"/>
        <v>0.9112117495844817</v>
      </c>
      <c r="AK78" s="28">
        <f t="shared" si="681"/>
        <v>0.92979547255721329</v>
      </c>
      <c r="AL78" s="42">
        <v>217</v>
      </c>
      <c r="AM78" s="38">
        <v>9.8000000000000004E-2</v>
      </c>
      <c r="AN78" s="27">
        <v>0.2215</v>
      </c>
      <c r="AO78" s="105">
        <v>0.21160000000000001</v>
      </c>
      <c r="AP78" s="40">
        <f>AL78*(1-AM78)*AN78</f>
        <v>43.355081000000006</v>
      </c>
      <c r="AQ78" s="106">
        <f t="shared" si="726"/>
        <v>41.417314400000002</v>
      </c>
      <c r="AR78" s="17">
        <v>1.65</v>
      </c>
      <c r="AS78" s="17"/>
      <c r="AT78" s="129">
        <f>AT77+AL78-AS78</f>
        <v>341.21999999999946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1">SUM(D76:D78)</f>
        <v>42965</v>
      </c>
      <c r="E79" s="49"/>
      <c r="F79" s="49">
        <f t="shared" ref="F79" si="772">SUM(F76:F78)</f>
        <v>46450</v>
      </c>
      <c r="G79" s="50"/>
      <c r="H79" s="50"/>
      <c r="I79" s="49">
        <f t="shared" ref="I79:K79" si="773">SUM(I76:I78)</f>
        <v>45329</v>
      </c>
      <c r="J79" s="50"/>
      <c r="K79" s="49">
        <f t="shared" si="773"/>
        <v>50452</v>
      </c>
      <c r="L79" s="20">
        <f t="shared" ref="L79" si="774">IF(K79&gt;0,(K76*L76+K77*L77+K78*L78)/K79,0)</f>
        <v>5.8335229525093159E-2</v>
      </c>
      <c r="M79" s="50">
        <f t="shared" ref="M79" si="775">M76+M77+M78</f>
        <v>47509</v>
      </c>
      <c r="N79" s="51">
        <f t="shared" ref="N79" si="776">IF(M79&gt;0,O79/M79,0)</f>
        <v>0.65695310362247161</v>
      </c>
      <c r="O79" s="52">
        <f t="shared" ref="O79" si="777">O76+O77+O78</f>
        <v>31211.185000000001</v>
      </c>
      <c r="P79" s="20">
        <f t="shared" ref="P79" si="778">IF(M79&gt;0,Q79/M79,0)</f>
        <v>0.31103262539729315</v>
      </c>
      <c r="Q79" s="52">
        <f t="shared" ref="Q79" si="779">Q76+Q77+Q78</f>
        <v>14776.849</v>
      </c>
      <c r="R79" s="20">
        <f t="shared" ref="R79" si="780">IF(M79&gt;0,T79/M79,0)</f>
        <v>3.2014270980235328E-2</v>
      </c>
      <c r="S79" s="107"/>
      <c r="T79" s="52">
        <f t="shared" ref="T79" si="781">T76+T77+T78</f>
        <v>1520.9660000000001</v>
      </c>
      <c r="U79" s="20">
        <f t="shared" ref="U79" si="782">IF(M79&gt;0,V79/M79,0)</f>
        <v>0.25566292702435328</v>
      </c>
      <c r="V79" s="52">
        <f t="shared" ref="V79" si="783">V76+V77+V78</f>
        <v>12146.29</v>
      </c>
      <c r="W79" s="20">
        <f t="shared" ref="W79" si="784">IF(M79&gt;0,X79/M79,0)</f>
        <v>0.46567886084741844</v>
      </c>
      <c r="X79" s="52">
        <f t="shared" ref="X79" si="785">X76+X77+X78</f>
        <v>22123.937000000002</v>
      </c>
      <c r="Y79" s="20">
        <f t="shared" ref="Y79" si="786">IF(M79&gt;0,Z79/M79,0)</f>
        <v>0.43</v>
      </c>
      <c r="Z79" s="52">
        <f t="shared" ref="Z79" si="787">Z76+Z77+Z78</f>
        <v>20428.87</v>
      </c>
      <c r="AA79" s="119">
        <f t="shared" ref="AA79" si="788">IF(M79&gt;0,AB79/M79,0)</f>
        <v>2.4702247995116717E-3</v>
      </c>
      <c r="AB79" s="54">
        <f t="shared" ref="AB79" si="789">SUM(AB76:AB78)</f>
        <v>117.35791</v>
      </c>
      <c r="AC79" s="53">
        <f t="shared" ref="AC79" si="790">IF(M79&gt;0,AD79/M79,0)</f>
        <v>2.5569138479025026E-3</v>
      </c>
      <c r="AD79" s="54">
        <f t="shared" ref="AD79" si="791">SUM(AD76:AD78)</f>
        <v>121.47641999999999</v>
      </c>
      <c r="AE79" s="53">
        <f t="shared" ref="AE79" si="792">IF(M79&gt;0,(AE76*M76+AE77*M77+AE78*M78)/M79,0)</f>
        <v>2.6157379317602982E-3</v>
      </c>
      <c r="AF79" s="53">
        <f t="shared" ref="AF79" si="793">IF(K79&gt;0,(K76*AF76+K77*AF77+K78*AF78)/K79,0)</f>
        <v>2.200110996590819E-4</v>
      </c>
      <c r="AG79" s="50">
        <f t="shared" ref="AG79" si="794">SUM(AG76:AG78)</f>
        <v>10.452670000000001</v>
      </c>
      <c r="AH79" s="51">
        <f t="shared" ref="AH79" si="795">IF(K79&gt;0,(K76*AH76+K77*AH77+K78*AH78)/K79,0)</f>
        <v>0.2068022377705542</v>
      </c>
      <c r="AI79" s="56">
        <f t="shared" ref="AI79" si="796">SUM(AI76:AI78)</f>
        <v>104.343523</v>
      </c>
      <c r="AJ79" s="51">
        <f t="shared" ref="AJ79" si="797">IF(AND(AD79&gt;0),((AD76*AJ76+AD77*AJ77+AD78*AJ78)/AD79),0)</f>
        <v>0.91492671368032219</v>
      </c>
      <c r="AK79" s="55">
        <f t="shared" si="681"/>
        <v>0.91678487339879333</v>
      </c>
      <c r="AL79" s="49">
        <f t="shared" ref="AL79" si="798">SUM(AL76:AL78)</f>
        <v>563</v>
      </c>
      <c r="AM79" s="20">
        <f t="shared" ref="AM79" si="799">IF(AL79&gt;0,(AM76*AL76+AM77*AL77+AM78*AL78)/AL79,0)</f>
        <v>0.10150976909413856</v>
      </c>
      <c r="AN79" s="51">
        <f>IF(K79&gt;0,(AN76*K76+AN77*K77+AN78*K78)/K79,0)</f>
        <v>0.22526517481963054</v>
      </c>
      <c r="AO79" s="107">
        <f>IF(L79&gt;0,(AO76*K76+AO77*K77+AO78*K78)/K79,0)</f>
        <v>0.2164627031634028</v>
      </c>
      <c r="AP79" s="56">
        <f t="shared" ref="AP79" si="800">SUM(AP76:AP78)</f>
        <v>113.8184234</v>
      </c>
      <c r="AQ79" s="108">
        <f t="shared" si="756"/>
        <v>109.3439348</v>
      </c>
      <c r="AR79" s="54"/>
      <c r="AS79" s="54">
        <f t="shared" ref="AS79" si="801">SUM(AS76:AS78)</f>
        <v>1019.5</v>
      </c>
      <c r="AT79" s="83"/>
      <c r="AU79" s="84">
        <f>AT78</f>
        <v>341.21999999999946</v>
      </c>
      <c r="AV79" s="49">
        <f t="shared" ref="AV79" si="802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0" t="s">
        <v>54</v>
      </c>
      <c r="D80" s="11">
        <v>5870</v>
      </c>
      <c r="E80" s="11">
        <v>3</v>
      </c>
      <c r="F80" s="11">
        <v>18391</v>
      </c>
      <c r="G80" s="12">
        <v>1.1000000000000001</v>
      </c>
      <c r="H80" s="12">
        <v>5.3</v>
      </c>
      <c r="I80" s="11">
        <v>18244</v>
      </c>
      <c r="J80" s="131">
        <v>5.3</v>
      </c>
      <c r="K80" s="11">
        <v>16920</v>
      </c>
      <c r="L80" s="13">
        <v>6.5000000000000002E-2</v>
      </c>
      <c r="M80" s="23">
        <f>ROUND(K80*(1-L80),0)</f>
        <v>15820</v>
      </c>
      <c r="N80" s="14">
        <v>0.67400000000000004</v>
      </c>
      <c r="O80" s="24">
        <f t="shared" ref="O80:O82" si="803">M80*N80</f>
        <v>10662.68</v>
      </c>
      <c r="P80" s="13">
        <v>0.307</v>
      </c>
      <c r="Q80" s="24">
        <f t="shared" ref="Q80:Q82" si="804">M80*P80</f>
        <v>4856.74</v>
      </c>
      <c r="R80" s="15">
        <v>1.9E-2</v>
      </c>
      <c r="S80" s="112">
        <v>0.1948</v>
      </c>
      <c r="T80" s="24">
        <f t="shared" ref="T80:T82" si="805">M80*R80</f>
        <v>300.58</v>
      </c>
      <c r="U80" s="25">
        <v>0.26500000000000001</v>
      </c>
      <c r="V80" s="24">
        <f t="shared" ref="V80:V82" si="806">M80*U80</f>
        <v>4192.3</v>
      </c>
      <c r="W80" s="15">
        <v>0.46400000000000002</v>
      </c>
      <c r="X80" s="24">
        <f t="shared" ref="X80:X82" si="807">M80*W80</f>
        <v>7340.4800000000005</v>
      </c>
      <c r="Y80" s="15">
        <v>0.43</v>
      </c>
      <c r="Z80" s="24">
        <f t="shared" ref="Z80:Z82" si="808">Y80*M80</f>
        <v>6802.5999999999995</v>
      </c>
      <c r="AA80" s="116">
        <v>2.3800000000000002E-3</v>
      </c>
      <c r="AB80" s="18">
        <f t="shared" ref="AB80" si="809">M80*AA80</f>
        <v>37.651600000000002</v>
      </c>
      <c r="AC80" s="16">
        <v>2.3900000000000002E-3</v>
      </c>
      <c r="AD80" s="17">
        <f t="shared" ref="AD80:AD82" si="810">M80*AC80</f>
        <v>37.809800000000003</v>
      </c>
      <c r="AE80" s="26">
        <f>IF(M80&gt;0,(AG80+AP80)/M80,0)</f>
        <v>2.496788369152971E-3</v>
      </c>
      <c r="AF80" s="16">
        <v>2.2000000000000001E-4</v>
      </c>
      <c r="AG80" s="23">
        <f t="shared" ref="AG80:AG82" si="811">AF80*M80</f>
        <v>3.4803999999999999</v>
      </c>
      <c r="AH80" s="92">
        <v>0.20680000000000001</v>
      </c>
      <c r="AI80" s="29">
        <f t="shared" ref="AI80:AI82" si="812">AL80*(1-AM80)*AH80</f>
        <v>33.492294000000001</v>
      </c>
      <c r="AJ80" s="27">
        <f t="shared" ref="AJ80:AJ82" si="813">IF(AND(AH80&gt;0,AF80&gt;0,AC80&gt;0),((AC80-AF80)*AH80)/((AH80-AF80)*AC80),0)</f>
        <v>0.90891672347953167</v>
      </c>
      <c r="AK80" s="58">
        <f t="shared" si="681"/>
        <v>0.91278974467382257</v>
      </c>
      <c r="AL80" s="11">
        <v>177</v>
      </c>
      <c r="AM80" s="13">
        <v>8.5000000000000006E-2</v>
      </c>
      <c r="AN80" s="14">
        <v>0.22239999999999999</v>
      </c>
      <c r="AO80" s="101">
        <v>0.2195</v>
      </c>
      <c r="AP80" s="29">
        <f>AL80*(1-AM80)*AN80</f>
        <v>36.018791999999998</v>
      </c>
      <c r="AQ80" s="102">
        <f t="shared" ref="AQ80" si="814">AL80*(1-AM80)*AO80</f>
        <v>35.549122500000003</v>
      </c>
      <c r="AR80" s="18">
        <v>1.53</v>
      </c>
      <c r="AS80" s="18">
        <v>501.76</v>
      </c>
      <c r="AT80" s="79">
        <f>AT78+AL80-AS80+AU80</f>
        <v>19.799999999999468</v>
      </c>
      <c r="AU80" s="130">
        <v>3.34</v>
      </c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43" t="s">
        <v>55</v>
      </c>
      <c r="D81" s="33">
        <v>20865</v>
      </c>
      <c r="E81" s="33">
        <v>8</v>
      </c>
      <c r="F81" s="33">
        <v>17329</v>
      </c>
      <c r="G81" s="34">
        <v>1.3</v>
      </c>
      <c r="H81" s="34">
        <v>5.3</v>
      </c>
      <c r="I81" s="33">
        <v>17163</v>
      </c>
      <c r="J81" s="34">
        <v>4.5999999999999996</v>
      </c>
      <c r="K81" s="33">
        <v>16912</v>
      </c>
      <c r="L81" s="35">
        <v>6.3E-2</v>
      </c>
      <c r="M81" s="36">
        <f>ROUND(K81*(1-L81),0)</f>
        <v>15847</v>
      </c>
      <c r="N81" s="37">
        <v>0.80500000000000005</v>
      </c>
      <c r="O81" s="24">
        <f t="shared" si="803"/>
        <v>12756.835000000001</v>
      </c>
      <c r="P81" s="35">
        <v>0.19400000000000001</v>
      </c>
      <c r="Q81" s="24">
        <f t="shared" si="804"/>
        <v>3074.3180000000002</v>
      </c>
      <c r="R81" s="38">
        <v>1E-3</v>
      </c>
      <c r="S81" s="105">
        <v>0.21410000000000001</v>
      </c>
      <c r="T81" s="24">
        <f t="shared" si="805"/>
        <v>15.847</v>
      </c>
      <c r="U81" s="27">
        <v>0.26</v>
      </c>
      <c r="V81" s="24">
        <f t="shared" si="806"/>
        <v>4120.22</v>
      </c>
      <c r="W81" s="38">
        <v>0.46600000000000003</v>
      </c>
      <c r="X81" s="24">
        <f t="shared" si="807"/>
        <v>7384.7020000000002</v>
      </c>
      <c r="Y81" s="38">
        <v>0.44</v>
      </c>
      <c r="Z81" s="24">
        <f t="shared" si="808"/>
        <v>6972.68</v>
      </c>
      <c r="AA81" s="117">
        <v>2.48E-3</v>
      </c>
      <c r="AB81" s="18">
        <f t="shared" si="765"/>
        <v>39.300559999999997</v>
      </c>
      <c r="AC81" s="39">
        <v>2.3999999999999998E-3</v>
      </c>
      <c r="AD81" s="17">
        <f t="shared" si="810"/>
        <v>38.032799999999995</v>
      </c>
      <c r="AE81" s="26">
        <f>IF(M81&gt;0,(AG81+AP81)/M81,0)</f>
        <v>2.5313010664479081E-3</v>
      </c>
      <c r="AF81" s="39">
        <v>2.1000000000000001E-4</v>
      </c>
      <c r="AG81" s="36">
        <f t="shared" si="811"/>
        <v>3.3278700000000003</v>
      </c>
      <c r="AH81" s="27">
        <v>0.20680000000000001</v>
      </c>
      <c r="AI81" s="40">
        <f t="shared" si="812"/>
        <v>33.497464000000008</v>
      </c>
      <c r="AJ81" s="27">
        <f t="shared" si="813"/>
        <v>0.91342756183745555</v>
      </c>
      <c r="AK81" s="28">
        <f t="shared" si="681"/>
        <v>0.91788748383382301</v>
      </c>
      <c r="AL81" s="33">
        <v>178</v>
      </c>
      <c r="AM81" s="35">
        <v>0.09</v>
      </c>
      <c r="AN81" s="37">
        <v>0.2271</v>
      </c>
      <c r="AO81" s="103">
        <v>0.22409999999999999</v>
      </c>
      <c r="AP81" s="40">
        <f>AL81*(1-AM81)*AN81</f>
        <v>36.785658000000005</v>
      </c>
      <c r="AQ81" s="104">
        <f t="shared" si="726"/>
        <v>36.299718000000006</v>
      </c>
      <c r="AR81" s="41">
        <v>1.6</v>
      </c>
      <c r="AS81" s="41"/>
      <c r="AT81" s="129">
        <f>AT80+AL81-AS81</f>
        <v>197.79999999999947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53</v>
      </c>
      <c r="D82" s="42">
        <v>18800</v>
      </c>
      <c r="E82" s="42">
        <v>7</v>
      </c>
      <c r="F82" s="42">
        <v>17649</v>
      </c>
      <c r="G82" s="36">
        <v>1</v>
      </c>
      <c r="H82" s="36">
        <v>6.1</v>
      </c>
      <c r="I82" s="42">
        <v>17151</v>
      </c>
      <c r="J82" s="36">
        <v>4.7</v>
      </c>
      <c r="K82" s="42">
        <v>16901</v>
      </c>
      <c r="L82" s="38">
        <v>6.6000000000000003E-2</v>
      </c>
      <c r="M82" s="36">
        <f>ROUND(K82*(1-L82),0)</f>
        <v>15786</v>
      </c>
      <c r="N82" s="27">
        <v>0.71799999999999997</v>
      </c>
      <c r="O82" s="24">
        <f t="shared" si="803"/>
        <v>11334.348</v>
      </c>
      <c r="P82" s="38">
        <v>0.27200000000000002</v>
      </c>
      <c r="Q82" s="24">
        <f t="shared" si="804"/>
        <v>4293.7920000000004</v>
      </c>
      <c r="R82" s="38">
        <v>0.01</v>
      </c>
      <c r="S82" s="105">
        <v>0.20549999999999999</v>
      </c>
      <c r="T82" s="24">
        <f t="shared" si="805"/>
        <v>157.86000000000001</v>
      </c>
      <c r="U82" s="27">
        <v>0.26400000000000001</v>
      </c>
      <c r="V82" s="24">
        <f t="shared" si="806"/>
        <v>4167.5039999999999</v>
      </c>
      <c r="W82" s="38">
        <v>0.44700000000000001</v>
      </c>
      <c r="X82" s="24">
        <f t="shared" si="807"/>
        <v>7056.3420000000006</v>
      </c>
      <c r="Y82" s="38">
        <v>0.43</v>
      </c>
      <c r="Z82" s="24">
        <f t="shared" si="808"/>
        <v>6787.98</v>
      </c>
      <c r="AA82" s="118">
        <v>2.5500000000000002E-3</v>
      </c>
      <c r="AB82" s="121">
        <f t="shared" si="765"/>
        <v>40.254300000000001</v>
      </c>
      <c r="AC82" s="45">
        <v>2.5300000000000001E-3</v>
      </c>
      <c r="AD82" s="17">
        <f t="shared" si="810"/>
        <v>39.938580000000002</v>
      </c>
      <c r="AE82" s="26">
        <f>IF(M82&gt;0,(AG82+AP82)/M82,0)</f>
        <v>2.5538182250095021E-3</v>
      </c>
      <c r="AF82" s="45">
        <v>2.4000000000000001E-4</v>
      </c>
      <c r="AG82" s="36">
        <f t="shared" si="811"/>
        <v>3.78864</v>
      </c>
      <c r="AH82" s="27">
        <v>0.20230000000000001</v>
      </c>
      <c r="AI82" s="40">
        <f t="shared" si="812"/>
        <v>33.0612821</v>
      </c>
      <c r="AJ82" s="27">
        <f t="shared" si="813"/>
        <v>0.90621343247554131</v>
      </c>
      <c r="AK82" s="28">
        <f t="shared" si="681"/>
        <v>0.90699702519185543</v>
      </c>
      <c r="AL82" s="42">
        <v>179</v>
      </c>
      <c r="AM82" s="38">
        <v>8.6999999999999994E-2</v>
      </c>
      <c r="AN82" s="27">
        <v>0.2235</v>
      </c>
      <c r="AO82" s="105">
        <v>0.2223</v>
      </c>
      <c r="AP82" s="40">
        <f>AL82*(1-AM82)*AN82</f>
        <v>36.525934499999998</v>
      </c>
      <c r="AQ82" s="106">
        <f t="shared" si="726"/>
        <v>36.329822100000001</v>
      </c>
      <c r="AR82" s="17">
        <v>1.55</v>
      </c>
      <c r="AS82" s="17"/>
      <c r="AT82" s="129">
        <f>AT81+AL82-AS82</f>
        <v>376.7999999999995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5">SUM(D80:D82)</f>
        <v>45535</v>
      </c>
      <c r="E83" s="49"/>
      <c r="F83" s="49">
        <f t="shared" ref="F83" si="816">SUM(F80:F82)</f>
        <v>53369</v>
      </c>
      <c r="G83" s="50"/>
      <c r="H83" s="50"/>
      <c r="I83" s="49">
        <f t="shared" ref="I83:K83" si="817">SUM(I80:I82)</f>
        <v>52558</v>
      </c>
      <c r="J83" s="50"/>
      <c r="K83" s="49">
        <f t="shared" si="817"/>
        <v>50733</v>
      </c>
      <c r="L83" s="20">
        <f t="shared" ref="L83" si="818">IF(K83&gt;0,(K80*L80+K81*L81+K82*L82)/K83,0)</f>
        <v>6.466643013423215E-2</v>
      </c>
      <c r="M83" s="50">
        <f t="shared" ref="M83" si="819">M80+M81+M82</f>
        <v>47453</v>
      </c>
      <c r="N83" s="51">
        <f t="shared" ref="N83" si="820">IF(M83&gt;0,O83/M83,0)</f>
        <v>0.7323849493182728</v>
      </c>
      <c r="O83" s="52">
        <f t="shared" ref="O83" si="821">O80+O81+O82</f>
        <v>34753.862999999998</v>
      </c>
      <c r="P83" s="20">
        <f t="shared" ref="P83" si="822">IF(M83&gt;0,Q83/M83,0)</f>
        <v>0.25762017153815353</v>
      </c>
      <c r="Q83" s="52">
        <f t="shared" ref="Q83" si="823">Q80+Q81+Q82</f>
        <v>12224.85</v>
      </c>
      <c r="R83" s="20">
        <f t="shared" ref="R83" si="824">IF(M83&gt;0,T83/M83,0)</f>
        <v>9.9948791435736407E-3</v>
      </c>
      <c r="S83" s="107"/>
      <c r="T83" s="52">
        <f t="shared" ref="T83" si="825">T80+T81+T82</f>
        <v>474.28699999999998</v>
      </c>
      <c r="U83" s="20">
        <f t="shared" ref="U83" si="826">IF(M83&gt;0,V83/M83,0)</f>
        <v>0.2629975765494279</v>
      </c>
      <c r="V83" s="52">
        <f t="shared" ref="V83" si="827">V80+V81+V82</f>
        <v>12480.024000000001</v>
      </c>
      <c r="W83" s="20">
        <f t="shared" ref="W83" si="828">IF(M83&gt;0,X83/M83,0)</f>
        <v>0.45901258086949193</v>
      </c>
      <c r="X83" s="52">
        <f t="shared" ref="X83" si="829">X80+X81+X82</f>
        <v>21781.524000000001</v>
      </c>
      <c r="Y83" s="20">
        <f t="shared" ref="Y83" si="830">IF(M83&gt;0,Z83/M83,0)</f>
        <v>0.43333951488841588</v>
      </c>
      <c r="Z83" s="52">
        <f t="shared" ref="Z83" si="831">Z80+Z81+Z82</f>
        <v>20563.259999999998</v>
      </c>
      <c r="AA83" s="119">
        <f t="shared" ref="AA83" si="832">IF(M83&gt;0,AB83/M83,0)</f>
        <v>2.4699483699660717E-3</v>
      </c>
      <c r="AB83" s="54">
        <f t="shared" ref="AB83" si="833">SUM(AB80:AB82)</f>
        <v>117.20645999999999</v>
      </c>
      <c r="AC83" s="53">
        <f t="shared" ref="AC83" si="834">IF(M83&gt;0,AD83/M83,0)</f>
        <v>2.4399127557794028E-3</v>
      </c>
      <c r="AD83" s="54">
        <f t="shared" ref="AD83" si="835">SUM(AD80:AD82)</f>
        <v>115.78118000000001</v>
      </c>
      <c r="AE83" s="53">
        <f t="shared" ref="AE83" si="836">IF(M83&gt;0,(AE80*M80+AE81*M81+AE82*M82)/M83,0)</f>
        <v>2.5272858301898719E-3</v>
      </c>
      <c r="AF83" s="53">
        <f t="shared" ref="AF83" si="837">IF(K83&gt;0,(K80*AF80+K81*AF81+K82*AF82)/K83,0)</f>
        <v>2.233291940157294E-4</v>
      </c>
      <c r="AG83" s="50">
        <f t="shared" ref="AG83" si="838">SUM(AG80:AG82)</f>
        <v>10.596910000000001</v>
      </c>
      <c r="AH83" s="51">
        <f t="shared" ref="AH83" si="839">IF(K83&gt;0,(K80*AH80+K81*AH81+K82*AH82)/K83,0)</f>
        <v>0.20530088699662941</v>
      </c>
      <c r="AI83" s="56">
        <f t="shared" ref="AI83" si="840">SUM(AI80:AI82)</f>
        <v>100.05104010000001</v>
      </c>
      <c r="AJ83" s="51">
        <f t="shared" ref="AJ83" si="841">IF(AND(AD83&gt;0),((AD80*AJ80+AD81*AJ81+AD82*AJ82)/AD83),0)</f>
        <v>0.90946598553639701</v>
      </c>
      <c r="AK83" s="55">
        <f t="shared" si="681"/>
        <v>0.91254124857439145</v>
      </c>
      <c r="AL83" s="49">
        <f t="shared" ref="AL83" si="842">SUM(AL80:AL82)</f>
        <v>534</v>
      </c>
      <c r="AM83" s="20">
        <f t="shared" ref="AM83" si="843">IF(AL83&gt;0,(AM80*AL80+AM81*AL81+AM82*AL82)/AL83,0)</f>
        <v>8.7337078651685385E-2</v>
      </c>
      <c r="AN83" s="51">
        <f>IF(K83&gt;0,(AN80*K80+AN81*K81+AN82*K82)/K83,0)</f>
        <v>0.22433320915380522</v>
      </c>
      <c r="AO83" s="107">
        <f>IF(L83&gt;0,(AO80*K80+AO81*K81+AO82*K82)/K83,0)</f>
        <v>0.22196620542841938</v>
      </c>
      <c r="AP83" s="56">
        <f t="shared" ref="AP83" si="844">SUM(AP80:AP82)</f>
        <v>109.33038450000001</v>
      </c>
      <c r="AQ83" s="108">
        <f t="shared" si="756"/>
        <v>108.17866260000001</v>
      </c>
      <c r="AR83" s="54"/>
      <c r="AS83" s="54">
        <f t="shared" ref="AS83" si="845">SUM(AS80:AS82)</f>
        <v>501.76</v>
      </c>
      <c r="AT83" s="83"/>
      <c r="AU83" s="84">
        <f>AT82</f>
        <v>376.7999999999995</v>
      </c>
      <c r="AV83" s="49">
        <f t="shared" ref="AV83" si="846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58</v>
      </c>
      <c r="D84" s="11">
        <v>2787</v>
      </c>
      <c r="E84" s="11">
        <v>9</v>
      </c>
      <c r="F84" s="11">
        <v>12105</v>
      </c>
      <c r="G84" s="12">
        <v>0.7</v>
      </c>
      <c r="H84" s="12">
        <v>6.1</v>
      </c>
      <c r="I84" s="11">
        <v>12200</v>
      </c>
      <c r="J84" s="12">
        <v>6.7</v>
      </c>
      <c r="K84" s="11">
        <v>16847</v>
      </c>
      <c r="L84" s="13">
        <v>7.6999999999999999E-2</v>
      </c>
      <c r="M84" s="23">
        <f>ROUND(K84*(1-L84),0)</f>
        <v>15550</v>
      </c>
      <c r="N84" s="14">
        <v>0.56899999999999995</v>
      </c>
      <c r="O84" s="24">
        <f t="shared" ref="O84:O86" si="847">M84*N84</f>
        <v>8847.9499999999989</v>
      </c>
      <c r="P84" s="13">
        <v>0.36599999999999999</v>
      </c>
      <c r="Q84" s="24">
        <f t="shared" ref="Q84:Q86" si="848">M84*P84</f>
        <v>5691.3</v>
      </c>
      <c r="R84" s="15">
        <v>6.5000000000000002E-2</v>
      </c>
      <c r="S84" s="112">
        <v>0.17299999999999999</v>
      </c>
      <c r="T84" s="24">
        <f t="shared" ref="T84:T86" si="849">M84*R84</f>
        <v>1010.75</v>
      </c>
      <c r="U84" s="25">
        <v>0.25800000000000001</v>
      </c>
      <c r="V84" s="24">
        <f t="shared" ref="V84:V86" si="850">M84*U84</f>
        <v>4011.9</v>
      </c>
      <c r="W84" s="15">
        <v>0.46400000000000002</v>
      </c>
      <c r="X84" s="24">
        <f t="shared" ref="X84:X86" si="851">M84*W84</f>
        <v>7215.2000000000007</v>
      </c>
      <c r="Y84" s="15">
        <v>0.45</v>
      </c>
      <c r="Z84" s="24">
        <f t="shared" ref="Z84:Z86" si="852">Y84*M84</f>
        <v>6997.5</v>
      </c>
      <c r="AA84" s="116">
        <v>2.5600000000000002E-3</v>
      </c>
      <c r="AB84" s="18">
        <f t="shared" ref="AB84" si="853">M84*AA84</f>
        <v>39.808</v>
      </c>
      <c r="AC84" s="16">
        <v>2.5600000000000002E-3</v>
      </c>
      <c r="AD84" s="17">
        <f t="shared" ref="AD84:AD86" si="854">M84*AC84</f>
        <v>39.808</v>
      </c>
      <c r="AE84" s="26">
        <f>IF(M84&gt;0,(AG84+AP84)/M84,0)</f>
        <v>2.8810532475884248E-3</v>
      </c>
      <c r="AF84" s="16">
        <v>2.5000000000000001E-4</v>
      </c>
      <c r="AG84" s="23">
        <f t="shared" ref="AG84:AG86" si="855">AF84*M84</f>
        <v>3.8875000000000002</v>
      </c>
      <c r="AH84" s="92">
        <v>0.20699999999999999</v>
      </c>
      <c r="AI84" s="29">
        <f t="shared" ref="AI84:AI86" si="856">AL84*(1-AM84)*AH84</f>
        <v>37.841670000000001</v>
      </c>
      <c r="AJ84" s="27">
        <f t="shared" ref="AJ84:AJ86" si="857">IF(AND(AH84&gt;0,AF84&gt;0,AC84&gt;0),((AC84-AF84)*AH84)/((AH84-AF84)*AC84),0)</f>
        <v>0.90343485489721886</v>
      </c>
      <c r="AK84" s="58">
        <f t="shared" si="681"/>
        <v>0.91424745590161471</v>
      </c>
      <c r="AL84" s="11">
        <v>202</v>
      </c>
      <c r="AM84" s="13">
        <v>9.5000000000000001E-2</v>
      </c>
      <c r="AN84" s="14">
        <v>0.2238</v>
      </c>
      <c r="AO84" s="101">
        <v>0.2235</v>
      </c>
      <c r="AP84" s="29">
        <f>AL84*(1-AM84)*AN84</f>
        <v>40.912877999999999</v>
      </c>
      <c r="AQ84" s="102">
        <f t="shared" ref="AQ84" si="858">AL84*(1-AM84)*AO84</f>
        <v>40.858035000000001</v>
      </c>
      <c r="AR84" s="18">
        <v>1.55</v>
      </c>
      <c r="AS84" s="18">
        <v>504.72</v>
      </c>
      <c r="AT84" s="79">
        <f>AT82+AL84-AS84-AU84</f>
        <v>58.539999999999473</v>
      </c>
      <c r="AU84" s="130">
        <v>15.54</v>
      </c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43" t="s">
        <v>55</v>
      </c>
      <c r="D85" s="33">
        <v>20453</v>
      </c>
      <c r="E85" s="33">
        <v>11</v>
      </c>
      <c r="F85" s="33">
        <v>17469</v>
      </c>
      <c r="G85" s="34">
        <v>0.9</v>
      </c>
      <c r="H85" s="34">
        <v>6.4</v>
      </c>
      <c r="I85" s="33">
        <v>17105</v>
      </c>
      <c r="J85" s="34">
        <v>5.9</v>
      </c>
      <c r="K85" s="33">
        <v>16912</v>
      </c>
      <c r="L85" s="35">
        <v>6.5000000000000002E-2</v>
      </c>
      <c r="M85" s="36">
        <f>ROUND(K85*(1-L85),0)</f>
        <v>15813</v>
      </c>
      <c r="N85" s="37">
        <v>0.627</v>
      </c>
      <c r="O85" s="24">
        <f t="shared" si="847"/>
        <v>9914.7510000000002</v>
      </c>
      <c r="P85" s="35">
        <v>0.34499999999999997</v>
      </c>
      <c r="Q85" s="24">
        <f t="shared" si="848"/>
        <v>5455.4849999999997</v>
      </c>
      <c r="R85" s="38">
        <v>2.8000000000000001E-2</v>
      </c>
      <c r="S85" s="105">
        <v>0.21790000000000001</v>
      </c>
      <c r="T85" s="24">
        <f t="shared" si="849"/>
        <v>442.76400000000001</v>
      </c>
      <c r="U85" s="27">
        <v>0.26400000000000001</v>
      </c>
      <c r="V85" s="24">
        <f t="shared" si="850"/>
        <v>4174.6320000000005</v>
      </c>
      <c r="W85" s="38">
        <v>0.48</v>
      </c>
      <c r="X85" s="24">
        <f t="shared" si="851"/>
        <v>7590.24</v>
      </c>
      <c r="Y85" s="38">
        <v>0.44</v>
      </c>
      <c r="Z85" s="24">
        <f t="shared" si="852"/>
        <v>6957.72</v>
      </c>
      <c r="AA85" s="117">
        <v>2.2799999999999999E-3</v>
      </c>
      <c r="AB85" s="18">
        <f t="shared" si="765"/>
        <v>36.053640000000001</v>
      </c>
      <c r="AC85" s="39">
        <v>2.33E-3</v>
      </c>
      <c r="AD85" s="17">
        <f t="shared" si="854"/>
        <v>36.844290000000001</v>
      </c>
      <c r="AE85" s="26">
        <f>IF(M85&gt;0,(AG85+AP85)/M85,0)</f>
        <v>2.4612051792828687E-3</v>
      </c>
      <c r="AF85" s="39">
        <v>2.2000000000000001E-4</v>
      </c>
      <c r="AG85" s="36">
        <f t="shared" si="855"/>
        <v>3.4788600000000001</v>
      </c>
      <c r="AH85" s="27">
        <v>0.20280000000000001</v>
      </c>
      <c r="AI85" s="40">
        <f t="shared" si="856"/>
        <v>31.592386800000003</v>
      </c>
      <c r="AJ85" s="27">
        <f t="shared" si="857"/>
        <v>0.90656284996506442</v>
      </c>
      <c r="AK85" s="28">
        <f t="shared" si="681"/>
        <v>0.91149434242972183</v>
      </c>
      <c r="AL85" s="33">
        <v>171</v>
      </c>
      <c r="AM85" s="35">
        <v>8.8999999999999996E-2</v>
      </c>
      <c r="AN85" s="37">
        <v>0.22750000000000001</v>
      </c>
      <c r="AO85" s="103">
        <v>0.2293</v>
      </c>
      <c r="AP85" s="40">
        <f>AL85*(1-AM85)*AN85</f>
        <v>35.440177500000004</v>
      </c>
      <c r="AQ85" s="104">
        <f t="shared" si="726"/>
        <v>35.720583300000001</v>
      </c>
      <c r="AR85" s="41">
        <v>1.6</v>
      </c>
      <c r="AS85" s="41"/>
      <c r="AT85" s="129">
        <f>AT84+AL85-AS85</f>
        <v>229.53999999999948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54</v>
      </c>
      <c r="D86" s="42">
        <v>18020</v>
      </c>
      <c r="E86" s="42">
        <v>10</v>
      </c>
      <c r="F86" s="42">
        <v>19143</v>
      </c>
      <c r="G86" s="36">
        <v>0.8</v>
      </c>
      <c r="H86" s="36">
        <v>5.3</v>
      </c>
      <c r="I86" s="42">
        <v>18849</v>
      </c>
      <c r="J86" s="133">
        <v>5.3</v>
      </c>
      <c r="K86" s="42">
        <v>16832</v>
      </c>
      <c r="L86" s="38">
        <v>5.7000000000000002E-2</v>
      </c>
      <c r="M86" s="36">
        <f>ROUND(K86*(1-L86),0)</f>
        <v>15873</v>
      </c>
      <c r="N86" s="27">
        <v>0.66400000000000003</v>
      </c>
      <c r="O86" s="24">
        <f t="shared" si="847"/>
        <v>10539.672</v>
      </c>
      <c r="P86" s="38">
        <v>0.30099999999999999</v>
      </c>
      <c r="Q86" s="24">
        <f t="shared" si="848"/>
        <v>4777.7730000000001</v>
      </c>
      <c r="R86" s="38">
        <v>3.5000000000000003E-2</v>
      </c>
      <c r="S86" s="105">
        <v>0.19389999999999999</v>
      </c>
      <c r="T86" s="24">
        <f t="shared" si="849"/>
        <v>555.55500000000006</v>
      </c>
      <c r="U86" s="27">
        <v>0.27300000000000002</v>
      </c>
      <c r="V86" s="24">
        <f t="shared" si="850"/>
        <v>4333.3290000000006</v>
      </c>
      <c r="W86" s="38">
        <v>0.439</v>
      </c>
      <c r="X86" s="24">
        <f t="shared" si="851"/>
        <v>6968.2470000000003</v>
      </c>
      <c r="Y86" s="38">
        <v>0.45</v>
      </c>
      <c r="Z86" s="24">
        <f t="shared" si="852"/>
        <v>7142.85</v>
      </c>
      <c r="AA86" s="118">
        <v>2.2599999999999999E-3</v>
      </c>
      <c r="AB86" s="121">
        <f t="shared" si="765"/>
        <v>35.872979999999998</v>
      </c>
      <c r="AC86" s="45">
        <v>2.31E-3</v>
      </c>
      <c r="AD86" s="17">
        <f t="shared" si="854"/>
        <v>36.666629999999998</v>
      </c>
      <c r="AE86" s="26">
        <f>IF(M86&gt;0,(AG86+AP86)/M86,0)</f>
        <v>2.4763734643734646E-3</v>
      </c>
      <c r="AF86" s="45">
        <v>2.2000000000000001E-4</v>
      </c>
      <c r="AG86" s="36">
        <f t="shared" si="855"/>
        <v>3.4920599999999999</v>
      </c>
      <c r="AH86" s="27">
        <v>0.19850000000000001</v>
      </c>
      <c r="AI86" s="40">
        <f t="shared" si="856"/>
        <v>33.236840000000001</v>
      </c>
      <c r="AJ86" s="27">
        <f t="shared" si="857"/>
        <v>0.90576577615108977</v>
      </c>
      <c r="AK86" s="28">
        <f t="shared" si="681"/>
        <v>0.91209852106300926</v>
      </c>
      <c r="AL86" s="42">
        <v>184</v>
      </c>
      <c r="AM86" s="38">
        <v>0.09</v>
      </c>
      <c r="AN86" s="27">
        <v>0.21390000000000001</v>
      </c>
      <c r="AO86" s="105">
        <v>0.21629999999999999</v>
      </c>
      <c r="AP86" s="40">
        <f>AL86*(1-AM86)*AN86</f>
        <v>35.815415999999999</v>
      </c>
      <c r="AQ86" s="106">
        <f t="shared" si="726"/>
        <v>36.217272000000001</v>
      </c>
      <c r="AR86" s="17">
        <v>1.55</v>
      </c>
      <c r="AS86" s="17"/>
      <c r="AT86" s="129">
        <f>AT85+AL86-AS86</f>
        <v>413.53999999999951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59">SUM(D84:D86)</f>
        <v>41260</v>
      </c>
      <c r="E87" s="49"/>
      <c r="F87" s="49">
        <f t="shared" ref="F87" si="860">SUM(F84:F86)</f>
        <v>48717</v>
      </c>
      <c r="G87" s="50"/>
      <c r="H87" s="50"/>
      <c r="I87" s="49">
        <f t="shared" ref="I87:K87" si="861">SUM(I84:I86)</f>
        <v>48154</v>
      </c>
      <c r="J87" s="50"/>
      <c r="K87" s="49">
        <f t="shared" si="861"/>
        <v>50591</v>
      </c>
      <c r="L87" s="20">
        <f t="shared" ref="L87" si="862">IF(K87&gt;0,(K84*L84+K85*L85+K86*L86)/K87,0)</f>
        <v>6.6334387539285639E-2</v>
      </c>
      <c r="M87" s="50">
        <f t="shared" ref="M87" si="863">M84+M85+M86</f>
        <v>47236</v>
      </c>
      <c r="N87" s="51">
        <f t="shared" ref="N87" si="864">IF(M87&gt;0,O87/M87,0)</f>
        <v>0.62033984672707254</v>
      </c>
      <c r="O87" s="52">
        <f t="shared" ref="O87" si="865">O84+O85+O86</f>
        <v>29302.373</v>
      </c>
      <c r="P87" s="20">
        <f t="shared" ref="P87" si="866">IF(M87&gt;0,Q87/M87,0)</f>
        <v>0.33712757219070205</v>
      </c>
      <c r="Q87" s="52">
        <f t="shared" ref="Q87" si="867">Q84+Q85+Q86</f>
        <v>15924.558000000001</v>
      </c>
      <c r="R87" s="20">
        <f t="shared" ref="R87" si="868">IF(M87&gt;0,T87/M87,0)</f>
        <v>4.2532581082225428E-2</v>
      </c>
      <c r="S87" s="107"/>
      <c r="T87" s="52">
        <f t="shared" ref="T87" si="869">T84+T85+T86</f>
        <v>2009.0690000000002</v>
      </c>
      <c r="U87" s="20">
        <f t="shared" ref="U87" si="870">IF(M87&gt;0,V87/M87,0)</f>
        <v>0.26504913625201121</v>
      </c>
      <c r="V87" s="52">
        <f t="shared" ref="V87" si="871">V84+V85+V86</f>
        <v>12519.861000000001</v>
      </c>
      <c r="W87" s="20">
        <f t="shared" ref="W87" si="872">IF(M87&gt;0,X87/M87,0)</f>
        <v>0.46095535185028375</v>
      </c>
      <c r="X87" s="52">
        <f t="shared" ref="X87" si="873">X84+X85+X86</f>
        <v>21773.687000000002</v>
      </c>
      <c r="Y87" s="20">
        <f t="shared" ref="Y87" si="874">IF(M87&gt;0,Z87/M87,0)</f>
        <v>0.44665234143449911</v>
      </c>
      <c r="Z87" s="52">
        <f t="shared" ref="Z87" si="875">Z84+Z85+Z86</f>
        <v>21098.07</v>
      </c>
      <c r="AA87" s="119">
        <f t="shared" ref="AA87" si="876">IF(M87&gt;0,AB87/M87,0)</f>
        <v>2.365454737911762E-3</v>
      </c>
      <c r="AB87" s="54">
        <f t="shared" ref="AB87" si="877">SUM(AB84:AB86)</f>
        <v>111.73461999999999</v>
      </c>
      <c r="AC87" s="53">
        <f t="shared" ref="AC87" si="878">IF(M87&gt;0,AD87/M87,0)</f>
        <v>2.3989948344483019E-3</v>
      </c>
      <c r="AD87" s="54">
        <f t="shared" ref="AD87" si="879">SUM(AD84:AD86)</f>
        <v>113.31891999999999</v>
      </c>
      <c r="AE87" s="53">
        <f t="shared" ref="AE87" si="880">IF(M87&gt;0,(AE84*M84+AE85*M85+AE86*M86)/M87,0)</f>
        <v>2.6045154437293592E-3</v>
      </c>
      <c r="AF87" s="53">
        <f t="shared" ref="AF87" si="881">IF(K87&gt;0,(K84*AF84+K85*AF85+K86*AF86)/K87,0)</f>
        <v>2.2999011681919707E-4</v>
      </c>
      <c r="AG87" s="50">
        <f t="shared" ref="AG87" si="882">SUM(AG84:AG86)</f>
        <v>10.858420000000001</v>
      </c>
      <c r="AH87" s="51">
        <f t="shared" ref="AH87" si="883">IF(K87&gt;0,(K84*AH84+K85*AH85+K86*AH86)/K87,0)</f>
        <v>0.20276797454092624</v>
      </c>
      <c r="AI87" s="56">
        <f t="shared" ref="AI87" si="884">SUM(AI84:AI86)</f>
        <v>102.67089680000001</v>
      </c>
      <c r="AJ87" s="51">
        <f t="shared" ref="AJ87" si="885">IF(AND(AD87&gt;0),((AD84*AJ84+AD85*AJ85+AD86*AJ86)/AD87),0)</f>
        <v>0.905206101786733</v>
      </c>
      <c r="AK87" s="55">
        <f t="shared" si="681"/>
        <v>0.91264220691051567</v>
      </c>
      <c r="AL87" s="49">
        <f t="shared" ref="AL87" si="886">SUM(AL84:AL86)</f>
        <v>557</v>
      </c>
      <c r="AM87" s="20">
        <f t="shared" ref="AM87" si="887">IF(AL87&gt;0,(AM84*AL84+AM85*AL85+AM86*AL86)/AL87,0)</f>
        <v>9.1506283662477553E-2</v>
      </c>
      <c r="AN87" s="51">
        <f>IF(K87&gt;0,(AN84*K84+AN85*K85+AN86*K86)/K87,0)</f>
        <v>0.22174306497203061</v>
      </c>
      <c r="AO87" s="107">
        <f>IF(L87&gt;0,(AO84*K84+AO85*K85+AO86*K86)/K87,0)</f>
        <v>0.22304338123381628</v>
      </c>
      <c r="AP87" s="56">
        <f t="shared" ref="AP87" si="888">SUM(AP84:AP86)</f>
        <v>112.16847150000001</v>
      </c>
      <c r="AQ87" s="108">
        <f t="shared" si="756"/>
        <v>112.7958903</v>
      </c>
      <c r="AR87" s="54"/>
      <c r="AS87" s="54">
        <f t="shared" ref="AS87" si="889">SUM(AS84:AS86)</f>
        <v>504.72</v>
      </c>
      <c r="AT87" s="83"/>
      <c r="AU87" s="84">
        <f>AT86</f>
        <v>413.53999999999951</v>
      </c>
      <c r="AV87" s="49">
        <f t="shared" ref="AV87" si="890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58</v>
      </c>
      <c r="D88" s="11">
        <v>18296</v>
      </c>
      <c r="E88" s="11">
        <v>6</v>
      </c>
      <c r="F88" s="11">
        <v>19301</v>
      </c>
      <c r="G88" s="12">
        <v>0.7</v>
      </c>
      <c r="H88" s="12">
        <v>5.3</v>
      </c>
      <c r="I88" s="11">
        <v>18920</v>
      </c>
      <c r="J88" s="131">
        <v>4</v>
      </c>
      <c r="K88" s="11">
        <v>16932</v>
      </c>
      <c r="L88" s="13">
        <v>6.2E-2</v>
      </c>
      <c r="M88" s="23">
        <f>ROUND(K88*(1-L88),0)</f>
        <v>15882</v>
      </c>
      <c r="N88" s="14">
        <v>0.77700000000000002</v>
      </c>
      <c r="O88" s="24">
        <f t="shared" ref="O88:O90" si="891">M88*N88</f>
        <v>12340.314</v>
      </c>
      <c r="P88" s="13">
        <v>0.28599999999999998</v>
      </c>
      <c r="Q88" s="24">
        <f t="shared" ref="Q88:Q90" si="892">M88*P88</f>
        <v>4542.2519999999995</v>
      </c>
      <c r="R88" s="15">
        <v>3.6999999999999998E-2</v>
      </c>
      <c r="S88" s="112">
        <v>0.20519999999999999</v>
      </c>
      <c r="T88" s="24">
        <f t="shared" ref="T88:T90" si="893">M88*R88</f>
        <v>587.63400000000001</v>
      </c>
      <c r="U88" s="25">
        <v>0.26100000000000001</v>
      </c>
      <c r="V88" s="24">
        <f t="shared" ref="V88:V90" si="894">M88*U88</f>
        <v>4145.2020000000002</v>
      </c>
      <c r="W88" s="15">
        <v>0.47</v>
      </c>
      <c r="X88" s="24">
        <f t="shared" ref="X88:X90" si="895">M88*W88</f>
        <v>7464.54</v>
      </c>
      <c r="Y88" s="15">
        <v>0.45</v>
      </c>
      <c r="Z88" s="24">
        <f t="shared" ref="Z88:Z90" si="896">Y88*M88</f>
        <v>7146.9000000000005</v>
      </c>
      <c r="AA88" s="116">
        <v>2.5500000000000002E-3</v>
      </c>
      <c r="AB88" s="18">
        <f t="shared" ref="AB88" si="897">M88*AA88</f>
        <v>40.499100000000006</v>
      </c>
      <c r="AC88" s="16">
        <v>2.5699999999999998E-3</v>
      </c>
      <c r="AD88" s="17">
        <f t="shared" ref="AD88:AD90" si="898">M88*AC88</f>
        <v>40.816739999999996</v>
      </c>
      <c r="AE88" s="26">
        <f>IF(M88&gt;0,(AG88+AP88)/M88,0)</f>
        <v>2.6242678252109304E-3</v>
      </c>
      <c r="AF88" s="16">
        <v>2.2000000000000001E-4</v>
      </c>
      <c r="AG88" s="23">
        <f t="shared" ref="AG88:AG90" si="899">AF88*M88</f>
        <v>3.49404</v>
      </c>
      <c r="AH88" s="92">
        <v>0.2072</v>
      </c>
      <c r="AI88" s="29">
        <f t="shared" ref="AI88:AI90" si="900">AL88*(1-AM88)*AH88</f>
        <v>34.807942400000002</v>
      </c>
      <c r="AJ88" s="27">
        <f t="shared" ref="AJ88:AJ90" si="901">IF(AND(AH88&gt;0,AF88&gt;0,AC88&gt;0),((AC88-AF88)*AH88)/((AH88-AF88)*AC88),0)</f>
        <v>0.91536880384315034</v>
      </c>
      <c r="AK88" s="58">
        <f t="shared" si="681"/>
        <v>0.91705469563656961</v>
      </c>
      <c r="AL88" s="11">
        <v>184</v>
      </c>
      <c r="AM88" s="13">
        <v>8.6999999999999994E-2</v>
      </c>
      <c r="AN88" s="14">
        <v>0.2273</v>
      </c>
      <c r="AO88" s="101">
        <v>0.2273</v>
      </c>
      <c r="AP88" s="29">
        <f>AL88*(1-AM88)*AN88</f>
        <v>38.184581600000001</v>
      </c>
      <c r="AQ88" s="102">
        <f t="shared" ref="AQ88" si="902">AL88*(1-AM88)*AO88</f>
        <v>38.184581600000001</v>
      </c>
      <c r="AR88" s="18">
        <v>1.55</v>
      </c>
      <c r="AS88" s="18"/>
      <c r="AT88" s="79">
        <f>AT86+AL88-AS88</f>
        <v>597.53999999999951</v>
      </c>
      <c r="AU88" s="80"/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53</v>
      </c>
      <c r="D89" s="33">
        <v>20000</v>
      </c>
      <c r="E89" s="33">
        <v>12</v>
      </c>
      <c r="F89" s="33">
        <v>18805</v>
      </c>
      <c r="G89" s="34">
        <v>0.9</v>
      </c>
      <c r="H89" s="34">
        <v>4.8</v>
      </c>
      <c r="I89" s="33">
        <v>18360</v>
      </c>
      <c r="J89" s="34">
        <v>4</v>
      </c>
      <c r="K89" s="33">
        <v>16959</v>
      </c>
      <c r="L89" s="35">
        <v>6.0999999999999999E-2</v>
      </c>
      <c r="M89" s="36">
        <f>ROUND(K89*(1-L89),0)</f>
        <v>15925</v>
      </c>
      <c r="N89" s="37">
        <v>0.82499999999999996</v>
      </c>
      <c r="O89" s="24">
        <f t="shared" si="891"/>
        <v>13138.125</v>
      </c>
      <c r="P89" s="35">
        <v>0.153</v>
      </c>
      <c r="Q89" s="24">
        <f t="shared" si="892"/>
        <v>2436.5250000000001</v>
      </c>
      <c r="R89" s="38">
        <v>2.1999999999999999E-2</v>
      </c>
      <c r="S89" s="105">
        <v>0.1993</v>
      </c>
      <c r="T89" s="24">
        <f t="shared" si="893"/>
        <v>350.34999999999997</v>
      </c>
      <c r="U89" s="27">
        <v>0.26700000000000002</v>
      </c>
      <c r="V89" s="24">
        <f t="shared" si="894"/>
        <v>4251.9750000000004</v>
      </c>
      <c r="W89" s="38">
        <v>0.46500000000000002</v>
      </c>
      <c r="X89" s="24">
        <f t="shared" si="895"/>
        <v>7405.125</v>
      </c>
      <c r="Y89" s="38">
        <v>0.45</v>
      </c>
      <c r="Z89" s="24">
        <f t="shared" si="896"/>
        <v>7166.25</v>
      </c>
      <c r="AA89" s="117">
        <v>2.2799999999999999E-3</v>
      </c>
      <c r="AB89" s="18">
        <f t="shared" si="765"/>
        <v>36.308999999999997</v>
      </c>
      <c r="AC89" s="39">
        <v>2.4399999999999999E-3</v>
      </c>
      <c r="AD89" s="17">
        <f t="shared" si="898"/>
        <v>38.856999999999999</v>
      </c>
      <c r="AE89" s="26">
        <f>IF(M89&gt;0,(AG89+AP89)/M89,0)</f>
        <v>2.7071109010989016E-3</v>
      </c>
      <c r="AF89" s="39">
        <v>1.9000000000000001E-4</v>
      </c>
      <c r="AG89" s="36">
        <f t="shared" si="899"/>
        <v>3.0257500000000004</v>
      </c>
      <c r="AH89" s="27">
        <v>0.2054</v>
      </c>
      <c r="AI89" s="40">
        <f t="shared" si="900"/>
        <v>35.443207800000003</v>
      </c>
      <c r="AJ89" s="27">
        <f t="shared" si="901"/>
        <v>0.92298493107021118</v>
      </c>
      <c r="AK89" s="28">
        <f t="shared" si="681"/>
        <v>0.93057560005015627</v>
      </c>
      <c r="AL89" s="33">
        <v>189</v>
      </c>
      <c r="AM89" s="35">
        <v>8.6999999999999994E-2</v>
      </c>
      <c r="AN89" s="37">
        <v>0.23230000000000001</v>
      </c>
      <c r="AO89" s="103">
        <v>0.23280000000000001</v>
      </c>
      <c r="AP89" s="40">
        <f>AL89*(1-AM89)*AN89</f>
        <v>40.084991100000003</v>
      </c>
      <c r="AQ89" s="104">
        <f t="shared" si="726"/>
        <v>40.171269600000002</v>
      </c>
      <c r="AR89" s="41">
        <v>1.6</v>
      </c>
      <c r="AS89" s="41"/>
      <c r="AT89" s="129">
        <f>AT88+AL89-AS89</f>
        <v>786.53999999999951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0" t="s">
        <v>59</v>
      </c>
      <c r="D90" s="42">
        <v>18344</v>
      </c>
      <c r="E90" s="42">
        <v>8</v>
      </c>
      <c r="F90" s="42">
        <v>19738</v>
      </c>
      <c r="G90" s="36">
        <v>1.2</v>
      </c>
      <c r="H90" s="36">
        <v>5.8</v>
      </c>
      <c r="I90" s="42">
        <v>19316</v>
      </c>
      <c r="J90" s="133">
        <v>2.8</v>
      </c>
      <c r="K90" s="42">
        <v>16963</v>
      </c>
      <c r="L90" s="38">
        <v>7.3999999999999996E-2</v>
      </c>
      <c r="M90" s="36">
        <f>ROUND(K90*(1-L90),0)</f>
        <v>15708</v>
      </c>
      <c r="N90" s="27">
        <v>0.69799999999999995</v>
      </c>
      <c r="O90" s="24">
        <f t="shared" si="891"/>
        <v>10964.183999999999</v>
      </c>
      <c r="P90" s="38">
        <v>0.26400000000000001</v>
      </c>
      <c r="Q90" s="24">
        <f t="shared" si="892"/>
        <v>4146.9120000000003</v>
      </c>
      <c r="R90" s="38">
        <v>3.7999999999999999E-2</v>
      </c>
      <c r="S90" s="105">
        <v>0.1857</v>
      </c>
      <c r="T90" s="24">
        <f t="shared" si="893"/>
        <v>596.904</v>
      </c>
      <c r="U90" s="27">
        <v>0.26700000000000002</v>
      </c>
      <c r="V90" s="24">
        <f t="shared" si="894"/>
        <v>4194.0360000000001</v>
      </c>
      <c r="W90" s="38">
        <v>0.46600000000000003</v>
      </c>
      <c r="X90" s="24">
        <f t="shared" si="895"/>
        <v>7319.9280000000008</v>
      </c>
      <c r="Y90" s="38">
        <v>0.45</v>
      </c>
      <c r="Z90" s="24">
        <f t="shared" si="896"/>
        <v>7068.6</v>
      </c>
      <c r="AA90" s="118">
        <v>2.49E-3</v>
      </c>
      <c r="AB90" s="121">
        <f t="shared" si="765"/>
        <v>39.112920000000003</v>
      </c>
      <c r="AC90" s="45">
        <v>2.5400000000000002E-3</v>
      </c>
      <c r="AD90" s="17">
        <f t="shared" si="898"/>
        <v>39.898320000000005</v>
      </c>
      <c r="AE90" s="26">
        <f>IF(M90&gt;0,(AG90+AP90)/M90,0)</f>
        <v>2.5735895721925132E-3</v>
      </c>
      <c r="AF90" s="45">
        <v>2.0000000000000001E-4</v>
      </c>
      <c r="AG90" s="36">
        <f t="shared" si="899"/>
        <v>3.1415999999999999</v>
      </c>
      <c r="AH90" s="27">
        <v>0.20200000000000001</v>
      </c>
      <c r="AI90" s="40">
        <f t="shared" si="900"/>
        <v>34.156180000000006</v>
      </c>
      <c r="AJ90" s="27">
        <f t="shared" si="901"/>
        <v>0.92217288498006134</v>
      </c>
      <c r="AK90" s="28">
        <f t="shared" si="681"/>
        <v>0.92312483237609699</v>
      </c>
      <c r="AL90" s="42">
        <v>185</v>
      </c>
      <c r="AM90" s="38">
        <v>8.5999999999999993E-2</v>
      </c>
      <c r="AN90" s="27">
        <v>0.2205</v>
      </c>
      <c r="AO90" s="105">
        <v>0.2205</v>
      </c>
      <c r="AP90" s="40">
        <f>AL90*(1-AM90)*AN90</f>
        <v>37.284345000000002</v>
      </c>
      <c r="AQ90" s="106">
        <f t="shared" si="726"/>
        <v>37.284345000000002</v>
      </c>
      <c r="AR90" s="17">
        <v>1.55</v>
      </c>
      <c r="AS90" s="17"/>
      <c r="AT90" s="129">
        <f>AT89+AL90-AS90</f>
        <v>971.53999999999951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3">SUM(D88:D90)</f>
        <v>56640</v>
      </c>
      <c r="E91" s="49"/>
      <c r="F91" s="49">
        <f t="shared" ref="F91" si="904">SUM(F88:F90)</f>
        <v>57844</v>
      </c>
      <c r="G91" s="50"/>
      <c r="H91" s="50"/>
      <c r="I91" s="49">
        <f t="shared" ref="I91:K91" si="905">SUM(I88:I90)</f>
        <v>56596</v>
      </c>
      <c r="J91" s="50"/>
      <c r="K91" s="49">
        <f t="shared" si="905"/>
        <v>50854</v>
      </c>
      <c r="L91" s="20">
        <f t="shared" ref="L91" si="906">IF(K91&gt;0,(K88*L88+K89*L89+K90*L90)/K91,0)</f>
        <v>6.5669268887403154E-2</v>
      </c>
      <c r="M91" s="50">
        <f t="shared" ref="M91" si="907">M88+M89+M90</f>
        <v>47515</v>
      </c>
      <c r="N91" s="51">
        <f t="shared" ref="N91" si="908">IF(M91&gt;0,O91/M91,0)</f>
        <v>0.76697091444806897</v>
      </c>
      <c r="O91" s="52">
        <f t="shared" ref="O91" si="909">O88+O89+O90</f>
        <v>36442.623</v>
      </c>
      <c r="P91" s="20">
        <f t="shared" ref="P91" si="910">IF(M91&gt;0,Q91/M91,0)</f>
        <v>0.2341510891297485</v>
      </c>
      <c r="Q91" s="52">
        <f t="shared" ref="Q91" si="911">Q88+Q89+Q90</f>
        <v>11125.689</v>
      </c>
      <c r="R91" s="20">
        <f t="shared" ref="R91" si="912">IF(M91&gt;0,T91/M91,0)</f>
        <v>3.2303230558770914E-2</v>
      </c>
      <c r="S91" s="107"/>
      <c r="T91" s="52">
        <f t="shared" ref="T91" si="913">T88+T89+T90</f>
        <v>1534.8879999999999</v>
      </c>
      <c r="U91" s="20">
        <f t="shared" ref="U91" si="914">IF(M91&gt;0,V91/M91,0)</f>
        <v>0.26499448595180469</v>
      </c>
      <c r="V91" s="52">
        <f t="shared" ref="V91" si="915">V88+V89+V90</f>
        <v>12591.213</v>
      </c>
      <c r="W91" s="20">
        <f t="shared" ref="W91" si="916">IF(M91&gt;0,X91/M91,0)</f>
        <v>0.46700185204672212</v>
      </c>
      <c r="X91" s="52">
        <f t="shared" ref="X91" si="917">X88+X89+X90</f>
        <v>22189.593000000001</v>
      </c>
      <c r="Y91" s="20">
        <f t="shared" ref="Y91" si="918">IF(M91&gt;0,Z91/M91,0)</f>
        <v>0.45</v>
      </c>
      <c r="Z91" s="52">
        <f t="shared" ref="Z91" si="919">Z88+Z89+Z90</f>
        <v>21381.75</v>
      </c>
      <c r="AA91" s="119">
        <f t="shared" ref="AA91" si="920">IF(M91&gt;0,AB91/M91,0)</f>
        <v>2.4396721035462483E-3</v>
      </c>
      <c r="AB91" s="54">
        <f t="shared" ref="AB91" si="921">SUM(AB88:AB90)</f>
        <v>115.92102</v>
      </c>
      <c r="AC91" s="53">
        <f t="shared" ref="AC91" si="922">IF(M91&gt;0,AD91/M91,0)</f>
        <v>2.5165118383668312E-3</v>
      </c>
      <c r="AD91" s="54">
        <f t="shared" ref="AD91" si="923">SUM(AD88:AD90)</f>
        <v>119.57205999999999</v>
      </c>
      <c r="AE91" s="53">
        <f t="shared" ref="AE91" si="924">IF(M91&gt;0,(AE88*M88+AE89*M89+AE90*M90)/M91,0)</f>
        <v>2.6352795475113122E-3</v>
      </c>
      <c r="AF91" s="53">
        <f t="shared" ref="AF91" si="925">IF(K91&gt;0,(K88*AF88+K89*AF89+K90*AF90)/K91,0)</f>
        <v>2.0332422228339954E-4</v>
      </c>
      <c r="AG91" s="50">
        <f t="shared" ref="AG91" si="926">SUM(AG88:AG90)</f>
        <v>9.6613900000000008</v>
      </c>
      <c r="AH91" s="51">
        <f t="shared" ref="AH91" si="927">IF(K91&gt;0,(K88*AH88+K89*AH89+K90*AH90)/K91,0)</f>
        <v>0.20486520234396507</v>
      </c>
      <c r="AI91" s="56">
        <f t="shared" ref="AI91" si="928">SUM(AI88:AI90)</f>
        <v>104.40733020000002</v>
      </c>
      <c r="AJ91" s="51">
        <f t="shared" ref="AJ91" si="929">IF(AND(AD91&gt;0),((AD88*AJ88+AD89*AJ89+AD90*AJ90)/AD91),0)</f>
        <v>0.92011415373649785</v>
      </c>
      <c r="AK91" s="55">
        <f t="shared" si="681"/>
        <v>0.92367372630291311</v>
      </c>
      <c r="AL91" s="49">
        <f t="shared" ref="AL91" si="930">SUM(AL88:AL90)</f>
        <v>558</v>
      </c>
      <c r="AM91" s="20">
        <f t="shared" ref="AM91" si="931">IF(AL91&gt;0,(AM88*AL88+AM89*AL89+AM90*AL90)/AL91,0)</f>
        <v>8.6668458781361993E-2</v>
      </c>
      <c r="AN91" s="51">
        <f>IF(K91&gt;0,(AN88*K88+AN89*K89+AN90*K90)/K91,0)</f>
        <v>0.22669919377040157</v>
      </c>
      <c r="AO91" s="107">
        <f>IF(L91&gt;0,(AO88*K88+AO89*K89+AO90*K90)/K91,0)</f>
        <v>0.22686593581625833</v>
      </c>
      <c r="AP91" s="56">
        <f t="shared" ref="AP91:AQ103" si="932">SUM(AP88:AP90)</f>
        <v>115.5539177</v>
      </c>
      <c r="AQ91" s="108">
        <f t="shared" si="932"/>
        <v>115.64019620000001</v>
      </c>
      <c r="AR91" s="54"/>
      <c r="AS91" s="54">
        <f t="shared" ref="AS91" si="933">SUM(AS88:AS90)</f>
        <v>0</v>
      </c>
      <c r="AT91" s="83"/>
      <c r="AU91" s="84">
        <f>AT90</f>
        <v>971.53999999999951</v>
      </c>
      <c r="AV91" s="49">
        <f t="shared" ref="AV91" si="934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58</v>
      </c>
      <c r="D92" s="11">
        <v>13682</v>
      </c>
      <c r="E92" s="11">
        <v>8</v>
      </c>
      <c r="F92" s="11">
        <v>17779</v>
      </c>
      <c r="G92" s="12">
        <v>0.9</v>
      </c>
      <c r="H92" s="12">
        <v>4.9000000000000004</v>
      </c>
      <c r="I92" s="11">
        <v>16966</v>
      </c>
      <c r="J92" s="12">
        <v>2.9</v>
      </c>
      <c r="K92" s="11">
        <v>16988</v>
      </c>
      <c r="L92" s="13">
        <v>7.4999999999999997E-2</v>
      </c>
      <c r="M92" s="23">
        <f>ROUND(K92*(1-L92),0)</f>
        <v>15714</v>
      </c>
      <c r="N92" s="14">
        <v>0.83799999999999997</v>
      </c>
      <c r="O92" s="24">
        <f t="shared" ref="O92:O94" si="935">M92*N92</f>
        <v>13168.332</v>
      </c>
      <c r="P92" s="13">
        <v>0.124</v>
      </c>
      <c r="Q92" s="24">
        <f t="shared" ref="Q92:Q94" si="936">M92*P92</f>
        <v>1948.5360000000001</v>
      </c>
      <c r="R92" s="15">
        <v>3.7999999999999999E-2</v>
      </c>
      <c r="S92" s="112">
        <v>0.20180000000000001</v>
      </c>
      <c r="T92" s="24">
        <f t="shared" ref="T92:T94" si="937">M92*R92</f>
        <v>597.13199999999995</v>
      </c>
      <c r="U92" s="25">
        <v>0.26600000000000001</v>
      </c>
      <c r="V92" s="24">
        <f t="shared" ref="V92:V94" si="938">M92*U92</f>
        <v>4179.924</v>
      </c>
      <c r="W92" s="15">
        <v>0.45900000000000002</v>
      </c>
      <c r="X92" s="24">
        <f t="shared" ref="X92:X94" si="939">M92*W92</f>
        <v>7212.7260000000006</v>
      </c>
      <c r="Y92" s="15">
        <v>0.45</v>
      </c>
      <c r="Z92" s="24">
        <f t="shared" ref="Z92:Z94" si="940">Y92*M92</f>
        <v>7071.3</v>
      </c>
      <c r="AA92" s="116">
        <v>2.5500000000000002E-3</v>
      </c>
      <c r="AB92" s="18">
        <f t="shared" ref="AB92" si="941">M92*AA92</f>
        <v>40.070700000000002</v>
      </c>
      <c r="AC92" s="16">
        <v>2.5100000000000001E-3</v>
      </c>
      <c r="AD92" s="17">
        <f t="shared" ref="AD92:AD94" si="942">M92*AC92</f>
        <v>39.442140000000002</v>
      </c>
      <c r="AE92" s="26">
        <f>IF(M92&gt;0,(AG92+AP92)/M92,0)</f>
        <v>2.6655388825251366E-3</v>
      </c>
      <c r="AF92" s="16">
        <v>2.1000000000000001E-4</v>
      </c>
      <c r="AG92" s="23">
        <f t="shared" ref="AG92:AG94" si="943">AF92*M92</f>
        <v>3.2999400000000003</v>
      </c>
      <c r="AH92" s="92">
        <v>0.2029</v>
      </c>
      <c r="AI92" s="29">
        <f t="shared" ref="AI92:AI94" si="944">AL92*(1-AM92)*AH92</f>
        <v>34.308360999999998</v>
      </c>
      <c r="AJ92" s="27">
        <f t="shared" ref="AJ92:AJ94" si="945">IF(AND(AH92&gt;0,AF92&gt;0,AC92&gt;0),((AC92-AF92)*AH92)/((AH92-AF92)*AC92),0)</f>
        <v>0.9172840435583629</v>
      </c>
      <c r="AK92" s="58">
        <f t="shared" si="681"/>
        <v>0.92206520729772901</v>
      </c>
      <c r="AL92" s="11">
        <v>185</v>
      </c>
      <c r="AM92" s="13">
        <v>8.5999999999999993E-2</v>
      </c>
      <c r="AN92" s="14">
        <v>0.22819999999999999</v>
      </c>
      <c r="AO92" s="101">
        <v>0.23100000000000001</v>
      </c>
      <c r="AP92" s="29">
        <f>AL92*(1-AM92)*AN92</f>
        <v>38.586337999999998</v>
      </c>
      <c r="AQ92" s="102">
        <f t="shared" ref="AQ92" si="946">AL92*(1-AM92)*AO92</f>
        <v>39.05979</v>
      </c>
      <c r="AR92" s="18">
        <v>1.55</v>
      </c>
      <c r="AS92" s="18"/>
      <c r="AT92" s="79">
        <f>AT90+AL92-AS92</f>
        <v>1156.5399999999995</v>
      </c>
      <c r="AU92" s="80"/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53</v>
      </c>
      <c r="D93" s="33">
        <v>20300</v>
      </c>
      <c r="E93" s="33">
        <v>10</v>
      </c>
      <c r="F93" s="33">
        <v>16294</v>
      </c>
      <c r="G93" s="34">
        <v>0.3</v>
      </c>
      <c r="H93" s="34">
        <v>5</v>
      </c>
      <c r="I93" s="33">
        <v>16166</v>
      </c>
      <c r="J93" s="34">
        <v>3.5</v>
      </c>
      <c r="K93" s="33">
        <v>16955</v>
      </c>
      <c r="L93" s="35">
        <v>6.6000000000000003E-2</v>
      </c>
      <c r="M93" s="36">
        <f>ROUND(K93*(1-L93),0)</f>
        <v>15836</v>
      </c>
      <c r="N93" s="37">
        <v>0.74399999999999999</v>
      </c>
      <c r="O93" s="24">
        <f t="shared" si="935"/>
        <v>11781.984</v>
      </c>
      <c r="P93" s="35">
        <v>0.23</v>
      </c>
      <c r="Q93" s="24">
        <f t="shared" si="936"/>
        <v>3642.28</v>
      </c>
      <c r="R93" s="38">
        <v>2.5999999999999999E-2</v>
      </c>
      <c r="S93" s="105">
        <v>0.1734</v>
      </c>
      <c r="T93" s="24">
        <f t="shared" si="937"/>
        <v>411.73599999999999</v>
      </c>
      <c r="U93" s="27">
        <v>0.27900000000000003</v>
      </c>
      <c r="V93" s="24">
        <f t="shared" si="938"/>
        <v>4418.2440000000006</v>
      </c>
      <c r="W93" s="38">
        <v>0.45800000000000002</v>
      </c>
      <c r="X93" s="24">
        <f t="shared" si="939"/>
        <v>7252.8879999999999</v>
      </c>
      <c r="Y93" s="38">
        <v>0.45</v>
      </c>
      <c r="Z93" s="24">
        <f t="shared" si="940"/>
        <v>7126.2</v>
      </c>
      <c r="AA93" s="117">
        <v>2.4399999999999999E-3</v>
      </c>
      <c r="AB93" s="18">
        <f t="shared" si="765"/>
        <v>38.63984</v>
      </c>
      <c r="AC93" s="39">
        <v>2.3999999999999998E-3</v>
      </c>
      <c r="AD93" s="17">
        <f t="shared" si="942"/>
        <v>38.006399999999999</v>
      </c>
      <c r="AE93" s="26">
        <f>IF(M93&gt;0,(AG93+AP93)/M93,0)</f>
        <v>2.6076425738822935E-3</v>
      </c>
      <c r="AF93" s="39">
        <v>2.0000000000000001E-4</v>
      </c>
      <c r="AG93" s="36">
        <f t="shared" si="943"/>
        <v>3.1672000000000002</v>
      </c>
      <c r="AH93" s="27">
        <v>0.20030000000000001</v>
      </c>
      <c r="AI93" s="40">
        <f t="shared" si="944"/>
        <v>33.465923700000005</v>
      </c>
      <c r="AJ93" s="27">
        <f t="shared" si="945"/>
        <v>0.91758287522905213</v>
      </c>
      <c r="AK93" s="28">
        <f t="shared" si="681"/>
        <v>0.92411228639540532</v>
      </c>
      <c r="AL93" s="33">
        <v>183</v>
      </c>
      <c r="AM93" s="35">
        <v>8.6999999999999994E-2</v>
      </c>
      <c r="AN93" s="37">
        <v>0.22819999999999999</v>
      </c>
      <c r="AO93" s="103">
        <v>0.2306</v>
      </c>
      <c r="AP93" s="40">
        <f>AL93*(1-AM93)*AN93</f>
        <v>38.1274278</v>
      </c>
      <c r="AQ93" s="104">
        <f t="shared" si="726"/>
        <v>38.528417400000002</v>
      </c>
      <c r="AR93" s="41">
        <v>1.55</v>
      </c>
      <c r="AS93" s="41"/>
      <c r="AT93" s="129">
        <f>AT92+AL93-AS93</f>
        <v>1339.5399999999995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0" t="s">
        <v>59</v>
      </c>
      <c r="D94" s="42">
        <v>14138</v>
      </c>
      <c r="E94" s="42">
        <v>10</v>
      </c>
      <c r="F94" s="42">
        <v>18383</v>
      </c>
      <c r="G94" s="36">
        <v>1.2</v>
      </c>
      <c r="H94" s="36">
        <v>4.5</v>
      </c>
      <c r="I94" s="42">
        <v>18506</v>
      </c>
      <c r="J94" s="36">
        <v>2</v>
      </c>
      <c r="K94" s="42">
        <v>16930</v>
      </c>
      <c r="L94" s="38">
        <v>6.7000000000000004E-2</v>
      </c>
      <c r="M94" s="36">
        <f>ROUND(K94*(1-L94),0)</f>
        <v>15796</v>
      </c>
      <c r="N94" s="27">
        <v>0.58299999999999996</v>
      </c>
      <c r="O94" s="24">
        <f t="shared" si="935"/>
        <v>9209.0679999999993</v>
      </c>
      <c r="P94" s="38">
        <v>0.36299999999999999</v>
      </c>
      <c r="Q94" s="24">
        <f t="shared" si="936"/>
        <v>5733.9479999999994</v>
      </c>
      <c r="R94" s="38">
        <v>5.3999999999999999E-2</v>
      </c>
      <c r="S94" s="105">
        <v>0.27539999999999998</v>
      </c>
      <c r="T94" s="24">
        <f t="shared" si="937"/>
        <v>852.98400000000004</v>
      </c>
      <c r="U94" s="27">
        <v>0.27100000000000002</v>
      </c>
      <c r="V94" s="24">
        <f t="shared" si="938"/>
        <v>4280.7160000000003</v>
      </c>
      <c r="W94" s="38">
        <v>0.46100000000000002</v>
      </c>
      <c r="X94" s="24">
        <f t="shared" si="939"/>
        <v>7281.9560000000001</v>
      </c>
      <c r="Y94" s="38">
        <v>0.45</v>
      </c>
      <c r="Z94" s="24">
        <f t="shared" si="940"/>
        <v>7108.2</v>
      </c>
      <c r="AA94" s="118">
        <v>2.4199999999999998E-3</v>
      </c>
      <c r="AB94" s="121">
        <f t="shared" si="765"/>
        <v>38.226319999999994</v>
      </c>
      <c r="AC94" s="45">
        <v>2.3500000000000001E-3</v>
      </c>
      <c r="AD94" s="17">
        <f t="shared" si="942"/>
        <v>37.120600000000003</v>
      </c>
      <c r="AE94" s="26">
        <f>IF(M94&gt;0,(AG94+AP94)/M94,0)</f>
        <v>2.5053760825525448E-3</v>
      </c>
      <c r="AF94" s="45">
        <v>2.0000000000000001E-4</v>
      </c>
      <c r="AG94" s="36">
        <f t="shared" si="943"/>
        <v>3.1592000000000002</v>
      </c>
      <c r="AH94" s="27">
        <v>0.20080000000000001</v>
      </c>
      <c r="AI94" s="40">
        <f t="shared" si="944"/>
        <v>32.7757808</v>
      </c>
      <c r="AJ94" s="27">
        <f t="shared" si="945"/>
        <v>0.91580577416686115</v>
      </c>
      <c r="AK94" s="28">
        <f t="shared" si="681"/>
        <v>0.92099730179474848</v>
      </c>
      <c r="AL94" s="42">
        <v>178</v>
      </c>
      <c r="AM94" s="38">
        <v>8.3000000000000004E-2</v>
      </c>
      <c r="AN94" s="27">
        <v>0.22309999999999999</v>
      </c>
      <c r="AO94" s="105">
        <v>0.2223</v>
      </c>
      <c r="AP94" s="40">
        <f>AL94*(1-AM94)*AN94</f>
        <v>36.4157206</v>
      </c>
      <c r="AQ94" s="106">
        <f t="shared" si="726"/>
        <v>36.285139799999996</v>
      </c>
      <c r="AR94" s="17">
        <v>1.55</v>
      </c>
      <c r="AS94" s="17"/>
      <c r="AT94" s="129">
        <f>AT93+AL94-AS94</f>
        <v>1517.5399999999995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47">SUM(D92:D94)</f>
        <v>48120</v>
      </c>
      <c r="E95" s="49"/>
      <c r="F95" s="49">
        <f t="shared" ref="F95" si="948">SUM(F92:F94)</f>
        <v>52456</v>
      </c>
      <c r="G95" s="50"/>
      <c r="H95" s="50"/>
      <c r="I95" s="49">
        <f t="shared" ref="I95:K95" si="949">SUM(I92:I94)</f>
        <v>51638</v>
      </c>
      <c r="J95" s="50"/>
      <c r="K95" s="49">
        <f t="shared" si="949"/>
        <v>50873</v>
      </c>
      <c r="L95" s="20">
        <f t="shared" ref="L95" si="950">IF(K95&gt;0,(K92*L92+K93*L93+K94*L94)/K95,0)</f>
        <v>6.9338155799736609E-2</v>
      </c>
      <c r="M95" s="50">
        <f t="shared" ref="M95" si="951">M92+M93+M94</f>
        <v>47346</v>
      </c>
      <c r="N95" s="51">
        <f t="shared" ref="N95" si="952">IF(M95&gt;0,O95/M95,0)</f>
        <v>0.72148405356313094</v>
      </c>
      <c r="O95" s="52">
        <f t="shared" ref="O95" si="953">O92+O93+O94</f>
        <v>34159.383999999998</v>
      </c>
      <c r="P95" s="20">
        <f t="shared" ref="P95" si="954">IF(M95&gt;0,Q95/M95,0)</f>
        <v>0.23919156845351242</v>
      </c>
      <c r="Q95" s="52">
        <f t="shared" ref="Q95" si="955">Q92+Q93+Q94</f>
        <v>11324.763999999999</v>
      </c>
      <c r="R95" s="20">
        <f t="shared" ref="R95" si="956">IF(M95&gt;0,T95/M95,0)</f>
        <v>3.9324377983356563E-2</v>
      </c>
      <c r="S95" s="107"/>
      <c r="T95" s="52">
        <f t="shared" ref="T95" si="957">T92+T93+T94</f>
        <v>1861.8519999999999</v>
      </c>
      <c r="U95" s="20">
        <f t="shared" ref="U95" si="958">IF(M95&gt;0,V95/M95,0)</f>
        <v>0.27201630549571243</v>
      </c>
      <c r="V95" s="52">
        <f t="shared" ref="V95" si="959">V92+V93+V94</f>
        <v>12878.884000000002</v>
      </c>
      <c r="W95" s="20">
        <f t="shared" ref="W95" si="960">IF(M95&gt;0,X95/M95,0)</f>
        <v>0.45933278418451401</v>
      </c>
      <c r="X95" s="52">
        <f t="shared" ref="X95" si="961">X92+X93+X94</f>
        <v>21747.57</v>
      </c>
      <c r="Y95" s="20">
        <f t="shared" ref="Y95" si="962">IF(M95&gt;0,Z95/M95,0)</f>
        <v>0.45</v>
      </c>
      <c r="Z95" s="52">
        <f t="shared" ref="Z95" si="963">Z92+Z93+Z94</f>
        <v>21305.7</v>
      </c>
      <c r="AA95" s="119">
        <f t="shared" ref="AA95" si="964">IF(M95&gt;0,AB95/M95,0)</f>
        <v>2.4698361001985383E-3</v>
      </c>
      <c r="AB95" s="54">
        <f t="shared" ref="AB95" si="965">SUM(AB92:AB94)</f>
        <v>116.93686</v>
      </c>
      <c r="AC95" s="53">
        <f t="shared" ref="AC95" si="966">IF(M95&gt;0,AD95/M95,0)</f>
        <v>2.4198272293329956E-3</v>
      </c>
      <c r="AD95" s="54">
        <f t="shared" ref="AD95" si="967">SUM(AD92:AD94)</f>
        <v>114.56914</v>
      </c>
      <c r="AE95" s="53">
        <f t="shared" ref="AE95" si="968">IF(M95&gt;0,(AE92*M92+AE93*M93+AE94*M94)/M95,0)</f>
        <v>2.5927391205170448E-3</v>
      </c>
      <c r="AF95" s="53">
        <f t="shared" ref="AF95" si="969">IF(K95&gt;0,(K92*AF92+K93*AF93+K94*AF94)/K95,0)</f>
        <v>2.0333929589369607E-4</v>
      </c>
      <c r="AG95" s="50">
        <f t="shared" ref="AG95" si="970">SUM(AG92:AG94)</f>
        <v>9.6263400000000008</v>
      </c>
      <c r="AH95" s="51">
        <f t="shared" ref="AH95" si="971">IF(K95&gt;0,(K92*AH92+K93*AH93+K94*AH94)/K95,0)</f>
        <v>0.20133461168006603</v>
      </c>
      <c r="AI95" s="56">
        <f t="shared" ref="AI95" si="972">SUM(AI92:AI94)</f>
        <v>100.55006550000002</v>
      </c>
      <c r="AJ95" s="51">
        <f t="shared" ref="AJ95" si="973">IF(AND(AD95&gt;0),((AD92*AJ92+AD93*AJ93+AD94*AJ94)/AD95),0)</f>
        <v>0.91690421413164924</v>
      </c>
      <c r="AK95" s="55">
        <f t="shared" si="681"/>
        <v>0.92240163275662568</v>
      </c>
      <c r="AL95" s="49">
        <f t="shared" ref="AL95" si="974">SUM(AL92:AL94)</f>
        <v>546</v>
      </c>
      <c r="AM95" s="20">
        <f t="shared" ref="AM95" si="975">IF(AL95&gt;0,(AM92*AL92+AM93*AL93+AM94*AL94)/AL95,0)</f>
        <v>8.5357142857142854E-2</v>
      </c>
      <c r="AN95" s="51">
        <f>IF(K95&gt;0,(AN92*K92+AN93*K93+AN94*K94)/K95,0)</f>
        <v>0.22650277357340828</v>
      </c>
      <c r="AO95" s="107">
        <f>IF(L95&gt;0,(AO92*K92+AO93*K93+AO94*K94)/K95,0)</f>
        <v>0.22797141902384369</v>
      </c>
      <c r="AP95" s="56">
        <f t="shared" ref="AP95" si="976">SUM(AP92:AP94)</f>
        <v>113.1294864</v>
      </c>
      <c r="AQ95" s="108">
        <f t="shared" si="932"/>
        <v>113.8733472</v>
      </c>
      <c r="AR95" s="54"/>
      <c r="AS95" s="54">
        <f t="shared" ref="AS95" si="977">SUM(AS92:AS94)</f>
        <v>0</v>
      </c>
      <c r="AT95" s="83"/>
      <c r="AU95" s="84">
        <f>AT94</f>
        <v>1517.5399999999995</v>
      </c>
      <c r="AV95" s="49">
        <f t="shared" ref="AV95" si="978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55</v>
      </c>
      <c r="D96" s="11">
        <v>2778</v>
      </c>
      <c r="E96" s="11">
        <v>13</v>
      </c>
      <c r="F96" s="11">
        <v>10756</v>
      </c>
      <c r="G96" s="12">
        <v>1.8</v>
      </c>
      <c r="H96" s="12">
        <v>6</v>
      </c>
      <c r="I96" s="11">
        <v>10509</v>
      </c>
      <c r="J96" s="12">
        <v>4.5999999999999996</v>
      </c>
      <c r="K96" s="11">
        <v>16623</v>
      </c>
      <c r="L96" s="13">
        <v>6.8000000000000005E-2</v>
      </c>
      <c r="M96" s="23">
        <f>ROUND(K96*(1-L96),0)</f>
        <v>15493</v>
      </c>
      <c r="N96" s="14">
        <v>0.73399999999999999</v>
      </c>
      <c r="O96" s="24">
        <f t="shared" ref="O96:O98" si="979">M96*N96</f>
        <v>11371.861999999999</v>
      </c>
      <c r="P96" s="13">
        <v>0.23300000000000001</v>
      </c>
      <c r="Q96" s="24">
        <f t="shared" ref="Q96:Q98" si="980">M96*P96</f>
        <v>3609.8690000000001</v>
      </c>
      <c r="R96" s="15">
        <v>3.3000000000000002E-2</v>
      </c>
      <c r="S96" s="112">
        <v>0.2099</v>
      </c>
      <c r="T96" s="24">
        <f t="shared" ref="T96:T98" si="981">M96*R96</f>
        <v>511.26900000000001</v>
      </c>
      <c r="U96" s="25">
        <v>0.25900000000000001</v>
      </c>
      <c r="V96" s="24">
        <f t="shared" ref="V96:V98" si="982">M96*U96</f>
        <v>4012.6869999999999</v>
      </c>
      <c r="W96" s="15">
        <v>0.46300000000000002</v>
      </c>
      <c r="X96" s="24">
        <f t="shared" ref="X96:X98" si="983">M96*W96</f>
        <v>7173.259</v>
      </c>
      <c r="Y96" s="15">
        <v>0.45</v>
      </c>
      <c r="Z96" s="24">
        <f t="shared" ref="Z96:Z98" si="984">Y96*M96</f>
        <v>6971.85</v>
      </c>
      <c r="AA96" s="116">
        <v>2.66E-3</v>
      </c>
      <c r="AB96" s="18">
        <f t="shared" ref="AB96" si="985">M96*AA96</f>
        <v>41.211379999999998</v>
      </c>
      <c r="AC96" s="16">
        <v>2.7000000000000001E-3</v>
      </c>
      <c r="AD96" s="17">
        <f t="shared" ref="AD96:AD98" si="986">M96*AC96</f>
        <v>41.831099999999999</v>
      </c>
      <c r="AE96" s="26">
        <f>IF(M96&gt;0,(AG96+AP96)/M96,0)</f>
        <v>2.8256320015490866E-3</v>
      </c>
      <c r="AF96" s="16">
        <v>2.5000000000000001E-4</v>
      </c>
      <c r="AG96" s="23">
        <f t="shared" ref="AG96:AG98" si="987">AF96*M96</f>
        <v>3.8732500000000001</v>
      </c>
      <c r="AH96" s="92">
        <v>0.20219999999999999</v>
      </c>
      <c r="AI96" s="29">
        <f t="shared" ref="AI96:AI98" si="988">AL96*(1-AM96)*AH96</f>
        <v>36.792716400000003</v>
      </c>
      <c r="AJ96" s="27">
        <f t="shared" ref="AJ96:AJ98" si="989">IF(AND(AH96&gt;0,AF96&gt;0,AC96&gt;0),((AC96-AF96)*AH96)/((AH96-AF96)*AC96),0)</f>
        <v>0.90853071442326205</v>
      </c>
      <c r="AK96" s="58">
        <f t="shared" si="681"/>
        <v>0.91256453359305245</v>
      </c>
      <c r="AL96" s="11">
        <v>198</v>
      </c>
      <c r="AM96" s="13">
        <v>8.1000000000000003E-2</v>
      </c>
      <c r="AN96" s="14">
        <v>0.21929999999999999</v>
      </c>
      <c r="AO96" s="101">
        <v>0.21820000000000001</v>
      </c>
      <c r="AP96" s="29">
        <f>AL96*(1-AM96)*AN96</f>
        <v>39.9042666</v>
      </c>
      <c r="AQ96" s="102">
        <f t="shared" ref="AQ96" si="990">AL96*(1-AM96)*AO96</f>
        <v>39.704108400000003</v>
      </c>
      <c r="AR96" s="18">
        <v>1.55</v>
      </c>
      <c r="AS96" s="18">
        <v>1017.74</v>
      </c>
      <c r="AT96" s="79">
        <f>AT94+AL96-AS96</f>
        <v>697.7999999999995</v>
      </c>
      <c r="AU96" s="80"/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53</v>
      </c>
      <c r="D97" s="33">
        <v>24500</v>
      </c>
      <c r="E97" s="33">
        <v>11</v>
      </c>
      <c r="F97" s="33">
        <v>16184</v>
      </c>
      <c r="G97" s="34">
        <v>0.7</v>
      </c>
      <c r="H97" s="34">
        <v>4.5</v>
      </c>
      <c r="I97" s="33">
        <v>16733</v>
      </c>
      <c r="J97" s="34">
        <v>4.4000000000000004</v>
      </c>
      <c r="K97" s="33">
        <v>16775</v>
      </c>
      <c r="L97" s="35">
        <v>6.7000000000000004E-2</v>
      </c>
      <c r="M97" s="36">
        <f>ROUND(K97*(1-L97),0)</f>
        <v>15651</v>
      </c>
      <c r="N97" s="37">
        <v>0.68700000000000006</v>
      </c>
      <c r="O97" s="24">
        <f t="shared" si="979"/>
        <v>10752.237000000001</v>
      </c>
      <c r="P97" s="35">
        <v>0.27400000000000002</v>
      </c>
      <c r="Q97" s="24">
        <f t="shared" si="980"/>
        <v>4288.3740000000007</v>
      </c>
      <c r="R97" s="38">
        <v>3.9E-2</v>
      </c>
      <c r="S97" s="105">
        <v>0.17899999999999999</v>
      </c>
      <c r="T97" s="24">
        <f t="shared" si="981"/>
        <v>610.38900000000001</v>
      </c>
      <c r="U97" s="27">
        <v>0.251</v>
      </c>
      <c r="V97" s="24">
        <f t="shared" si="982"/>
        <v>3928.4009999999998</v>
      </c>
      <c r="W97" s="38">
        <v>0.47299999999999998</v>
      </c>
      <c r="X97" s="24">
        <f t="shared" si="983"/>
        <v>7402.9229999999998</v>
      </c>
      <c r="Y97" s="38">
        <v>0.45</v>
      </c>
      <c r="Z97" s="24">
        <f t="shared" si="984"/>
        <v>7042.95</v>
      </c>
      <c r="AA97" s="117">
        <v>2.82E-3</v>
      </c>
      <c r="AB97" s="18">
        <f t="shared" si="765"/>
        <v>44.135820000000002</v>
      </c>
      <c r="AC97" s="39">
        <v>2.8700000000000002E-3</v>
      </c>
      <c r="AD97" s="17">
        <f t="shared" si="986"/>
        <v>44.918370000000003</v>
      </c>
      <c r="AE97" s="26">
        <f>IF(M97&gt;0,(AG97+AP97)/M97,0)</f>
        <v>2.8141052073349946E-3</v>
      </c>
      <c r="AF97" s="39">
        <v>2.7E-4</v>
      </c>
      <c r="AG97" s="36">
        <f t="shared" si="987"/>
        <v>4.2257699999999998</v>
      </c>
      <c r="AH97" s="27">
        <v>0.2087</v>
      </c>
      <c r="AI97" s="40">
        <f t="shared" si="988"/>
        <v>38.084202099999999</v>
      </c>
      <c r="AJ97" s="27">
        <f t="shared" si="989"/>
        <v>0.90709687708387632</v>
      </c>
      <c r="AK97" s="28">
        <f t="shared" si="681"/>
        <v>0.90517482032516905</v>
      </c>
      <c r="AL97" s="33">
        <v>199</v>
      </c>
      <c r="AM97" s="35">
        <v>8.3000000000000004E-2</v>
      </c>
      <c r="AN97" s="37">
        <v>0.21820000000000001</v>
      </c>
      <c r="AO97" s="103">
        <v>0.2205</v>
      </c>
      <c r="AP97" s="40">
        <f>AL97*(1-AM97)*AN97</f>
        <v>39.817790600000002</v>
      </c>
      <c r="AQ97" s="104">
        <f t="shared" si="726"/>
        <v>40.2375015</v>
      </c>
      <c r="AR97" s="41">
        <v>1.5</v>
      </c>
      <c r="AS97" s="41"/>
      <c r="AT97" s="129">
        <f>AT96+AL97-AS97</f>
        <v>896.7999999999995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0" t="s">
        <v>54</v>
      </c>
      <c r="D98" s="42">
        <v>19722</v>
      </c>
      <c r="E98" s="42">
        <v>8</v>
      </c>
      <c r="F98" s="42">
        <v>19875</v>
      </c>
      <c r="G98" s="36">
        <v>0.7</v>
      </c>
      <c r="H98" s="36">
        <v>5.6</v>
      </c>
      <c r="I98" s="42">
        <v>19224</v>
      </c>
      <c r="J98" s="36">
        <v>3</v>
      </c>
      <c r="K98" s="42">
        <v>16786</v>
      </c>
      <c r="L98" s="38">
        <v>6.2E-2</v>
      </c>
      <c r="M98" s="36">
        <f>ROUND(K98*(1-L98),0)</f>
        <v>15745</v>
      </c>
      <c r="N98" s="27">
        <v>0.57699999999999996</v>
      </c>
      <c r="O98" s="24">
        <f t="shared" si="979"/>
        <v>9084.8649999999998</v>
      </c>
      <c r="P98" s="38">
        <v>0.35699999999999998</v>
      </c>
      <c r="Q98" s="24">
        <f t="shared" si="980"/>
        <v>5620.9650000000001</v>
      </c>
      <c r="R98" s="38">
        <v>6.6000000000000003E-2</v>
      </c>
      <c r="S98" s="105">
        <v>0.19620000000000001</v>
      </c>
      <c r="T98" s="24">
        <f t="shared" si="981"/>
        <v>1039.17</v>
      </c>
      <c r="U98" s="27">
        <v>0.255</v>
      </c>
      <c r="V98" s="24">
        <f t="shared" si="982"/>
        <v>4014.9749999999999</v>
      </c>
      <c r="W98" s="38">
        <v>0.48499999999999999</v>
      </c>
      <c r="X98" s="24">
        <f t="shared" si="983"/>
        <v>7636.3249999999998</v>
      </c>
      <c r="Y98" s="38">
        <v>0.45</v>
      </c>
      <c r="Z98" s="24">
        <f t="shared" si="984"/>
        <v>7085.25</v>
      </c>
      <c r="AA98" s="118">
        <v>2.5799999999999998E-3</v>
      </c>
      <c r="AB98" s="121">
        <f t="shared" si="765"/>
        <v>40.622099999999996</v>
      </c>
      <c r="AC98" s="45">
        <v>2.66E-3</v>
      </c>
      <c r="AD98" s="17">
        <f t="shared" si="986"/>
        <v>41.881700000000002</v>
      </c>
      <c r="AE98" s="26">
        <f>IF(M98&gt;0,(AG98+AP98)/M98,0)</f>
        <v>2.7747062559542713E-3</v>
      </c>
      <c r="AF98" s="45">
        <v>2.7999999999999998E-4</v>
      </c>
      <c r="AG98" s="36">
        <f t="shared" si="987"/>
        <v>4.4085999999999999</v>
      </c>
      <c r="AH98" s="27">
        <v>0.2114</v>
      </c>
      <c r="AI98" s="40">
        <f t="shared" si="988"/>
        <v>36.904943600000003</v>
      </c>
      <c r="AJ98" s="27">
        <f t="shared" si="989"/>
        <v>0.89592349574200747</v>
      </c>
      <c r="AK98" s="28">
        <f t="shared" si="681"/>
        <v>0.90020867692049844</v>
      </c>
      <c r="AL98" s="42">
        <v>191</v>
      </c>
      <c r="AM98" s="38">
        <v>8.5999999999999993E-2</v>
      </c>
      <c r="AN98" s="27">
        <v>0.22500000000000001</v>
      </c>
      <c r="AO98" s="105">
        <v>0.2225</v>
      </c>
      <c r="AP98" s="40">
        <f>AL98*(1-AM98)*AN98</f>
        <v>39.279150000000001</v>
      </c>
      <c r="AQ98" s="106">
        <f t="shared" si="726"/>
        <v>38.842715000000005</v>
      </c>
      <c r="AR98" s="17">
        <v>1.56</v>
      </c>
      <c r="AS98" s="17"/>
      <c r="AT98" s="129">
        <f>AT97+AL98-AS98</f>
        <v>1087.7999999999995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91">SUM(D96:D98)</f>
        <v>47000</v>
      </c>
      <c r="E99" s="49"/>
      <c r="F99" s="49">
        <f t="shared" ref="F99" si="992">SUM(F96:F98)</f>
        <v>46815</v>
      </c>
      <c r="G99" s="50"/>
      <c r="H99" s="50"/>
      <c r="I99" s="49">
        <f t="shared" ref="I99:K99" si="993">SUM(I96:I98)</f>
        <v>46466</v>
      </c>
      <c r="J99" s="50"/>
      <c r="K99" s="49">
        <f t="shared" si="993"/>
        <v>50184</v>
      </c>
      <c r="L99" s="20">
        <f t="shared" ref="L99" si="994">IF(K99&gt;0,(K96*L96+K97*L97+K98*L98)/K99,0)</f>
        <v>6.5658795632073969E-2</v>
      </c>
      <c r="M99" s="50">
        <f t="shared" ref="M99" si="995">M96+M97+M98</f>
        <v>46889</v>
      </c>
      <c r="N99" s="51">
        <f t="shared" ref="N99" si="996">IF(M99&gt;0,O99/M99,0)</f>
        <v>0.66559244172407173</v>
      </c>
      <c r="O99" s="52">
        <f t="shared" ref="O99" si="997">O96+O97+O98</f>
        <v>31208.964</v>
      </c>
      <c r="P99" s="20">
        <f t="shared" ref="P99" si="998">IF(M99&gt;0,Q99/M99,0)</f>
        <v>0.28832365800081045</v>
      </c>
      <c r="Q99" s="52">
        <f t="shared" ref="Q99" si="999">Q96+Q97+Q98</f>
        <v>13519.208000000001</v>
      </c>
      <c r="R99" s="20">
        <f t="shared" ref="R99" si="1000">IF(M99&gt;0,T99/M99,0)</f>
        <v>4.6083900275117828E-2</v>
      </c>
      <c r="S99" s="107"/>
      <c r="T99" s="52">
        <f t="shared" ref="T99" si="1001">T96+T97+T98</f>
        <v>2160.828</v>
      </c>
      <c r="U99" s="20">
        <f t="shared" ref="U99" si="1002">IF(M99&gt;0,V99/M99,0)</f>
        <v>0.25498652135895411</v>
      </c>
      <c r="V99" s="52">
        <f t="shared" ref="V99" si="1003">V96+V97+V98</f>
        <v>11956.063</v>
      </c>
      <c r="W99" s="20">
        <f t="shared" ref="W99" si="1004">IF(M99&gt;0,X99/M99,0)</f>
        <v>0.47372533003476297</v>
      </c>
      <c r="X99" s="52">
        <f t="shared" ref="X99" si="1005">X96+X97+X98</f>
        <v>22212.507000000001</v>
      </c>
      <c r="Y99" s="20">
        <f t="shared" ref="Y99" si="1006">IF(M99&gt;0,Z99/M99,0)</f>
        <v>0.45</v>
      </c>
      <c r="Z99" s="52">
        <f t="shared" ref="Z99" si="1007">Z96+Z97+Z98</f>
        <v>21100.05</v>
      </c>
      <c r="AA99" s="119">
        <f t="shared" ref="AA99" si="1008">IF(M99&gt;0,AB99/M99,0)</f>
        <v>2.6865426859178062E-3</v>
      </c>
      <c r="AB99" s="54">
        <f t="shared" ref="AB99" si="1009">SUM(AB96:AB98)</f>
        <v>125.9693</v>
      </c>
      <c r="AC99" s="53">
        <f t="shared" ref="AC99" si="1010">IF(M99&gt;0,AD99/M99,0)</f>
        <v>2.743312290729169E-3</v>
      </c>
      <c r="AD99" s="54">
        <f t="shared" ref="AD99" si="1011">SUM(AD96:AD98)</f>
        <v>128.63117</v>
      </c>
      <c r="AE99" s="53">
        <f t="shared" ref="AE99" si="1012">IF(M99&gt;0,(AE96*M96+AE97*M97+AE98*M98)/M99,0)</f>
        <v>2.8046839813175794E-3</v>
      </c>
      <c r="AF99" s="53">
        <f t="shared" ref="AF99" si="1013">IF(K99&gt;0,(K96*AF96+K97*AF97+K98*AF98)/K99,0)</f>
        <v>2.667200701418779E-4</v>
      </c>
      <c r="AG99" s="50">
        <f t="shared" ref="AG99" si="1014">SUM(AG96:AG98)</f>
        <v>12.507619999999999</v>
      </c>
      <c r="AH99" s="51">
        <f t="shared" ref="AH99" si="1015">IF(K99&gt;0,(K96*AH96+K97*AH97+K98*AH98)/K99,0)</f>
        <v>0.20745005380200862</v>
      </c>
      <c r="AI99" s="56">
        <f t="shared" ref="AI99" si="1016">SUM(AI96:AI98)</f>
        <v>111.78186210000001</v>
      </c>
      <c r="AJ99" s="51">
        <f t="shared" ref="AJ99" si="1017">IF(AND(AD99&gt;0),((AD96*AJ96+AD97*AJ97+AD98*AJ98)/AD99),0)</f>
        <v>0.90392516363201114</v>
      </c>
      <c r="AK99" s="55">
        <f t="shared" si="681"/>
        <v>0.90599614159863229</v>
      </c>
      <c r="AL99" s="49">
        <f t="shared" ref="AL99" si="1018">SUM(AL96:AL98)</f>
        <v>588</v>
      </c>
      <c r="AM99" s="20">
        <f t="shared" ref="AM99" si="1019">IF(AL99&gt;0,(AM96*AL96+AM97*AL97+AM98*AL98)/AL99,0)</f>
        <v>8.3301020408163257E-2</v>
      </c>
      <c r="AN99" s="51">
        <f>IF(K99&gt;0,(AN96*K96+AN97*K97+AN98*K98)/K99,0)</f>
        <v>0.22083889088155589</v>
      </c>
      <c r="AO99" s="107">
        <f>IF(L99&gt;0,(AO96*K96+AO97*K97+AO98*K98)/K99,0)</f>
        <v>0.22040712378447316</v>
      </c>
      <c r="AP99" s="56">
        <f t="shared" ref="AP99" si="1020">SUM(AP96:AP98)</f>
        <v>119.0012072</v>
      </c>
      <c r="AQ99" s="108">
        <f t="shared" si="932"/>
        <v>118.7843249</v>
      </c>
      <c r="AR99" s="54"/>
      <c r="AS99" s="54">
        <f t="shared" ref="AS99" si="1021">SUM(AS96:AS98)</f>
        <v>1017.74</v>
      </c>
      <c r="AT99" s="83"/>
      <c r="AU99" s="84">
        <f>AT98</f>
        <v>1087.7999999999995</v>
      </c>
      <c r="AV99" s="49">
        <f t="shared" ref="AV99" si="1022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55</v>
      </c>
      <c r="D100" s="11">
        <v>2439</v>
      </c>
      <c r="E100" s="11">
        <v>7</v>
      </c>
      <c r="F100" s="11">
        <v>12738</v>
      </c>
      <c r="G100" s="12">
        <v>0.7</v>
      </c>
      <c r="H100" s="12">
        <v>4.5</v>
      </c>
      <c r="I100" s="11">
        <v>12660</v>
      </c>
      <c r="J100" s="12">
        <v>4.8</v>
      </c>
      <c r="K100" s="11">
        <v>16431</v>
      </c>
      <c r="L100" s="13">
        <v>6.7000000000000004E-2</v>
      </c>
      <c r="M100" s="23">
        <f>ROUND(K100*(1-L100),0)</f>
        <v>15330</v>
      </c>
      <c r="N100" s="14">
        <v>0.83699999999999997</v>
      </c>
      <c r="O100" s="24">
        <f t="shared" ref="O100:O102" si="1023">M100*N100</f>
        <v>12831.21</v>
      </c>
      <c r="P100" s="13">
        <v>0.112</v>
      </c>
      <c r="Q100" s="24">
        <f t="shared" ref="Q100:Q102" si="1024">M100*P100</f>
        <v>1716.96</v>
      </c>
      <c r="R100" s="15">
        <v>5.0999999999999997E-2</v>
      </c>
      <c r="S100" s="112">
        <v>0.20430000000000001</v>
      </c>
      <c r="T100" s="24">
        <f t="shared" ref="T100:T102" si="1025">M100*R100</f>
        <v>781.82999999999993</v>
      </c>
      <c r="U100" s="25">
        <v>0.249</v>
      </c>
      <c r="V100" s="24">
        <f t="shared" ref="V100:V102" si="1026">M100*U100</f>
        <v>3817.17</v>
      </c>
      <c r="W100" s="15">
        <v>0.48499999999999999</v>
      </c>
      <c r="X100" s="24">
        <f t="shared" ref="X100:X102" si="1027">M100*W100</f>
        <v>7435.05</v>
      </c>
      <c r="Y100" s="15">
        <v>0.43</v>
      </c>
      <c r="Z100" s="24">
        <f t="shared" ref="Z100:Z102" si="1028">Y100*M100</f>
        <v>6591.9</v>
      </c>
      <c r="AA100" s="116">
        <v>2.7000000000000001E-3</v>
      </c>
      <c r="AB100" s="18">
        <f t="shared" ref="AB100" si="1029">M100*AA100</f>
        <v>41.391000000000005</v>
      </c>
      <c r="AC100" s="16">
        <v>2.65E-3</v>
      </c>
      <c r="AD100" s="17">
        <f t="shared" ref="AD100:AD102" si="1030">M100*AC100</f>
        <v>40.624499999999998</v>
      </c>
      <c r="AE100" s="26">
        <f>IF(M100&gt;0,(AG100+AP100)/M100,0)</f>
        <v>2.8674273842139593E-3</v>
      </c>
      <c r="AF100" s="16">
        <v>2.9999999999999997E-4</v>
      </c>
      <c r="AG100" s="23">
        <f t="shared" ref="AG100:AG102" si="1031">AF100*M100</f>
        <v>4.5989999999999993</v>
      </c>
      <c r="AH100" s="92">
        <v>0.21049999999999999</v>
      </c>
      <c r="AI100" s="29">
        <f t="shared" ref="AI100:AI102" si="1032">AL100*(1-AM100)*AH100</f>
        <v>37.202506999999997</v>
      </c>
      <c r="AJ100" s="27">
        <f t="shared" ref="AJ100:AJ102" si="1033">IF(AND(AH100&gt;0,AF100&gt;0,AC100&gt;0),((AC100-AF100)*AH100)/((AH100-AF100)*AC100),0)</f>
        <v>0.88805809381900425</v>
      </c>
      <c r="AK100" s="58">
        <f t="shared" si="681"/>
        <v>0.89658439294089021</v>
      </c>
      <c r="AL100" s="11">
        <v>194</v>
      </c>
      <c r="AM100" s="13">
        <v>8.8999999999999996E-2</v>
      </c>
      <c r="AN100" s="14">
        <v>0.22270000000000001</v>
      </c>
      <c r="AO100" s="101">
        <v>0.21609999999999999</v>
      </c>
      <c r="AP100" s="29">
        <f>AL100*(1-AM100)*AN100</f>
        <v>39.3586618</v>
      </c>
      <c r="AQ100" s="102">
        <f t="shared" ref="AQ100" si="1034">AL100*(1-AM100)*AO100</f>
        <v>38.192217399999997</v>
      </c>
      <c r="AR100" s="18">
        <v>1.56</v>
      </c>
      <c r="AS100" s="18">
        <v>1008.36</v>
      </c>
      <c r="AT100" s="79">
        <f>AT98+AL100-AS100+AU100</f>
        <v>291.43999999999949</v>
      </c>
      <c r="AU100" s="145">
        <v>18</v>
      </c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59</v>
      </c>
      <c r="D101" s="33">
        <v>19231</v>
      </c>
      <c r="E101" s="33">
        <v>13</v>
      </c>
      <c r="F101" s="33">
        <v>15216</v>
      </c>
      <c r="G101" s="34">
        <v>1.1000000000000001</v>
      </c>
      <c r="H101" s="34">
        <v>5.4</v>
      </c>
      <c r="I101" s="33">
        <v>14458</v>
      </c>
      <c r="J101" s="34">
        <v>4.9000000000000004</v>
      </c>
      <c r="K101" s="33">
        <v>16368</v>
      </c>
      <c r="L101" s="35">
        <v>6.6000000000000003E-2</v>
      </c>
      <c r="M101" s="36">
        <f>ROUND(K101*(1-L101),0)</f>
        <v>15288</v>
      </c>
      <c r="N101" s="37">
        <v>0.76</v>
      </c>
      <c r="O101" s="24">
        <f t="shared" si="1023"/>
        <v>11618.880000000001</v>
      </c>
      <c r="P101" s="35">
        <v>0.17899999999999999</v>
      </c>
      <c r="Q101" s="24">
        <f t="shared" si="1024"/>
        <v>2736.5519999999997</v>
      </c>
      <c r="R101" s="38">
        <v>6.0999999999999999E-2</v>
      </c>
      <c r="S101" s="105">
        <v>0.19109999999999999</v>
      </c>
      <c r="T101" s="24">
        <f t="shared" si="1025"/>
        <v>932.56799999999998</v>
      </c>
      <c r="U101" s="27">
        <v>0.24399999999999999</v>
      </c>
      <c r="V101" s="24">
        <f t="shared" si="1026"/>
        <v>3730.2719999999999</v>
      </c>
      <c r="W101" s="38">
        <v>0.48199999999999998</v>
      </c>
      <c r="X101" s="24">
        <f t="shared" si="1027"/>
        <v>7368.8159999999998</v>
      </c>
      <c r="Y101" s="38">
        <v>0.45</v>
      </c>
      <c r="Z101" s="24">
        <f t="shared" si="1028"/>
        <v>6879.6</v>
      </c>
      <c r="AA101" s="117">
        <v>2.7799999999999999E-3</v>
      </c>
      <c r="AB101" s="18">
        <f t="shared" si="765"/>
        <v>42.500639999999997</v>
      </c>
      <c r="AC101" s="39">
        <v>2.7699999999999999E-3</v>
      </c>
      <c r="AD101" s="17">
        <f t="shared" si="1030"/>
        <v>42.347760000000001</v>
      </c>
      <c r="AE101" s="26">
        <f>IF(M101&gt;0,(AG101+AP101)/M101,0)</f>
        <v>2.8792551020408162E-3</v>
      </c>
      <c r="AF101" s="39">
        <v>2.7999999999999998E-4</v>
      </c>
      <c r="AG101" s="36">
        <f t="shared" si="1031"/>
        <v>4.28064</v>
      </c>
      <c r="AH101" s="27">
        <v>0.219</v>
      </c>
      <c r="AI101" s="40">
        <f t="shared" si="1032"/>
        <v>38.989665000000002</v>
      </c>
      <c r="AJ101" s="27">
        <f t="shared" si="1033"/>
        <v>0.90006773904753357</v>
      </c>
      <c r="AK101" s="28">
        <f t="shared" si="681"/>
        <v>0.90388653305556554</v>
      </c>
      <c r="AL101" s="33">
        <v>195</v>
      </c>
      <c r="AM101" s="35">
        <v>8.6999999999999994E-2</v>
      </c>
      <c r="AN101" s="37">
        <v>0.22320000000000001</v>
      </c>
      <c r="AO101" s="103">
        <v>0.22409999999999999</v>
      </c>
      <c r="AP101" s="40">
        <f>AL101*(1-AM101)*AN101</f>
        <v>39.737411999999999</v>
      </c>
      <c r="AQ101" s="104">
        <f t="shared" si="726"/>
        <v>39.897643500000001</v>
      </c>
      <c r="AR101" s="41">
        <v>1.55</v>
      </c>
      <c r="AS101" s="41"/>
      <c r="AT101" s="129">
        <f>AT100+AL101-AS101</f>
        <v>486.43999999999949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0" t="s">
        <v>54</v>
      </c>
      <c r="D102" s="42">
        <v>20800</v>
      </c>
      <c r="E102" s="42">
        <v>7</v>
      </c>
      <c r="F102" s="42">
        <v>17040</v>
      </c>
      <c r="G102" s="36">
        <v>0.6</v>
      </c>
      <c r="H102" s="36">
        <v>3.2</v>
      </c>
      <c r="I102" s="42">
        <v>17189</v>
      </c>
      <c r="J102" s="36">
        <v>4.5999999999999996</v>
      </c>
      <c r="K102" s="42">
        <v>16286</v>
      </c>
      <c r="L102" s="38">
        <v>6.2E-2</v>
      </c>
      <c r="M102" s="36">
        <f>ROUND(K102*(1-L102),0)</f>
        <v>15276</v>
      </c>
      <c r="N102" s="27">
        <v>0.59299999999999997</v>
      </c>
      <c r="O102" s="24">
        <f t="shared" si="1023"/>
        <v>9058.6679999999997</v>
      </c>
      <c r="P102" s="38">
        <v>0.28399999999999997</v>
      </c>
      <c r="Q102" s="24">
        <f t="shared" si="1024"/>
        <v>4338.384</v>
      </c>
      <c r="R102" s="38">
        <v>0.123</v>
      </c>
      <c r="S102" s="105">
        <v>0.1898</v>
      </c>
      <c r="T102" s="24">
        <f t="shared" si="1025"/>
        <v>1878.9479999999999</v>
      </c>
      <c r="U102" s="27">
        <v>0.24399999999999999</v>
      </c>
      <c r="V102" s="24">
        <f t="shared" si="1026"/>
        <v>3727.3440000000001</v>
      </c>
      <c r="W102" s="38">
        <v>0.47199999999999998</v>
      </c>
      <c r="X102" s="24">
        <f t="shared" si="1027"/>
        <v>7210.2719999999999</v>
      </c>
      <c r="Y102" s="38">
        <v>0.44</v>
      </c>
      <c r="Z102" s="24">
        <f t="shared" si="1028"/>
        <v>6721.44</v>
      </c>
      <c r="AA102" s="118">
        <v>2.8700000000000002E-3</v>
      </c>
      <c r="AB102" s="121">
        <f t="shared" si="765"/>
        <v>43.842120000000001</v>
      </c>
      <c r="AC102" s="45">
        <v>2.9099999999999998E-3</v>
      </c>
      <c r="AD102" s="17">
        <f t="shared" si="1030"/>
        <v>44.453159999999997</v>
      </c>
      <c r="AE102" s="26">
        <f>IF(M102&gt;0,(AG102+AP102)/M102,0)</f>
        <v>3.0326152526839486E-3</v>
      </c>
      <c r="AF102" s="45">
        <v>2.7E-4</v>
      </c>
      <c r="AG102" s="36">
        <f t="shared" si="1031"/>
        <v>4.1245200000000004</v>
      </c>
      <c r="AH102" s="27">
        <v>0.21629999999999999</v>
      </c>
      <c r="AI102" s="40">
        <f t="shared" si="1032"/>
        <v>40.001007899999998</v>
      </c>
      <c r="AJ102" s="27">
        <f t="shared" si="1033"/>
        <v>0.90835035798292618</v>
      </c>
      <c r="AK102" s="28">
        <f t="shared" si="681"/>
        <v>0.91204704356095212</v>
      </c>
      <c r="AL102" s="42">
        <v>203</v>
      </c>
      <c r="AM102" s="38">
        <v>8.8999999999999996E-2</v>
      </c>
      <c r="AN102" s="27">
        <v>0.22819999999999999</v>
      </c>
      <c r="AO102" s="105">
        <v>0.22209999999999999</v>
      </c>
      <c r="AP102" s="40">
        <f>AL102*(1-AM102)*AN102</f>
        <v>42.201710599999998</v>
      </c>
      <c r="AQ102" s="106">
        <f t="shared" si="726"/>
        <v>41.073619299999997</v>
      </c>
      <c r="AR102" s="17">
        <v>1.52</v>
      </c>
      <c r="AS102" s="17"/>
      <c r="AT102" s="129">
        <f>AT101+AL102-AS102</f>
        <v>689.43999999999949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35">SUM(D100:D102)</f>
        <v>42470</v>
      </c>
      <c r="E103" s="49"/>
      <c r="F103" s="49">
        <f t="shared" ref="F103" si="1036">SUM(F100:F102)</f>
        <v>44994</v>
      </c>
      <c r="G103" s="50"/>
      <c r="H103" s="50"/>
      <c r="I103" s="49">
        <f t="shared" ref="I103:K103" si="1037">SUM(I100:I102)</f>
        <v>44307</v>
      </c>
      <c r="J103" s="50"/>
      <c r="K103" s="49">
        <f t="shared" si="1037"/>
        <v>49085</v>
      </c>
      <c r="L103" s="20">
        <f t="shared" ref="L103" si="1038">IF(K103&gt;0,(K100*L100+K101*L101+K102*L102)/K103,0)</f>
        <v>6.5007578690027504E-2</v>
      </c>
      <c r="M103" s="50">
        <f t="shared" ref="M103" si="1039">M100+M101+M102</f>
        <v>45894</v>
      </c>
      <c r="N103" s="51">
        <f t="shared" ref="N103" si="1040">IF(M103&gt;0,O103/M103,0)</f>
        <v>0.73013374297293765</v>
      </c>
      <c r="O103" s="52">
        <f t="shared" ref="O103" si="1041">O100+O101+O102</f>
        <v>33508.758000000002</v>
      </c>
      <c r="P103" s="20">
        <f t="shared" ref="P103" si="1042">IF(M103&gt;0,Q103/M103,0)</f>
        <v>0.19156961694339131</v>
      </c>
      <c r="Q103" s="52">
        <f t="shared" ref="Q103" si="1043">Q100+Q101+Q102</f>
        <v>8791.8960000000006</v>
      </c>
      <c r="R103" s="20">
        <f t="shared" ref="R103" si="1044">IF(M103&gt;0,T103/M103,0)</f>
        <v>7.8296640083671057E-2</v>
      </c>
      <c r="S103" s="107"/>
      <c r="T103" s="52">
        <f t="shared" ref="T103" si="1045">T100+T101+T102</f>
        <v>3593.3459999999995</v>
      </c>
      <c r="U103" s="20">
        <f t="shared" ref="U103" si="1046">IF(M103&gt;0,V103/M103,0)</f>
        <v>0.2456701529611714</v>
      </c>
      <c r="V103" s="52">
        <f t="shared" ref="V103" si="1047">V100+V101+V102</f>
        <v>11274.786</v>
      </c>
      <c r="W103" s="20">
        <f t="shared" ref="W103" si="1048">IF(M103&gt;0,X103/M103,0)</f>
        <v>0.47967355209831347</v>
      </c>
      <c r="X103" s="52">
        <f t="shared" ref="X103" si="1049">X100+X101+X102</f>
        <v>22014.137999999999</v>
      </c>
      <c r="Y103" s="20">
        <f t="shared" ref="Y103" si="1050">IF(M103&gt;0,Z103/M103,0)</f>
        <v>0.43999084847692504</v>
      </c>
      <c r="Z103" s="52">
        <f t="shared" ref="Z103" si="1051">Z100+Z101+Z102</f>
        <v>20192.939999999999</v>
      </c>
      <c r="AA103" s="119">
        <f t="shared" ref="AA103" si="1052">IF(M103&gt;0,AB103/M103,0)</f>
        <v>2.7832344097267615E-3</v>
      </c>
      <c r="AB103" s="54">
        <f t="shared" ref="AB103" si="1053">SUM(AB100:AB102)</f>
        <v>127.73375999999999</v>
      </c>
      <c r="AC103" s="53">
        <f t="shared" ref="AC103" si="1054">IF(M103&gt;0,AD103/M103,0)</f>
        <v>2.7765158844293373E-3</v>
      </c>
      <c r="AD103" s="54">
        <f t="shared" ref="AD103" si="1055">SUM(AD100:AD102)</f>
        <v>127.42542</v>
      </c>
      <c r="AE103" s="53">
        <f t="shared" ref="AE103" si="1056">IF(M103&gt;0,(AE100*M100+AE101*M101+AE102*M102)/M103,0)</f>
        <v>2.9263508171002745E-3</v>
      </c>
      <c r="AF103" s="53">
        <f t="shared" ref="AF103" si="1057">IF(K103&gt;0,(K100*AF100+K101*AF101+K102*AF102)/K103,0)</f>
        <v>2.8337699908322295E-4</v>
      </c>
      <c r="AG103" s="50">
        <f t="shared" ref="AG103" si="1058">SUM(AG100:AG102)</f>
        <v>13.004159999999999</v>
      </c>
      <c r="AH103" s="51">
        <f t="shared" ref="AH103" si="1059">IF(K103&gt;0,(K100*AH100+K101*AH101+K102*AH102)/K103,0)</f>
        <v>0.21525882245085054</v>
      </c>
      <c r="AI103" s="56">
        <f t="shared" ref="AI103" si="1060">SUM(AI100:AI102)</f>
        <v>116.19317989999999</v>
      </c>
      <c r="AJ103" s="51">
        <f t="shared" ref="AJ103" si="1061">IF(AND(AD103&gt;0),((AD100*AJ100+AD101*AJ101+AD102*AJ102)/AD103),0)</f>
        <v>0.89912838763843195</v>
      </c>
      <c r="AK103" s="55">
        <f t="shared" si="681"/>
        <v>0.90430418762800802</v>
      </c>
      <c r="AL103" s="49">
        <f t="shared" ref="AL103" si="1062">SUM(AL100:AL102)</f>
        <v>592</v>
      </c>
      <c r="AM103" s="20">
        <f t="shared" ref="AM103" si="1063">IF(AL103&gt;0,(AM100*AL100+AM101*AL101+AM102*AL102)/AL103,0)</f>
        <v>8.8341216216216212E-2</v>
      </c>
      <c r="AN103" s="51">
        <f>IF(K103&gt;0,(AN100*K100+AN101*K101+AN102*K102)/K103,0)</f>
        <v>0.22469158602424363</v>
      </c>
      <c r="AO103" s="107">
        <f>IF(L103&gt;0,(AO100*K100+AO101*K101+AO102*K102)/K103,0)</f>
        <v>0.22075844962819599</v>
      </c>
      <c r="AP103" s="56">
        <f t="shared" ref="AP103" si="1064">SUM(AP100:AP102)</f>
        <v>121.2977844</v>
      </c>
      <c r="AQ103" s="108">
        <f t="shared" si="932"/>
        <v>119.16348019999998</v>
      </c>
      <c r="AR103" s="54"/>
      <c r="AS103" s="54">
        <f t="shared" ref="AS103" si="1065">SUM(AS100:AS102)</f>
        <v>1008.36</v>
      </c>
      <c r="AT103" s="136"/>
      <c r="AU103" s="84">
        <f>AT102</f>
        <v>689.43999999999949</v>
      </c>
      <c r="AV103" s="49">
        <f t="shared" ref="AV103" si="1066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0" t="s">
        <v>55</v>
      </c>
      <c r="D104" s="11">
        <v>1377</v>
      </c>
      <c r="E104" s="11">
        <v>9</v>
      </c>
      <c r="F104" s="11">
        <v>11544</v>
      </c>
      <c r="G104" s="12">
        <v>0.6</v>
      </c>
      <c r="H104" s="12">
        <v>3.7</v>
      </c>
      <c r="I104" s="11">
        <v>11649</v>
      </c>
      <c r="J104" s="12">
        <v>6.5</v>
      </c>
      <c r="K104" s="11">
        <v>16172</v>
      </c>
      <c r="L104" s="13">
        <v>6.6000000000000003E-2</v>
      </c>
      <c r="M104" s="23">
        <f>ROUND(K104*(1-L104),0)</f>
        <v>15105</v>
      </c>
      <c r="N104" s="14">
        <v>0.75700000000000001</v>
      </c>
      <c r="O104" s="24">
        <f t="shared" ref="O104:O106" si="1067">M104*N104</f>
        <v>11434.485000000001</v>
      </c>
      <c r="P104" s="13">
        <v>0.23400000000000001</v>
      </c>
      <c r="Q104" s="24">
        <f t="shared" ref="Q104:Q106" si="1068">M104*P104</f>
        <v>3534.57</v>
      </c>
      <c r="R104" s="15">
        <v>8.9999999999999993E-3</v>
      </c>
      <c r="S104" s="112">
        <v>0.2155</v>
      </c>
      <c r="T104" s="24">
        <f t="shared" ref="T104:T106" si="1069">M104*R104</f>
        <v>135.94499999999999</v>
      </c>
      <c r="U104" s="25">
        <v>0.23799999999999999</v>
      </c>
      <c r="V104" s="24">
        <f t="shared" ref="V104:V106" si="1070">M104*U104</f>
        <v>3594.99</v>
      </c>
      <c r="W104" s="15">
        <v>0.47699999999999998</v>
      </c>
      <c r="X104" s="24">
        <f t="shared" ref="X104:X106" si="1071">M104*W104</f>
        <v>7205.085</v>
      </c>
      <c r="Y104" s="15">
        <v>0.43</v>
      </c>
      <c r="Z104" s="24">
        <f t="shared" ref="Z104:Z106" si="1072">Y104*M104</f>
        <v>6495.15</v>
      </c>
      <c r="AA104" s="116">
        <v>2.8500000000000001E-3</v>
      </c>
      <c r="AB104" s="18">
        <f t="shared" ref="AB104" si="1073">M104*AA104</f>
        <v>43.049250000000001</v>
      </c>
      <c r="AC104" s="16">
        <v>2.7499999999999998E-3</v>
      </c>
      <c r="AD104" s="17">
        <f t="shared" ref="AD104:AD106" si="1074">M104*AC104</f>
        <v>41.53875</v>
      </c>
      <c r="AE104" s="26">
        <f>IF(M104&gt;0,(AG104+AP104)/M104,0)</f>
        <v>2.9525987884806352E-3</v>
      </c>
      <c r="AF104" s="16">
        <v>2.9E-4</v>
      </c>
      <c r="AG104" s="23">
        <f t="shared" ref="AG104:AG106" si="1075">AF104*M104</f>
        <v>4.3804499999999997</v>
      </c>
      <c r="AH104" s="92">
        <v>0.21440000000000001</v>
      </c>
      <c r="AI104" s="29">
        <f t="shared" ref="AI104:AI106" si="1076">AL104*(1-AM104)*AH104</f>
        <v>38.477724800000004</v>
      </c>
      <c r="AJ104" s="27">
        <f t="shared" ref="AJ104:AJ106" si="1077">IF(AND(AH104&gt;0,AF104&gt;0,AC104&gt;0),((AC104-AF104)*AH104)/((AH104-AF104)*AC104),0)</f>
        <v>0.89575706624886953</v>
      </c>
      <c r="AK104" s="58">
        <f t="shared" si="681"/>
        <v>0.90294991644613098</v>
      </c>
      <c r="AL104" s="11">
        <v>197</v>
      </c>
      <c r="AM104" s="13">
        <v>8.8999999999999996E-2</v>
      </c>
      <c r="AN104" s="14">
        <v>0.22409999999999999</v>
      </c>
      <c r="AO104" s="101">
        <v>0.21729999999999999</v>
      </c>
      <c r="AP104" s="29">
        <f>AL104*(1-AM104)*AN104</f>
        <v>40.218554699999999</v>
      </c>
      <c r="AQ104" s="102">
        <f t="shared" ref="AQ104" si="1078">AL104*(1-AM104)*AO104</f>
        <v>38.998179100000002</v>
      </c>
      <c r="AR104" s="18">
        <v>1.56</v>
      </c>
      <c r="AS104" s="18">
        <v>513.04</v>
      </c>
      <c r="AT104" s="79">
        <f>AT102+AL104-AS104+AU104</f>
        <v>377.93999999999954</v>
      </c>
      <c r="AU104" s="130">
        <v>4.54</v>
      </c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0" t="s">
        <v>59</v>
      </c>
      <c r="D105" s="33">
        <v>22223</v>
      </c>
      <c r="E105" s="33">
        <v>12</v>
      </c>
      <c r="F105" s="33">
        <v>15344</v>
      </c>
      <c r="G105" s="34">
        <v>0.5</v>
      </c>
      <c r="H105" s="34">
        <v>4.4000000000000004</v>
      </c>
      <c r="I105" s="33">
        <v>14456</v>
      </c>
      <c r="J105" s="34">
        <v>6.3</v>
      </c>
      <c r="K105" s="33">
        <v>16077</v>
      </c>
      <c r="L105" s="35">
        <v>6.7000000000000004E-2</v>
      </c>
      <c r="M105" s="36">
        <f>ROUND(K105*(1-L105),0)</f>
        <v>15000</v>
      </c>
      <c r="N105" s="37">
        <v>0.78</v>
      </c>
      <c r="O105" s="24">
        <f t="shared" si="1067"/>
        <v>11700</v>
      </c>
      <c r="P105" s="35">
        <v>0.192</v>
      </c>
      <c r="Q105" s="24">
        <f t="shared" si="1068"/>
        <v>2880</v>
      </c>
      <c r="R105" s="38">
        <v>2.8000000000000001E-2</v>
      </c>
      <c r="S105" s="105">
        <v>0.1933</v>
      </c>
      <c r="T105" s="24">
        <f t="shared" si="1069"/>
        <v>420</v>
      </c>
      <c r="U105" s="27">
        <v>0.22500000000000001</v>
      </c>
      <c r="V105" s="24">
        <f t="shared" si="1070"/>
        <v>3375</v>
      </c>
      <c r="W105" s="38">
        <v>0.49</v>
      </c>
      <c r="X105" s="24">
        <f t="shared" si="1071"/>
        <v>7350</v>
      </c>
      <c r="Y105" s="38">
        <v>0.44</v>
      </c>
      <c r="Z105" s="24">
        <f t="shared" si="1072"/>
        <v>6600</v>
      </c>
      <c r="AA105" s="117">
        <v>2.5500000000000002E-3</v>
      </c>
      <c r="AB105" s="18">
        <f t="shared" si="765"/>
        <v>38.25</v>
      </c>
      <c r="AC105" s="39">
        <v>2.5600000000000002E-3</v>
      </c>
      <c r="AD105" s="17">
        <f t="shared" si="1074"/>
        <v>38.400000000000006</v>
      </c>
      <c r="AE105" s="26">
        <f>IF(M105&gt;0,(AG105+AP105)/M105,0)</f>
        <v>2.7421742399999999E-3</v>
      </c>
      <c r="AF105" s="39">
        <v>2.5999999999999998E-4</v>
      </c>
      <c r="AG105" s="36">
        <f t="shared" si="1075"/>
        <v>3.8999999999999995</v>
      </c>
      <c r="AH105" s="27">
        <v>0.22140000000000001</v>
      </c>
      <c r="AI105" s="40">
        <f t="shared" si="1076"/>
        <v>36.507088799999998</v>
      </c>
      <c r="AJ105" s="27">
        <f t="shared" si="1077"/>
        <v>0.89949381613457557</v>
      </c>
      <c r="AK105" s="28">
        <f t="shared" si="681"/>
        <v>0.90622821357191563</v>
      </c>
      <c r="AL105" s="33">
        <v>182</v>
      </c>
      <c r="AM105" s="35">
        <v>9.4E-2</v>
      </c>
      <c r="AN105" s="37">
        <v>0.2258</v>
      </c>
      <c r="AO105" s="103">
        <v>0.21820000000000001</v>
      </c>
      <c r="AP105" s="40">
        <f>AL105*(1-AM105)*AN105</f>
        <v>37.232613600000001</v>
      </c>
      <c r="AQ105" s="104">
        <f t="shared" si="726"/>
        <v>35.979434400000002</v>
      </c>
      <c r="AR105" s="41">
        <v>1.5</v>
      </c>
      <c r="AS105" s="41"/>
      <c r="AT105" s="129">
        <f>AT104+AL105-AS105</f>
        <v>559.9399999999996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0" t="s">
        <v>58</v>
      </c>
      <c r="D106" s="42">
        <v>21400</v>
      </c>
      <c r="E106" s="42">
        <v>6</v>
      </c>
      <c r="F106" s="42">
        <v>16431</v>
      </c>
      <c r="G106" s="36">
        <v>0.5</v>
      </c>
      <c r="H106" s="36">
        <v>5</v>
      </c>
      <c r="I106" s="42">
        <v>16206</v>
      </c>
      <c r="J106" s="36">
        <v>6</v>
      </c>
      <c r="K106" s="42">
        <v>16186</v>
      </c>
      <c r="L106" s="38">
        <v>6.8000000000000005E-2</v>
      </c>
      <c r="M106" s="36">
        <f>ROUND(K106*(1-L106),0)</f>
        <v>15085</v>
      </c>
      <c r="N106" s="27">
        <v>0.81699999999999995</v>
      </c>
      <c r="O106" s="24">
        <f t="shared" si="1067"/>
        <v>12324.445</v>
      </c>
      <c r="P106" s="38">
        <v>0.17699999999999999</v>
      </c>
      <c r="Q106" s="24">
        <f t="shared" si="1068"/>
        <v>2670.0450000000001</v>
      </c>
      <c r="R106" s="38">
        <v>6.0000000000000001E-3</v>
      </c>
      <c r="S106" s="105">
        <v>0.22700000000000001</v>
      </c>
      <c r="T106" s="24">
        <f t="shared" si="1069"/>
        <v>90.51</v>
      </c>
      <c r="U106" s="27">
        <v>0.23300000000000001</v>
      </c>
      <c r="V106" s="24">
        <f t="shared" si="1070"/>
        <v>3514.8050000000003</v>
      </c>
      <c r="W106" s="38">
        <v>0.48099999999999998</v>
      </c>
      <c r="X106" s="24">
        <f t="shared" si="1071"/>
        <v>7255.8849999999993</v>
      </c>
      <c r="Y106" s="38">
        <v>0.44</v>
      </c>
      <c r="Z106" s="24">
        <f t="shared" si="1072"/>
        <v>6637.4</v>
      </c>
      <c r="AA106" s="118">
        <v>2.3500000000000001E-3</v>
      </c>
      <c r="AB106" s="121">
        <f t="shared" si="765"/>
        <v>35.449750000000002</v>
      </c>
      <c r="AC106" s="45">
        <v>2.3600000000000001E-3</v>
      </c>
      <c r="AD106" s="17">
        <f t="shared" si="1074"/>
        <v>35.6006</v>
      </c>
      <c r="AE106" s="26">
        <f>IF(M106&gt;0,(AG106+AP106)/M106,0)</f>
        <v>2.6426490089492874E-3</v>
      </c>
      <c r="AF106" s="45">
        <v>2.2000000000000001E-4</v>
      </c>
      <c r="AG106" s="36">
        <f t="shared" si="1075"/>
        <v>3.3187000000000002</v>
      </c>
      <c r="AH106" s="27">
        <v>0.21579999999999999</v>
      </c>
      <c r="AI106" s="40">
        <f t="shared" si="1076"/>
        <v>35.035777400000001</v>
      </c>
      <c r="AJ106" s="27">
        <f t="shared" si="1077"/>
        <v>0.90770503222681886</v>
      </c>
      <c r="AK106" s="28">
        <f t="shared" si="681"/>
        <v>0.91764705685168768</v>
      </c>
      <c r="AL106" s="42">
        <v>179</v>
      </c>
      <c r="AM106" s="38">
        <v>9.2999999999999999E-2</v>
      </c>
      <c r="AN106" s="27">
        <v>0.22509999999999999</v>
      </c>
      <c r="AO106" s="105">
        <v>0.21149999999999999</v>
      </c>
      <c r="AP106" s="40">
        <f>AL106*(1-AM106)*AN106</f>
        <v>36.545660300000002</v>
      </c>
      <c r="AQ106" s="106">
        <f t="shared" si="726"/>
        <v>34.337659500000001</v>
      </c>
      <c r="AR106" s="17">
        <v>1.55</v>
      </c>
      <c r="AS106" s="17"/>
      <c r="AT106" s="129">
        <f>AT105+AL106-AS106</f>
        <v>738.9399999999996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79">SUM(D104:D106)</f>
        <v>45000</v>
      </c>
      <c r="E107" s="49"/>
      <c r="F107" s="49">
        <f t="shared" ref="F107" si="1080">SUM(F104:F106)</f>
        <v>43319</v>
      </c>
      <c r="G107" s="50"/>
      <c r="H107" s="50"/>
      <c r="I107" s="49">
        <f t="shared" ref="I107:K107" si="1081">SUM(I104:I106)</f>
        <v>42311</v>
      </c>
      <c r="J107" s="50"/>
      <c r="K107" s="49">
        <f t="shared" si="1081"/>
        <v>48435</v>
      </c>
      <c r="L107" s="20">
        <f t="shared" ref="L107" si="1082">IF(K107&gt;0,(K104*L104+K105*L105+K106*L106)/K107,0)</f>
        <v>6.7000289047176642E-2</v>
      </c>
      <c r="M107" s="50">
        <f t="shared" ref="M107" si="1083">M104+M105+M106</f>
        <v>45190</v>
      </c>
      <c r="N107" s="51">
        <f t="shared" ref="N107" si="1084">IF(M107&gt;0,O107/M107,0)</f>
        <v>0.78466319982296973</v>
      </c>
      <c r="O107" s="52">
        <f t="shared" ref="O107" si="1085">O104+O105+O106</f>
        <v>35458.93</v>
      </c>
      <c r="P107" s="20">
        <f t="shared" ref="P107" si="1086">IF(M107&gt;0,Q107/M107,0)</f>
        <v>0.20103153352511619</v>
      </c>
      <c r="Q107" s="52">
        <f t="shared" ref="Q107" si="1087">Q104+Q105+Q106</f>
        <v>9084.6149999999998</v>
      </c>
      <c r="R107" s="20">
        <f t="shared" ref="R107" si="1088">IF(M107&gt;0,T107/M107,0)</f>
        <v>1.430526665191414E-2</v>
      </c>
      <c r="S107" s="107"/>
      <c r="T107" s="52">
        <f t="shared" ref="T107" si="1089">T104+T105+T106</f>
        <v>646.45499999999993</v>
      </c>
      <c r="U107" s="20">
        <f t="shared" ref="U107" si="1090">IF(M107&gt;0,V107/M107,0)</f>
        <v>0.23201582208453198</v>
      </c>
      <c r="V107" s="52">
        <f t="shared" ref="V107" si="1091">V104+V105+V106</f>
        <v>10484.795</v>
      </c>
      <c r="W107" s="20">
        <f t="shared" ref="W107" si="1092">IF(M107&gt;0,X107/M107,0)</f>
        <v>0.48265036512502763</v>
      </c>
      <c r="X107" s="52">
        <f t="shared" ref="X107" si="1093">X104+X105+X106</f>
        <v>21810.969999999998</v>
      </c>
      <c r="Y107" s="20">
        <f t="shared" ref="Y107" si="1094">IF(M107&gt;0,Z107/M107,0)</f>
        <v>0.43665744633768533</v>
      </c>
      <c r="Z107" s="52">
        <f t="shared" ref="Z107" si="1095">Z104+Z105+Z106</f>
        <v>19732.55</v>
      </c>
      <c r="AA107" s="119">
        <f t="shared" ref="AA107" si="1096">IF(M107&gt;0,AB107/M107,0)</f>
        <v>2.5835140517813673E-3</v>
      </c>
      <c r="AB107" s="54">
        <f t="shared" ref="AB107" si="1097">SUM(AB104:AB106)</f>
        <v>116.749</v>
      </c>
      <c r="AC107" s="53">
        <f t="shared" ref="AC107" si="1098">IF(M107&gt;0,AD107/M107,0)</f>
        <v>2.5567459614959064E-3</v>
      </c>
      <c r="AD107" s="54">
        <f t="shared" ref="AD107" si="1099">SUM(AD104:AD106)</f>
        <v>115.53935</v>
      </c>
      <c r="AE107" s="53">
        <f t="shared" ref="AE107" si="1100">IF(M107&gt;0,(AE104*M104+AE105*M105+AE106*M106)/M107,0)</f>
        <v>2.7792869794202256E-3</v>
      </c>
      <c r="AF107" s="53">
        <f t="shared" ref="AF107" si="1101">IF(K107&gt;0,(K104*AF104+K105*AF105+K106*AF106)/K107,0)</f>
        <v>2.5664953029833797E-4</v>
      </c>
      <c r="AG107" s="50">
        <f t="shared" ref="AG107" si="1102">SUM(AG104:AG106)</f>
        <v>11.599149999999998</v>
      </c>
      <c r="AH107" s="51">
        <f t="shared" ref="AH107" si="1103">IF(K107&gt;0,(K104*AH104+K105*AH105+K106*AH106)/K107,0)</f>
        <v>0.21719135748941884</v>
      </c>
      <c r="AI107" s="56">
        <f t="shared" ref="AI107" si="1104">SUM(AI104:AI106)</f>
        <v>110.020591</v>
      </c>
      <c r="AJ107" s="51">
        <f t="shared" ref="AJ107" si="1105">IF(AND(AD107&gt;0),((AD104*AJ104+AD105*AJ105+AD106*AJ106)/AD107),0)</f>
        <v>0.90068046207207364</v>
      </c>
      <c r="AK107" s="55">
        <f t="shared" si="681"/>
        <v>0.90869286142117156</v>
      </c>
      <c r="AL107" s="49">
        <f t="shared" ref="AL107" si="1106">SUM(AL104:AL106)</f>
        <v>558</v>
      </c>
      <c r="AM107" s="20">
        <f t="shared" ref="AM107" si="1107">IF(AL107&gt;0,(AM104*AL104+AM105*AL105+AM106*AL106)/AL107,0)</f>
        <v>9.1913978494623655E-2</v>
      </c>
      <c r="AN107" s="51">
        <f>IF(K107&gt;0,(AN104*K104+AN105*K105+AN106*K106)/K107,0)</f>
        <v>0.22499845979147312</v>
      </c>
      <c r="AO107" s="107">
        <f>IF(L107&gt;0,(AO104*K104+AO105*K105+AO106*K106)/K107,0)</f>
        <v>0.21566049344482294</v>
      </c>
      <c r="AP107" s="56">
        <f t="shared" ref="AP107:AQ119" si="1108">SUM(AP104:AP106)</f>
        <v>113.99682860000001</v>
      </c>
      <c r="AQ107" s="108">
        <f t="shared" si="1108"/>
        <v>109.315273</v>
      </c>
      <c r="AR107" s="54"/>
      <c r="AS107" s="54">
        <f t="shared" ref="AS107" si="1109">SUM(AS104:AS106)</f>
        <v>513.04</v>
      </c>
      <c r="AT107" s="83"/>
      <c r="AU107" s="84">
        <f>AT106</f>
        <v>738.9399999999996</v>
      </c>
      <c r="AV107" s="49">
        <f t="shared" ref="AV107" si="1110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53</v>
      </c>
      <c r="D108" s="11">
        <v>1600</v>
      </c>
      <c r="E108" s="11">
        <v>9</v>
      </c>
      <c r="F108" s="11">
        <v>16018</v>
      </c>
      <c r="G108" s="12">
        <v>0.2</v>
      </c>
      <c r="H108" s="12">
        <v>3.4</v>
      </c>
      <c r="I108" s="11">
        <v>15824</v>
      </c>
      <c r="J108" s="12">
        <v>6.1</v>
      </c>
      <c r="K108" s="11">
        <v>16193</v>
      </c>
      <c r="L108" s="13">
        <v>6.0999999999999999E-2</v>
      </c>
      <c r="M108" s="23">
        <f>ROUND(K108*(1-L108),0)</f>
        <v>15205</v>
      </c>
      <c r="N108" s="14">
        <v>0.70699999999999996</v>
      </c>
      <c r="O108" s="24">
        <f t="shared" ref="O108:O110" si="1111">M108*N108</f>
        <v>10749.934999999999</v>
      </c>
      <c r="P108" s="13">
        <v>0.27900000000000003</v>
      </c>
      <c r="Q108" s="24">
        <f t="shared" ref="Q108:Q110" si="1112">M108*P108</f>
        <v>4242.1950000000006</v>
      </c>
      <c r="R108" s="15">
        <v>1.4E-2</v>
      </c>
      <c r="S108" s="112">
        <v>0.1691</v>
      </c>
      <c r="T108" s="24">
        <f t="shared" ref="T108:T110" si="1113">M108*R108</f>
        <v>212.87</v>
      </c>
      <c r="U108" s="25">
        <v>0.23200000000000001</v>
      </c>
      <c r="V108" s="24">
        <f t="shared" ref="V108:V110" si="1114">M108*U108</f>
        <v>3527.5600000000004</v>
      </c>
      <c r="W108" s="15">
        <v>0.48799999999999999</v>
      </c>
      <c r="X108" s="24">
        <f t="shared" ref="X108:X110" si="1115">M108*W108</f>
        <v>7420.04</v>
      </c>
      <c r="Y108" s="15">
        <v>0.44</v>
      </c>
      <c r="Z108" s="24">
        <f t="shared" ref="Z108:Z110" si="1116">Y108*M108</f>
        <v>6690.2</v>
      </c>
      <c r="AA108" s="116">
        <v>2.4599999999999999E-3</v>
      </c>
      <c r="AB108" s="18">
        <f t="shared" ref="AB108" si="1117">M108*AA108</f>
        <v>37.404299999999999</v>
      </c>
      <c r="AC108" s="16">
        <v>2.3900000000000002E-3</v>
      </c>
      <c r="AD108" s="17">
        <f t="shared" ref="AD108:AD110" si="1118">M108*AC108</f>
        <v>36.339950000000002</v>
      </c>
      <c r="AE108" s="26">
        <f>IF(M108&gt;0,(AG108+AP108)/M108,0)</f>
        <v>2.5915122262413683E-3</v>
      </c>
      <c r="AF108" s="16">
        <v>2.4000000000000001E-4</v>
      </c>
      <c r="AG108" s="23">
        <f t="shared" ref="AG108:AG110" si="1119">AF108*M108</f>
        <v>3.6492</v>
      </c>
      <c r="AH108" s="92">
        <v>0.2223</v>
      </c>
      <c r="AI108" s="29">
        <f t="shared" ref="AI108:AI110" si="1120">AL108*(1-AM108)*AH108</f>
        <v>35.451737100000003</v>
      </c>
      <c r="AJ108" s="27">
        <f t="shared" ref="AJ108:AJ110" si="1121">IF(AND(AH108&gt;0,AF108&gt;0,AC108&gt;0),((AC108-AF108)*AH108)/((AH108-AF108)*AC108),0)</f>
        <v>0.90055384782355552</v>
      </c>
      <c r="AK108" s="58">
        <f t="shared" si="681"/>
        <v>0.90836235684207323</v>
      </c>
      <c r="AL108" s="11">
        <v>177</v>
      </c>
      <c r="AM108" s="13">
        <v>9.9000000000000005E-2</v>
      </c>
      <c r="AN108" s="14">
        <v>0.22420000000000001</v>
      </c>
      <c r="AO108" s="101">
        <v>0.2069</v>
      </c>
      <c r="AP108" s="29">
        <f>AL108*(1-AM108)*AN108</f>
        <v>35.754743400000002</v>
      </c>
      <c r="AQ108" s="102">
        <f t="shared" ref="AQ108" si="1122">AL108*(1-AM108)*AO108</f>
        <v>32.9957913</v>
      </c>
      <c r="AR108" s="18">
        <v>1.55</v>
      </c>
      <c r="AS108" s="18">
        <v>531.08000000000004</v>
      </c>
      <c r="AT108" s="79">
        <f>AT106+AL108-AS108</f>
        <v>384.85999999999956</v>
      </c>
      <c r="AU108" s="80"/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0" t="s">
        <v>59</v>
      </c>
      <c r="D109" s="33">
        <v>21720</v>
      </c>
      <c r="E109" s="33">
        <v>12</v>
      </c>
      <c r="F109" s="33">
        <v>16085</v>
      </c>
      <c r="G109" s="34">
        <v>0.4</v>
      </c>
      <c r="H109" s="34">
        <v>4.3</v>
      </c>
      <c r="I109" s="33">
        <v>15229</v>
      </c>
      <c r="J109" s="34">
        <v>6.1</v>
      </c>
      <c r="K109" s="33">
        <v>16207</v>
      </c>
      <c r="L109" s="35">
        <v>6.0999999999999999E-2</v>
      </c>
      <c r="M109" s="36">
        <f>ROUND(K109*(1-L109),0)</f>
        <v>15218</v>
      </c>
      <c r="N109" s="37">
        <v>0.67900000000000005</v>
      </c>
      <c r="O109" s="24">
        <f t="shared" si="1111"/>
        <v>10333.022000000001</v>
      </c>
      <c r="P109" s="35">
        <v>0.30499999999999999</v>
      </c>
      <c r="Q109" s="24">
        <f t="shared" si="1112"/>
        <v>4641.49</v>
      </c>
      <c r="R109" s="38">
        <v>1.6E-2</v>
      </c>
      <c r="S109" s="105">
        <v>0.20499999999999999</v>
      </c>
      <c r="T109" s="24">
        <f t="shared" si="1113"/>
        <v>243.488</v>
      </c>
      <c r="U109" s="27">
        <v>0.23200000000000001</v>
      </c>
      <c r="V109" s="24">
        <f t="shared" si="1114"/>
        <v>3530.576</v>
      </c>
      <c r="W109" s="38">
        <v>0.49099999999999999</v>
      </c>
      <c r="X109" s="24">
        <f t="shared" si="1115"/>
        <v>7472.0379999999996</v>
      </c>
      <c r="Y109" s="38">
        <v>0.45</v>
      </c>
      <c r="Z109" s="24">
        <f t="shared" si="1116"/>
        <v>6848.1</v>
      </c>
      <c r="AA109" s="117">
        <v>2.3999999999999998E-3</v>
      </c>
      <c r="AB109" s="18">
        <f t="shared" si="765"/>
        <v>36.523199999999996</v>
      </c>
      <c r="AC109" s="39">
        <v>2.3400000000000001E-3</v>
      </c>
      <c r="AD109" s="17">
        <f t="shared" si="1118"/>
        <v>35.610120000000002</v>
      </c>
      <c r="AE109" s="26">
        <f>IF(M109&gt;0,(AG109+AP109)/M109,0)</f>
        <v>2.4139750295702461E-3</v>
      </c>
      <c r="AF109" s="39">
        <v>2.2000000000000001E-4</v>
      </c>
      <c r="AG109" s="36">
        <f t="shared" si="1119"/>
        <v>3.34796</v>
      </c>
      <c r="AH109" s="27">
        <v>0.2157</v>
      </c>
      <c r="AI109" s="40">
        <f t="shared" si="1120"/>
        <v>32.440417200000006</v>
      </c>
      <c r="AJ109" s="27">
        <f t="shared" si="1121"/>
        <v>0.90690789317111942</v>
      </c>
      <c r="AK109" s="28">
        <f t="shared" si="681"/>
        <v>0.90976558121619411</v>
      </c>
      <c r="AL109" s="33">
        <v>166</v>
      </c>
      <c r="AM109" s="35">
        <v>9.4E-2</v>
      </c>
      <c r="AN109" s="37">
        <v>0.222</v>
      </c>
      <c r="AO109" s="103">
        <v>0.2104</v>
      </c>
      <c r="AP109" s="40">
        <f>AL109*(1-AM109)*AN109</f>
        <v>33.387912000000007</v>
      </c>
      <c r="AQ109" s="104">
        <f t="shared" si="726"/>
        <v>31.643318400000005</v>
      </c>
      <c r="AR109" s="41">
        <v>1.5</v>
      </c>
      <c r="AS109" s="41"/>
      <c r="AT109" s="129">
        <f>AT108+AL109-AS109</f>
        <v>550.85999999999956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0" t="s">
        <v>58</v>
      </c>
      <c r="D110" s="42">
        <v>23600</v>
      </c>
      <c r="E110" s="42">
        <v>7</v>
      </c>
      <c r="F110" s="42">
        <v>18475</v>
      </c>
      <c r="G110" s="36">
        <v>0.4</v>
      </c>
      <c r="H110" s="36">
        <v>5.2</v>
      </c>
      <c r="I110" s="42">
        <v>18461</v>
      </c>
      <c r="J110" s="36">
        <v>4.7</v>
      </c>
      <c r="K110" s="42">
        <v>16229</v>
      </c>
      <c r="L110" s="38">
        <v>6.4000000000000001E-2</v>
      </c>
      <c r="M110" s="36">
        <f>ROUND(K110*(1-L110),0)</f>
        <v>15190</v>
      </c>
      <c r="N110" s="27">
        <v>0.69099999999999995</v>
      </c>
      <c r="O110" s="24">
        <f t="shared" si="1111"/>
        <v>10496.289999999999</v>
      </c>
      <c r="P110" s="38">
        <v>0.26</v>
      </c>
      <c r="Q110" s="24">
        <f t="shared" si="1112"/>
        <v>3949.4</v>
      </c>
      <c r="R110" s="38">
        <v>4.9000000000000002E-2</v>
      </c>
      <c r="S110" s="105">
        <v>0.1991</v>
      </c>
      <c r="T110" s="24">
        <f t="shared" si="1113"/>
        <v>744.31000000000006</v>
      </c>
      <c r="U110" s="27">
        <v>0.245</v>
      </c>
      <c r="V110" s="24">
        <f t="shared" si="1114"/>
        <v>3721.5499999999997</v>
      </c>
      <c r="W110" s="38">
        <v>0.48399999999999999</v>
      </c>
      <c r="X110" s="24">
        <f t="shared" si="1115"/>
        <v>7351.96</v>
      </c>
      <c r="Y110" s="38">
        <v>0.44</v>
      </c>
      <c r="Z110" s="24">
        <f t="shared" si="1116"/>
        <v>6683.6</v>
      </c>
      <c r="AA110" s="118">
        <v>2.4599999999999999E-3</v>
      </c>
      <c r="AB110" s="121">
        <f t="shared" si="765"/>
        <v>37.367399999999996</v>
      </c>
      <c r="AC110" s="45">
        <v>2.4099999999999998E-3</v>
      </c>
      <c r="AD110" s="17">
        <f t="shared" si="1118"/>
        <v>36.607899999999994</v>
      </c>
      <c r="AE110" s="26">
        <f>IF(M110&gt;0,(AG110+AP110)/M110,0)</f>
        <v>2.6139400921658985E-3</v>
      </c>
      <c r="AF110" s="45">
        <v>2.4000000000000001E-4</v>
      </c>
      <c r="AG110" s="36">
        <f t="shared" si="1119"/>
        <v>3.6456</v>
      </c>
      <c r="AH110" s="27">
        <v>0.2114</v>
      </c>
      <c r="AI110" s="40">
        <f t="shared" si="1120"/>
        <v>33.850425000000001</v>
      </c>
      <c r="AJ110" s="27">
        <f t="shared" si="1121"/>
        <v>0.9014383303766037</v>
      </c>
      <c r="AK110" s="28">
        <f t="shared" si="681"/>
        <v>0.9091534853085198</v>
      </c>
      <c r="AL110" s="42">
        <v>175</v>
      </c>
      <c r="AM110" s="38">
        <v>8.5000000000000006E-2</v>
      </c>
      <c r="AN110" s="27">
        <v>0.22520000000000001</v>
      </c>
      <c r="AO110" s="105">
        <v>0.22550000000000001</v>
      </c>
      <c r="AP110" s="40">
        <f>AL110*(1-AM110)*AN110</f>
        <v>36.06015</v>
      </c>
      <c r="AQ110" s="106">
        <f t="shared" si="726"/>
        <v>36.1081875</v>
      </c>
      <c r="AR110" s="17">
        <v>1.55</v>
      </c>
      <c r="AS110" s="17"/>
      <c r="AT110" s="129">
        <f>AT109+AL110-AS110</f>
        <v>725.85999999999956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23">SUM(D108:D110)</f>
        <v>46920</v>
      </c>
      <c r="E111" s="49"/>
      <c r="F111" s="49">
        <f t="shared" ref="F111" si="1124">SUM(F108:F110)</f>
        <v>50578</v>
      </c>
      <c r="G111" s="50"/>
      <c r="H111" s="50"/>
      <c r="I111" s="49">
        <f t="shared" ref="I111:K111" si="1125">SUM(I108:I110)</f>
        <v>49514</v>
      </c>
      <c r="J111" s="50"/>
      <c r="K111" s="49">
        <f t="shared" si="1125"/>
        <v>48629</v>
      </c>
      <c r="L111" s="20">
        <f t="shared" ref="L111" si="1126">IF(K111&gt;0,(K108*L108+K109*L109+K110*L110)/K111,0)</f>
        <v>6.2001192703942096E-2</v>
      </c>
      <c r="M111" s="50">
        <f t="shared" ref="M111" si="1127">M108+M109+M110</f>
        <v>45613</v>
      </c>
      <c r="N111" s="51">
        <f t="shared" ref="N111" si="1128">IF(M111&gt;0,O111/M111,0)</f>
        <v>0.69232997171858901</v>
      </c>
      <c r="O111" s="52">
        <f t="shared" ref="O111" si="1129">O108+O109+O110</f>
        <v>31579.247000000003</v>
      </c>
      <c r="P111" s="20">
        <f t="shared" ref="P111" si="1130">IF(M111&gt;0,Q111/M111,0)</f>
        <v>0.28134709403021069</v>
      </c>
      <c r="Q111" s="52">
        <f t="shared" ref="Q111" si="1131">Q108+Q109+Q110</f>
        <v>12833.085000000001</v>
      </c>
      <c r="R111" s="20">
        <f t="shared" ref="R111" si="1132">IF(M111&gt;0,T111/M111,0)</f>
        <v>2.6322934251200317E-2</v>
      </c>
      <c r="S111" s="107"/>
      <c r="T111" s="52">
        <f t="shared" ref="T111" si="1133">T108+T109+T110</f>
        <v>1200.6680000000001</v>
      </c>
      <c r="U111" s="20">
        <f t="shared" ref="U111" si="1134">IF(M111&gt;0,V111/M111,0)</f>
        <v>0.23632924824063314</v>
      </c>
      <c r="V111" s="52">
        <f t="shared" ref="V111" si="1135">V108+V109+V110</f>
        <v>10779.686</v>
      </c>
      <c r="W111" s="20">
        <f t="shared" ref="W111" si="1136">IF(M111&gt;0,X111/M111,0)</f>
        <v>0.48766882248481791</v>
      </c>
      <c r="X111" s="52">
        <f t="shared" ref="X111" si="1137">X108+X109+X110</f>
        <v>22244.038</v>
      </c>
      <c r="Y111" s="20">
        <f t="shared" ref="Y111" si="1138">IF(M111&gt;0,Z111/M111,0)</f>
        <v>0.44333632955517072</v>
      </c>
      <c r="Z111" s="52">
        <f t="shared" ref="Z111" si="1139">Z108+Z109+Z110</f>
        <v>20221.900000000001</v>
      </c>
      <c r="AA111" s="119">
        <f t="shared" ref="AA111" si="1140">IF(M111&gt;0,AB111/M111,0)</f>
        <v>2.4399820226689755E-3</v>
      </c>
      <c r="AB111" s="54">
        <f t="shared" ref="AB111" si="1141">SUM(AB108:AB110)</f>
        <v>111.29489999999998</v>
      </c>
      <c r="AC111" s="53">
        <f t="shared" ref="AC111" si="1142">IF(M111&gt;0,AD111/M111,0)</f>
        <v>2.3799787341328132E-3</v>
      </c>
      <c r="AD111" s="54">
        <f t="shared" ref="AD111" si="1143">SUM(AD108:AD110)</f>
        <v>108.55797000000001</v>
      </c>
      <c r="AE111" s="53">
        <f t="shared" ref="AE111" si="1144">IF(M111&gt;0,(AE108*M108+AE109*M109+AE110*M110)/M111,0)</f>
        <v>2.5397488742244533E-3</v>
      </c>
      <c r="AF111" s="53">
        <f t="shared" ref="AF111" si="1145">IF(K111&gt;0,(K108*AF108+K109*AF109+K110*AF110)/K111,0)</f>
        <v>2.3333443007259044E-4</v>
      </c>
      <c r="AG111" s="50">
        <f t="shared" ref="AG111" si="1146">SUM(AG108:AG110)</f>
        <v>10.642759999999999</v>
      </c>
      <c r="AH111" s="51">
        <f t="shared" ref="AH111" si="1147">IF(K111&gt;0,(K108*AH108+K109*AH109+K110*AH110)/K111,0)</f>
        <v>0.21646269509963192</v>
      </c>
      <c r="AI111" s="56">
        <f t="shared" ref="AI111" si="1148">SUM(AI108:AI110)</f>
        <v>101.74257930000002</v>
      </c>
      <c r="AJ111" s="51">
        <f t="shared" ref="AJ111" si="1149">IF(AND(AD111&gt;0),((AD108*AJ108+AD109*AJ109+AD110*AJ110)/AD111),0)</f>
        <v>0.90293642154122833</v>
      </c>
      <c r="AK111" s="55">
        <f t="shared" si="681"/>
        <v>0.9090747692055281</v>
      </c>
      <c r="AL111" s="49">
        <f t="shared" ref="AL111" si="1150">SUM(AL108:AL110)</f>
        <v>518</v>
      </c>
      <c r="AM111" s="20">
        <f t="shared" ref="AM111" si="1151">IF(AL111&gt;0,(AM108*AL108+AM109*AL109+AM110*AL110)/AL111,0)</f>
        <v>9.2667953667953662E-2</v>
      </c>
      <c r="AN111" s="51">
        <f>IF(K111&gt;0,(AN108*K108+AN109*K109+AN110*K110)/K111,0)</f>
        <v>0.223800518209299</v>
      </c>
      <c r="AO111" s="107">
        <f>IF(L111&gt;0,(AO108*K108+AO109*K109+AO110*K110)/K111,0)</f>
        <v>0.21427386950173763</v>
      </c>
      <c r="AP111" s="56">
        <f t="shared" ref="AP111" si="1152">SUM(AP108:AP110)</f>
        <v>105.20280540000002</v>
      </c>
      <c r="AQ111" s="108">
        <f t="shared" si="1108"/>
        <v>100.74729720000001</v>
      </c>
      <c r="AR111" s="54"/>
      <c r="AS111" s="54">
        <f t="shared" ref="AS111" si="1153">SUM(AS108:AS110)</f>
        <v>531.08000000000004</v>
      </c>
      <c r="AT111" s="83"/>
      <c r="AU111" s="84">
        <f>AT110</f>
        <v>725.85999999999956</v>
      </c>
      <c r="AV111" s="49">
        <f t="shared" ref="AV111" si="1154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53</v>
      </c>
      <c r="D112" s="11">
        <v>2200</v>
      </c>
      <c r="E112" s="11">
        <v>9</v>
      </c>
      <c r="F112" s="11">
        <v>11890</v>
      </c>
      <c r="G112" s="12">
        <v>0.5</v>
      </c>
      <c r="H112" s="12">
        <v>4.3</v>
      </c>
      <c r="I112" s="11">
        <v>11680</v>
      </c>
      <c r="J112" s="12">
        <v>6.6</v>
      </c>
      <c r="K112" s="11">
        <v>16237</v>
      </c>
      <c r="L112" s="13">
        <v>6.5000000000000002E-2</v>
      </c>
      <c r="M112" s="23">
        <f>ROUND(K112*(1-L112),0)</f>
        <v>15182</v>
      </c>
      <c r="N112" s="14">
        <v>0.69799999999999995</v>
      </c>
      <c r="O112" s="24">
        <f t="shared" ref="O112:O114" si="1155">M112*N112</f>
        <v>10597.036</v>
      </c>
      <c r="P112" s="13">
        <v>0.25900000000000001</v>
      </c>
      <c r="Q112" s="24">
        <f t="shared" ref="Q112:Q114" si="1156">M112*P112</f>
        <v>3932.1379999999999</v>
      </c>
      <c r="R112" s="15">
        <v>4.2999999999999997E-2</v>
      </c>
      <c r="S112" s="112">
        <v>0.19819999999999999</v>
      </c>
      <c r="T112" s="24">
        <f t="shared" ref="T112:T114" si="1157">M112*R112</f>
        <v>652.82599999999991</v>
      </c>
      <c r="U112" s="25">
        <v>0.24399999999999999</v>
      </c>
      <c r="V112" s="24">
        <f t="shared" ref="V112:V114" si="1158">M112*U112</f>
        <v>3704.4079999999999</v>
      </c>
      <c r="W112" s="15">
        <v>0.47399999999999998</v>
      </c>
      <c r="X112" s="24">
        <f t="shared" ref="X112:X114" si="1159">M112*W112</f>
        <v>7196.268</v>
      </c>
      <c r="Y112" s="15">
        <v>0.45</v>
      </c>
      <c r="Z112" s="24">
        <f t="shared" ref="Z112:Z114" si="1160">Y112*M112</f>
        <v>6831.9000000000005</v>
      </c>
      <c r="AA112" s="116">
        <v>2.5500000000000002E-3</v>
      </c>
      <c r="AB112" s="18">
        <f t="shared" ref="AB112" si="1161">M112*AA112</f>
        <v>38.714100000000002</v>
      </c>
      <c r="AC112" s="16">
        <v>2.6199999999999999E-3</v>
      </c>
      <c r="AD112" s="17">
        <f t="shared" ref="AD112:AD114" si="1162">M112*AC112</f>
        <v>39.77684</v>
      </c>
      <c r="AE112" s="26">
        <f>IF(M112&gt;0,(AG112+AP112)/M112,0)</f>
        <v>2.5251264194440788E-3</v>
      </c>
      <c r="AF112" s="16">
        <v>2.5999999999999998E-4</v>
      </c>
      <c r="AG112" s="23">
        <f t="shared" ref="AG112:AG114" si="1163">AF112*M112</f>
        <v>3.9473199999999995</v>
      </c>
      <c r="AH112" s="92">
        <v>0.20830000000000001</v>
      </c>
      <c r="AI112" s="29">
        <f t="shared" ref="AI112:AI114" si="1164">AL112*(1-AM112)*AH112</f>
        <v>34.422199900000003</v>
      </c>
      <c r="AJ112" s="27">
        <f t="shared" ref="AJ112:AJ114" si="1165">IF(AND(AH112&gt;0,AF112&gt;0,AC112&gt;0),((AC112-AF112)*AH112)/((AH112-AF112)*AC112),0)</f>
        <v>0.90188909648907811</v>
      </c>
      <c r="AK112" s="58">
        <f t="shared" si="681"/>
        <v>0.89815701490721422</v>
      </c>
      <c r="AL112" s="11">
        <v>181</v>
      </c>
      <c r="AM112" s="13">
        <v>8.6999999999999994E-2</v>
      </c>
      <c r="AN112" s="14">
        <v>0.20810000000000001</v>
      </c>
      <c r="AO112" s="101">
        <v>0.20810000000000001</v>
      </c>
      <c r="AP112" s="29">
        <f>AL112*(1-AM112)*AN112</f>
        <v>34.389149300000007</v>
      </c>
      <c r="AQ112" s="102">
        <f t="shared" ref="AQ112" si="1166">AL112*(1-AM112)*AO112</f>
        <v>34.389149300000007</v>
      </c>
      <c r="AR112" s="18">
        <v>1.6</v>
      </c>
      <c r="AS112" s="18">
        <v>1060.52</v>
      </c>
      <c r="AT112" s="79">
        <f>AT110+AL112-AS112</f>
        <v>-153.66000000000042</v>
      </c>
      <c r="AU112" s="80"/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0" t="s">
        <v>54</v>
      </c>
      <c r="D113" s="33">
        <v>19830</v>
      </c>
      <c r="E113" s="33">
        <v>14</v>
      </c>
      <c r="F113" s="33">
        <v>17303</v>
      </c>
      <c r="G113" s="34">
        <v>0.6</v>
      </c>
      <c r="H113" s="34">
        <v>4.5</v>
      </c>
      <c r="I113" s="33">
        <v>16765</v>
      </c>
      <c r="J113" s="34">
        <v>5.9</v>
      </c>
      <c r="K113" s="33">
        <v>16238</v>
      </c>
      <c r="L113" s="35">
        <v>6.5000000000000002E-2</v>
      </c>
      <c r="M113" s="36">
        <f>ROUND(K113*(1-L113),0)</f>
        <v>15183</v>
      </c>
      <c r="N113" s="37">
        <v>0.434</v>
      </c>
      <c r="O113" s="24">
        <f t="shared" si="1155"/>
        <v>6589.4219999999996</v>
      </c>
      <c r="P113" s="35">
        <v>0.46899999999999997</v>
      </c>
      <c r="Q113" s="24">
        <f t="shared" si="1156"/>
        <v>7120.8269999999993</v>
      </c>
      <c r="R113" s="38">
        <v>9.7000000000000003E-2</v>
      </c>
      <c r="S113" s="105">
        <v>0.20979999999999999</v>
      </c>
      <c r="T113" s="24">
        <f t="shared" si="1157"/>
        <v>1472.751</v>
      </c>
      <c r="U113" s="27">
        <v>0.25</v>
      </c>
      <c r="V113" s="24">
        <f t="shared" si="1158"/>
        <v>3795.75</v>
      </c>
      <c r="W113" s="38">
        <v>0.46</v>
      </c>
      <c r="X113" s="24">
        <f t="shared" si="1159"/>
        <v>6984.18</v>
      </c>
      <c r="Y113" s="38">
        <v>0.45</v>
      </c>
      <c r="Z113" s="24">
        <f t="shared" si="1160"/>
        <v>6832.35</v>
      </c>
      <c r="AA113" s="117">
        <v>2.5000000000000001E-3</v>
      </c>
      <c r="AB113" s="18">
        <f t="shared" si="765"/>
        <v>37.957500000000003</v>
      </c>
      <c r="AC113" s="39">
        <v>2.4299999999999999E-3</v>
      </c>
      <c r="AD113" s="17">
        <f t="shared" si="1162"/>
        <v>36.894689999999997</v>
      </c>
      <c r="AE113" s="26">
        <f>IF(M113&gt;0,(AG113+AP113)/M113,0)</f>
        <v>2.6870727524204705E-3</v>
      </c>
      <c r="AF113" s="39">
        <v>2.4000000000000001E-4</v>
      </c>
      <c r="AG113" s="36">
        <f t="shared" si="1163"/>
        <v>3.64392</v>
      </c>
      <c r="AH113" s="27">
        <v>0.21149999999999999</v>
      </c>
      <c r="AI113" s="40">
        <f t="shared" si="1164"/>
        <v>35.685972</v>
      </c>
      <c r="AJ113" s="27">
        <f t="shared" si="1165"/>
        <v>0.90225840722858597</v>
      </c>
      <c r="AK113" s="28">
        <f t="shared" si="681"/>
        <v>0.91167712879511031</v>
      </c>
      <c r="AL113" s="33">
        <v>184</v>
      </c>
      <c r="AM113" s="35">
        <v>8.3000000000000004E-2</v>
      </c>
      <c r="AN113" s="37">
        <v>0.22020000000000001</v>
      </c>
      <c r="AO113" s="103">
        <v>0.22090000000000001</v>
      </c>
      <c r="AP113" s="40">
        <f>AL113*(1-AM113)*AN113</f>
        <v>37.153905600000002</v>
      </c>
      <c r="AQ113" s="104">
        <f t="shared" si="726"/>
        <v>37.272015200000006</v>
      </c>
      <c r="AR113" s="41">
        <v>1.56</v>
      </c>
      <c r="AS113" s="41"/>
      <c r="AT113" s="129">
        <f>AT112+AL113-AS113</f>
        <v>30.339999999999577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43" t="s">
        <v>58</v>
      </c>
      <c r="D114" s="42">
        <v>19300</v>
      </c>
      <c r="E114" s="42">
        <v>7</v>
      </c>
      <c r="F114" s="42">
        <v>18253</v>
      </c>
      <c r="G114" s="36">
        <v>0.3</v>
      </c>
      <c r="H114" s="36">
        <v>5.0999999999999996</v>
      </c>
      <c r="I114" s="42">
        <v>18038</v>
      </c>
      <c r="J114" s="36">
        <v>4.5999999999999996</v>
      </c>
      <c r="K114" s="42">
        <v>16218</v>
      </c>
      <c r="L114" s="38">
        <v>7.0000000000000007E-2</v>
      </c>
      <c r="M114" s="36">
        <f>ROUND(K114*(1-L114),0)</f>
        <v>15083</v>
      </c>
      <c r="N114" s="27">
        <v>0.72899999999999998</v>
      </c>
      <c r="O114" s="24">
        <f t="shared" si="1155"/>
        <v>10995.507</v>
      </c>
      <c r="P114" s="38">
        <v>0.22500000000000001</v>
      </c>
      <c r="Q114" s="24">
        <f t="shared" si="1156"/>
        <v>3393.6750000000002</v>
      </c>
      <c r="R114" s="38">
        <v>4.5999999999999999E-2</v>
      </c>
      <c r="S114" s="105">
        <v>0.20039999999999999</v>
      </c>
      <c r="T114" s="24">
        <f t="shared" si="1157"/>
        <v>693.81799999999998</v>
      </c>
      <c r="U114" s="27">
        <v>0.23899999999999999</v>
      </c>
      <c r="V114" s="24">
        <f t="shared" si="1158"/>
        <v>3604.837</v>
      </c>
      <c r="W114" s="38">
        <v>0.48199999999999998</v>
      </c>
      <c r="X114" s="24">
        <f t="shared" si="1159"/>
        <v>7270.0059999999994</v>
      </c>
      <c r="Y114" s="38">
        <v>0.45</v>
      </c>
      <c r="Z114" s="24">
        <f t="shared" si="1160"/>
        <v>6787.35</v>
      </c>
      <c r="AA114" s="118">
        <v>2.64E-3</v>
      </c>
      <c r="AB114" s="121">
        <f t="shared" si="765"/>
        <v>39.819119999999998</v>
      </c>
      <c r="AC114" s="45">
        <v>2.63E-3</v>
      </c>
      <c r="AD114" s="17">
        <f t="shared" si="1162"/>
        <v>39.668289999999999</v>
      </c>
      <c r="AE114" s="26">
        <f>IF(M114&gt;0,(AG114+AP114)/M114,0)</f>
        <v>3.0059184711264341E-3</v>
      </c>
      <c r="AF114" s="45">
        <v>2.5000000000000001E-4</v>
      </c>
      <c r="AG114" s="36">
        <f t="shared" si="1163"/>
        <v>3.77075</v>
      </c>
      <c r="AH114" s="27">
        <v>0.21629999999999999</v>
      </c>
      <c r="AI114" s="40">
        <f t="shared" si="1164"/>
        <v>40.264461300000001</v>
      </c>
      <c r="AJ114" s="27">
        <f t="shared" si="1165"/>
        <v>0.90599011107659755</v>
      </c>
      <c r="AK114" s="28">
        <f t="shared" si="681"/>
        <v>0.91785835169779195</v>
      </c>
      <c r="AL114" s="42">
        <v>203</v>
      </c>
      <c r="AM114" s="38">
        <v>8.3000000000000004E-2</v>
      </c>
      <c r="AN114" s="27">
        <v>0.2233</v>
      </c>
      <c r="AO114" s="105">
        <v>0.2228</v>
      </c>
      <c r="AP114" s="40">
        <f>AL114*(1-AM114)*AN114</f>
        <v>41.567518300000003</v>
      </c>
      <c r="AQ114" s="106">
        <f t="shared" si="726"/>
        <v>41.474442799999998</v>
      </c>
      <c r="AR114" s="17">
        <v>1.55</v>
      </c>
      <c r="AS114" s="17"/>
      <c r="AT114" s="129">
        <f>AT113+AL114-AS114</f>
        <v>233.33999999999958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67">SUM(D112:D114)</f>
        <v>41330</v>
      </c>
      <c r="E115" s="49"/>
      <c r="F115" s="49">
        <f t="shared" ref="F115" si="1168">SUM(F112:F114)</f>
        <v>47446</v>
      </c>
      <c r="G115" s="50"/>
      <c r="H115" s="50"/>
      <c r="I115" s="49">
        <f t="shared" ref="I115:K115" si="1169">SUM(I112:I114)</f>
        <v>46483</v>
      </c>
      <c r="J115" s="50"/>
      <c r="K115" s="49">
        <f t="shared" si="1169"/>
        <v>48693</v>
      </c>
      <c r="L115" s="20">
        <f t="shared" ref="L115" si="1170">IF(K115&gt;0,(K112*L112+K113*L113+K114*L114)/K115,0)</f>
        <v>6.6665331772534045E-2</v>
      </c>
      <c r="M115" s="50">
        <f t="shared" ref="M115" si="1171">M112+M113+M114</f>
        <v>45448</v>
      </c>
      <c r="N115" s="51">
        <f t="shared" ref="N115" si="1172">IF(M115&gt;0,O115/M115,0)</f>
        <v>0.62009252332335851</v>
      </c>
      <c r="O115" s="52">
        <f t="shared" ref="O115" si="1173">O112+O113+O114</f>
        <v>28181.964999999997</v>
      </c>
      <c r="P115" s="20">
        <f t="shared" ref="P115" si="1174">IF(M115&gt;0,Q115/M115,0)</f>
        <v>0.31787185354691072</v>
      </c>
      <c r="Q115" s="52">
        <f t="shared" ref="Q115" si="1175">Q112+Q113+Q114</f>
        <v>14446.64</v>
      </c>
      <c r="R115" s="20">
        <f t="shared" ref="R115" si="1176">IF(M115&gt;0,T115/M115,0)</f>
        <v>6.2035623129730669E-2</v>
      </c>
      <c r="S115" s="107"/>
      <c r="T115" s="52">
        <f t="shared" ref="T115" si="1177">T112+T113+T114</f>
        <v>2819.3949999999995</v>
      </c>
      <c r="U115" s="20">
        <f t="shared" ref="U115" si="1178">IF(M115&gt;0,V115/M115,0)</f>
        <v>0.24434507569089947</v>
      </c>
      <c r="V115" s="52">
        <f t="shared" ref="V115" si="1179">V112+V113+V114</f>
        <v>11104.994999999999</v>
      </c>
      <c r="W115" s="20">
        <f t="shared" ref="W115" si="1180">IF(M115&gt;0,X115/M115,0)</f>
        <v>0.47197795282520677</v>
      </c>
      <c r="X115" s="52">
        <f t="shared" ref="X115" si="1181">X112+X113+X114</f>
        <v>21450.453999999998</v>
      </c>
      <c r="Y115" s="20">
        <f t="shared" ref="Y115" si="1182">IF(M115&gt;0,Z115/M115,0)</f>
        <v>0.44999999999999996</v>
      </c>
      <c r="Z115" s="52">
        <f t="shared" ref="Z115" si="1183">Z112+Z113+Z114</f>
        <v>20451.599999999999</v>
      </c>
      <c r="AA115" s="119">
        <f t="shared" ref="AA115" si="1184">IF(M115&gt;0,AB115/M115,0)</f>
        <v>2.5631649357507483E-3</v>
      </c>
      <c r="AB115" s="54">
        <f t="shared" ref="AB115" si="1185">SUM(AB112:AB114)</f>
        <v>116.49072000000001</v>
      </c>
      <c r="AC115" s="53">
        <f t="shared" ref="AC115" si="1186">IF(M115&gt;0,AD115/M115,0)</f>
        <v>2.5598446576306985E-3</v>
      </c>
      <c r="AD115" s="54">
        <f t="shared" ref="AD115" si="1187">SUM(AD112:AD114)</f>
        <v>116.33981999999999</v>
      </c>
      <c r="AE115" s="53">
        <f t="shared" ref="AE115" si="1188">IF(M115&gt;0,(AE112*M112+AE113*M113+AE114*M114)/M115,0)</f>
        <v>2.7387907762717839E-3</v>
      </c>
      <c r="AF115" s="53">
        <f t="shared" ref="AF115" si="1189">IF(K115&gt;0,(K112*AF112+K113*AF113+K114*AF114)/K115,0)</f>
        <v>2.4999979463167192E-4</v>
      </c>
      <c r="AG115" s="50">
        <f t="shared" ref="AG115" si="1190">SUM(AG112:AG114)</f>
        <v>11.361989999999999</v>
      </c>
      <c r="AH115" s="51">
        <f t="shared" ref="AH115" si="1191">IF(K115&gt;0,(K112*AH112+K113*AH113+K114*AH114)/K115,0)</f>
        <v>0.21203165752777609</v>
      </c>
      <c r="AI115" s="56">
        <f t="shared" ref="AI115" si="1192">SUM(AI112:AI114)</f>
        <v>110.3726332</v>
      </c>
      <c r="AJ115" s="51">
        <f t="shared" ref="AJ115" si="1193">IF(AND(AD115&gt;0),((AD112*AJ112+AD113*AJ113+AD114*AJ114)/AD115),0)</f>
        <v>0.903404534979526</v>
      </c>
      <c r="AK115" s="55">
        <f t="shared" si="681"/>
        <v>0.90976607744162696</v>
      </c>
      <c r="AL115" s="49">
        <f t="shared" ref="AL115" si="1194">SUM(AL112:AL114)</f>
        <v>568</v>
      </c>
      <c r="AM115" s="20">
        <f t="shared" ref="AM115" si="1195">IF(AL115&gt;0,(AM112*AL112+AM113*AL113+AM114*AL114)/AL115,0)</f>
        <v>8.4274647887323931E-2</v>
      </c>
      <c r="AN115" s="51">
        <f>IF(K115&gt;0,(AN112*K112+AN113*K113+AN114*K114)/K115,0)</f>
        <v>0.2171976813915758</v>
      </c>
      <c r="AO115" s="107">
        <f>IF(L115&gt;0,(AO112*K112+AO113*K113+AO114*K114)/K115,0)</f>
        <v>0.21726458217813646</v>
      </c>
      <c r="AP115" s="56">
        <f t="shared" ref="AP115" si="1196">SUM(AP112:AP114)</f>
        <v>113.11057320000002</v>
      </c>
      <c r="AQ115" s="108">
        <f t="shared" si="1108"/>
        <v>113.1356073</v>
      </c>
      <c r="AR115" s="54"/>
      <c r="AS115" s="54">
        <f t="shared" ref="AS115" si="1197">SUM(AS112:AS114)</f>
        <v>1060.52</v>
      </c>
      <c r="AT115" s="83"/>
      <c r="AU115" s="84">
        <f>AT114</f>
        <v>233.33999999999958</v>
      </c>
      <c r="AV115" s="49">
        <f t="shared" ref="AV115" si="1198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53</v>
      </c>
      <c r="D116" s="11">
        <v>14900</v>
      </c>
      <c r="E116" s="11">
        <v>8</v>
      </c>
      <c r="F116" s="11">
        <v>18049</v>
      </c>
      <c r="G116" s="12">
        <v>0.5</v>
      </c>
      <c r="H116" s="12">
        <v>3.7</v>
      </c>
      <c r="I116" s="11">
        <v>17079</v>
      </c>
      <c r="J116" s="12">
        <v>4.2</v>
      </c>
      <c r="K116" s="11">
        <v>16225</v>
      </c>
      <c r="L116" s="13">
        <v>6.2E-2</v>
      </c>
      <c r="M116" s="23">
        <f>ROUND(K116*(1-L116),0)</f>
        <v>15219</v>
      </c>
      <c r="N116" s="14">
        <v>0.68400000000000005</v>
      </c>
      <c r="O116" s="24">
        <f t="shared" ref="O116:O118" si="1199">M116*N116</f>
        <v>10409.796</v>
      </c>
      <c r="P116" s="13">
        <v>0.25600000000000001</v>
      </c>
      <c r="Q116" s="24">
        <f t="shared" ref="Q116:Q118" si="1200">M116*P116</f>
        <v>3896.0640000000003</v>
      </c>
      <c r="R116" s="15">
        <v>0.06</v>
      </c>
      <c r="S116" s="112">
        <v>0.1827</v>
      </c>
      <c r="T116" s="24">
        <f t="shared" ref="T116:T118" si="1201">M116*R116</f>
        <v>913.14</v>
      </c>
      <c r="U116" s="25">
        <v>0.251</v>
      </c>
      <c r="V116" s="24">
        <f t="shared" ref="V116:V118" si="1202">M116*U116</f>
        <v>3819.9690000000001</v>
      </c>
      <c r="W116" s="15">
        <v>0.47599999999999998</v>
      </c>
      <c r="X116" s="24">
        <f t="shared" ref="X116:X118" si="1203">M116*W116</f>
        <v>7244.2439999999997</v>
      </c>
      <c r="Y116" s="15">
        <v>0.45</v>
      </c>
      <c r="Z116" s="24">
        <f t="shared" ref="Z116:Z118" si="1204">Y116*M116</f>
        <v>6848.55</v>
      </c>
      <c r="AA116" s="116">
        <v>2.6900000000000001E-3</v>
      </c>
      <c r="AB116" s="18">
        <f t="shared" ref="AB116" si="1205">M116*AA116</f>
        <v>40.939109999999999</v>
      </c>
      <c r="AC116" s="16">
        <v>2.5899999999999999E-3</v>
      </c>
      <c r="AD116" s="17">
        <f t="shared" ref="AD116:AD118" si="1206">M116*AC116</f>
        <v>39.417209999999997</v>
      </c>
      <c r="AE116" s="26">
        <f>IF(M116&gt;0,(AG116+AP116)/M116,0)</f>
        <v>2.7644379262763649E-3</v>
      </c>
      <c r="AF116" s="16">
        <v>2.4000000000000001E-4</v>
      </c>
      <c r="AG116" s="23">
        <f t="shared" ref="AG116:AG118" si="1207">AF116*M116</f>
        <v>3.6525600000000003</v>
      </c>
      <c r="AH116" s="92">
        <v>0.20830000000000001</v>
      </c>
      <c r="AI116" s="29">
        <f t="shared" ref="AI116:AI118" si="1208">AL116*(1-AM116)*AH116</f>
        <v>36.244408300000003</v>
      </c>
      <c r="AJ116" s="27">
        <f t="shared" ref="AJ116:AJ118" si="1209">IF(AND(AH116&gt;0,AF116&gt;0,AC116&gt;0),((AC116-AF116)*AH116)/((AH116-AF116)*AC116),0)</f>
        <v>0.90838253147202486</v>
      </c>
      <c r="AK116" s="58">
        <f t="shared" si="681"/>
        <v>0.91417674541621663</v>
      </c>
      <c r="AL116" s="11">
        <v>191</v>
      </c>
      <c r="AM116" s="13">
        <v>8.8999999999999996E-2</v>
      </c>
      <c r="AN116" s="14">
        <v>0.2208</v>
      </c>
      <c r="AO116" s="101">
        <v>0.21959999999999999</v>
      </c>
      <c r="AP116" s="29">
        <f>AL116*(1-AM116)*AN116</f>
        <v>38.419420799999997</v>
      </c>
      <c r="AQ116" s="102">
        <f t="shared" ref="AQ116" si="1210">AL116*(1-AM116)*AO116</f>
        <v>38.210619600000001</v>
      </c>
      <c r="AR116" s="18">
        <v>1.55</v>
      </c>
      <c r="AS116" s="18"/>
      <c r="AT116" s="79">
        <f>AT114+AL116-AS116</f>
        <v>424.33999999999958</v>
      </c>
      <c r="AU116" s="134"/>
      <c r="AV116" s="11"/>
      <c r="AW116" s="30"/>
      <c r="AX116" s="19"/>
      <c r="AY116" s="19"/>
      <c r="AZ116" s="19"/>
      <c r="BA116" s="19"/>
      <c r="BB116" s="31"/>
    </row>
    <row r="117" spans="1:54">
      <c r="A117" s="147"/>
      <c r="B117" s="32">
        <v>2</v>
      </c>
      <c r="C117" s="10" t="s">
        <v>54</v>
      </c>
      <c r="D117" s="33">
        <v>20480</v>
      </c>
      <c r="E117" s="33">
        <v>10</v>
      </c>
      <c r="F117" s="33">
        <v>16697</v>
      </c>
      <c r="G117" s="34">
        <v>0.4</v>
      </c>
      <c r="H117" s="34">
        <v>3.7</v>
      </c>
      <c r="I117" s="33">
        <v>16511</v>
      </c>
      <c r="J117" s="34">
        <v>4.2</v>
      </c>
      <c r="K117" s="33">
        <v>16220</v>
      </c>
      <c r="L117" s="35">
        <v>6.3E-2</v>
      </c>
      <c r="M117" s="36">
        <f>ROUND(K117*(1-L117),0)</f>
        <v>15198</v>
      </c>
      <c r="N117" s="37">
        <v>0.61799999999999999</v>
      </c>
      <c r="O117" s="24">
        <f t="shared" si="1199"/>
        <v>9392.3639999999996</v>
      </c>
      <c r="P117" s="35">
        <v>0.30599999999999999</v>
      </c>
      <c r="Q117" s="24">
        <f t="shared" si="1200"/>
        <v>4650.5879999999997</v>
      </c>
      <c r="R117" s="38">
        <v>7.5999999999999998E-2</v>
      </c>
      <c r="S117" s="105">
        <v>0.1928</v>
      </c>
      <c r="T117" s="24">
        <f t="shared" si="1201"/>
        <v>1155.048</v>
      </c>
      <c r="U117" s="27">
        <v>0.249</v>
      </c>
      <c r="V117" s="24">
        <f t="shared" si="1202"/>
        <v>3784.3020000000001</v>
      </c>
      <c r="W117" s="38">
        <v>0.47899999999999998</v>
      </c>
      <c r="X117" s="24">
        <f t="shared" si="1203"/>
        <v>7279.8419999999996</v>
      </c>
      <c r="Y117" s="38">
        <v>0.45</v>
      </c>
      <c r="Z117" s="24">
        <f t="shared" si="1204"/>
        <v>6839.1</v>
      </c>
      <c r="AA117" s="117">
        <v>2.47E-3</v>
      </c>
      <c r="AB117" s="18">
        <f t="shared" si="765"/>
        <v>37.539059999999999</v>
      </c>
      <c r="AC117" s="39">
        <v>2.3E-3</v>
      </c>
      <c r="AD117" s="17">
        <f t="shared" si="1206"/>
        <v>34.955399999999997</v>
      </c>
      <c r="AE117" s="26">
        <f>IF(M117&gt;0,(AG117+AP117)/M117,0)</f>
        <v>2.5150510461902885E-3</v>
      </c>
      <c r="AF117" s="39">
        <v>2.2000000000000001E-4</v>
      </c>
      <c r="AG117" s="36">
        <f t="shared" si="1207"/>
        <v>3.3435600000000001</v>
      </c>
      <c r="AH117" s="27">
        <v>0.2087</v>
      </c>
      <c r="AI117" s="40">
        <f t="shared" si="1208"/>
        <v>33.842374599999999</v>
      </c>
      <c r="AJ117" s="27">
        <f t="shared" si="1209"/>
        <v>0.905302145550402</v>
      </c>
      <c r="AK117" s="28">
        <f t="shared" si="681"/>
        <v>0.91346089594368096</v>
      </c>
      <c r="AL117" s="33">
        <v>178</v>
      </c>
      <c r="AM117" s="35">
        <v>8.8999999999999996E-2</v>
      </c>
      <c r="AN117" s="37">
        <v>0.21510000000000001</v>
      </c>
      <c r="AO117" s="103">
        <v>0.20949999999999999</v>
      </c>
      <c r="AP117" s="40">
        <f>AL117*(1-AM117)*AN117</f>
        <v>34.880185800000007</v>
      </c>
      <c r="AQ117" s="104">
        <f t="shared" si="726"/>
        <v>33.972101000000002</v>
      </c>
      <c r="AR117" s="41">
        <v>1.53</v>
      </c>
      <c r="AS117" s="41"/>
      <c r="AT117" s="129">
        <f>AT116+AL117-AS117</f>
        <v>602.33999999999958</v>
      </c>
      <c r="AU117" s="82"/>
      <c r="AV117" s="42"/>
      <c r="AW117" s="43"/>
      <c r="AX117" s="44"/>
      <c r="AY117" s="44"/>
      <c r="AZ117" s="44"/>
      <c r="BA117" s="44"/>
      <c r="BB117" s="31"/>
    </row>
    <row r="118" spans="1:54">
      <c r="A118" s="147"/>
      <c r="B118" s="32">
        <v>3</v>
      </c>
      <c r="C118" s="143" t="s">
        <v>55</v>
      </c>
      <c r="D118" s="42">
        <v>15000</v>
      </c>
      <c r="E118" s="42">
        <v>10</v>
      </c>
      <c r="F118" s="42">
        <v>17608</v>
      </c>
      <c r="G118" s="36">
        <v>0.2</v>
      </c>
      <c r="H118" s="36">
        <v>3.5</v>
      </c>
      <c r="I118" s="42">
        <v>17695</v>
      </c>
      <c r="J118" s="36">
        <v>3.5</v>
      </c>
      <c r="K118" s="42">
        <v>16217</v>
      </c>
      <c r="L118" s="38">
        <v>6.8000000000000005E-2</v>
      </c>
      <c r="M118" s="36">
        <f>ROUND(K118*(1-L118),0)</f>
        <v>15114</v>
      </c>
      <c r="N118" s="27">
        <v>0.76</v>
      </c>
      <c r="O118" s="24">
        <f t="shared" si="1199"/>
        <v>11486.64</v>
      </c>
      <c r="P118" s="38">
        <v>0.16300000000000001</v>
      </c>
      <c r="Q118" s="24">
        <f t="shared" si="1200"/>
        <v>2463.5819999999999</v>
      </c>
      <c r="R118" s="38">
        <v>7.6999999999999999E-2</v>
      </c>
      <c r="S118" s="105">
        <v>0.21990000000000001</v>
      </c>
      <c r="T118" s="24">
        <f t="shared" si="1201"/>
        <v>1163.778</v>
      </c>
      <c r="U118" s="27">
        <v>0.25600000000000001</v>
      </c>
      <c r="V118" s="24">
        <f t="shared" si="1202"/>
        <v>3869.1840000000002</v>
      </c>
      <c r="W118" s="38">
        <v>0.46600000000000003</v>
      </c>
      <c r="X118" s="24">
        <f t="shared" si="1203"/>
        <v>7043.1240000000007</v>
      </c>
      <c r="Y118" s="38">
        <v>0.45</v>
      </c>
      <c r="Z118" s="24">
        <f t="shared" si="1204"/>
        <v>6801.3</v>
      </c>
      <c r="AA118" s="118">
        <v>2.3700000000000001E-3</v>
      </c>
      <c r="AB118" s="121">
        <f t="shared" si="765"/>
        <v>35.820180000000001</v>
      </c>
      <c r="AC118" s="45">
        <v>2.2100000000000002E-3</v>
      </c>
      <c r="AD118" s="17">
        <f t="shared" si="1206"/>
        <v>33.401940000000003</v>
      </c>
      <c r="AE118" s="26">
        <f>IF(M118&gt;0,(AG118+AP118)/M118,0)</f>
        <v>2.6034949847823213E-3</v>
      </c>
      <c r="AF118" s="45">
        <v>2.1000000000000001E-4</v>
      </c>
      <c r="AG118" s="36">
        <f t="shared" si="1207"/>
        <v>3.17394</v>
      </c>
      <c r="AH118" s="27">
        <v>0.20760000000000001</v>
      </c>
      <c r="AI118" s="40">
        <f t="shared" si="1208"/>
        <v>35.027932800000002</v>
      </c>
      <c r="AJ118" s="27">
        <f t="shared" si="1209"/>
        <v>0.90589374206770235</v>
      </c>
      <c r="AK118" s="28">
        <f t="shared" si="681"/>
        <v>0.92024055051077813</v>
      </c>
      <c r="AL118" s="42">
        <v>184</v>
      </c>
      <c r="AM118" s="38">
        <v>8.3000000000000004E-2</v>
      </c>
      <c r="AN118" s="27">
        <v>0.21440000000000001</v>
      </c>
      <c r="AO118" s="105">
        <v>0.20810000000000001</v>
      </c>
      <c r="AP118" s="40">
        <f>AL118*(1-AM118)*AN118</f>
        <v>36.175283200000003</v>
      </c>
      <c r="AQ118" s="106">
        <f t="shared" si="726"/>
        <v>35.112296800000003</v>
      </c>
      <c r="AR118" s="17">
        <v>1.54</v>
      </c>
      <c r="AS118" s="17"/>
      <c r="AT118" s="129">
        <f>AT117+AL118-AS118</f>
        <v>786.33999999999958</v>
      </c>
      <c r="AU118" s="82"/>
      <c r="AV118" s="42"/>
      <c r="AW118" s="46"/>
      <c r="AX118" s="40"/>
      <c r="AY118" s="40"/>
      <c r="AZ118" s="40"/>
      <c r="BA118" s="40"/>
      <c r="BB118" s="31"/>
    </row>
    <row r="119" spans="1:54">
      <c r="A119" s="148"/>
      <c r="B119" s="47" t="s">
        <v>56</v>
      </c>
      <c r="C119" s="48"/>
      <c r="D119" s="49">
        <f t="shared" ref="D119" si="1211">SUM(D116:D118)</f>
        <v>50380</v>
      </c>
      <c r="E119" s="49"/>
      <c r="F119" s="49">
        <f t="shared" ref="F119" si="1212">SUM(F116:F118)</f>
        <v>52354</v>
      </c>
      <c r="G119" s="50"/>
      <c r="H119" s="50"/>
      <c r="I119" s="49">
        <f t="shared" ref="I119:K119" si="1213">SUM(I116:I118)</f>
        <v>51285</v>
      </c>
      <c r="J119" s="50"/>
      <c r="K119" s="49">
        <f t="shared" si="1213"/>
        <v>48662</v>
      </c>
      <c r="L119" s="20">
        <f t="shared" ref="L119" si="1214">IF(K119&gt;0,(K116*L116+K117*L117+K118*L118)/K119,0)</f>
        <v>6.4332867535243102E-2</v>
      </c>
      <c r="M119" s="50">
        <f t="shared" ref="M119" si="1215">M116+M117+M118</f>
        <v>45531</v>
      </c>
      <c r="N119" s="51">
        <f t="shared" ref="N119" si="1216">IF(M119&gt;0,O119/M119,0)</f>
        <v>0.68719773341240031</v>
      </c>
      <c r="O119" s="52">
        <f t="shared" ref="O119" si="1217">O116+O117+O118</f>
        <v>31288.799999999999</v>
      </c>
      <c r="P119" s="20">
        <f t="shared" ref="P119" si="1218">IF(M119&gt;0,Q119/M119,0)</f>
        <v>0.24181840943532978</v>
      </c>
      <c r="Q119" s="52">
        <f t="shared" ref="Q119" si="1219">Q116+Q117+Q118</f>
        <v>11010.234</v>
      </c>
      <c r="R119" s="20">
        <f t="shared" ref="R119" si="1220">IF(M119&gt;0,T119/M119,0)</f>
        <v>7.0983857152269889E-2</v>
      </c>
      <c r="S119" s="107"/>
      <c r="T119" s="52">
        <f t="shared" ref="T119" si="1221">T116+T117+T118</f>
        <v>3231.9660000000003</v>
      </c>
      <c r="U119" s="20">
        <f t="shared" ref="U119" si="1222">IF(M119&gt;0,V119/M119,0)</f>
        <v>0.25199215918824541</v>
      </c>
      <c r="V119" s="52">
        <f t="shared" ref="V119" si="1223">V116+V117+V118</f>
        <v>11473.455000000002</v>
      </c>
      <c r="W119" s="20">
        <f t="shared" ref="W119" si="1224">IF(M119&gt;0,X119/M119,0)</f>
        <v>0.47368188706595504</v>
      </c>
      <c r="X119" s="52">
        <f t="shared" ref="X119" si="1225">X116+X117+X118</f>
        <v>21567.21</v>
      </c>
      <c r="Y119" s="20">
        <f t="shared" ref="Y119" si="1226">IF(M119&gt;0,Z119/M119,0)</f>
        <v>0.45</v>
      </c>
      <c r="Z119" s="52">
        <f t="shared" ref="Z119" si="1227">Z116+Z117+Z118</f>
        <v>20488.95</v>
      </c>
      <c r="AA119" s="119">
        <f t="shared" ref="AA119" si="1228">IF(M119&gt;0,AB119/M119,0)</f>
        <v>2.5103413059234369E-3</v>
      </c>
      <c r="AB119" s="54">
        <f t="shared" ref="AB119" si="1229">SUM(AB116:AB118)</f>
        <v>114.29835</v>
      </c>
      <c r="AC119" s="53">
        <f t="shared" ref="AC119" si="1230">IF(M119&gt;0,AD119/M119,0)</f>
        <v>2.3670587072543983E-3</v>
      </c>
      <c r="AD119" s="54">
        <f t="shared" ref="AD119" si="1231">SUM(AD116:AD118)</f>
        <v>107.77455</v>
      </c>
      <c r="AE119" s="53">
        <f t="shared" ref="AE119" si="1232">IF(M119&gt;0,(AE116*M116+AE117*M117+AE118*M118)/M119,0)</f>
        <v>2.6277689881619116E-3</v>
      </c>
      <c r="AF119" s="53">
        <f t="shared" ref="AF119" si="1233">IF(K119&gt;0,(K116*AF116+K117*AF117+K118*AF118)/K119,0)</f>
        <v>2.2333586782294191E-4</v>
      </c>
      <c r="AG119" s="50">
        <f t="shared" ref="AG119" si="1234">SUM(AG116:AG118)</f>
        <v>10.170059999999999</v>
      </c>
      <c r="AH119" s="51">
        <f t="shared" ref="AH119" si="1235">IF(K119&gt;0,(K116*AH116+K117*AH117+K118*AH118)/K119,0)</f>
        <v>0.20820004726480623</v>
      </c>
      <c r="AI119" s="56">
        <f t="shared" ref="AI119" si="1236">SUM(AI116:AI118)</f>
        <v>105.1147157</v>
      </c>
      <c r="AJ119" s="51">
        <f t="shared" ref="AJ119" si="1237">IF(AND(AD119&gt;0),((AD116*AJ116+AD117*AJ117+AD118*AJ118)/AD119),0)</f>
        <v>0.90661210871080222</v>
      </c>
      <c r="AK119" s="55">
        <f t="shared" si="681"/>
        <v>0.91595303095833935</v>
      </c>
      <c r="AL119" s="49">
        <f t="shared" ref="AL119" si="1238">SUM(AL116:AL118)</f>
        <v>553</v>
      </c>
      <c r="AM119" s="20">
        <f t="shared" ref="AM119" si="1239">IF(AL119&gt;0,(AM116*AL116+AM117*AL117+AM118*AL118)/AL119,0)</f>
        <v>8.7003616636528017E-2</v>
      </c>
      <c r="AN119" s="51">
        <f>IF(K119&gt;0,(AN116*K116+AN117*K117+AN118*K118)/K119,0)</f>
        <v>0.21676722699436934</v>
      </c>
      <c r="AO119" s="107">
        <f>IF(L119&gt;0,(AO116*K116+AO117*K117+AO118*K118)/K119,0)</f>
        <v>0.21240100489087996</v>
      </c>
      <c r="AP119" s="56">
        <f t="shared" ref="AP119" si="1240">SUM(AP116:AP118)</f>
        <v>109.4748898</v>
      </c>
      <c r="AQ119" s="108">
        <f t="shared" si="1108"/>
        <v>107.29501740000001</v>
      </c>
      <c r="AR119" s="54"/>
      <c r="AS119" s="54">
        <f t="shared" ref="AS119" si="1241">SUM(AS116:AS118)</f>
        <v>0</v>
      </c>
      <c r="AT119" s="83"/>
      <c r="AU119" s="84">
        <f>AT118</f>
        <v>786.33999999999958</v>
      </c>
      <c r="AV119" s="49">
        <f t="shared" ref="AV119" si="1242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59</v>
      </c>
      <c r="D120" s="11">
        <v>10200</v>
      </c>
      <c r="E120" s="11">
        <v>10</v>
      </c>
      <c r="F120" s="11">
        <v>14857</v>
      </c>
      <c r="G120" s="12">
        <v>0.6</v>
      </c>
      <c r="H120" s="12">
        <v>3.9</v>
      </c>
      <c r="I120" s="11">
        <v>14519</v>
      </c>
      <c r="J120" s="12">
        <v>4.3</v>
      </c>
      <c r="K120" s="11">
        <v>16222</v>
      </c>
      <c r="L120" s="13">
        <v>7.9000000000000001E-2</v>
      </c>
      <c r="M120" s="36">
        <f>ROUND(K120*(1-L120),0)</f>
        <v>14940</v>
      </c>
      <c r="N120" s="14">
        <v>0.68400000000000005</v>
      </c>
      <c r="O120" s="24">
        <f t="shared" ref="O120:O122" si="1243">M120*N120</f>
        <v>10218.960000000001</v>
      </c>
      <c r="P120" s="13">
        <v>0.222</v>
      </c>
      <c r="Q120" s="24">
        <f t="shared" ref="Q120:Q122" si="1244">M120*P120</f>
        <v>3316.68</v>
      </c>
      <c r="R120" s="15">
        <v>9.4E-2</v>
      </c>
      <c r="S120" s="112">
        <v>0.18770000000000001</v>
      </c>
      <c r="T120" s="24">
        <f t="shared" ref="T120:T122" si="1245">M120*R120</f>
        <v>1404.36</v>
      </c>
      <c r="U120" s="25">
        <v>0.254</v>
      </c>
      <c r="V120" s="24">
        <f t="shared" ref="V120:V122" si="1246">M120*U120</f>
        <v>3794.76</v>
      </c>
      <c r="W120" s="15">
        <v>0.47</v>
      </c>
      <c r="X120" s="24">
        <f t="shared" ref="X120:X122" si="1247">M120*W120</f>
        <v>7021.7999999999993</v>
      </c>
      <c r="Y120" s="15">
        <v>0.45</v>
      </c>
      <c r="Z120" s="24">
        <f t="shared" ref="Z120:Z122" si="1248">Y120*M120</f>
        <v>6723</v>
      </c>
      <c r="AA120" s="116">
        <v>2.31E-3</v>
      </c>
      <c r="AB120" s="18">
        <f t="shared" ref="AB120" si="1249">M120*AA120</f>
        <v>34.511400000000002</v>
      </c>
      <c r="AC120" s="16">
        <v>2.2399999999999998E-3</v>
      </c>
      <c r="AD120" s="17">
        <f t="shared" ref="AD120:AD122" si="1250">M120*AC120</f>
        <v>33.465599999999995</v>
      </c>
      <c r="AE120" s="26">
        <f>IF(M120&gt;0,(AG120+AP120)/M120,0)</f>
        <v>2.4488400000000003E-3</v>
      </c>
      <c r="AF120" s="16">
        <v>2.0000000000000001E-4</v>
      </c>
      <c r="AG120" s="23">
        <f t="shared" ref="AG120:AG122" si="1251">AF120*M120</f>
        <v>2.988</v>
      </c>
      <c r="AH120" s="92">
        <v>0.2117</v>
      </c>
      <c r="AI120" s="29">
        <f t="shared" ref="AI120:AI122" si="1252">AL120*(1-AM120)*AH120</f>
        <v>33.051239100000004</v>
      </c>
      <c r="AJ120" s="27">
        <f t="shared" ref="AJ120:AJ122" si="1253">IF(AND(AH120&gt;0,AF120&gt;0,AC120&gt;0),((AC120-AF120)*AH120)/((AH120-AF120)*AC120),0)</f>
        <v>0.91157548125633225</v>
      </c>
      <c r="AK120" s="58">
        <f t="shared" si="681"/>
        <v>0.9191829373033954</v>
      </c>
      <c r="AL120" s="11">
        <v>171</v>
      </c>
      <c r="AM120" s="13">
        <v>8.6999999999999994E-2</v>
      </c>
      <c r="AN120" s="14">
        <v>0.2152</v>
      </c>
      <c r="AO120" s="101">
        <v>0.2099</v>
      </c>
      <c r="AP120" s="29">
        <f>AL120*(1-AM120)*AN120</f>
        <v>33.597669600000003</v>
      </c>
      <c r="AQ120" s="102">
        <f t="shared" ref="AQ120" si="1254">AL120*(1-AM120)*AO120</f>
        <v>32.770217700000003</v>
      </c>
      <c r="AR120" s="18">
        <v>1.56</v>
      </c>
      <c r="AS120" s="18"/>
      <c r="AT120" s="79">
        <f>AT118+AL120-AS120</f>
        <v>957.33999999999958</v>
      </c>
      <c r="AU120" s="80"/>
      <c r="AV120" s="11"/>
      <c r="AW120" s="30"/>
      <c r="AX120" s="19"/>
      <c r="AY120" s="19"/>
      <c r="AZ120" s="19"/>
      <c r="BA120" s="19"/>
      <c r="BB120" s="31"/>
    </row>
    <row r="121" spans="1:54">
      <c r="A121" s="147"/>
      <c r="B121" s="32">
        <v>2</v>
      </c>
      <c r="C121" s="10" t="s">
        <v>54</v>
      </c>
      <c r="D121" s="33">
        <v>19700</v>
      </c>
      <c r="E121" s="33">
        <v>8</v>
      </c>
      <c r="F121" s="33">
        <v>15980</v>
      </c>
      <c r="G121" s="34">
        <v>1</v>
      </c>
      <c r="H121" s="34">
        <v>6.3</v>
      </c>
      <c r="I121" s="33">
        <v>15308</v>
      </c>
      <c r="J121" s="34">
        <v>4.3</v>
      </c>
      <c r="K121" s="33">
        <v>16223</v>
      </c>
      <c r="L121" s="35">
        <v>6.6000000000000003E-2</v>
      </c>
      <c r="M121" s="36">
        <f>ROUND(K121*(1-L121),0)</f>
        <v>15152</v>
      </c>
      <c r="N121" s="37">
        <v>0.625</v>
      </c>
      <c r="O121" s="24">
        <f t="shared" si="1243"/>
        <v>9470</v>
      </c>
      <c r="P121" s="35">
        <v>0.34300000000000003</v>
      </c>
      <c r="Q121" s="24">
        <f t="shared" si="1244"/>
        <v>5197.1360000000004</v>
      </c>
      <c r="R121" s="38">
        <v>3.2000000000000001E-2</v>
      </c>
      <c r="S121" s="105">
        <v>0.20610000000000001</v>
      </c>
      <c r="T121" s="24">
        <f t="shared" si="1245"/>
        <v>484.86400000000003</v>
      </c>
      <c r="U121" s="27">
        <v>0.25700000000000001</v>
      </c>
      <c r="V121" s="24">
        <f t="shared" si="1246"/>
        <v>3894.0640000000003</v>
      </c>
      <c r="W121" s="38">
        <v>0.47599999999999998</v>
      </c>
      <c r="X121" s="24">
        <f t="shared" si="1247"/>
        <v>7212.3519999999999</v>
      </c>
      <c r="Y121" s="38">
        <v>0.45</v>
      </c>
      <c r="Z121" s="24">
        <f t="shared" si="1248"/>
        <v>6818.4000000000005</v>
      </c>
      <c r="AA121" s="117">
        <v>2.2300000000000002E-3</v>
      </c>
      <c r="AB121" s="18">
        <f t="shared" si="765"/>
        <v>33.788960000000003</v>
      </c>
      <c r="AC121" s="39">
        <v>2.0500000000000002E-3</v>
      </c>
      <c r="AD121" s="17">
        <f t="shared" si="1250"/>
        <v>31.061600000000002</v>
      </c>
      <c r="AE121" s="26">
        <f>IF(M121&gt;0,(AG121+AP121)/M121,0)</f>
        <v>2.3975509899683209E-3</v>
      </c>
      <c r="AF121" s="39">
        <v>2.0000000000000001E-4</v>
      </c>
      <c r="AG121" s="36">
        <f t="shared" si="1251"/>
        <v>3.0304000000000002</v>
      </c>
      <c r="AH121" s="27">
        <v>0.21279999999999999</v>
      </c>
      <c r="AI121" s="40">
        <f t="shared" si="1252"/>
        <v>32.251542399999998</v>
      </c>
      <c r="AJ121" s="27">
        <f t="shared" si="1253"/>
        <v>0.90328797925796755</v>
      </c>
      <c r="AK121" s="28">
        <f t="shared" si="681"/>
        <v>0.9174166987630239</v>
      </c>
      <c r="AL121" s="33">
        <v>166</v>
      </c>
      <c r="AM121" s="35">
        <v>8.6999999999999994E-2</v>
      </c>
      <c r="AN121" s="37">
        <v>0.21970000000000001</v>
      </c>
      <c r="AO121" s="103">
        <v>0.2177</v>
      </c>
      <c r="AP121" s="40">
        <f>AL121*(1-AM121)*AN121</f>
        <v>33.297292599999999</v>
      </c>
      <c r="AQ121" s="104">
        <f t="shared" si="726"/>
        <v>32.994176599999996</v>
      </c>
      <c r="AR121" s="41">
        <v>1.55</v>
      </c>
      <c r="AS121" s="41"/>
      <c r="AT121" s="129">
        <f>AT120+AL121-AS121</f>
        <v>1123.3399999999997</v>
      </c>
      <c r="AU121" s="82"/>
      <c r="AV121" s="42"/>
      <c r="AW121" s="43"/>
      <c r="AX121" s="44"/>
      <c r="AY121" s="44"/>
      <c r="AZ121" s="44"/>
      <c r="BA121" s="44"/>
      <c r="BB121" s="31"/>
    </row>
    <row r="122" spans="1:54">
      <c r="A122" s="147"/>
      <c r="B122" s="32">
        <v>3</v>
      </c>
      <c r="C122" s="143" t="s">
        <v>55</v>
      </c>
      <c r="D122" s="42">
        <v>18000</v>
      </c>
      <c r="E122" s="42">
        <v>10</v>
      </c>
      <c r="F122" s="42">
        <v>16085</v>
      </c>
      <c r="G122" s="36">
        <v>0.5</v>
      </c>
      <c r="H122" s="36">
        <v>5.0999999999999996</v>
      </c>
      <c r="I122" s="42">
        <v>16319</v>
      </c>
      <c r="J122" s="36">
        <v>3.5</v>
      </c>
      <c r="K122" s="42">
        <v>16210</v>
      </c>
      <c r="L122" s="38">
        <v>7.0000000000000007E-2</v>
      </c>
      <c r="M122" s="36">
        <f>ROUND(K122*(1-L122),0)</f>
        <v>15075</v>
      </c>
      <c r="N122" s="27">
        <v>0.65300000000000002</v>
      </c>
      <c r="O122" s="24">
        <f t="shared" si="1243"/>
        <v>9843.9750000000004</v>
      </c>
      <c r="P122" s="38">
        <v>0.27600000000000002</v>
      </c>
      <c r="Q122" s="24">
        <f t="shared" si="1244"/>
        <v>4160.7000000000007</v>
      </c>
      <c r="R122" s="38">
        <v>7.0999999999999994E-2</v>
      </c>
      <c r="S122" s="105">
        <v>0.20519999999999999</v>
      </c>
      <c r="T122" s="24">
        <f t="shared" si="1245"/>
        <v>1070.3249999999998</v>
      </c>
      <c r="U122" s="27">
        <v>0.25900000000000001</v>
      </c>
      <c r="V122" s="24">
        <f t="shared" si="1246"/>
        <v>3904.4250000000002</v>
      </c>
      <c r="W122" s="38">
        <v>0.46700000000000003</v>
      </c>
      <c r="X122" s="24">
        <f t="shared" si="1247"/>
        <v>7040.0250000000005</v>
      </c>
      <c r="Y122" s="38">
        <v>0.46</v>
      </c>
      <c r="Z122" s="24">
        <f t="shared" si="1248"/>
        <v>6934.5</v>
      </c>
      <c r="AA122" s="118">
        <v>2.1800000000000001E-3</v>
      </c>
      <c r="AB122" s="121">
        <f t="shared" si="765"/>
        <v>32.863500000000002</v>
      </c>
      <c r="AC122" s="45">
        <v>2.14E-3</v>
      </c>
      <c r="AD122" s="17">
        <f t="shared" si="1250"/>
        <v>32.2605</v>
      </c>
      <c r="AE122" s="26">
        <f>IF(M122&gt;0,(AG122+AP122)/M122,0)</f>
        <v>2.4789578242122722E-3</v>
      </c>
      <c r="AF122" s="45">
        <v>2.1000000000000001E-4</v>
      </c>
      <c r="AG122" s="36">
        <f t="shared" si="1251"/>
        <v>3.1657500000000001</v>
      </c>
      <c r="AH122" s="27">
        <v>0.21060000000000001</v>
      </c>
      <c r="AI122" s="40">
        <f t="shared" si="1252"/>
        <v>33.1804512</v>
      </c>
      <c r="AJ122" s="27">
        <f t="shared" si="1253"/>
        <v>0.90276935624227894</v>
      </c>
      <c r="AK122" s="28">
        <f t="shared" si="681"/>
        <v>0.91617319233566774</v>
      </c>
      <c r="AL122" s="42">
        <v>172</v>
      </c>
      <c r="AM122" s="38">
        <v>8.4000000000000005E-2</v>
      </c>
      <c r="AN122" s="27">
        <v>0.21709999999999999</v>
      </c>
      <c r="AO122" s="105">
        <v>0.2097</v>
      </c>
      <c r="AP122" s="40">
        <f>AL122*(1-AM122)*AN122</f>
        <v>34.204539199999999</v>
      </c>
      <c r="AQ122" s="106">
        <f t="shared" si="726"/>
        <v>33.038654399999999</v>
      </c>
      <c r="AR122" s="17">
        <v>1.55</v>
      </c>
      <c r="AS122" s="17"/>
      <c r="AT122" s="129">
        <f>AT121+AL122-AS122</f>
        <v>1295.3399999999997</v>
      </c>
      <c r="AU122" s="82"/>
      <c r="AV122" s="42"/>
      <c r="AW122" s="46"/>
      <c r="AX122" s="40"/>
      <c r="AY122" s="40"/>
      <c r="AZ122" s="40"/>
      <c r="BA122" s="40"/>
      <c r="BB122" s="31"/>
    </row>
    <row r="123" spans="1:54">
      <c r="A123" s="148"/>
      <c r="B123" s="47" t="s">
        <v>56</v>
      </c>
      <c r="C123" s="48"/>
      <c r="D123" s="49">
        <f t="shared" ref="D123" si="1255">SUM(D120:D122)</f>
        <v>47900</v>
      </c>
      <c r="E123" s="49"/>
      <c r="F123" s="49">
        <f t="shared" ref="F123" si="1256">SUM(F120:F122)</f>
        <v>46922</v>
      </c>
      <c r="G123" s="50"/>
      <c r="H123" s="50"/>
      <c r="I123" s="49">
        <f t="shared" ref="I123:K123" si="1257">SUM(I120:I122)</f>
        <v>46146</v>
      </c>
      <c r="J123" s="50"/>
      <c r="K123" s="49">
        <f t="shared" si="1257"/>
        <v>48655</v>
      </c>
      <c r="L123" s="20">
        <f t="shared" ref="L123" si="1258">IF(K123&gt;0,(K120*L120+K121*L121+K122*L122)/K123,0)</f>
        <v>7.1666961257835782E-2</v>
      </c>
      <c r="M123" s="50">
        <f t="shared" ref="M123" si="1259">M120+M121+M122</f>
        <v>45167</v>
      </c>
      <c r="N123" s="51">
        <f t="shared" ref="N123" si="1260">IF(M123&gt;0,O123/M123,0)</f>
        <v>0.65386089401554226</v>
      </c>
      <c r="O123" s="52">
        <f t="shared" ref="O123" si="1261">O120+O121+O122</f>
        <v>29532.934999999998</v>
      </c>
      <c r="P123" s="20">
        <f t="shared" ref="P123" si="1262">IF(M123&gt;0,Q123/M123,0)</f>
        <v>0.28061451945004101</v>
      </c>
      <c r="Q123" s="52">
        <f t="shared" ref="Q123" si="1263">Q120+Q121+Q122</f>
        <v>12674.516000000001</v>
      </c>
      <c r="R123" s="20">
        <f t="shared" ref="R123" si="1264">IF(M123&gt;0,T123/M123,0)</f>
        <v>6.5524586534416715E-2</v>
      </c>
      <c r="S123" s="107"/>
      <c r="T123" s="52">
        <f t="shared" ref="T123" si="1265">T120+T121+T122</f>
        <v>2959.549</v>
      </c>
      <c r="U123" s="20">
        <f t="shared" ref="U123" si="1266">IF(M123&gt;0,V123/M123,0)</f>
        <v>0.25667520534903798</v>
      </c>
      <c r="V123" s="52">
        <f t="shared" ref="V123" si="1267">V120+V121+V122</f>
        <v>11593.249</v>
      </c>
      <c r="W123" s="20">
        <f t="shared" ref="W123" si="1268">IF(M123&gt;0,X123/M123,0)</f>
        <v>0.47101151283016363</v>
      </c>
      <c r="X123" s="52">
        <f t="shared" ref="X123" si="1269">X120+X121+X122</f>
        <v>21274.177</v>
      </c>
      <c r="Y123" s="20">
        <f t="shared" ref="Y123" si="1270">IF(M123&gt;0,Z123/M123,0)</f>
        <v>0.45333761374454806</v>
      </c>
      <c r="Z123" s="52">
        <f t="shared" ref="Z123" si="1271">Z120+Z121+Z122</f>
        <v>20475.900000000001</v>
      </c>
      <c r="AA123" s="119">
        <f t="shared" ref="AA123" si="1272">IF(M123&gt;0,AB123/M123,0)</f>
        <v>2.2397737286071694E-3</v>
      </c>
      <c r="AB123" s="54">
        <f t="shared" ref="AB123" si="1273">SUM(AB120:AB122)</f>
        <v>101.16386000000001</v>
      </c>
      <c r="AC123" s="53">
        <f t="shared" ref="AC123" si="1274">IF(M123&gt;0,AD123/M123,0)</f>
        <v>2.1428852923594658E-3</v>
      </c>
      <c r="AD123" s="54">
        <f t="shared" ref="AD123" si="1275">SUM(AD120:AD122)</f>
        <v>96.787700000000001</v>
      </c>
      <c r="AE123" s="53">
        <f t="shared" ref="AE123" si="1276">IF(M123&gt;0,(AE120*M120+AE121*M121+AE122*M122)/M123,0)</f>
        <v>2.4416864392144706E-3</v>
      </c>
      <c r="AF123" s="53">
        <f t="shared" ref="AF123" si="1277">IF(K123&gt;0,(K120*AF120+K121*AF121+K122*AF122)/K123,0)</f>
        <v>2.0333162059397802E-4</v>
      </c>
      <c r="AG123" s="50">
        <f t="shared" ref="AG123" si="1278">SUM(AG120:AG122)</f>
        <v>9.1841499999999989</v>
      </c>
      <c r="AH123" s="51">
        <f t="shared" ref="AH123" si="1279">IF(K123&gt;0,(K120*AH120+K121*AH121+K122*AH122)/K123,0)</f>
        <v>0.21170029390607337</v>
      </c>
      <c r="AI123" s="56">
        <f t="shared" ref="AI123" si="1280">SUM(AI120:AI122)</f>
        <v>98.483232700000002</v>
      </c>
      <c r="AJ123" s="51">
        <f t="shared" ref="AJ123" si="1281">IF(AND(AD123&gt;0),((AD120*AJ120+AD121*AJ121+AD122*AJ122)/AD123),0)</f>
        <v>0.90598062707456872</v>
      </c>
      <c r="AK123" s="55">
        <f t="shared" si="681"/>
        <v>0.91758339292007329</v>
      </c>
      <c r="AL123" s="49">
        <f t="shared" ref="AL123" si="1282">SUM(AL120:AL122)</f>
        <v>509</v>
      </c>
      <c r="AM123" s="20">
        <f t="shared" ref="AM123" si="1283">IF(AL123&gt;0,(AM120*AL120+AM121*AL121+AM122*AL122)/AL123,0)</f>
        <v>8.5986247544204308E-2</v>
      </c>
      <c r="AN123" s="51">
        <f>IF(K123&gt;0,(AN120*K120+AN121*K121+AN122*K122)/K123,0)</f>
        <v>0.21733343952317333</v>
      </c>
      <c r="AO123" s="107">
        <f>IF(L123&gt;0,(AO120*K120+AO121*K121+AO122*K122)/K123,0)</f>
        <v>0.21243411571267082</v>
      </c>
      <c r="AP123" s="56">
        <f t="shared" ref="AP123:AQ123" si="1284">SUM(AP120:AP122)</f>
        <v>101.09950140000001</v>
      </c>
      <c r="AQ123" s="108">
        <f t="shared" si="1284"/>
        <v>98.803048699999991</v>
      </c>
      <c r="AR123" s="54"/>
      <c r="AS123" s="54">
        <f t="shared" ref="AS123" si="1285">SUM(AS120:AS122)</f>
        <v>0</v>
      </c>
      <c r="AT123" s="83"/>
      <c r="AU123" s="84">
        <f>AT122</f>
        <v>1295.3399999999997</v>
      </c>
      <c r="AV123" s="49">
        <f t="shared" ref="AV123" si="1286">SUM(AV120:AV122)</f>
        <v>0</v>
      </c>
      <c r="AW123" s="57"/>
      <c r="AX123" s="56"/>
      <c r="AY123" s="56"/>
      <c r="AZ123" s="56"/>
      <c r="BA123" s="56"/>
      <c r="BB123" s="21"/>
    </row>
    <row r="124" spans="1:54">
      <c r="A124" s="146">
        <v>31</v>
      </c>
      <c r="B124" s="22">
        <v>1</v>
      </c>
      <c r="C124" s="143" t="s">
        <v>58</v>
      </c>
      <c r="D124" s="11">
        <v>3169</v>
      </c>
      <c r="E124" s="11">
        <v>8</v>
      </c>
      <c r="F124" s="11">
        <v>10829</v>
      </c>
      <c r="G124" s="12">
        <v>0.7</v>
      </c>
      <c r="H124" s="12">
        <v>3.8</v>
      </c>
      <c r="I124" s="11">
        <v>10657</v>
      </c>
      <c r="J124" s="12">
        <v>5</v>
      </c>
      <c r="K124" s="11">
        <v>15020</v>
      </c>
      <c r="L124" s="13">
        <v>6.7000000000000004E-2</v>
      </c>
      <c r="M124" s="23">
        <f>ROUND(K124*(1-L124),0)</f>
        <v>14014</v>
      </c>
      <c r="N124" s="14">
        <v>0.71399999999999997</v>
      </c>
      <c r="O124" s="24">
        <f t="shared" ref="O124:O126" si="1287">M124*N124</f>
        <v>10005.995999999999</v>
      </c>
      <c r="P124" s="13">
        <v>0.24299999999999999</v>
      </c>
      <c r="Q124" s="24">
        <f t="shared" ref="Q124:Q126" si="1288">M124*P124</f>
        <v>3405.402</v>
      </c>
      <c r="R124" s="15">
        <v>4.2999999999999997E-2</v>
      </c>
      <c r="S124" s="112">
        <v>0.21709999999999999</v>
      </c>
      <c r="T124" s="24">
        <f t="shared" ref="T124:T126" si="1289">M124*R124</f>
        <v>602.60199999999998</v>
      </c>
      <c r="U124" s="25">
        <v>0.253</v>
      </c>
      <c r="V124" s="24">
        <f t="shared" ref="V124:V126" si="1290">M124*U124</f>
        <v>3545.5419999999999</v>
      </c>
      <c r="W124" s="15">
        <v>0.47199999999999998</v>
      </c>
      <c r="X124" s="24">
        <f t="shared" ref="X124:X126" si="1291">M124*W124</f>
        <v>6614.6079999999993</v>
      </c>
      <c r="Y124" s="15">
        <v>0.45</v>
      </c>
      <c r="Z124" s="24">
        <f t="shared" ref="Z124:Z126" si="1292">Y124*M124</f>
        <v>6306.3</v>
      </c>
      <c r="AA124" s="116">
        <v>2.4599999999999999E-3</v>
      </c>
      <c r="AB124" s="18">
        <f t="shared" ref="AB124" si="1293">M124*AA124</f>
        <v>34.474440000000001</v>
      </c>
      <c r="AC124" s="16">
        <v>2.3900000000000002E-3</v>
      </c>
      <c r="AD124" s="17">
        <f t="shared" ref="AD124:AD126" si="1294">M124*AC124</f>
        <v>33.493460000000006</v>
      </c>
      <c r="AE124" s="26">
        <f>IF(M124&gt;0,(AG124+AP124)/M124,0)</f>
        <v>2.6947727986299415E-3</v>
      </c>
      <c r="AF124" s="16">
        <v>2.1000000000000001E-4</v>
      </c>
      <c r="AG124" s="23">
        <f t="shared" ref="AG124:AG126" si="1295">AF124*M124</f>
        <v>2.9429400000000001</v>
      </c>
      <c r="AH124" s="92">
        <v>0.21129999999999999</v>
      </c>
      <c r="AI124" s="29">
        <f t="shared" ref="AI124:AI126" si="1296">AL124*(1-AM124)*AH124</f>
        <v>34.414431</v>
      </c>
      <c r="AJ124" s="27">
        <f t="shared" ref="AJ124:AJ126" si="1297">IF(AND(AH124&gt;0,AF124&gt;0,AC124&gt;0),((AC124-AF124)*AH124)/((AH124-AF124)*AC124),0)</f>
        <v>0.91304131514230458</v>
      </c>
      <c r="AK124" s="58">
        <f t="shared" si="681"/>
        <v>0.92297792558725134</v>
      </c>
      <c r="AL124" s="11">
        <v>178</v>
      </c>
      <c r="AM124" s="13">
        <v>8.5000000000000006E-2</v>
      </c>
      <c r="AN124" s="14">
        <v>0.21379999999999999</v>
      </c>
      <c r="AO124" s="101">
        <v>0.20899999999999999</v>
      </c>
      <c r="AP124" s="29">
        <f>AL124*(1-AM124)*AN124</f>
        <v>34.821606000000003</v>
      </c>
      <c r="AQ124" s="102">
        <f t="shared" ref="AQ124" si="1298">AL124*(1-AM124)*AO124</f>
        <v>34.039830000000002</v>
      </c>
      <c r="AR124" s="18">
        <v>1.55</v>
      </c>
      <c r="AS124" s="18">
        <v>509.56</v>
      </c>
      <c r="AT124" s="79">
        <f>AT122+AL124-AS124+AU124</f>
        <v>951.93999999999971</v>
      </c>
      <c r="AU124" s="130">
        <v>-11.84</v>
      </c>
      <c r="AV124" s="11"/>
      <c r="AW124" s="30"/>
      <c r="AX124" s="19"/>
      <c r="AY124" s="19"/>
      <c r="AZ124" s="19"/>
      <c r="BA124" s="19"/>
      <c r="BB124" s="31"/>
    </row>
    <row r="125" spans="1:54">
      <c r="A125" s="147"/>
      <c r="B125" s="32">
        <v>2</v>
      </c>
      <c r="C125" s="10" t="s">
        <v>59</v>
      </c>
      <c r="D125" s="33">
        <v>19700</v>
      </c>
      <c r="E125" s="33">
        <v>7</v>
      </c>
      <c r="F125" s="33">
        <v>14927</v>
      </c>
      <c r="G125" s="34">
        <v>0.5</v>
      </c>
      <c r="H125" s="34">
        <v>3.9</v>
      </c>
      <c r="I125" s="33">
        <v>13742</v>
      </c>
      <c r="J125" s="34">
        <v>2.2000000000000002</v>
      </c>
      <c r="K125" s="33">
        <v>8188</v>
      </c>
      <c r="L125" s="35">
        <v>5.8999999999999997E-2</v>
      </c>
      <c r="M125" s="36">
        <f>ROUND(K125*(1-L125),0)</f>
        <v>7705</v>
      </c>
      <c r="N125" s="37">
        <v>0.70399999999999996</v>
      </c>
      <c r="O125" s="24">
        <f t="shared" si="1287"/>
        <v>5424.32</v>
      </c>
      <c r="P125" s="35">
        <v>0.16900000000000001</v>
      </c>
      <c r="Q125" s="24">
        <f t="shared" si="1288"/>
        <v>1302.145</v>
      </c>
      <c r="R125" s="38">
        <v>0.127</v>
      </c>
      <c r="S125" s="105">
        <v>0.17829999999999999</v>
      </c>
      <c r="T125" s="24">
        <f t="shared" si="1289"/>
        <v>978.53499999999997</v>
      </c>
      <c r="U125" s="27">
        <v>0.17199999999999999</v>
      </c>
      <c r="V125" s="24">
        <f t="shared" si="1290"/>
        <v>1325.26</v>
      </c>
      <c r="W125" s="38">
        <v>0.53400000000000003</v>
      </c>
      <c r="X125" s="24">
        <f t="shared" si="1291"/>
        <v>4114.47</v>
      </c>
      <c r="Y125" s="38">
        <v>0.47</v>
      </c>
      <c r="Z125" s="24">
        <f t="shared" si="1292"/>
        <v>3621.35</v>
      </c>
      <c r="AA125" s="117">
        <v>2.2499999999999998E-3</v>
      </c>
      <c r="AB125" s="18">
        <f t="shared" si="765"/>
        <v>17.33625</v>
      </c>
      <c r="AC125" s="39">
        <v>2.1700000000000001E-3</v>
      </c>
      <c r="AD125" s="17">
        <f t="shared" si="1294"/>
        <v>16.719850000000001</v>
      </c>
      <c r="AE125" s="26">
        <f>IF(M125&gt;0,(AG125+AP125)/M125,0)</f>
        <v>3.3957121998702145E-3</v>
      </c>
      <c r="AF125" s="39">
        <v>1.6000000000000001E-4</v>
      </c>
      <c r="AG125" s="36">
        <f t="shared" si="1295"/>
        <v>1.2328000000000001</v>
      </c>
      <c r="AH125" s="27">
        <v>0.2074</v>
      </c>
      <c r="AI125" s="40">
        <f t="shared" si="1296"/>
        <v>23.513974999999999</v>
      </c>
      <c r="AJ125" s="27">
        <f t="shared" si="1297"/>
        <v>0.92698240736046367</v>
      </c>
      <c r="AK125" s="28">
        <f t="shared" si="681"/>
        <v>0.95357557970575457</v>
      </c>
      <c r="AL125" s="33">
        <v>125</v>
      </c>
      <c r="AM125" s="35">
        <v>9.2999999999999999E-2</v>
      </c>
      <c r="AN125" s="37">
        <v>0.21990000000000001</v>
      </c>
      <c r="AO125" s="103">
        <v>0.21010000000000001</v>
      </c>
      <c r="AP125" s="40">
        <f>AL125*(1-AM125)*AN125</f>
        <v>24.931162500000003</v>
      </c>
      <c r="AQ125" s="104">
        <f t="shared" si="726"/>
        <v>23.8200875</v>
      </c>
      <c r="AR125" s="41">
        <v>1.5</v>
      </c>
      <c r="AS125" s="41"/>
      <c r="AT125" s="129">
        <f>AT124+AL125-AS125</f>
        <v>1076.9399999999996</v>
      </c>
      <c r="AU125" s="82"/>
      <c r="AV125" s="42"/>
      <c r="AW125" s="43"/>
      <c r="AX125" s="44"/>
      <c r="AY125" s="44"/>
      <c r="AZ125" s="44"/>
      <c r="BA125" s="44"/>
      <c r="BB125" s="31"/>
    </row>
    <row r="126" spans="1:54">
      <c r="A126" s="147"/>
      <c r="B126" s="32">
        <v>3</v>
      </c>
      <c r="C126" s="143" t="s">
        <v>55</v>
      </c>
      <c r="D126" s="42">
        <v>19500</v>
      </c>
      <c r="E126" s="42">
        <v>6</v>
      </c>
      <c r="F126" s="42"/>
      <c r="G126" s="36">
        <v>0.2</v>
      </c>
      <c r="H126" s="36">
        <v>4.7</v>
      </c>
      <c r="I126" s="42">
        <v>15186</v>
      </c>
      <c r="J126" s="36">
        <v>1.7</v>
      </c>
      <c r="K126" s="42">
        <v>11756</v>
      </c>
      <c r="L126" s="38">
        <v>6.2E-2</v>
      </c>
      <c r="M126" s="36">
        <f>ROUND(K126*(1-L126),0)</f>
        <v>11027</v>
      </c>
      <c r="N126" s="27">
        <v>0.65300000000000002</v>
      </c>
      <c r="O126" s="24">
        <f t="shared" si="1287"/>
        <v>7200.6310000000003</v>
      </c>
      <c r="P126" s="38">
        <v>0.3</v>
      </c>
      <c r="Q126" s="24">
        <f t="shared" si="1288"/>
        <v>3308.1</v>
      </c>
      <c r="R126" s="38">
        <v>4.7E-2</v>
      </c>
      <c r="S126" s="105">
        <v>0.20680000000000001</v>
      </c>
      <c r="T126" s="24">
        <f t="shared" si="1289"/>
        <v>518.26900000000001</v>
      </c>
      <c r="U126" s="27">
        <v>0.218</v>
      </c>
      <c r="V126" s="24">
        <f t="shared" si="1290"/>
        <v>2403.886</v>
      </c>
      <c r="W126" s="38">
        <v>0.51800000000000002</v>
      </c>
      <c r="X126" s="24">
        <f t="shared" si="1291"/>
        <v>5711.9859999999999</v>
      </c>
      <c r="Y126" s="38">
        <v>0.46</v>
      </c>
      <c r="Z126" s="24">
        <f t="shared" si="1292"/>
        <v>5072.42</v>
      </c>
      <c r="AA126" s="118">
        <v>2.48E-3</v>
      </c>
      <c r="AB126" s="121">
        <f t="shared" si="765"/>
        <v>27.346959999999999</v>
      </c>
      <c r="AC126" s="45">
        <v>2.2699999999999999E-3</v>
      </c>
      <c r="AD126" s="17">
        <f t="shared" si="1294"/>
        <v>25.031289999999998</v>
      </c>
      <c r="AE126" s="26">
        <f>IF(M126&gt;0,(AG126+AP126)/M126,0)</f>
        <v>2.852814473564886E-3</v>
      </c>
      <c r="AF126" s="45">
        <v>1.9000000000000001E-4</v>
      </c>
      <c r="AG126" s="36">
        <f t="shared" si="1295"/>
        <v>2.0951300000000002</v>
      </c>
      <c r="AH126" s="27">
        <v>0.20369999999999999</v>
      </c>
      <c r="AI126" s="40">
        <f t="shared" si="1296"/>
        <v>30.299967599999995</v>
      </c>
      <c r="AJ126" s="27">
        <f t="shared" si="1297"/>
        <v>0.91715503053568459</v>
      </c>
      <c r="AK126" s="28">
        <f t="shared" si="681"/>
        <v>0.93429837804286797</v>
      </c>
      <c r="AL126" s="42">
        <v>164</v>
      </c>
      <c r="AM126" s="38">
        <v>9.2999999999999999E-2</v>
      </c>
      <c r="AN126" s="27">
        <v>0.19739999999999999</v>
      </c>
      <c r="AO126" s="105">
        <v>0.18290000000000001</v>
      </c>
      <c r="AP126" s="40">
        <f>AL126*(1-AM126)*AN126</f>
        <v>29.362855199999998</v>
      </c>
      <c r="AQ126" s="106">
        <f t="shared" si="726"/>
        <v>27.2060092</v>
      </c>
      <c r="AR126" s="17">
        <v>1.5</v>
      </c>
      <c r="AS126" s="17"/>
      <c r="AT126" s="129">
        <f>AT125+AL126-AS126</f>
        <v>1240.9399999999996</v>
      </c>
      <c r="AU126" s="82"/>
      <c r="AV126" s="42"/>
      <c r="AW126" s="46"/>
      <c r="AX126" s="40"/>
      <c r="AY126" s="40"/>
      <c r="AZ126" s="40"/>
      <c r="BA126" s="40"/>
      <c r="BB126" s="31"/>
    </row>
    <row r="127" spans="1:54">
      <c r="A127" s="148"/>
      <c r="B127" s="47" t="s">
        <v>56</v>
      </c>
      <c r="C127" s="48"/>
      <c r="D127" s="49">
        <f>SUM(D124:D126)</f>
        <v>42369</v>
      </c>
      <c r="E127" s="137"/>
      <c r="F127" s="49">
        <f>SUM(F124:F126)</f>
        <v>25756</v>
      </c>
      <c r="G127" s="138"/>
      <c r="H127" s="138"/>
      <c r="I127" s="49">
        <f>SUM(I124:I126)</f>
        <v>39585</v>
      </c>
      <c r="J127" s="50"/>
      <c r="K127" s="49">
        <f>SUM(K124:K126)</f>
        <v>34964</v>
      </c>
      <c r="L127" s="20">
        <f>IF(K127&gt;0,(K124*L124+K125*L125+K126*L126)/K127,0)</f>
        <v>6.3445372383022544E-2</v>
      </c>
      <c r="M127" s="50">
        <f>M124+M125+M126</f>
        <v>32746</v>
      </c>
      <c r="N127" s="51">
        <f>IF(M127&gt;0,O127/M127,0)</f>
        <v>0.69110569229829599</v>
      </c>
      <c r="O127" s="52">
        <f t="shared" ref="O127" si="1299">O124+O125+O126</f>
        <v>22630.947</v>
      </c>
      <c r="P127" s="20">
        <f>IF(M127&gt;0,Q127/M127,0)</f>
        <v>0.24478247724912969</v>
      </c>
      <c r="Q127" s="52">
        <f t="shared" ref="Q127" si="1300">Q124+Q125+Q126</f>
        <v>8015.6470000000008</v>
      </c>
      <c r="R127" s="20">
        <f>IF(M127&gt;0,T127/M127,0)</f>
        <v>6.4111830452574362E-2</v>
      </c>
      <c r="S127" s="107"/>
      <c r="T127" s="52">
        <f t="shared" ref="T127" si="1301">T124+T125+T126</f>
        <v>2099.4059999999999</v>
      </c>
      <c r="U127" s="20">
        <f>IF(M127&gt;0,V127/M127,0)</f>
        <v>0.22215501129908996</v>
      </c>
      <c r="V127" s="52">
        <f t="shared" ref="V127" si="1302">V124+V125+V126</f>
        <v>7274.6880000000001</v>
      </c>
      <c r="W127" s="20">
        <f>IF(M127&gt;0,X127/M127,0)</f>
        <v>0.50207854394429852</v>
      </c>
      <c r="X127" s="52">
        <f t="shared" ref="X127" si="1303">X124+X125+X126</f>
        <v>16441.063999999998</v>
      </c>
      <c r="Y127" s="20">
        <f>IF(M127&gt;0,Z127/M127,0)</f>
        <v>0.45807335247053077</v>
      </c>
      <c r="Z127" s="52">
        <f t="shared" ref="Z127" si="1304">Z124+Z125+Z126</f>
        <v>15000.07</v>
      </c>
      <c r="AA127" s="119">
        <f t="shared" ref="AA127" si="1305">IF(M127&gt;0,AB127/M127,0)</f>
        <v>2.4173227264398705E-3</v>
      </c>
      <c r="AB127" s="54">
        <f t="shared" ref="AB127" si="1306">SUM(AB124:AB126)</f>
        <v>79.157650000000004</v>
      </c>
      <c r="AC127" s="53">
        <f>IF(M127&gt;0,AD127/M127,0)</f>
        <v>2.2978256886337263E-3</v>
      </c>
      <c r="AD127" s="54">
        <f t="shared" ref="AD127" si="1307">SUM(AD124:AD126)</f>
        <v>75.244600000000005</v>
      </c>
      <c r="AE127" s="53">
        <f t="shared" ref="AE127" si="1308">IF(M127&gt;0,(AE124*M124+AE125*M125+AE126*M126)/M127,0)</f>
        <v>2.9129204696756858E-3</v>
      </c>
      <c r="AF127" s="53">
        <f>IF(K127&gt;0,(K124*AF124+K125*AF125+K126*AF126)/K127,0)</f>
        <v>1.9156618235899786E-4</v>
      </c>
      <c r="AG127" s="50">
        <f t="shared" ref="AG127" si="1309">SUM(AG124:AG126)</f>
        <v>6.2708700000000004</v>
      </c>
      <c r="AH127" s="51">
        <f>IF(K127&gt;0,(K124*AH124+K125*AH125+K126*AH126)/K127,0)</f>
        <v>0.20783132364717996</v>
      </c>
      <c r="AI127" s="56">
        <f>SUM(AI124:AI126)</f>
        <v>88.228373599999998</v>
      </c>
      <c r="AJ127" s="51">
        <f>IF(AND(AD127&gt;0),((AD124*AJ124+AD125*AJ125+AD126*AJ126)/AD127),0)</f>
        <v>0.91750761004868908</v>
      </c>
      <c r="AK127" s="55">
        <f t="shared" si="681"/>
        <v>0.93508986727748478</v>
      </c>
      <c r="AL127" s="49">
        <f>SUM(AL124:AL126)</f>
        <v>467</v>
      </c>
      <c r="AM127" s="20">
        <f>IF(AL127&gt;0,(AM124*AL124+AM125*AL125+AM126*AL126)/AL127,0)</f>
        <v>8.9950749464668106E-2</v>
      </c>
      <c r="AN127" s="51">
        <f>IF(K127&gt;0,(AN124*K124+AN125*K125+AN126*K126)/K127,0)</f>
        <v>0.20971432330396977</v>
      </c>
      <c r="AO127" s="107">
        <f>IF(L127&gt;0,(AO124*K124+AO125*K125+AO126*K126)/K127,0)</f>
        <v>0.20048195858597415</v>
      </c>
      <c r="AP127" s="56">
        <f>SUM(AP124:AP126)</f>
        <v>89.1156237</v>
      </c>
      <c r="AQ127" s="108">
        <f t="shared" ref="AQ127" si="1310">SUM(AQ124:AQ126)</f>
        <v>85.065926700000006</v>
      </c>
      <c r="AR127" s="139"/>
      <c r="AS127" s="54">
        <f>SUM(AS124:AS126)</f>
        <v>509.56</v>
      </c>
      <c r="AT127" s="83"/>
      <c r="AU127" s="84">
        <f>AT126</f>
        <v>1240.9399999999996</v>
      </c>
      <c r="AV127" s="49">
        <f>SUM(AV124:AV126)</f>
        <v>0</v>
      </c>
      <c r="AW127" s="140"/>
      <c r="AX127" s="141"/>
      <c r="AY127" s="141"/>
      <c r="AZ127" s="141"/>
      <c r="BA127" s="141"/>
      <c r="BB127" s="21"/>
    </row>
  </sheetData>
  <protectedRanges>
    <protectedRange sqref="AP4:AQ127 AK4:AK127 M4:M127" name="Range1_1_1_1_1_1_1_1_1"/>
    <protectedRange sqref="AH7:AJ7 AH4:AI6 AJ127 AH11:AJ11 AH15:AJ15 AH19:AJ19 AH23:AJ23 AH27:AJ27 AH31:AJ31 AH35:AJ35 AH39:AJ39 AH43:AJ43 AH47:AJ47 AH51:AJ51 AH55:AJ55 AH59:AJ59 AH63:AJ63 AH67:AJ67 AH71:AJ71 AH75:AJ75 AH79:AJ79 AH83:AJ83 AH87:AJ87 AH91:AJ91 AH95:AJ95 AH99:AJ99 AH103:AJ103 AH107:AJ107 AH111:AJ111 AH115:AJ115 AH119:AJ119 AH123:AJ123 AH8:AI10 AH12:AI14 AH16:AI18 AH20:AI22 AH24:AI26 AH28:AI30 AH32:AI34 AH36:AI38 AH40:AI42 AH44:AI46 AH48:AI50 AH52:AI54 AH56:AI58 AH60:AI62 AH64:AI66 AH68:AI70 AH72:AI74 AH76:AI78 AH80:AI82 AH84:AI86 AH88:AI90 AH92:AI94 AH96:AI98 AH100:AI102 AH104:AI106 AH108:AI110 AH112:AI114 AH116:AI118 AH120:AI122 AH124:AI127" name="Range1_1_1_1_1_1_1"/>
    <protectedRange sqref="AJ4:AJ6 AJ8:AJ10 AJ12:AJ14 AJ16:AJ18 AJ20:AJ22 AJ24:AJ26 AJ28:AJ30 AJ32:AJ34 AJ36:AJ38 AJ40:AJ42 AJ44:AJ46 AJ48:AJ50 AJ52:AJ54 AJ56:AJ58 AJ60:AJ62 AJ64:AJ66 AJ68:AJ70 AJ72:AJ74 AJ76:AJ78 AJ80:AJ82 AJ84:AJ86 AJ88:AJ90 AJ92:AJ94 AJ96:AJ98 AJ100:AJ102 AJ104:AJ106 AJ108:AJ110 AJ112:AJ114 AJ116:AJ118 AJ120:AJ122 AJ124:AJ126" name="Range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 AD95:AE95 AD92:AD94 AD99:AE99 AD96:AD98 AD103:AE103 AD100:AD102 AD107:AE107 AD104:AD106 AD111:AE111 AD108:AD110 AD115:AE115 AD112:AD114 AD119:AE119 AD116:AD118 AD123:AE123 AD120:AD122 AD127:AE127 AD124:AD126" name="Range1_1_1_1_1_2_2_1"/>
    <protectedRange sqref="O4:O127" name="Range1_1_1_1_1_5_1_1"/>
    <protectedRange sqref="Q4:Q127" name="Range1_1_1_1_1_7_1_1"/>
    <protectedRange sqref="T4:T127" name="Range1_1_1_1_1_8_1_1"/>
    <protectedRange sqref="V4:V127" name="Range1_1_1_1_1_10_1_1"/>
    <protectedRange sqref="X4:X127" name="Range1_1_1_1_1_12_1_1"/>
    <protectedRange sqref="Z4:Z127" name="Range1_1_1_1_1_16_1_1"/>
    <protectedRange sqref="AG4:AG127" name="Range1_1_1_1_1_18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E92:AE94" name="Range1_1_1_1_1_2_1_22_1_1_1"/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E124:AE126" name="Range1_1_1_1_1_2_1_30_1_1_1"/>
    <protectedRange sqref="AB4:AB127" name="Range1_1_1_1_1_2_2_1_1_1_1"/>
  </protectedRanges>
  <mergeCells count="33">
    <mergeCell ref="A116:A119"/>
    <mergeCell ref="A120:A123"/>
    <mergeCell ref="A124:A127"/>
    <mergeCell ref="A92:A95"/>
    <mergeCell ref="A96:A99"/>
    <mergeCell ref="A100:A103"/>
    <mergeCell ref="A104:A107"/>
    <mergeCell ref="A108:A111"/>
    <mergeCell ref="A112:A115"/>
    <mergeCell ref="A68:A71"/>
    <mergeCell ref="A72:A75"/>
    <mergeCell ref="A76:A79"/>
    <mergeCell ref="A80:A83"/>
    <mergeCell ref="A84:A87"/>
    <mergeCell ref="A88:A91"/>
    <mergeCell ref="A44:A47"/>
    <mergeCell ref="A48:A51"/>
    <mergeCell ref="A52:A55"/>
    <mergeCell ref="A56:A59"/>
    <mergeCell ref="A60:A63"/>
    <mergeCell ref="A64:A67"/>
    <mergeCell ref="A20:A23"/>
    <mergeCell ref="A24:A27"/>
    <mergeCell ref="A28:A31"/>
    <mergeCell ref="A32:A35"/>
    <mergeCell ref="A36:A39"/>
    <mergeCell ref="A40:A43"/>
    <mergeCell ref="AX1:AY1"/>
    <mergeCell ref="AZ1:BA1"/>
    <mergeCell ref="A4:A7"/>
    <mergeCell ref="A8:A11"/>
    <mergeCell ref="A12:A15"/>
    <mergeCell ref="A16:A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640D-E5B1-4305-8014-99A2471819DA}">
  <dimension ref="A1:BB123"/>
  <sheetViews>
    <sheetView tabSelected="1" topLeftCell="A94" workbookViewId="0">
      <selection activeCell="A124" sqref="A124:BB211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43" t="s">
        <v>57</v>
      </c>
      <c r="D4" s="11">
        <v>6982</v>
      </c>
      <c r="E4" s="11">
        <v>3</v>
      </c>
      <c r="F4" s="11">
        <v>4914</v>
      </c>
      <c r="G4" s="12">
        <v>0.7</v>
      </c>
      <c r="H4" s="12">
        <v>4.5999999999999996</v>
      </c>
      <c r="I4" s="11">
        <v>5810</v>
      </c>
      <c r="J4" s="12">
        <v>6.5</v>
      </c>
      <c r="K4" s="11">
        <v>15677</v>
      </c>
      <c r="L4" s="13">
        <v>7.0000000000000007E-2</v>
      </c>
      <c r="M4" s="23">
        <f>ROUND(K4*(1-L4),0)</f>
        <v>14580</v>
      </c>
      <c r="N4" s="14">
        <v>0.79700000000000004</v>
      </c>
      <c r="O4" s="24">
        <f t="shared" ref="O4:O6" si="0">M4*N4</f>
        <v>11620.26</v>
      </c>
      <c r="P4" s="13">
        <v>0.17599999999999999</v>
      </c>
      <c r="Q4" s="24">
        <f t="shared" ref="Q4:Q6" si="1">M4*P4</f>
        <v>2566.08</v>
      </c>
      <c r="R4" s="15">
        <v>2.7E-2</v>
      </c>
      <c r="S4" s="111">
        <v>0.2114</v>
      </c>
      <c r="T4" s="24">
        <f t="shared" ref="T4:T6" si="2">M4*R4</f>
        <v>393.65999999999997</v>
      </c>
      <c r="U4" s="25">
        <v>0.249</v>
      </c>
      <c r="V4" s="24">
        <f t="shared" ref="V4:V6" si="3">M4*U4</f>
        <v>3630.42</v>
      </c>
      <c r="W4" s="15">
        <v>0.48</v>
      </c>
      <c r="X4" s="24">
        <f>M4*W4</f>
        <v>6998.4</v>
      </c>
      <c r="Y4" s="15">
        <v>0.44</v>
      </c>
      <c r="Z4" s="96">
        <f t="shared" ref="Z4:Z6" si="4">Y4*M4</f>
        <v>6415.2</v>
      </c>
      <c r="AA4" s="116">
        <v>2.5500000000000002E-3</v>
      </c>
      <c r="AB4" s="18">
        <f>M4*AA4</f>
        <v>37.179000000000002</v>
      </c>
      <c r="AC4" s="16">
        <v>2.3999999999999998E-3</v>
      </c>
      <c r="AD4" s="18">
        <f>M4*AC4</f>
        <v>34.991999999999997</v>
      </c>
      <c r="AE4" s="26">
        <f>IF(M4&gt;0,(AG4+AP4)/M4,0)</f>
        <v>2.585928395061728E-3</v>
      </c>
      <c r="AF4" s="16">
        <v>2.0000000000000001E-4</v>
      </c>
      <c r="AG4" s="23">
        <f t="shared" ref="AG4:AG6" si="5">AF4*M4</f>
        <v>2.9159999999999999</v>
      </c>
      <c r="AH4" s="92">
        <v>0.20349999999999999</v>
      </c>
      <c r="AI4" s="29">
        <f>AL4*(1-AM4)*AH4</f>
        <v>34.633665000000001</v>
      </c>
      <c r="AJ4" s="27">
        <f>IF(AND(AH4&gt;0,AF4&gt;0,AC4&gt;0),((AC4-AF4)*AH4)/((AH4-AF4)*AC4),0)</f>
        <v>0.91756845384489261</v>
      </c>
      <c r="AK4" s="58">
        <f t="shared" ref="AK4:AK67" si="6">IF(AND(AE4&gt;0,AN4&gt;0,AF4&gt;0),((AN4*(AE4-AF4))/(AE4*(AN4-AF4))),0)</f>
        <v>0.92356201899252399</v>
      </c>
      <c r="AL4" s="11">
        <v>186</v>
      </c>
      <c r="AM4" s="13">
        <v>8.5000000000000006E-2</v>
      </c>
      <c r="AN4" s="14">
        <v>0.2044</v>
      </c>
      <c r="AO4" s="101">
        <v>0.19939999999999999</v>
      </c>
      <c r="AP4" s="29">
        <f>AL4*(1-AM4)*AN4</f>
        <v>34.786836000000001</v>
      </c>
      <c r="AQ4" s="102">
        <f>AL4*(1-AM4)*AO4</f>
        <v>33.935885999999996</v>
      </c>
      <c r="AR4" s="18">
        <v>1.55</v>
      </c>
      <c r="AS4" s="18">
        <v>1155.78</v>
      </c>
      <c r="AT4" s="88">
        <f>AT3+AL4-AS4</f>
        <v>476.67999999999938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58</v>
      </c>
      <c r="D5" s="33">
        <v>19200</v>
      </c>
      <c r="E5" s="33">
        <v>1</v>
      </c>
      <c r="F5" s="33">
        <v>11390</v>
      </c>
      <c r="G5" s="34">
        <v>0.7</v>
      </c>
      <c r="H5" s="34">
        <v>4.7</v>
      </c>
      <c r="I5" s="33">
        <v>10630</v>
      </c>
      <c r="J5" s="34">
        <v>4.8</v>
      </c>
      <c r="K5" s="33">
        <v>10452</v>
      </c>
      <c r="L5" s="35">
        <v>7.0000000000000007E-2</v>
      </c>
      <c r="M5" s="36">
        <f>ROUND(K5*(1-L5),0)</f>
        <v>9720</v>
      </c>
      <c r="N5" s="37">
        <v>0.82799999999999996</v>
      </c>
      <c r="O5" s="24">
        <f t="shared" si="0"/>
        <v>8048.16</v>
      </c>
      <c r="P5" s="35">
        <v>0.14099999999999999</v>
      </c>
      <c r="Q5" s="24">
        <f t="shared" si="1"/>
        <v>1370.52</v>
      </c>
      <c r="R5" s="38">
        <v>7.0000000000000007E-2</v>
      </c>
      <c r="S5" s="105">
        <v>0.2104</v>
      </c>
      <c r="T5" s="24">
        <f t="shared" si="2"/>
        <v>680.40000000000009</v>
      </c>
      <c r="U5" s="27">
        <v>0.216</v>
      </c>
      <c r="V5" s="24">
        <f t="shared" si="3"/>
        <v>2099.52</v>
      </c>
      <c r="W5" s="38">
        <v>0.51200000000000001</v>
      </c>
      <c r="X5" s="24">
        <f>M5*W5</f>
        <v>4976.6400000000003</v>
      </c>
      <c r="Y5" s="38">
        <v>0.45</v>
      </c>
      <c r="Z5" s="24">
        <f t="shared" si="4"/>
        <v>4374</v>
      </c>
      <c r="AA5" s="117">
        <v>2.4299999999999999E-3</v>
      </c>
      <c r="AB5" s="18">
        <f t="shared" ref="AB5:AB6" si="7">M5*AA5</f>
        <v>23.619599999999998</v>
      </c>
      <c r="AC5" s="39">
        <v>2.3500000000000001E-3</v>
      </c>
      <c r="AD5" s="17">
        <f>M5*AC5</f>
        <v>22.842000000000002</v>
      </c>
      <c r="AE5" s="26">
        <f>IF(M5&gt;0,(AG5+AP5)/M5,0)</f>
        <v>2.8191569444444447E-3</v>
      </c>
      <c r="AF5" s="39">
        <v>2.0000000000000001E-4</v>
      </c>
      <c r="AG5" s="36">
        <f t="shared" si="5"/>
        <v>1.9440000000000002</v>
      </c>
      <c r="AH5" s="27">
        <v>0.20849999999999999</v>
      </c>
      <c r="AI5" s="40">
        <f>AL5*(1-AM5)*AH5</f>
        <v>25.3608975</v>
      </c>
      <c r="AJ5" s="27">
        <f>IF(AND(AH5&gt;0,AF5&gt;0,AC5&gt;0),((AC5-AF5)*AH5)/((AH5-AF5)*AC5),0)</f>
        <v>0.91577205544376461</v>
      </c>
      <c r="AK5" s="28">
        <f t="shared" si="6"/>
        <v>0.92994542969516392</v>
      </c>
      <c r="AL5" s="33">
        <v>135</v>
      </c>
      <c r="AM5" s="35">
        <v>9.9000000000000005E-2</v>
      </c>
      <c r="AN5" s="37">
        <v>0.20930000000000001</v>
      </c>
      <c r="AO5" s="103">
        <v>0.20380000000000001</v>
      </c>
      <c r="AP5" s="40">
        <f>AL5*(1-AM5)*AN5</f>
        <v>25.458205500000002</v>
      </c>
      <c r="AQ5" s="104">
        <f t="shared" ref="AQ5:AQ6" si="8">AL5*(1-AM5)*AO5</f>
        <v>24.789213000000004</v>
      </c>
      <c r="AR5" s="41">
        <v>1.55</v>
      </c>
      <c r="AS5" s="41"/>
      <c r="AT5" s="88">
        <f>AT4+AL5-AS5</f>
        <v>611.67999999999938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53</v>
      </c>
      <c r="D6" s="42">
        <v>15000</v>
      </c>
      <c r="E6" s="42">
        <v>1</v>
      </c>
      <c r="F6" s="42">
        <v>16100</v>
      </c>
      <c r="G6" s="36">
        <v>0.4</v>
      </c>
      <c r="H6" s="36">
        <v>4.5999999999999996</v>
      </c>
      <c r="I6" s="42">
        <v>16258</v>
      </c>
      <c r="J6" s="36">
        <v>4.5</v>
      </c>
      <c r="K6" s="42">
        <v>15383</v>
      </c>
      <c r="L6" s="38">
        <v>7.0999999999999994E-2</v>
      </c>
      <c r="M6" s="36">
        <f>ROUND(K6*(1-L6),0)</f>
        <v>14291</v>
      </c>
      <c r="N6" s="27">
        <v>0.76500000000000001</v>
      </c>
      <c r="O6" s="24">
        <f t="shared" si="0"/>
        <v>10932.615</v>
      </c>
      <c r="P6" s="38">
        <v>0.158</v>
      </c>
      <c r="Q6" s="24">
        <f t="shared" si="1"/>
        <v>2257.9780000000001</v>
      </c>
      <c r="R6" s="38">
        <v>7.6999999999999999E-2</v>
      </c>
      <c r="S6" s="105">
        <v>0.22520000000000001</v>
      </c>
      <c r="T6" s="24">
        <f t="shared" si="2"/>
        <v>1100.4069999999999</v>
      </c>
      <c r="U6" s="27">
        <v>0.255</v>
      </c>
      <c r="V6" s="24">
        <f t="shared" si="3"/>
        <v>3644.2049999999999</v>
      </c>
      <c r="W6" s="38">
        <v>0.47899999999999998</v>
      </c>
      <c r="X6" s="24">
        <f>M6*W6</f>
        <v>6845.3890000000001</v>
      </c>
      <c r="Y6" s="38">
        <v>0.44</v>
      </c>
      <c r="Z6" s="24">
        <f t="shared" si="4"/>
        <v>6288.04</v>
      </c>
      <c r="AA6" s="118">
        <v>2.6099999999999999E-3</v>
      </c>
      <c r="AB6" s="121">
        <f t="shared" si="7"/>
        <v>37.299509999999998</v>
      </c>
      <c r="AC6" s="45">
        <v>2.4499999999999999E-3</v>
      </c>
      <c r="AD6" s="17">
        <f>M6*AC6</f>
        <v>35.012949999999996</v>
      </c>
      <c r="AE6" s="26">
        <f>IF(M6&gt;0,(AG6+AP6)/M6,0)</f>
        <v>2.4045230984535721E-3</v>
      </c>
      <c r="AF6" s="45">
        <v>2.1000000000000001E-4</v>
      </c>
      <c r="AG6" s="36">
        <f t="shared" si="5"/>
        <v>3.0011100000000002</v>
      </c>
      <c r="AH6" s="27">
        <v>0.20519999999999999</v>
      </c>
      <c r="AI6" s="40">
        <f>AL6*(1-AM6)*AH6</f>
        <v>31.906137599999997</v>
      </c>
      <c r="AJ6" s="27">
        <f>IF(AND(AH6&gt;0,AF6&gt;0,AC6&gt;0),((AC6-AF6)*AH6)/((AH6-AF6)*AC6),0)</f>
        <v>0.91522234534088764</v>
      </c>
      <c r="AK6" s="28">
        <f t="shared" si="6"/>
        <v>0.91361580573241286</v>
      </c>
      <c r="AL6" s="42">
        <v>172</v>
      </c>
      <c r="AM6" s="38">
        <v>9.6000000000000002E-2</v>
      </c>
      <c r="AN6" s="27">
        <v>0.20169999999999999</v>
      </c>
      <c r="AO6" s="105">
        <v>0.19389999999999999</v>
      </c>
      <c r="AP6" s="40">
        <f>AL6*(1-AM6)*AN6</f>
        <v>31.3619296</v>
      </c>
      <c r="AQ6" s="106">
        <f t="shared" si="8"/>
        <v>30.149123199999998</v>
      </c>
      <c r="AR6" s="17">
        <v>1.58</v>
      </c>
      <c r="AS6" s="17"/>
      <c r="AT6" s="88">
        <f>AT5+AL6-AS6</f>
        <v>783.67999999999938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41182</v>
      </c>
      <c r="E7" s="49"/>
      <c r="F7" s="49">
        <f>SUM(F4:F6)</f>
        <v>32404</v>
      </c>
      <c r="G7" s="50"/>
      <c r="H7" s="50"/>
      <c r="I7" s="49">
        <f>SUM(I4:I6)</f>
        <v>32698</v>
      </c>
      <c r="J7" s="50"/>
      <c r="K7" s="49">
        <f>SUM(K4:K6)</f>
        <v>41512</v>
      </c>
      <c r="L7" s="20">
        <f>IF(K7&gt;0,(K4*L4+K5*L5+K6*L6)/K7,0)</f>
        <v>7.0370567546733473E-2</v>
      </c>
      <c r="M7" s="50">
        <f>M4+M5+M6</f>
        <v>38591</v>
      </c>
      <c r="N7" s="51">
        <f>IF(M7&gt;0,O7/M7,0)</f>
        <v>0.79295781399808241</v>
      </c>
      <c r="O7" s="52">
        <f>O4+O5+O6</f>
        <v>30601.034999999996</v>
      </c>
      <c r="P7" s="20">
        <f>IF(M7&gt;0,Q7/M7,0)</f>
        <v>0.16051872198180922</v>
      </c>
      <c r="Q7" s="52">
        <f>Q4+Q5+Q6</f>
        <v>6194.5779999999995</v>
      </c>
      <c r="R7" s="20">
        <f>IF(M7&gt;0,T7/M7,0)</f>
        <v>5.6346479749164305E-2</v>
      </c>
      <c r="S7" s="107"/>
      <c r="T7" s="52">
        <f>T4+T5+T6</f>
        <v>2174.4669999999996</v>
      </c>
      <c r="U7" s="20">
        <f>IF(M7&gt;0,V7/M7,0)</f>
        <v>0.24291013448731572</v>
      </c>
      <c r="V7" s="52">
        <f>V4+V5+V6</f>
        <v>9374.1450000000004</v>
      </c>
      <c r="W7" s="20">
        <f>IF(M7&gt;0,X7/M7,0)</f>
        <v>0.48768959083724184</v>
      </c>
      <c r="X7" s="52">
        <f>X4+X5+X6</f>
        <v>18820.429</v>
      </c>
      <c r="Y7" s="20">
        <f>IF(M7&gt;0,Z7/M7,0)</f>
        <v>0.44251872198180925</v>
      </c>
      <c r="Z7" s="52">
        <f>Z4+Z5+Z6</f>
        <v>17077.240000000002</v>
      </c>
      <c r="AA7" s="119">
        <f>IF(M7&gt;0,AB7/M7,0)</f>
        <v>2.5419945064911503E-3</v>
      </c>
      <c r="AB7" s="54">
        <f t="shared" ref="AB7" si="9">SUM(AB4:AB6)</f>
        <v>98.098109999999991</v>
      </c>
      <c r="AC7" s="53">
        <f>IF(M7&gt;0,AD7/M7,0)</f>
        <v>2.4059223653183381E-3</v>
      </c>
      <c r="AD7" s="54">
        <f>SUM(AD4:AD6)</f>
        <v>92.846949999999993</v>
      </c>
      <c r="AE7" s="53">
        <f>IF(M7&gt;0,(AE4*M4+AE5*M5+AE6*M6)/M7,0)</f>
        <v>2.5774942629110415E-3</v>
      </c>
      <c r="AF7" s="53">
        <f>IF(K7&gt;0,(K4*AF4+K5*AF5+K6*AF6)/K7,0)</f>
        <v>2.0370567546733478E-4</v>
      </c>
      <c r="AG7" s="50">
        <f>SUM(AG4:AG6)</f>
        <v>7.86111</v>
      </c>
      <c r="AH7" s="51">
        <f>IF(K7&gt;0,(K4*AH4+K5*AH5+K6*AH6)/K7,0)</f>
        <v>0.20538887791481983</v>
      </c>
      <c r="AI7" s="56">
        <f>SUM(AI4:AI6)</f>
        <v>91.900700099999995</v>
      </c>
      <c r="AJ7" s="51">
        <f>IF(AND(AD7&gt;0),((AD4*AJ4+AD5*AJ5+AD6*AJ6)/AD7),0)</f>
        <v>0.91624178116448829</v>
      </c>
      <c r="AK7" s="55">
        <f t="shared" si="6"/>
        <v>0.92188526095882262</v>
      </c>
      <c r="AL7" s="49">
        <f>SUM(AL4:AL6)</f>
        <v>493</v>
      </c>
      <c r="AM7" s="20">
        <f>IF(AL7&gt;0,(AM4*AL4+AM5*AL5+AM6*AL6)/AL7,0)</f>
        <v>9.2671399594320483E-2</v>
      </c>
      <c r="AN7" s="51">
        <f>IF(K7&gt;0,(AN4*K4+AN5*K5+AN6*K6)/K7,0)</f>
        <v>0.20463320244748506</v>
      </c>
      <c r="AO7" s="107">
        <f>IF(K7&gt;0,(AO4*K4+AO5*K5+AO6*K6)/K7,0)</f>
        <v>0.19846972200809404</v>
      </c>
      <c r="AP7" s="56">
        <f>SUM(AP4:AP6)</f>
        <v>91.606971099999996</v>
      </c>
      <c r="AQ7" s="108">
        <f t="shared" ref="AQ7" si="10">SUM(AQ4:AQ6)</f>
        <v>88.874222199999991</v>
      </c>
      <c r="AR7" s="54"/>
      <c r="AS7" s="54">
        <f>SUM(AS4:AS6)</f>
        <v>1155.78</v>
      </c>
      <c r="AT7" s="83"/>
      <c r="AU7" s="84">
        <f>AT6</f>
        <v>783.67999999999938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43" t="s">
        <v>57</v>
      </c>
      <c r="D8" s="11">
        <v>5228</v>
      </c>
      <c r="E8" s="11">
        <v>0</v>
      </c>
      <c r="F8" s="11">
        <v>15173</v>
      </c>
      <c r="G8" s="12">
        <v>1</v>
      </c>
      <c r="H8" s="12">
        <v>4.7</v>
      </c>
      <c r="I8" s="11">
        <v>14718</v>
      </c>
      <c r="J8" s="12">
        <v>4.9000000000000004</v>
      </c>
      <c r="K8" s="11">
        <v>16651</v>
      </c>
      <c r="L8" s="13">
        <v>6.3E-2</v>
      </c>
      <c r="M8" s="23">
        <f>ROUND(K8*(1-L8),0)</f>
        <v>15602</v>
      </c>
      <c r="N8" s="14">
        <v>0.72299999999999998</v>
      </c>
      <c r="O8" s="24">
        <f t="shared" ref="O8:O10" si="11">M8*N8</f>
        <v>11280.245999999999</v>
      </c>
      <c r="P8" s="13">
        <v>0.23799999999999999</v>
      </c>
      <c r="Q8" s="24">
        <f t="shared" ref="Q8:Q10" si="12">M8*P8</f>
        <v>3713.2759999999998</v>
      </c>
      <c r="R8" s="15">
        <v>3.9E-2</v>
      </c>
      <c r="S8" s="112">
        <v>0.21149999999999999</v>
      </c>
      <c r="T8" s="24">
        <f t="shared" ref="T8:T10" si="13">M8*R8</f>
        <v>608.47799999999995</v>
      </c>
      <c r="U8" s="25">
        <v>0.25800000000000001</v>
      </c>
      <c r="V8" s="24">
        <f t="shared" ref="V8:V10" si="14">M8*U8</f>
        <v>4025.3160000000003</v>
      </c>
      <c r="W8" s="15">
        <v>0.47</v>
      </c>
      <c r="X8" s="24">
        <f t="shared" ref="X8:X10" si="15">M8*W8</f>
        <v>7332.94</v>
      </c>
      <c r="Y8" s="15">
        <v>0.43</v>
      </c>
      <c r="Z8" s="24">
        <f t="shared" ref="Z8:Z10" si="16">Y8*M8</f>
        <v>6708.86</v>
      </c>
      <c r="AA8" s="116">
        <v>2.3700000000000001E-3</v>
      </c>
      <c r="AB8" s="18">
        <f>M8*AA8</f>
        <v>36.976739999999999</v>
      </c>
      <c r="AC8" s="16">
        <v>2.1700000000000001E-3</v>
      </c>
      <c r="AD8" s="17">
        <f t="shared" ref="AD8:AD10" si="17">M8*AC8</f>
        <v>33.856340000000003</v>
      </c>
      <c r="AE8" s="26">
        <f>IF(M8&gt;0,(AG8+AP8)/M8,0)</f>
        <v>1.8293304063581592E-3</v>
      </c>
      <c r="AF8" s="16">
        <v>1.9000000000000001E-4</v>
      </c>
      <c r="AG8" s="23">
        <f t="shared" ref="AG8:AG10" si="18">AF8*M8</f>
        <v>2.9643800000000002</v>
      </c>
      <c r="AH8" s="92">
        <v>0.21190000000000001</v>
      </c>
      <c r="AI8" s="29">
        <f t="shared" ref="AI8:AI10" si="19">AL8*(1-AM8)*AH8</f>
        <v>25.149563400000002</v>
      </c>
      <c r="AJ8" s="27">
        <f t="shared" ref="AJ8:AJ10" si="20">IF(AND(AH8&gt;0,AF8&gt;0,AC8&gt;0),((AC8-AF8)*AH8)/((AH8-AF8)*AC8),0)</f>
        <v>0.91326127145057789</v>
      </c>
      <c r="AK8" s="58">
        <f t="shared" si="6"/>
        <v>0.89692765473966063</v>
      </c>
      <c r="AL8" s="157">
        <v>131</v>
      </c>
      <c r="AM8" s="13">
        <v>9.4E-2</v>
      </c>
      <c r="AN8" s="14">
        <v>0.2155</v>
      </c>
      <c r="AO8" s="101">
        <v>0.21179999999999999</v>
      </c>
      <c r="AP8" s="29">
        <f>AL8*(1-AM8)*AN8</f>
        <v>25.576833000000001</v>
      </c>
      <c r="AQ8" s="102">
        <f t="shared" ref="AQ8:AQ70" si="21">AL8*(1-AM8)*AO8</f>
        <v>25.137694799999998</v>
      </c>
      <c r="AR8" s="18">
        <v>1.75</v>
      </c>
      <c r="AS8" s="18">
        <v>868.82</v>
      </c>
      <c r="AT8" s="79">
        <f>AT6+AL8-AS8+AU8</f>
        <v>1.6799999999993318</v>
      </c>
      <c r="AU8" s="130">
        <v>-44.18</v>
      </c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0" t="s">
        <v>58</v>
      </c>
      <c r="D9" s="33">
        <v>23200</v>
      </c>
      <c r="E9" s="33">
        <v>2</v>
      </c>
      <c r="F9" s="33">
        <v>14810</v>
      </c>
      <c r="G9" s="34">
        <v>0.9</v>
      </c>
      <c r="H9" s="34">
        <v>5.3</v>
      </c>
      <c r="I9" s="33">
        <v>14330</v>
      </c>
      <c r="J9" s="34">
        <v>5.8</v>
      </c>
      <c r="K9" s="33">
        <v>16247</v>
      </c>
      <c r="L9" s="35">
        <v>6.2E-2</v>
      </c>
      <c r="M9" s="36">
        <f>ROUND(K9*(1-L9),0)</f>
        <v>15240</v>
      </c>
      <c r="N9" s="37">
        <v>0.69299999999999995</v>
      </c>
      <c r="O9" s="24">
        <f t="shared" si="11"/>
        <v>10561.32</v>
      </c>
      <c r="P9" s="35">
        <v>0.23400000000000001</v>
      </c>
      <c r="Q9" s="24">
        <f t="shared" si="12"/>
        <v>3566.1600000000003</v>
      </c>
      <c r="R9" s="38">
        <v>7.2999999999999995E-2</v>
      </c>
      <c r="S9" s="105">
        <v>0.21299999999999999</v>
      </c>
      <c r="T9" s="24">
        <f t="shared" si="13"/>
        <v>1112.52</v>
      </c>
      <c r="U9" s="27">
        <v>0.25</v>
      </c>
      <c r="V9" s="24">
        <f t="shared" si="14"/>
        <v>3810</v>
      </c>
      <c r="W9" s="38">
        <v>0.45900000000000002</v>
      </c>
      <c r="X9" s="24">
        <f t="shared" si="15"/>
        <v>6995.16</v>
      </c>
      <c r="Y9" s="38">
        <v>0.45</v>
      </c>
      <c r="Z9" s="24">
        <f t="shared" si="16"/>
        <v>6858</v>
      </c>
      <c r="AA9" s="117">
        <v>2E-3</v>
      </c>
      <c r="AB9" s="18">
        <f t="shared" ref="AB9:AB10" si="22">M9*AA9</f>
        <v>30.48</v>
      </c>
      <c r="AC9" s="39">
        <v>1.82E-3</v>
      </c>
      <c r="AD9" s="17">
        <f t="shared" si="17"/>
        <v>27.736799999999999</v>
      </c>
      <c r="AE9" s="26">
        <f>IF(M9&gt;0,(AG9+AP9)/M9,0)</f>
        <v>2.4501000000000002E-3</v>
      </c>
      <c r="AF9" s="39">
        <v>1.8000000000000001E-4</v>
      </c>
      <c r="AG9" s="36">
        <f t="shared" si="18"/>
        <v>2.7432000000000003</v>
      </c>
      <c r="AH9" s="27">
        <v>0.21479999999999999</v>
      </c>
      <c r="AI9" s="40">
        <f t="shared" si="19"/>
        <v>34.372295999999999</v>
      </c>
      <c r="AJ9" s="27">
        <f t="shared" si="20"/>
        <v>0.90185464521500314</v>
      </c>
      <c r="AK9" s="28">
        <f t="shared" si="6"/>
        <v>0.92730565073024784</v>
      </c>
      <c r="AL9" s="42">
        <v>180</v>
      </c>
      <c r="AM9" s="158">
        <v>0.111</v>
      </c>
      <c r="AN9" s="37">
        <v>0.2162</v>
      </c>
      <c r="AO9" s="103">
        <v>0.21629999999999999</v>
      </c>
      <c r="AP9" s="40">
        <f>AL9*(1-AM9)*AN9</f>
        <v>34.596324000000003</v>
      </c>
      <c r="AQ9" s="104">
        <f t="shared" si="21"/>
        <v>34.612326000000003</v>
      </c>
      <c r="AR9" s="41">
        <v>1.8</v>
      </c>
      <c r="AS9" s="41"/>
      <c r="AT9" s="88">
        <f>AT8+AL9-AS9</f>
        <v>181.67999999999932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53</v>
      </c>
      <c r="D10" s="42">
        <v>13300</v>
      </c>
      <c r="E10" s="42">
        <v>1</v>
      </c>
      <c r="F10" s="42">
        <v>16694</v>
      </c>
      <c r="G10" s="36">
        <v>0.6</v>
      </c>
      <c r="H10" s="36">
        <v>5</v>
      </c>
      <c r="I10" s="42">
        <v>16360</v>
      </c>
      <c r="J10" s="36">
        <v>4.9000000000000004</v>
      </c>
      <c r="K10" s="42">
        <v>16763</v>
      </c>
      <c r="L10" s="38">
        <v>6.2E-2</v>
      </c>
      <c r="M10" s="36">
        <f>ROUND(K10*(1-L10),0)</f>
        <v>15724</v>
      </c>
      <c r="N10" s="27">
        <v>0.71599999999999997</v>
      </c>
      <c r="O10" s="24">
        <f t="shared" si="11"/>
        <v>11258.384</v>
      </c>
      <c r="P10" s="38">
        <v>0.219</v>
      </c>
      <c r="Q10" s="24">
        <f t="shared" si="12"/>
        <v>3443.556</v>
      </c>
      <c r="R10" s="38">
        <v>6.5000000000000002E-2</v>
      </c>
      <c r="S10" s="105">
        <v>0.2011</v>
      </c>
      <c r="T10" s="24">
        <f t="shared" si="13"/>
        <v>1022.0600000000001</v>
      </c>
      <c r="U10" s="27">
        <v>0.26800000000000002</v>
      </c>
      <c r="V10" s="24">
        <f t="shared" si="14"/>
        <v>4214.0320000000002</v>
      </c>
      <c r="W10" s="38">
        <v>0.46500000000000002</v>
      </c>
      <c r="X10" s="24">
        <f t="shared" si="15"/>
        <v>7311.6600000000008</v>
      </c>
      <c r="Y10" s="38">
        <v>0.45</v>
      </c>
      <c r="Z10" s="24">
        <f t="shared" si="16"/>
        <v>7075.8</v>
      </c>
      <c r="AA10" s="118">
        <v>1.9300000000000001E-3</v>
      </c>
      <c r="AB10" s="121">
        <f t="shared" si="22"/>
        <v>30.34732</v>
      </c>
      <c r="AC10" s="45">
        <v>1.92E-3</v>
      </c>
      <c r="AD10" s="17">
        <f t="shared" si="17"/>
        <v>30.190080000000002</v>
      </c>
      <c r="AE10" s="26">
        <f>IF(M10&gt;0,(AG10+AP10)/M10,0)</f>
        <v>1.9609027728313411E-3</v>
      </c>
      <c r="AF10" s="45">
        <v>2.0000000000000001E-4</v>
      </c>
      <c r="AG10" s="36">
        <f t="shared" si="18"/>
        <v>3.1448</v>
      </c>
      <c r="AH10" s="27">
        <v>0.2137</v>
      </c>
      <c r="AI10" s="40">
        <f t="shared" si="19"/>
        <v>27.818611200000003</v>
      </c>
      <c r="AJ10" s="27">
        <f t="shared" si="20"/>
        <v>0.89667252146760335</v>
      </c>
      <c r="AK10" s="28">
        <f t="shared" si="6"/>
        <v>0.8988513441404179</v>
      </c>
      <c r="AL10" s="42">
        <v>144</v>
      </c>
      <c r="AM10" s="38">
        <v>9.6000000000000002E-2</v>
      </c>
      <c r="AN10" s="27">
        <v>0.2127</v>
      </c>
      <c r="AO10" s="105">
        <v>0.2112</v>
      </c>
      <c r="AP10" s="40">
        <f>AL10*(1-AM10)*AN10</f>
        <v>27.688435200000004</v>
      </c>
      <c r="AQ10" s="106">
        <f t="shared" si="21"/>
        <v>27.493171200000003</v>
      </c>
      <c r="AR10" s="17">
        <v>1.5</v>
      </c>
      <c r="AS10" s="17"/>
      <c r="AT10" s="88">
        <f>AT9+AL10-AS10</f>
        <v>325.67999999999932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41728</v>
      </c>
      <c r="E11" s="49"/>
      <c r="F11" s="49">
        <f t="shared" ref="F11" si="24">SUM(F8:F10)</f>
        <v>46677</v>
      </c>
      <c r="G11" s="50"/>
      <c r="H11" s="50"/>
      <c r="I11" s="49">
        <f t="shared" ref="I11:K11" si="25">SUM(I8:I10)</f>
        <v>45408</v>
      </c>
      <c r="J11" s="50"/>
      <c r="K11" s="49">
        <f t="shared" si="25"/>
        <v>49661</v>
      </c>
      <c r="L11" s="20">
        <f t="shared" ref="L11" si="26">IF(K11&gt;0,(K8*L8+K9*L9+K10*L10)/K11,0)</f>
        <v>6.2335293288495998E-2</v>
      </c>
      <c r="M11" s="50">
        <f t="shared" ref="M11" si="27">M8+M9+M10</f>
        <v>46566</v>
      </c>
      <c r="N11" s="51">
        <f t="shared" ref="N11" si="28">IF(M11&gt;0,O11/M11,0)</f>
        <v>0.71081797878280284</v>
      </c>
      <c r="O11" s="52">
        <f t="shared" ref="O11" si="29">O8+O9+O10</f>
        <v>33099.949999999997</v>
      </c>
      <c r="P11" s="20">
        <f t="shared" ref="P11" si="30">IF(M11&gt;0,Q11/M11,0)</f>
        <v>0.23027513636558863</v>
      </c>
      <c r="Q11" s="52">
        <f t="shared" ref="Q11" si="31">Q8+Q9+Q10</f>
        <v>10722.992</v>
      </c>
      <c r="R11" s="20">
        <f t="shared" ref="R11" si="32">IF(M11&gt;0,T11/M11,0)</f>
        <v>5.8906884851608471E-2</v>
      </c>
      <c r="S11" s="107"/>
      <c r="T11" s="52">
        <f t="shared" ref="T11" si="33">T8+T9+T10</f>
        <v>2743.058</v>
      </c>
      <c r="U11" s="20">
        <f t="shared" ref="U11" si="34">IF(M11&gt;0,V11/M11,0)</f>
        <v>0.2587584933213074</v>
      </c>
      <c r="V11" s="52">
        <f t="shared" ref="V11" si="35">V8+V9+V10</f>
        <v>12049.348000000002</v>
      </c>
      <c r="W11" s="20">
        <f t="shared" ref="W11" si="36">IF(M11&gt;0,X11/M11,0)</f>
        <v>0.46471159214877805</v>
      </c>
      <c r="X11" s="52">
        <f t="shared" ref="X11" si="37">X8+X9+X10</f>
        <v>21639.759999999998</v>
      </c>
      <c r="Y11" s="20">
        <f t="shared" ref="Y11" si="38">IF(M11&gt;0,Z11/M11,0)</f>
        <v>0.44329897349997854</v>
      </c>
      <c r="Z11" s="52">
        <f t="shared" ref="Z11" si="39">Z8+Z9+Z10</f>
        <v>20642.66</v>
      </c>
      <c r="AA11" s="119">
        <f t="shared" ref="AA11" si="40">IF(M11&gt;0,AB11/M11,0)</f>
        <v>2.1003320018897907E-3</v>
      </c>
      <c r="AB11" s="54">
        <f t="shared" ref="AB11" si="41">SUM(AB8:AB10)</f>
        <v>97.804059999999993</v>
      </c>
      <c r="AC11" s="53">
        <f t="shared" ref="AC11" si="42">IF(M11&gt;0,AD11/M11,0)</f>
        <v>1.9710350899798134E-3</v>
      </c>
      <c r="AD11" s="54">
        <f t="shared" ref="AD11" si="43">SUM(AD8:AD10)</f>
        <v>91.78322</v>
      </c>
      <c r="AE11" s="53">
        <f t="shared" ref="AE11" si="44">IF(M11&gt;0,(AE8*M8+AE9*M9+AE10*M10)/M11,0)</f>
        <v>2.0769224799209729E-3</v>
      </c>
      <c r="AF11" s="53">
        <f t="shared" ref="AF11" si="45">IF(K11&gt;0,(K8*AF8+K9*AF9+K10*AF10)/K11,0)</f>
        <v>1.9010390447232238E-4</v>
      </c>
      <c r="AG11" s="50">
        <f t="shared" ref="AG11" si="46">SUM(AG8:AG10)</f>
        <v>8.8523800000000001</v>
      </c>
      <c r="AH11" s="51">
        <f t="shared" ref="AH11" si="47">IF(K11&gt;0,(K8*AH8+K9*AH9+K10*AH10)/K11,0)</f>
        <v>0.21345634602605665</v>
      </c>
      <c r="AI11" s="56">
        <f t="shared" ref="AI11" si="48">SUM(AI8:AI10)</f>
        <v>87.340470600000003</v>
      </c>
      <c r="AJ11" s="51">
        <f t="shared" ref="AJ11" si="49">IF(AND(AD11&gt;0),((AD8*AJ8+AD9*AJ9+AD10*AJ10)/AD11),0)</f>
        <v>0.90435769409017497</v>
      </c>
      <c r="AK11" s="55">
        <f t="shared" si="6"/>
        <v>0.90927325637198597</v>
      </c>
      <c r="AL11" s="49">
        <f t="shared" ref="AL11" si="50">SUM(AL8:AL10)</f>
        <v>455</v>
      </c>
      <c r="AM11" s="20">
        <f t="shared" ref="AM11" si="51">IF(AL11&gt;0,(AM8*AL8+AM9*AL9+AM10*AL10)/AL11,0)</f>
        <v>0.10135824175824175</v>
      </c>
      <c r="AN11" s="51">
        <f>IF(K11&gt;0,(AN8*K8+AN9*K9+AN10*K10)/K11,0)</f>
        <v>0.21478387467026441</v>
      </c>
      <c r="AO11" s="107">
        <f>IF(K11&gt;0,(AO8*K8+AO9*K9+AO10*K10)/K11,0)</f>
        <v>0.21306968244699062</v>
      </c>
      <c r="AP11" s="56">
        <f t="shared" ref="AP11:AQ23" si="52">SUM(AP8:AP10)</f>
        <v>87.861592200000004</v>
      </c>
      <c r="AQ11" s="108">
        <f t="shared" si="52"/>
        <v>87.243192000000008</v>
      </c>
      <c r="AR11" s="54"/>
      <c r="AS11" s="54">
        <f t="shared" ref="AS11" si="53">SUM(AS8:AS10)</f>
        <v>868.82</v>
      </c>
      <c r="AT11" s="83"/>
      <c r="AU11" s="84">
        <f>AT10</f>
        <v>325.67999999999932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59</v>
      </c>
      <c r="D12" s="11">
        <v>4360</v>
      </c>
      <c r="E12" s="11">
        <v>3</v>
      </c>
      <c r="F12" s="11">
        <v>14572</v>
      </c>
      <c r="G12" s="12">
        <v>1.7</v>
      </c>
      <c r="H12" s="12">
        <v>5.9</v>
      </c>
      <c r="I12" s="11">
        <v>14426</v>
      </c>
      <c r="J12" s="12">
        <v>5.6</v>
      </c>
      <c r="K12" s="11">
        <v>16881</v>
      </c>
      <c r="L12" s="13">
        <v>6.4000000000000001E-2</v>
      </c>
      <c r="M12" s="23">
        <f>ROUND(K12*(1-L12),0)</f>
        <v>15801</v>
      </c>
      <c r="N12" s="14">
        <v>0.60099999999999998</v>
      </c>
      <c r="O12" s="24">
        <f t="shared" ref="O12:O14" si="55">M12*N12</f>
        <v>9496.4009999999998</v>
      </c>
      <c r="P12" s="13">
        <v>0.30599999999999999</v>
      </c>
      <c r="Q12" s="24">
        <f t="shared" ref="Q12:Q14" si="56">M12*P12</f>
        <v>4835.1059999999998</v>
      </c>
      <c r="R12" s="15">
        <v>9.2999999999999999E-2</v>
      </c>
      <c r="S12" s="112">
        <v>0.21</v>
      </c>
      <c r="T12" s="24">
        <f t="shared" ref="T12:T14" si="57">M12*R12</f>
        <v>1469.4929999999999</v>
      </c>
      <c r="U12" s="25">
        <v>0.26600000000000001</v>
      </c>
      <c r="V12" s="24">
        <f t="shared" ref="V12:V14" si="58">M12*U12</f>
        <v>4203.0659999999998</v>
      </c>
      <c r="W12" s="15">
        <v>0.47899999999999998</v>
      </c>
      <c r="X12" s="24">
        <f t="shared" ref="X12:X14" si="59">M12*W12</f>
        <v>7568.6790000000001</v>
      </c>
      <c r="Y12" s="15">
        <v>0.46</v>
      </c>
      <c r="Z12" s="24">
        <f t="shared" ref="Z12:Z14" si="60">Y12*M12</f>
        <v>7268.46</v>
      </c>
      <c r="AA12" s="116">
        <v>1.99E-3</v>
      </c>
      <c r="AB12" s="18">
        <f t="shared" ref="AB12:AB74" si="61">M12*AA12</f>
        <v>31.443989999999999</v>
      </c>
      <c r="AC12" s="16">
        <v>1.98E-3</v>
      </c>
      <c r="AD12" s="17">
        <f t="shared" ref="AD12:AD14" si="62">M12*AC12</f>
        <v>31.285979999999999</v>
      </c>
      <c r="AE12" s="26">
        <f>IF(M12&gt;0,(AG12+AP12)/M12,0)</f>
        <v>2.3080862223909876E-3</v>
      </c>
      <c r="AF12" s="16">
        <v>2.4000000000000001E-4</v>
      </c>
      <c r="AG12" s="23">
        <f t="shared" ref="AG12:AG14" si="63">AF12*M12</f>
        <v>3.7922400000000001</v>
      </c>
      <c r="AH12" s="92">
        <v>0.20949999999999999</v>
      </c>
      <c r="AI12" s="29">
        <f t="shared" ref="AI12:AI14" si="64">AL12*(1-AM12)*AH12</f>
        <v>31.577515999999999</v>
      </c>
      <c r="AJ12" s="27">
        <f t="shared" ref="AJ12:AJ14" si="65">IF(AND(AH12&gt;0,AF12&gt;0,AC12&gt;0),((AC12-AF12)*AH12)/((AH12-AF12)*AC12),0)</f>
        <v>0.87979575937140697</v>
      </c>
      <c r="AK12" s="58">
        <f t="shared" si="6"/>
        <v>0.8970107502231689</v>
      </c>
      <c r="AL12" s="11">
        <v>166</v>
      </c>
      <c r="AM12" s="13">
        <v>9.1999999999999998E-2</v>
      </c>
      <c r="AN12" s="14">
        <v>0.21679999999999999</v>
      </c>
      <c r="AO12" s="101">
        <v>0.2089</v>
      </c>
      <c r="AP12" s="29">
        <f>AL12*(1-AM12)*AN12</f>
        <v>32.677830399999998</v>
      </c>
      <c r="AQ12" s="102">
        <f t="shared" ref="AQ12" si="66">AL12*(1-AM12)*AO12</f>
        <v>31.487079200000004</v>
      </c>
      <c r="AR12" s="18">
        <v>1.55</v>
      </c>
      <c r="AS12" s="18">
        <v>512.44000000000005</v>
      </c>
      <c r="AT12" s="79">
        <f>AT10+AL12-AS12+AU12</f>
        <v>1.6799999999992714</v>
      </c>
      <c r="AU12" s="128">
        <v>22.44</v>
      </c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43" t="s">
        <v>55</v>
      </c>
      <c r="D13" s="33">
        <v>19400</v>
      </c>
      <c r="E13" s="33">
        <v>7</v>
      </c>
      <c r="F13" s="33">
        <v>16144</v>
      </c>
      <c r="G13" s="34">
        <v>0.3</v>
      </c>
      <c r="H13" s="34">
        <v>4.8</v>
      </c>
      <c r="I13" s="33">
        <v>15841</v>
      </c>
      <c r="J13" s="34">
        <v>5.5</v>
      </c>
      <c r="K13" s="33">
        <v>16883</v>
      </c>
      <c r="L13" s="35">
        <v>6.9000000000000006E-2</v>
      </c>
      <c r="M13" s="36">
        <f>ROUND(K13*(1-L13),0)</f>
        <v>15718</v>
      </c>
      <c r="N13" s="37">
        <v>0.67800000000000005</v>
      </c>
      <c r="O13" s="24">
        <f t="shared" si="55"/>
        <v>10656.804</v>
      </c>
      <c r="P13" s="35">
        <v>0.26</v>
      </c>
      <c r="Q13" s="24">
        <f t="shared" si="56"/>
        <v>4086.6800000000003</v>
      </c>
      <c r="R13" s="38">
        <v>6.2E-2</v>
      </c>
      <c r="S13" s="105">
        <v>0.22</v>
      </c>
      <c r="T13" s="24">
        <f t="shared" si="57"/>
        <v>974.51599999999996</v>
      </c>
      <c r="U13" s="27">
        <v>0.26100000000000001</v>
      </c>
      <c r="V13" s="24">
        <f t="shared" si="58"/>
        <v>4102.3980000000001</v>
      </c>
      <c r="W13" s="38">
        <v>0.46700000000000003</v>
      </c>
      <c r="X13" s="24">
        <f t="shared" si="59"/>
        <v>7340.3060000000005</v>
      </c>
      <c r="Y13" s="38">
        <v>0.46</v>
      </c>
      <c r="Z13" s="24">
        <f t="shared" si="60"/>
        <v>7230.2800000000007</v>
      </c>
      <c r="AA13" s="117">
        <v>2.2699999999999999E-3</v>
      </c>
      <c r="AB13" s="18">
        <f t="shared" si="61"/>
        <v>35.679859999999998</v>
      </c>
      <c r="AC13" s="39">
        <v>2E-3</v>
      </c>
      <c r="AD13" s="17">
        <f t="shared" si="62"/>
        <v>31.436</v>
      </c>
      <c r="AE13" s="26">
        <f>IF(M13&gt;0,(AG13+AP13)/M13,0)</f>
        <v>2.4677414429316704E-3</v>
      </c>
      <c r="AF13" s="39">
        <v>2.5000000000000001E-4</v>
      </c>
      <c r="AG13" s="36">
        <f t="shared" si="63"/>
        <v>3.9295</v>
      </c>
      <c r="AH13" s="27">
        <v>0.21440000000000001</v>
      </c>
      <c r="AI13" s="40">
        <f t="shared" si="64"/>
        <v>34.923616000000003</v>
      </c>
      <c r="AJ13" s="27">
        <f t="shared" si="65"/>
        <v>0.87602148027083826</v>
      </c>
      <c r="AK13" s="28">
        <f t="shared" si="6"/>
        <v>0.89974389291560997</v>
      </c>
      <c r="AL13" s="33">
        <v>179</v>
      </c>
      <c r="AM13" s="35">
        <v>0.09</v>
      </c>
      <c r="AN13" s="37">
        <v>0.214</v>
      </c>
      <c r="AO13" s="103">
        <v>0.20619999999999999</v>
      </c>
      <c r="AP13" s="40">
        <f>AL13*(1-AM13)*AN13</f>
        <v>34.858460000000001</v>
      </c>
      <c r="AQ13" s="104">
        <f t="shared" si="21"/>
        <v>33.587918000000002</v>
      </c>
      <c r="AR13" s="41">
        <v>1.55</v>
      </c>
      <c r="AS13" s="41"/>
      <c r="AT13" s="88">
        <f>AT12+AL13-AS13</f>
        <v>180.67999999999927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53</v>
      </c>
      <c r="D14" s="42">
        <v>19700</v>
      </c>
      <c r="E14" s="42">
        <v>7</v>
      </c>
      <c r="F14" s="42">
        <v>17781</v>
      </c>
      <c r="G14" s="36">
        <v>0.5</v>
      </c>
      <c r="H14" s="36">
        <v>4.4000000000000004</v>
      </c>
      <c r="I14" s="42">
        <v>17698</v>
      </c>
      <c r="J14" s="36">
        <v>4.9000000000000004</v>
      </c>
      <c r="K14" s="42">
        <v>16862</v>
      </c>
      <c r="L14" s="38">
        <v>5.6000000000000001E-2</v>
      </c>
      <c r="M14" s="36">
        <f>ROUND(K14*(1-L14),0)</f>
        <v>15918</v>
      </c>
      <c r="N14" s="27">
        <v>0.72799999999999998</v>
      </c>
      <c r="O14" s="24">
        <f t="shared" si="55"/>
        <v>11588.304</v>
      </c>
      <c r="P14" s="38">
        <v>0.193</v>
      </c>
      <c r="Q14" s="24">
        <f t="shared" si="56"/>
        <v>3072.174</v>
      </c>
      <c r="R14" s="38">
        <v>7.9000000000000001E-2</v>
      </c>
      <c r="S14" s="105">
        <v>0.21540000000000001</v>
      </c>
      <c r="T14" s="24">
        <f t="shared" si="57"/>
        <v>1257.5219999999999</v>
      </c>
      <c r="U14" s="27">
        <v>0.26700000000000002</v>
      </c>
      <c r="V14" s="24">
        <f t="shared" si="58"/>
        <v>4250.1060000000007</v>
      </c>
      <c r="W14" s="38">
        <v>0.46899999999999997</v>
      </c>
      <c r="X14" s="24">
        <f t="shared" si="59"/>
        <v>7465.5419999999995</v>
      </c>
      <c r="Y14" s="38">
        <v>0.45</v>
      </c>
      <c r="Z14" s="24">
        <f t="shared" si="60"/>
        <v>7163.1</v>
      </c>
      <c r="AA14" s="118">
        <v>2.3600000000000001E-3</v>
      </c>
      <c r="AB14" s="121">
        <f t="shared" si="61"/>
        <v>37.566479999999999</v>
      </c>
      <c r="AC14" s="45">
        <v>2.2899999999999999E-3</v>
      </c>
      <c r="AD14" s="17">
        <f t="shared" si="62"/>
        <v>36.452219999999997</v>
      </c>
      <c r="AE14" s="26">
        <f>IF(M14&gt;0,(AG14+AP14)/M14,0)</f>
        <v>2.6142266930518909E-3</v>
      </c>
      <c r="AF14" s="45">
        <v>2.5999999999999998E-4</v>
      </c>
      <c r="AG14" s="36">
        <f t="shared" si="63"/>
        <v>4.1386799999999999</v>
      </c>
      <c r="AH14" s="27">
        <v>0.21279999999999999</v>
      </c>
      <c r="AI14" s="40">
        <f t="shared" si="64"/>
        <v>36.100456000000001</v>
      </c>
      <c r="AJ14" s="27">
        <f t="shared" si="65"/>
        <v>0.88754729138065158</v>
      </c>
      <c r="AK14" s="28">
        <f t="shared" si="6"/>
        <v>0.90160539513789562</v>
      </c>
      <c r="AL14" s="42">
        <v>185</v>
      </c>
      <c r="AM14" s="38">
        <v>8.3000000000000004E-2</v>
      </c>
      <c r="AN14" s="27">
        <v>0.22090000000000001</v>
      </c>
      <c r="AO14" s="105">
        <v>0.2112</v>
      </c>
      <c r="AP14" s="40">
        <f>AL14*(1-AM14)*AN14</f>
        <v>37.474580500000002</v>
      </c>
      <c r="AQ14" s="106">
        <f t="shared" si="21"/>
        <v>35.829024000000004</v>
      </c>
      <c r="AR14" s="17">
        <v>1.6</v>
      </c>
      <c r="AS14" s="17"/>
      <c r="AT14" s="88">
        <f>AT13+AL14-AS14</f>
        <v>365.67999999999927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43460</v>
      </c>
      <c r="E15" s="49"/>
      <c r="F15" s="49">
        <f t="shared" ref="F15" si="68">SUM(F12:F14)</f>
        <v>48497</v>
      </c>
      <c r="G15" s="50"/>
      <c r="H15" s="50"/>
      <c r="I15" s="49">
        <f t="shared" ref="I15:K15" si="69">SUM(I12:I14)</f>
        <v>47965</v>
      </c>
      <c r="J15" s="50"/>
      <c r="K15" s="49">
        <f t="shared" si="69"/>
        <v>50626</v>
      </c>
      <c r="L15" s="20">
        <f t="shared" ref="L15" si="70">IF(K15&gt;0,(K12*L12+K13*L13+K14*L14)/K15,0)</f>
        <v>6.3002864140955239E-2</v>
      </c>
      <c r="M15" s="50">
        <f t="shared" ref="M15" si="71">M12+M13+M14</f>
        <v>47437</v>
      </c>
      <c r="N15" s="51">
        <f t="shared" ref="N15" si="72">IF(M15&gt;0,O15/M15,0)</f>
        <v>0.6691297721188102</v>
      </c>
      <c r="O15" s="52">
        <f t="shared" ref="O15" si="73">O12+O13+O14</f>
        <v>31741.509000000002</v>
      </c>
      <c r="P15" s="20">
        <f t="shared" ref="P15" si="74">IF(M15&gt;0,Q15/M15,0)</f>
        <v>0.25283976642705058</v>
      </c>
      <c r="Q15" s="52">
        <f t="shared" ref="Q15" si="75">Q12+Q13+Q14</f>
        <v>11993.96</v>
      </c>
      <c r="R15" s="20">
        <f t="shared" ref="R15" si="76">IF(M15&gt;0,T15/M15,0)</f>
        <v>7.8030461454139166E-2</v>
      </c>
      <c r="S15" s="107"/>
      <c r="T15" s="52">
        <f t="shared" ref="T15" si="77">T12+T13+T14</f>
        <v>3701.5309999999999</v>
      </c>
      <c r="U15" s="20">
        <f t="shared" ref="U15" si="78">IF(M15&gt;0,V15/M15,0)</f>
        <v>0.26467883719459495</v>
      </c>
      <c r="V15" s="52">
        <f t="shared" ref="V15" si="79">V12+V13+V14</f>
        <v>12555.57</v>
      </c>
      <c r="W15" s="20">
        <f t="shared" ref="W15" si="80">IF(M15&gt;0,X15/M15,0)</f>
        <v>0.47166825473786289</v>
      </c>
      <c r="X15" s="52">
        <f t="shared" ref="X15" si="81">X12+X13+X14</f>
        <v>22374.527000000002</v>
      </c>
      <c r="Y15" s="20">
        <f t="shared" ref="Y15" si="82">IF(M15&gt;0,Z15/M15,0)</f>
        <v>0.45664439150873798</v>
      </c>
      <c r="Z15" s="52">
        <f t="shared" ref="Z15" si="83">Z12+Z13+Z14</f>
        <v>21661.840000000004</v>
      </c>
      <c r="AA15" s="119">
        <f t="shared" ref="AA15" si="84">IF(M15&gt;0,AB15/M15,0)</f>
        <v>2.2069340388304491E-3</v>
      </c>
      <c r="AB15" s="54">
        <f t="shared" ref="AB15" si="85">SUM(AB12:AB14)</f>
        <v>104.69033</v>
      </c>
      <c r="AC15" s="53">
        <f t="shared" ref="AC15" si="86">IF(M15&gt;0,AD15/M15,0)</f>
        <v>2.0906507578472501E-3</v>
      </c>
      <c r="AD15" s="54">
        <f t="shared" ref="AD15" si="87">SUM(AD12:AD14)</f>
        <v>99.174199999999999</v>
      </c>
      <c r="AE15" s="53">
        <f t="shared" ref="AE15" si="88">IF(M15&gt;0,(AE12*M12+AE13*M13+AE14*M14)/M15,0)</f>
        <v>2.4637158947656891E-3</v>
      </c>
      <c r="AF15" s="53">
        <f t="shared" ref="AF15" si="89">IF(K15&gt;0,(K12*AF12+K13*AF13+K14*AF14)/K15,0)</f>
        <v>2.4999624698771381E-4</v>
      </c>
      <c r="AG15" s="50">
        <f t="shared" ref="AG15" si="90">SUM(AG12:AG14)</f>
        <v>11.860420000000001</v>
      </c>
      <c r="AH15" s="51">
        <f t="shared" ref="AH15" si="91">IF(K15&gt;0,(K12*AH12+K13*AH13+K14*AH14)/K15,0)</f>
        <v>0.21223320625765416</v>
      </c>
      <c r="AI15" s="56">
        <f t="shared" ref="AI15" si="92">SUM(AI12:AI14)</f>
        <v>102.60158799999999</v>
      </c>
      <c r="AJ15" s="51">
        <f t="shared" ref="AJ15" si="93">IF(AND(AD15&gt;0),((AD12*AJ12+AD13*AJ13+AD14*AJ14)/AD15),0)</f>
        <v>0.88144853108353105</v>
      </c>
      <c r="AK15" s="55">
        <f t="shared" si="6"/>
        <v>0.89956402683600689</v>
      </c>
      <c r="AL15" s="49">
        <f t="shared" ref="AL15" si="94">SUM(AL12:AL14)</f>
        <v>530</v>
      </c>
      <c r="AM15" s="20">
        <f t="shared" ref="AM15" si="95">IF(AL15&gt;0,(AM12*AL12+AM13*AL13+AM14*AL14)/AL15,0)</f>
        <v>8.8183018867924512E-2</v>
      </c>
      <c r="AN15" s="51">
        <f>IF(K15&gt;0,(AN12*K12+AN13*K13+AN14*K14)/K15,0)</f>
        <v>0.21723182949472605</v>
      </c>
      <c r="AO15" s="107">
        <f>IF(K15&gt;0,(AO12*K12+AO13*K13+AO14*K14)/K15,0)</f>
        <v>0.20876565203650299</v>
      </c>
      <c r="AP15" s="56">
        <f t="shared" ref="AP15" si="96">SUM(AP12:AP14)</f>
        <v>105.0108709</v>
      </c>
      <c r="AQ15" s="108">
        <f t="shared" si="52"/>
        <v>100.90402120000002</v>
      </c>
      <c r="AR15" s="54"/>
      <c r="AS15" s="54">
        <f t="shared" ref="AS15" si="97">SUM(AS12:AS14)</f>
        <v>512.44000000000005</v>
      </c>
      <c r="AT15" s="83"/>
      <c r="AU15" s="84">
        <f>AT14</f>
        <v>365.67999999999927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0" t="s">
        <v>59</v>
      </c>
      <c r="D16" s="11">
        <v>3300</v>
      </c>
      <c r="E16" s="11">
        <v>4</v>
      </c>
      <c r="F16" s="11">
        <v>10894</v>
      </c>
      <c r="G16" s="12">
        <v>0.5</v>
      </c>
      <c r="H16" s="12">
        <v>6.6</v>
      </c>
      <c r="I16" s="11">
        <v>10115</v>
      </c>
      <c r="J16" s="12">
        <v>7.7</v>
      </c>
      <c r="K16" s="11">
        <v>16863</v>
      </c>
      <c r="L16" s="13">
        <v>6.8000000000000005E-2</v>
      </c>
      <c r="M16" s="23">
        <f>ROUND(K16*(1-L16),0)</f>
        <v>15716</v>
      </c>
      <c r="N16" s="14">
        <v>0.74099999999999999</v>
      </c>
      <c r="O16" s="24">
        <f t="shared" ref="O16:O18" si="99">M16*N16</f>
        <v>11645.556</v>
      </c>
      <c r="P16" s="13">
        <v>0.22600000000000001</v>
      </c>
      <c r="Q16" s="24">
        <f t="shared" ref="Q16:Q18" si="100">M16*P16</f>
        <v>3551.8160000000003</v>
      </c>
      <c r="R16" s="15">
        <v>3.3000000000000002E-2</v>
      </c>
      <c r="S16" s="112">
        <v>0.223</v>
      </c>
      <c r="T16" s="24">
        <f t="shared" ref="T16:T18" si="101">M16*R16</f>
        <v>518.62800000000004</v>
      </c>
      <c r="U16" s="25">
        <v>0.27100000000000002</v>
      </c>
      <c r="V16" s="24">
        <f t="shared" ref="V16:V18" si="102">M16*U16</f>
        <v>4259.0360000000001</v>
      </c>
      <c r="W16" s="15">
        <v>0.47699999999999998</v>
      </c>
      <c r="X16" s="24">
        <f t="shared" ref="X16:X18" si="103">M16*W16</f>
        <v>7496.5319999999992</v>
      </c>
      <c r="Y16" s="15">
        <v>0.46</v>
      </c>
      <c r="Z16" s="24">
        <f t="shared" ref="Z16:Z18" si="104">Y16*M16</f>
        <v>7229.3600000000006</v>
      </c>
      <c r="AA16" s="116">
        <v>2.3900000000000002E-3</v>
      </c>
      <c r="AB16" s="18">
        <f t="shared" ref="AB16" si="105">M16*AA16</f>
        <v>37.561240000000005</v>
      </c>
      <c r="AC16" s="16">
        <v>2.31E-3</v>
      </c>
      <c r="AD16" s="17">
        <f t="shared" ref="AD16:AD18" si="106">M16*AC16</f>
        <v>36.303959999999996</v>
      </c>
      <c r="AE16" s="26">
        <f>IF(M16&gt;0,(AG16+AP16)/M16,0)</f>
        <v>2.6633671163145837E-3</v>
      </c>
      <c r="AF16" s="16">
        <v>2.7999999999999998E-4</v>
      </c>
      <c r="AG16" s="23">
        <f t="shared" ref="AG16:AG18" si="107">AF16*M16</f>
        <v>4.4004799999999999</v>
      </c>
      <c r="AH16" s="92">
        <v>0.2162</v>
      </c>
      <c r="AI16" s="29">
        <f t="shared" ref="AI16:AI18" si="108">AL16*(1-AM16)*AH16</f>
        <v>36.709895199999998</v>
      </c>
      <c r="AJ16" s="27">
        <f t="shared" ref="AJ16:AJ18" si="109">IF(AND(AH16&gt;0,AF16&gt;0,AC16&gt;0),((AC16-AF16)*AH16)/((AH16-AF16)*AC16),0)</f>
        <v>0.87992747033132368</v>
      </c>
      <c r="AK16" s="58">
        <f t="shared" si="6"/>
        <v>0.89600719039110399</v>
      </c>
      <c r="AL16" s="11">
        <v>187</v>
      </c>
      <c r="AM16" s="13">
        <v>9.1999999999999998E-2</v>
      </c>
      <c r="AN16" s="14">
        <v>0.22059999999999999</v>
      </c>
      <c r="AO16" s="101">
        <v>0.2117</v>
      </c>
      <c r="AP16" s="29">
        <f>AL16*(1-AM16)*AN16</f>
        <v>37.456997599999994</v>
      </c>
      <c r="AQ16" s="102">
        <f t="shared" ref="AQ16" si="110">AL16*(1-AM16)*AO16</f>
        <v>35.945813199999996</v>
      </c>
      <c r="AR16" s="18">
        <v>1.6</v>
      </c>
      <c r="AS16" s="18">
        <v>551.44000000000005</v>
      </c>
      <c r="AT16" s="79">
        <f>AT14+AL16-AS16+AU16</f>
        <v>1.6799999999992132</v>
      </c>
      <c r="AU16" s="80">
        <v>0.44</v>
      </c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43" t="s">
        <v>55</v>
      </c>
      <c r="D17" s="33">
        <v>18531</v>
      </c>
      <c r="E17" s="33">
        <v>7</v>
      </c>
      <c r="F17" s="33">
        <v>14072</v>
      </c>
      <c r="G17" s="34">
        <v>0.9</v>
      </c>
      <c r="H17" s="34">
        <v>6.3</v>
      </c>
      <c r="I17" s="33">
        <v>13902</v>
      </c>
      <c r="J17" s="34">
        <v>9</v>
      </c>
      <c r="K17" s="33">
        <v>16759</v>
      </c>
      <c r="L17" s="35">
        <v>6.5000000000000002E-2</v>
      </c>
      <c r="M17" s="36">
        <f>ROUND(K17*(1-L17),0)</f>
        <v>15670</v>
      </c>
      <c r="N17" s="37">
        <v>0.61899999999999999</v>
      </c>
      <c r="O17" s="24">
        <f t="shared" si="99"/>
        <v>9699.73</v>
      </c>
      <c r="P17" s="35">
        <v>0.32500000000000001</v>
      </c>
      <c r="Q17" s="24">
        <f t="shared" si="100"/>
        <v>5092.75</v>
      </c>
      <c r="R17" s="38">
        <v>5.6000000000000001E-2</v>
      </c>
      <c r="S17" s="105">
        <v>0.2293</v>
      </c>
      <c r="T17" s="24">
        <f t="shared" si="101"/>
        <v>877.52</v>
      </c>
      <c r="U17" s="27">
        <v>0.26500000000000001</v>
      </c>
      <c r="V17" s="24">
        <f t="shared" si="102"/>
        <v>4152.55</v>
      </c>
      <c r="W17" s="38">
        <v>0.48499999999999999</v>
      </c>
      <c r="X17" s="24">
        <f t="shared" si="103"/>
        <v>7599.95</v>
      </c>
      <c r="Y17" s="38">
        <v>0.46</v>
      </c>
      <c r="Z17" s="24">
        <f t="shared" si="104"/>
        <v>7208.2000000000007</v>
      </c>
      <c r="AA17" s="117">
        <v>2.2599999999999999E-3</v>
      </c>
      <c r="AB17" s="18">
        <f t="shared" si="61"/>
        <v>35.414200000000001</v>
      </c>
      <c r="AC17" s="39">
        <v>2.15E-3</v>
      </c>
      <c r="AD17" s="17">
        <f t="shared" si="106"/>
        <v>33.6905</v>
      </c>
      <c r="AE17" s="26">
        <f>IF(M17&gt;0,(AG17+AP17)/M17,0)</f>
        <v>2.5975793235481813E-3</v>
      </c>
      <c r="AF17" s="39">
        <v>2.5000000000000001E-4</v>
      </c>
      <c r="AG17" s="36">
        <f t="shared" si="107"/>
        <v>3.9175</v>
      </c>
      <c r="AH17" s="27">
        <v>0.2135</v>
      </c>
      <c r="AI17" s="40">
        <f t="shared" si="108"/>
        <v>35.748440000000002</v>
      </c>
      <c r="AJ17" s="27">
        <f t="shared" si="109"/>
        <v>0.88475694539109562</v>
      </c>
      <c r="AK17" s="28">
        <f t="shared" si="6"/>
        <v>0.90478611836537615</v>
      </c>
      <c r="AL17" s="33">
        <v>184</v>
      </c>
      <c r="AM17" s="35">
        <v>0.09</v>
      </c>
      <c r="AN17" s="37">
        <v>0.21970000000000001</v>
      </c>
      <c r="AO17" s="103">
        <v>0.21510000000000001</v>
      </c>
      <c r="AP17" s="40">
        <f>AL17*(1-AM17)*AN17</f>
        <v>36.786568000000003</v>
      </c>
      <c r="AQ17" s="104">
        <f t="shared" si="21"/>
        <v>36.016344000000004</v>
      </c>
      <c r="AR17" s="41">
        <v>1.6</v>
      </c>
      <c r="AS17" s="41"/>
      <c r="AT17" s="88">
        <f>AT16+AL17-AS17</f>
        <v>185.67999999999921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43" t="s">
        <v>57</v>
      </c>
      <c r="D18" s="42">
        <v>18400</v>
      </c>
      <c r="E18" s="42">
        <v>6</v>
      </c>
      <c r="F18" s="42">
        <v>17242</v>
      </c>
      <c r="G18" s="36">
        <v>1</v>
      </c>
      <c r="H18" s="36">
        <v>5</v>
      </c>
      <c r="I18" s="42">
        <v>16794</v>
      </c>
      <c r="J18" s="36">
        <v>8.1999999999999993</v>
      </c>
      <c r="K18" s="42">
        <v>16779</v>
      </c>
      <c r="L18" s="38">
        <v>6.0999999999999999E-2</v>
      </c>
      <c r="M18" s="36">
        <f>ROUND(K18*(1-L18),0)</f>
        <v>15755</v>
      </c>
      <c r="N18" s="27">
        <v>0.66400000000000003</v>
      </c>
      <c r="O18" s="24">
        <f t="shared" si="99"/>
        <v>10461.32</v>
      </c>
      <c r="P18" s="38">
        <v>0.29799999999999999</v>
      </c>
      <c r="Q18" s="24">
        <f t="shared" si="100"/>
        <v>4694.99</v>
      </c>
      <c r="R18" s="38">
        <v>3.7999999999999999E-2</v>
      </c>
      <c r="S18" s="105">
        <v>0.21679999999999999</v>
      </c>
      <c r="T18" s="24">
        <f t="shared" si="101"/>
        <v>598.68999999999994</v>
      </c>
      <c r="U18" s="27">
        <v>0.26100000000000001</v>
      </c>
      <c r="V18" s="24">
        <f t="shared" si="102"/>
        <v>4112.0550000000003</v>
      </c>
      <c r="W18" s="38">
        <v>0.47699999999999998</v>
      </c>
      <c r="X18" s="24">
        <f t="shared" si="103"/>
        <v>7515.1349999999993</v>
      </c>
      <c r="Y18" s="38">
        <v>0.46</v>
      </c>
      <c r="Z18" s="24">
        <f t="shared" si="104"/>
        <v>7247.3</v>
      </c>
      <c r="AA18" s="118">
        <v>2.5100000000000001E-3</v>
      </c>
      <c r="AB18" s="121">
        <f t="shared" si="61"/>
        <v>39.545050000000003</v>
      </c>
      <c r="AC18" s="45">
        <v>2.5200000000000001E-3</v>
      </c>
      <c r="AD18" s="17">
        <f t="shared" si="106"/>
        <v>39.702600000000004</v>
      </c>
      <c r="AE18" s="26">
        <f>IF(M18&gt;0,(AG18+AP18)/M18,0)</f>
        <v>2.6161203427483336E-3</v>
      </c>
      <c r="AF18" s="45">
        <v>2.3000000000000001E-4</v>
      </c>
      <c r="AG18" s="36">
        <f t="shared" si="107"/>
        <v>3.62365</v>
      </c>
      <c r="AH18" s="27">
        <v>0.2162</v>
      </c>
      <c r="AI18" s="40">
        <f t="shared" si="108"/>
        <v>37.028141599999998</v>
      </c>
      <c r="AJ18" s="27">
        <f t="shared" si="109"/>
        <v>0.90969792247747527</v>
      </c>
      <c r="AK18" s="28">
        <f t="shared" si="6"/>
        <v>0.91304027154427703</v>
      </c>
      <c r="AL18" s="42">
        <v>188</v>
      </c>
      <c r="AM18" s="38">
        <v>8.8999999999999996E-2</v>
      </c>
      <c r="AN18" s="27">
        <v>0.2195</v>
      </c>
      <c r="AO18" s="105">
        <v>0.2117</v>
      </c>
      <c r="AP18" s="40">
        <f>AL18*(1-AM18)*AN18</f>
        <v>37.593325999999998</v>
      </c>
      <c r="AQ18" s="106">
        <f t="shared" si="21"/>
        <v>36.257435600000001</v>
      </c>
      <c r="AR18" s="17">
        <v>1.55</v>
      </c>
      <c r="AS18" s="17"/>
      <c r="AT18" s="88">
        <f>AT17+AL18-AS18</f>
        <v>373.67999999999921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40231</v>
      </c>
      <c r="E19" s="49"/>
      <c r="F19" s="49">
        <f t="shared" ref="F19" si="112">SUM(F16:F18)</f>
        <v>42208</v>
      </c>
      <c r="G19" s="50"/>
      <c r="H19" s="50"/>
      <c r="I19" s="49">
        <f t="shared" ref="I19:K19" si="113">SUM(I16:I18)</f>
        <v>40811</v>
      </c>
      <c r="J19" s="50"/>
      <c r="K19" s="49">
        <f t="shared" si="113"/>
        <v>50401</v>
      </c>
      <c r="L19" s="20">
        <f t="shared" ref="L19" si="114">IF(K19&gt;0,(K16*L16+K17*L17+K18*L18)/K19,0)</f>
        <v>6.4672089839487315E-2</v>
      </c>
      <c r="M19" s="50">
        <f t="shared" ref="M19" si="115">M16+M17+M18</f>
        <v>47141</v>
      </c>
      <c r="N19" s="51">
        <f t="shared" ref="N19" si="116">IF(M19&gt;0,O19/M19,0)</f>
        <v>0.67471216138817591</v>
      </c>
      <c r="O19" s="52">
        <f t="shared" ref="O19" si="117">O16+O17+O18</f>
        <v>31806.606</v>
      </c>
      <c r="P19" s="20">
        <f t="shared" ref="P19" si="118">IF(M19&gt;0,Q19/M19,0)</f>
        <v>0.28297142614709064</v>
      </c>
      <c r="Q19" s="52">
        <f t="shared" ref="Q19" si="119">Q16+Q17+Q18</f>
        <v>13339.556</v>
      </c>
      <c r="R19" s="20">
        <f t="shared" ref="R19" si="120">IF(M19&gt;0,T19/M19,0)</f>
        <v>4.2316412464733465E-2</v>
      </c>
      <c r="S19" s="107"/>
      <c r="T19" s="52">
        <f t="shared" ref="T19" si="121">T16+T17+T18</f>
        <v>1994.8380000000002</v>
      </c>
      <c r="U19" s="20">
        <f t="shared" ref="U19" si="122">IF(M19&gt;0,V19/M19,0)</f>
        <v>0.26566345643919304</v>
      </c>
      <c r="V19" s="52">
        <f t="shared" ref="V19" si="123">V16+V17+V18</f>
        <v>12523.641</v>
      </c>
      <c r="W19" s="20">
        <f t="shared" ref="W19" si="124">IF(M19&gt;0,X19/M19,0)</f>
        <v>0.47965925627373196</v>
      </c>
      <c r="X19" s="52">
        <f t="shared" ref="X19" si="125">X16+X17+X18</f>
        <v>22611.616999999998</v>
      </c>
      <c r="Y19" s="20">
        <f t="shared" ref="Y19" si="126">IF(M19&gt;0,Z19/M19,0)</f>
        <v>0.46</v>
      </c>
      <c r="Z19" s="52">
        <f t="shared" ref="Z19" si="127">Z16+Z17+Z18</f>
        <v>21684.86</v>
      </c>
      <c r="AA19" s="119">
        <f t="shared" ref="AA19" si="128">IF(M19&gt;0,AB19/M19,0)</f>
        <v>2.3868923018179507E-3</v>
      </c>
      <c r="AB19" s="54">
        <f t="shared" ref="AB19" si="129">SUM(AB16:AB18)</f>
        <v>112.52049000000001</v>
      </c>
      <c r="AC19" s="53">
        <f t="shared" ref="AC19" si="130">IF(M19&gt;0,AD19/M19,0)</f>
        <v>2.3269990029910269E-3</v>
      </c>
      <c r="AD19" s="54">
        <f t="shared" ref="AD19" si="131">SUM(AD16:AD18)</f>
        <v>109.69706000000001</v>
      </c>
      <c r="AE19" s="53">
        <f t="shared" ref="AE19" si="132">IF(M19&gt;0,(AE16*M16+AE17*M17+AE18*M18)/M19,0)</f>
        <v>2.6257084406355398E-3</v>
      </c>
      <c r="AF19" s="53">
        <f t="shared" ref="AF19" si="133">IF(K19&gt;0,(K16*AF16+K17*AF17+K18*AF18)/K19,0)</f>
        <v>2.5337909962103931E-4</v>
      </c>
      <c r="AG19" s="50">
        <f t="shared" ref="AG19" si="134">SUM(AG16:AG18)</f>
        <v>11.94163</v>
      </c>
      <c r="AH19" s="51">
        <f t="shared" ref="AH19" si="135">IF(K19&gt;0,(K16*AH16+K17*AH17+K18*AH18)/K19,0)</f>
        <v>0.21530221424178092</v>
      </c>
      <c r="AI19" s="56">
        <f t="shared" ref="AI19" si="136">SUM(AI16:AI18)</f>
        <v>109.48647679999999</v>
      </c>
      <c r="AJ19" s="51">
        <f t="shared" ref="AJ19" si="137">IF(AND(AD19&gt;0),((AD16*AJ16+AD17*AJ17+AD18*AJ18)/AD19),0)</f>
        <v>0.8921855179296736</v>
      </c>
      <c r="AK19" s="55">
        <f t="shared" si="6"/>
        <v>0.90454276511570464</v>
      </c>
      <c r="AL19" s="49">
        <f t="shared" ref="AL19" si="138">SUM(AL16:AL18)</f>
        <v>559</v>
      </c>
      <c r="AM19" s="20">
        <f t="shared" ref="AM19" si="139">IF(AL19&gt;0,(AM16*AL16+AM17*AL17+AM18*AL18)/AL19,0)</f>
        <v>9.0332737030411434E-2</v>
      </c>
      <c r="AN19" s="51">
        <f>IF(K19&gt;0,(AN16*K16+AN17*K17+AN18*K18)/K19,0)</f>
        <v>0.21993453701315449</v>
      </c>
      <c r="AO19" s="107">
        <f>IF(K19&gt;0,(AO16*K16+AO17*K17+AO18*K18)/K19,0)</f>
        <v>0.21283054502886845</v>
      </c>
      <c r="AP19" s="56">
        <f t="shared" ref="AP19" si="140">SUM(AP16:AP18)</f>
        <v>111.8368916</v>
      </c>
      <c r="AQ19" s="108">
        <f t="shared" si="52"/>
        <v>108.21959280000002</v>
      </c>
      <c r="AR19" s="54"/>
      <c r="AS19" s="54">
        <f t="shared" ref="AS19" si="141">SUM(AS16:AS18)</f>
        <v>551.44000000000005</v>
      </c>
      <c r="AT19" s="83"/>
      <c r="AU19" s="84">
        <f>AT18</f>
        <v>373.67999999999921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59</v>
      </c>
      <c r="D20" s="11">
        <v>8300</v>
      </c>
      <c r="E20" s="11">
        <v>6</v>
      </c>
      <c r="F20" s="11">
        <v>19240</v>
      </c>
      <c r="G20" s="12">
        <v>0.5</v>
      </c>
      <c r="H20" s="12">
        <v>5.0999999999999996</v>
      </c>
      <c r="I20" s="11">
        <v>18349</v>
      </c>
      <c r="J20" s="12">
        <v>6.5</v>
      </c>
      <c r="K20" s="11">
        <v>16843</v>
      </c>
      <c r="L20" s="13">
        <v>7.1999999999999995E-2</v>
      </c>
      <c r="M20" s="23">
        <f>ROUND(K20*(1-L20),0)</f>
        <v>15630</v>
      </c>
      <c r="N20" s="14">
        <v>0.73699999999999999</v>
      </c>
      <c r="O20" s="24">
        <f t="shared" ref="O20:O22" si="143">M20*N20</f>
        <v>11519.31</v>
      </c>
      <c r="P20" s="13">
        <v>0.21099999999999999</v>
      </c>
      <c r="Q20" s="24">
        <f t="shared" ref="Q20:Q22" si="144">M20*P20</f>
        <v>3297.93</v>
      </c>
      <c r="R20" s="15">
        <v>5.1999999999999998E-2</v>
      </c>
      <c r="S20" s="112">
        <v>0.20910000000000001</v>
      </c>
      <c r="T20" s="24">
        <f t="shared" ref="T20:T22" si="145">M20*R20</f>
        <v>812.76</v>
      </c>
      <c r="U20" s="25">
        <v>0.26200000000000001</v>
      </c>
      <c r="V20" s="24">
        <f t="shared" ref="V20:V22" si="146">M20*U20</f>
        <v>4095.06</v>
      </c>
      <c r="W20" s="15">
        <v>0.48</v>
      </c>
      <c r="X20" s="24">
        <f t="shared" ref="X20:X22" si="147">M20*W20</f>
        <v>7502.4</v>
      </c>
      <c r="Y20" s="15">
        <v>0.45</v>
      </c>
      <c r="Z20" s="24">
        <f t="shared" ref="Z20:Z22" si="148">Y20*M20</f>
        <v>7033.5</v>
      </c>
      <c r="AA20" s="116">
        <v>2.66E-3</v>
      </c>
      <c r="AB20" s="18">
        <f t="shared" ref="AB20" si="149">M20*AA20</f>
        <v>41.575800000000001</v>
      </c>
      <c r="AC20" s="16">
        <v>2.6199999999999999E-3</v>
      </c>
      <c r="AD20" s="17">
        <f t="shared" ref="AD20:AD22" si="150">M20*AC20</f>
        <v>40.950600000000001</v>
      </c>
      <c r="AE20" s="26">
        <f>IF(M20&gt;0,(AG20+AP20)/M20,0)</f>
        <v>2.9618728598848369E-3</v>
      </c>
      <c r="AF20" s="16">
        <v>2.5000000000000001E-4</v>
      </c>
      <c r="AG20" s="23">
        <f t="shared" ref="AG20:AG22" si="151">AF20*M20</f>
        <v>3.9075000000000002</v>
      </c>
      <c r="AH20" s="92">
        <v>0.20949999999999999</v>
      </c>
      <c r="AI20" s="29">
        <f t="shared" ref="AI20:AI22" si="152">AL20*(1-AM20)*AH20</f>
        <v>39.784887999999995</v>
      </c>
      <c r="AJ20" s="27">
        <f t="shared" ref="AJ20:AJ22" si="153">IF(AND(AH20&gt;0,AF20&gt;0,AC20&gt;0),((AC20-AF20)*AH20)/((AH20-AF20)*AC20),0)</f>
        <v>0.90566089359489976</v>
      </c>
      <c r="AK20" s="58">
        <f t="shared" si="6"/>
        <v>0.91662062699637004</v>
      </c>
      <c r="AL20" s="11">
        <v>208</v>
      </c>
      <c r="AM20" s="13">
        <v>8.6999999999999994E-2</v>
      </c>
      <c r="AN20" s="14">
        <v>0.22320000000000001</v>
      </c>
      <c r="AO20" s="101">
        <v>0.2147</v>
      </c>
      <c r="AP20" s="29">
        <f>AL20*(1-AM20)*AN20</f>
        <v>42.386572800000003</v>
      </c>
      <c r="AQ20" s="102">
        <f t="shared" ref="AQ20" si="154">AL20*(1-AM20)*AO20</f>
        <v>40.772388800000002</v>
      </c>
      <c r="AR20" s="18">
        <v>1.58</v>
      </c>
      <c r="AS20" s="18"/>
      <c r="AT20" s="79">
        <f>AT18+AL20-AS20</f>
        <v>581.67999999999915</v>
      </c>
      <c r="AU20" s="80"/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43" t="s">
        <v>55</v>
      </c>
      <c r="D21" s="33">
        <v>19000</v>
      </c>
      <c r="E21" s="33">
        <v>8</v>
      </c>
      <c r="F21" s="33">
        <v>12404</v>
      </c>
      <c r="G21" s="34">
        <v>1</v>
      </c>
      <c r="H21" s="34">
        <v>4.2</v>
      </c>
      <c r="I21" s="33">
        <v>12130</v>
      </c>
      <c r="J21" s="34">
        <v>8.8000000000000007</v>
      </c>
      <c r="K21" s="33">
        <v>16826</v>
      </c>
      <c r="L21" s="35">
        <v>6.6000000000000003E-2</v>
      </c>
      <c r="M21" s="36">
        <f>ROUND(K21*(1-L21),0)</f>
        <v>15715</v>
      </c>
      <c r="N21" s="37">
        <v>0.7</v>
      </c>
      <c r="O21" s="24">
        <f t="shared" si="143"/>
        <v>11000.5</v>
      </c>
      <c r="P21" s="35">
        <v>0.254</v>
      </c>
      <c r="Q21" s="24">
        <f t="shared" si="144"/>
        <v>3991.61</v>
      </c>
      <c r="R21" s="38">
        <v>4.5999999999999999E-2</v>
      </c>
      <c r="S21" s="105">
        <v>0.2089</v>
      </c>
      <c r="T21" s="24">
        <f t="shared" si="145"/>
        <v>722.89</v>
      </c>
      <c r="U21" s="27">
        <v>0.255</v>
      </c>
      <c r="V21" s="24">
        <f t="shared" si="146"/>
        <v>4007.3250000000003</v>
      </c>
      <c r="W21" s="38">
        <v>0.47599999999999998</v>
      </c>
      <c r="X21" s="24">
        <f t="shared" si="147"/>
        <v>7480.3399999999992</v>
      </c>
      <c r="Y21" s="38">
        <v>0.46</v>
      </c>
      <c r="Z21" s="24">
        <f t="shared" si="148"/>
        <v>7228.9000000000005</v>
      </c>
      <c r="AA21" s="117">
        <v>2.4599999999999999E-3</v>
      </c>
      <c r="AB21" s="18">
        <f t="shared" si="61"/>
        <v>38.658900000000003</v>
      </c>
      <c r="AC21" s="39">
        <v>2.48E-3</v>
      </c>
      <c r="AD21" s="17">
        <f t="shared" si="150"/>
        <v>38.973199999999999</v>
      </c>
      <c r="AE21" s="26">
        <f>IF(M21&gt;0,(AG21+AP21)/M21,0)</f>
        <v>2.7053851224944324E-3</v>
      </c>
      <c r="AF21" s="39">
        <v>2.5999999999999998E-4</v>
      </c>
      <c r="AG21" s="36">
        <f t="shared" si="151"/>
        <v>4.0858999999999996</v>
      </c>
      <c r="AH21" s="27">
        <v>0.2092</v>
      </c>
      <c r="AI21" s="40">
        <f t="shared" si="152"/>
        <v>36.810413599999997</v>
      </c>
      <c r="AJ21" s="27">
        <f t="shared" si="153"/>
        <v>0.89627520788496162</v>
      </c>
      <c r="AK21" s="28">
        <f t="shared" si="6"/>
        <v>0.90497273187283078</v>
      </c>
      <c r="AL21" s="33">
        <v>194</v>
      </c>
      <c r="AM21" s="35">
        <v>9.2999999999999999E-2</v>
      </c>
      <c r="AN21" s="37">
        <v>0.21840000000000001</v>
      </c>
      <c r="AO21" s="103">
        <v>0.21579999999999999</v>
      </c>
      <c r="AP21" s="40">
        <f>AL21*(1-AM21)*AN21</f>
        <v>38.4292272</v>
      </c>
      <c r="AQ21" s="104">
        <f t="shared" si="21"/>
        <v>37.971736399999998</v>
      </c>
      <c r="AR21" s="41">
        <v>1.6</v>
      </c>
      <c r="AS21" s="41"/>
      <c r="AT21" s="129">
        <f>AT20+AL21-AS21</f>
        <v>775.67999999999915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43" t="s">
        <v>57</v>
      </c>
      <c r="D22" s="42">
        <v>11800</v>
      </c>
      <c r="E22" s="42">
        <v>14</v>
      </c>
      <c r="F22" s="42">
        <v>18476</v>
      </c>
      <c r="G22" s="36">
        <v>1.1000000000000001</v>
      </c>
      <c r="H22" s="36">
        <v>4.9000000000000004</v>
      </c>
      <c r="I22" s="42">
        <v>18049</v>
      </c>
      <c r="J22" s="36">
        <v>7.4</v>
      </c>
      <c r="K22" s="42">
        <v>16851</v>
      </c>
      <c r="L22" s="38">
        <v>6.9000000000000006E-2</v>
      </c>
      <c r="M22" s="36">
        <f>ROUND(K22*(1-L22),0)</f>
        <v>15688</v>
      </c>
      <c r="N22" s="27">
        <v>0.70399999999999996</v>
      </c>
      <c r="O22" s="24">
        <f t="shared" si="143"/>
        <v>11044.351999999999</v>
      </c>
      <c r="P22" s="38">
        <v>0.24199999999999999</v>
      </c>
      <c r="Q22" s="24">
        <f t="shared" si="144"/>
        <v>3796.4960000000001</v>
      </c>
      <c r="R22" s="38">
        <v>5.3999999999999999E-2</v>
      </c>
      <c r="S22" s="105">
        <v>0.21279999999999999</v>
      </c>
      <c r="T22" s="24">
        <f t="shared" si="145"/>
        <v>847.15200000000004</v>
      </c>
      <c r="U22" s="27">
        <v>0.253</v>
      </c>
      <c r="V22" s="24">
        <f t="shared" si="146"/>
        <v>3969.0639999999999</v>
      </c>
      <c r="W22" s="38">
        <v>0.47299999999999998</v>
      </c>
      <c r="X22" s="24">
        <f t="shared" si="147"/>
        <v>7420.424</v>
      </c>
      <c r="Y22" s="38">
        <v>0.45</v>
      </c>
      <c r="Z22" s="24">
        <f t="shared" si="148"/>
        <v>7059.6</v>
      </c>
      <c r="AA22" s="118">
        <v>2.6099999999999999E-3</v>
      </c>
      <c r="AB22" s="121">
        <f t="shared" si="61"/>
        <v>40.945679999999996</v>
      </c>
      <c r="AC22" s="45">
        <v>2.6199999999999999E-3</v>
      </c>
      <c r="AD22" s="17">
        <f t="shared" si="150"/>
        <v>41.102559999999997</v>
      </c>
      <c r="AE22" s="26">
        <f>IF(M22&gt;0,(AG22+AP22)/M22,0)</f>
        <v>2.7025737888832233E-3</v>
      </c>
      <c r="AF22" s="45">
        <v>2.4000000000000001E-4</v>
      </c>
      <c r="AG22" s="36">
        <f t="shared" si="151"/>
        <v>3.76512</v>
      </c>
      <c r="AH22" s="27">
        <v>0.22189999999999999</v>
      </c>
      <c r="AI22" s="40">
        <f t="shared" si="152"/>
        <v>38.685158399999999</v>
      </c>
      <c r="AJ22" s="27">
        <f t="shared" si="153"/>
        <v>0.90938050366664291</v>
      </c>
      <c r="AK22" s="28">
        <f t="shared" si="6"/>
        <v>0.91218368877819156</v>
      </c>
      <c r="AL22" s="42">
        <v>192</v>
      </c>
      <c r="AM22" s="38">
        <v>9.1999999999999998E-2</v>
      </c>
      <c r="AN22" s="27">
        <v>0.22159999999999999</v>
      </c>
      <c r="AO22" s="105">
        <v>0.21540000000000001</v>
      </c>
      <c r="AP22" s="40">
        <f>AL22*(1-AM22)*AN22</f>
        <v>38.632857600000001</v>
      </c>
      <c r="AQ22" s="106">
        <f t="shared" si="21"/>
        <v>37.551974400000006</v>
      </c>
      <c r="AR22" s="17">
        <v>1.55</v>
      </c>
      <c r="AS22" s="17"/>
      <c r="AT22" s="129">
        <f>AT21+AL22-AS22</f>
        <v>967.67999999999915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39100</v>
      </c>
      <c r="E23" s="49"/>
      <c r="F23" s="49">
        <f t="shared" ref="F23" si="156">SUM(F20:F22)</f>
        <v>50120</v>
      </c>
      <c r="G23" s="50"/>
      <c r="H23" s="50"/>
      <c r="I23" s="49">
        <f t="shared" ref="I23:K23" si="157">SUM(I20:I22)</f>
        <v>48528</v>
      </c>
      <c r="J23" s="50"/>
      <c r="K23" s="49">
        <f t="shared" si="157"/>
        <v>50520</v>
      </c>
      <c r="L23" s="20">
        <f t="shared" ref="L23" si="158">IF(K23&gt;0,(K20*L20+K21*L21+K22*L22)/K23,0)</f>
        <v>6.9001009501187649E-2</v>
      </c>
      <c r="M23" s="50">
        <f t="shared" ref="M23" si="159">M20+M21+M22</f>
        <v>47033</v>
      </c>
      <c r="N23" s="51">
        <f t="shared" ref="N23" si="160">IF(M23&gt;0,O23/M23,0)</f>
        <v>0.71363004698828469</v>
      </c>
      <c r="O23" s="52">
        <f t="shared" ref="O23" si="161">O20+O21+O22</f>
        <v>33564.161999999997</v>
      </c>
      <c r="P23" s="20">
        <f t="shared" ref="P23" si="162">IF(M23&gt;0,Q23/M23,0)</f>
        <v>0.23570760955074097</v>
      </c>
      <c r="Q23" s="52">
        <f t="shared" ref="Q23" si="163">Q20+Q21+Q22</f>
        <v>11086.036</v>
      </c>
      <c r="R23" s="20">
        <f t="shared" ref="R23" si="164">IF(M23&gt;0,T23/M23,0)</f>
        <v>5.0662343460974216E-2</v>
      </c>
      <c r="S23" s="107"/>
      <c r="T23" s="52">
        <f t="shared" ref="T23" si="165">T20+T21+T22</f>
        <v>2382.8020000000001</v>
      </c>
      <c r="U23" s="20">
        <f t="shared" ref="U23" si="166">IF(M23&gt;0,V23/M23,0)</f>
        <v>0.25665913294920589</v>
      </c>
      <c r="V23" s="52">
        <f t="shared" ref="V23" si="167">V20+V21+V22</f>
        <v>12071.449000000001</v>
      </c>
      <c r="W23" s="20">
        <f t="shared" ref="W23" si="168">IF(M23&gt;0,X23/M23,0)</f>
        <v>0.47632862033040624</v>
      </c>
      <c r="X23" s="52">
        <f t="shared" ref="X23" si="169">X20+X21+X22</f>
        <v>22403.163999999997</v>
      </c>
      <c r="Y23" s="20">
        <f t="shared" ref="Y23" si="170">IF(M23&gt;0,Z23/M23,0)</f>
        <v>0.45334127102247357</v>
      </c>
      <c r="Z23" s="52">
        <f t="shared" ref="Z23" si="171">Z20+Z21+Z22</f>
        <v>21322</v>
      </c>
      <c r="AA23" s="119">
        <f t="shared" ref="AA23" si="172">IF(M23&gt;0,AB23/M23,0)</f>
        <v>2.5764969276890694E-3</v>
      </c>
      <c r="AB23" s="54">
        <f t="shared" ref="AB23" si="173">SUM(AB20:AB22)</f>
        <v>121.18038</v>
      </c>
      <c r="AC23" s="53">
        <f t="shared" ref="AC23" si="174">IF(M23&gt;0,AD23/M23,0)</f>
        <v>2.5732222056853698E-3</v>
      </c>
      <c r="AD23" s="54">
        <f t="shared" ref="AD23" si="175">SUM(AD20:AD22)</f>
        <v>121.02636</v>
      </c>
      <c r="AE23" s="53">
        <f t="shared" ref="AE23" si="176">IF(M23&gt;0,(AE20*M20+AE21*M21+AE22*M22)/M23,0)</f>
        <v>2.7896833627453071E-3</v>
      </c>
      <c r="AF23" s="53">
        <f t="shared" ref="AF23" si="177">IF(K23&gt;0,(K20*AF20+K21*AF21+K22*AF22)/K23,0)</f>
        <v>2.499950514647664E-4</v>
      </c>
      <c r="AG23" s="50">
        <f t="shared" ref="AG23" si="178">SUM(AG20:AG22)</f>
        <v>11.758519999999999</v>
      </c>
      <c r="AH23" s="51">
        <f t="shared" ref="AH23" si="179">IF(K23&gt;0,(K20*AH20+K21*AH21+K22*AH22)/K23,0)</f>
        <v>0.2135361163895487</v>
      </c>
      <c r="AI23" s="56">
        <f t="shared" ref="AI23" si="180">SUM(AI20:AI22)</f>
        <v>115.28046000000001</v>
      </c>
      <c r="AJ23" s="51">
        <f t="shared" ref="AJ23" si="181">IF(AND(AD23&gt;0),((AD20*AJ20+AD21*AJ21+AD22*AJ22)/AD23),0)</f>
        <v>0.90390173377087357</v>
      </c>
      <c r="AK23" s="55">
        <f t="shared" si="6"/>
        <v>0.91141654688175389</v>
      </c>
      <c r="AL23" s="49">
        <f t="shared" ref="AL23" si="182">SUM(AL20:AL22)</f>
        <v>594</v>
      </c>
      <c r="AM23" s="20">
        <f t="shared" ref="AM23" si="183">IF(AL23&gt;0,(AM20*AL20+AM21*AL21+AM22*AL22)/AL23,0)</f>
        <v>9.0575757575757587E-2</v>
      </c>
      <c r="AN23" s="51">
        <f>IF(K23&gt;0,(AN20*K20+AN21*K21+AN22*K22)/K23,0)</f>
        <v>0.22106764845605703</v>
      </c>
      <c r="AO23" s="107">
        <f>IF(K23&gt;0,(AO20*K20+AO21*K21+AO22*K22)/K23,0)</f>
        <v>0.21529984758511481</v>
      </c>
      <c r="AP23" s="56">
        <f t="shared" ref="AP23" si="184">SUM(AP20:AP22)</f>
        <v>119.44865759999999</v>
      </c>
      <c r="AQ23" s="108">
        <f t="shared" si="52"/>
        <v>116.29609960000001</v>
      </c>
      <c r="AR23" s="54"/>
      <c r="AS23" s="54">
        <f t="shared" ref="AS23" si="185">SUM(AS20:AS22)</f>
        <v>0</v>
      </c>
      <c r="AT23" s="83"/>
      <c r="AU23" s="84">
        <f>AT22</f>
        <v>967.67999999999915</v>
      </c>
      <c r="AV23" s="49">
        <f t="shared" ref="AV23" si="186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53</v>
      </c>
      <c r="D24" s="11">
        <v>10000</v>
      </c>
      <c r="E24" s="11">
        <v>10</v>
      </c>
      <c r="F24" s="11">
        <v>18021</v>
      </c>
      <c r="G24" s="12">
        <v>0.4</v>
      </c>
      <c r="H24" s="12">
        <v>4.5999999999999996</v>
      </c>
      <c r="I24" s="11">
        <v>17306</v>
      </c>
      <c r="J24" s="12">
        <v>7.4</v>
      </c>
      <c r="K24" s="11">
        <v>16811</v>
      </c>
      <c r="L24" s="13">
        <v>7.0000000000000007E-2</v>
      </c>
      <c r="M24" s="23">
        <f>ROUND(K24*(1-L24),0)</f>
        <v>15634</v>
      </c>
      <c r="N24" s="14">
        <v>0.86399999999999999</v>
      </c>
      <c r="O24" s="24">
        <f t="shared" ref="O24:O26" si="187">M24*N24</f>
        <v>13507.776</v>
      </c>
      <c r="P24" s="13">
        <v>0.113</v>
      </c>
      <c r="Q24" s="24">
        <f t="shared" ref="Q24:Q26" si="188">M24*P24</f>
        <v>1766.6420000000001</v>
      </c>
      <c r="R24" s="15">
        <v>2.3E-2</v>
      </c>
      <c r="S24" s="112">
        <v>0.2218</v>
      </c>
      <c r="T24" s="24">
        <f t="shared" ref="T24:T26" si="189">M24*R24</f>
        <v>359.58199999999999</v>
      </c>
      <c r="U24" s="25">
        <v>0.246</v>
      </c>
      <c r="V24" s="24">
        <f t="shared" ref="V24:V26" si="190">M24*U24</f>
        <v>3845.9639999999999</v>
      </c>
      <c r="W24" s="15">
        <v>0.48</v>
      </c>
      <c r="X24" s="24">
        <f t="shared" ref="X24:X26" si="191">M24*W24</f>
        <v>7504.32</v>
      </c>
      <c r="Y24" s="15">
        <v>0.45</v>
      </c>
      <c r="Z24" s="24">
        <f t="shared" ref="Z24:Z26" si="192">Y24*M24</f>
        <v>7035.3</v>
      </c>
      <c r="AA24" s="116">
        <v>2.5600000000000002E-3</v>
      </c>
      <c r="AB24" s="18">
        <f t="shared" ref="AB24" si="193">M24*AA24</f>
        <v>40.023040000000002</v>
      </c>
      <c r="AC24" s="16">
        <v>2.66E-3</v>
      </c>
      <c r="AD24" s="17">
        <f t="shared" ref="AD24:AD26" si="194">M24*AC24</f>
        <v>41.586440000000003</v>
      </c>
      <c r="AE24" s="26">
        <f>IF(M24&gt;0,(AG24+AP24)/M24,0)</f>
        <v>2.859335550722784E-3</v>
      </c>
      <c r="AF24" s="16">
        <v>2.3000000000000001E-4</v>
      </c>
      <c r="AG24" s="23">
        <f t="shared" ref="AG24:AG26" si="195">AF24*M24</f>
        <v>3.5958200000000002</v>
      </c>
      <c r="AH24" s="92">
        <v>0.224</v>
      </c>
      <c r="AI24" s="29">
        <f t="shared" ref="AI24:AI26" si="196">AL24*(1-AM24)*AH24</f>
        <v>40.385856000000004</v>
      </c>
      <c r="AJ24" s="27">
        <f t="shared" ref="AJ24:AJ26" si="197">IF(AND(AH24&gt;0,AF24&gt;0,AC24&gt;0),((AC24-AF24)*AH24)/((AH24-AF24)*AC24),0)</f>
        <v>0.91447280219586358</v>
      </c>
      <c r="AK24" s="58">
        <f t="shared" si="6"/>
        <v>0.92049029653884218</v>
      </c>
      <c r="AL24" s="11">
        <v>199</v>
      </c>
      <c r="AM24" s="13">
        <v>9.4E-2</v>
      </c>
      <c r="AN24" s="14">
        <v>0.22800000000000001</v>
      </c>
      <c r="AO24" s="101">
        <v>0.21490000000000001</v>
      </c>
      <c r="AP24" s="29">
        <f>AL24*(1-AM24)*AN24</f>
        <v>41.107032000000004</v>
      </c>
      <c r="AQ24" s="102">
        <f t="shared" ref="AQ24" si="198">AL24*(1-AM24)*AO24</f>
        <v>38.745180600000005</v>
      </c>
      <c r="AR24" s="18">
        <v>1.55</v>
      </c>
      <c r="AS24" s="18"/>
      <c r="AT24" s="79">
        <f>AT22+AL24-AS24</f>
        <v>1166.6799999999992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43" t="s">
        <v>55</v>
      </c>
      <c r="D25" s="33">
        <v>18900</v>
      </c>
      <c r="E25" s="33">
        <v>12</v>
      </c>
      <c r="F25" s="33">
        <v>17873</v>
      </c>
      <c r="G25" s="34">
        <v>0.3</v>
      </c>
      <c r="H25" s="34">
        <v>3.8</v>
      </c>
      <c r="I25" s="33">
        <v>17882</v>
      </c>
      <c r="J25" s="34">
        <v>6.5</v>
      </c>
      <c r="K25" s="33">
        <v>16855</v>
      </c>
      <c r="L25" s="35">
        <v>7.0999999999999994E-2</v>
      </c>
      <c r="M25" s="36">
        <f>ROUND(K25*(1-L25),0)</f>
        <v>15658</v>
      </c>
      <c r="N25" s="37">
        <v>0.81399999999999995</v>
      </c>
      <c r="O25" s="24">
        <f t="shared" si="187"/>
        <v>12745.611999999999</v>
      </c>
      <c r="P25" s="35">
        <v>0.16600000000000001</v>
      </c>
      <c r="Q25" s="24">
        <f t="shared" si="188"/>
        <v>2599.2280000000001</v>
      </c>
      <c r="R25" s="38">
        <v>0.02</v>
      </c>
      <c r="S25" s="105">
        <v>0.22</v>
      </c>
      <c r="T25" s="24">
        <f t="shared" si="189"/>
        <v>313.16000000000003</v>
      </c>
      <c r="U25" s="27">
        <v>0.24399999999999999</v>
      </c>
      <c r="V25" s="24">
        <f t="shared" si="190"/>
        <v>3820.5520000000001</v>
      </c>
      <c r="W25" s="38">
        <v>0.47799999999999998</v>
      </c>
      <c r="X25" s="24">
        <f t="shared" si="191"/>
        <v>7484.5239999999994</v>
      </c>
      <c r="Y25" s="38">
        <v>0.46</v>
      </c>
      <c r="Z25" s="24">
        <f t="shared" si="192"/>
        <v>7202.68</v>
      </c>
      <c r="AA25" s="117">
        <v>2.6199999999999999E-3</v>
      </c>
      <c r="AB25" s="18">
        <f t="shared" si="61"/>
        <v>41.023960000000002</v>
      </c>
      <c r="AC25" s="39">
        <v>2.6900000000000001E-3</v>
      </c>
      <c r="AD25" s="17">
        <f t="shared" si="194"/>
        <v>42.120020000000004</v>
      </c>
      <c r="AE25" s="26">
        <f>IF(M25&gt;0,(AG25+AP25)/M25,0)</f>
        <v>2.9746077404521651E-3</v>
      </c>
      <c r="AF25" s="39">
        <v>2.2000000000000001E-4</v>
      </c>
      <c r="AG25" s="36">
        <f t="shared" si="195"/>
        <v>3.44476</v>
      </c>
      <c r="AH25" s="27">
        <v>0.21629999999999999</v>
      </c>
      <c r="AI25" s="40">
        <f t="shared" si="196"/>
        <v>41.648997599999994</v>
      </c>
      <c r="AJ25" s="27">
        <f t="shared" si="197"/>
        <v>0.91915048673973143</v>
      </c>
      <c r="AK25" s="28">
        <f t="shared" si="6"/>
        <v>0.92695106685530415</v>
      </c>
      <c r="AL25" s="33">
        <v>213</v>
      </c>
      <c r="AM25" s="35">
        <v>9.6000000000000002E-2</v>
      </c>
      <c r="AN25" s="37">
        <v>0.224</v>
      </c>
      <c r="AO25" s="103">
        <v>0.2069</v>
      </c>
      <c r="AP25" s="40">
        <f>AL25*(1-AM25)*AN25</f>
        <v>43.131647999999998</v>
      </c>
      <c r="AQ25" s="104">
        <f t="shared" si="21"/>
        <v>39.839008800000002</v>
      </c>
      <c r="AR25" s="41">
        <v>1.55</v>
      </c>
      <c r="AS25" s="41"/>
      <c r="AT25" s="129">
        <f>AT24+AL25-AS25</f>
        <v>1379.6799999999992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43" t="s">
        <v>57</v>
      </c>
      <c r="D26" s="42">
        <v>11071</v>
      </c>
      <c r="E26" s="42">
        <v>15</v>
      </c>
      <c r="F26" s="42">
        <v>17595</v>
      </c>
      <c r="G26" s="36">
        <v>0.6</v>
      </c>
      <c r="H26" s="36">
        <v>4.0999999999999996</v>
      </c>
      <c r="I26" s="42">
        <v>16954</v>
      </c>
      <c r="J26" s="36">
        <v>6.5</v>
      </c>
      <c r="K26" s="42">
        <v>16846</v>
      </c>
      <c r="L26" s="38">
        <v>7.0000000000000007E-2</v>
      </c>
      <c r="M26" s="36">
        <f>ROUND(K26*(1-L26),0)</f>
        <v>15667</v>
      </c>
      <c r="N26" s="27">
        <v>0.73599999999999999</v>
      </c>
      <c r="O26" s="24">
        <f t="shared" si="187"/>
        <v>11530.912</v>
      </c>
      <c r="P26" s="38">
        <v>0.22</v>
      </c>
      <c r="Q26" s="24">
        <f t="shared" si="188"/>
        <v>3446.7400000000002</v>
      </c>
      <c r="R26" s="38">
        <v>4.3999999999999997E-2</v>
      </c>
      <c r="S26" s="105">
        <v>0.2298</v>
      </c>
      <c r="T26" s="24">
        <f t="shared" si="189"/>
        <v>689.34799999999996</v>
      </c>
      <c r="U26" s="27">
        <v>0.255</v>
      </c>
      <c r="V26" s="24">
        <f t="shared" si="190"/>
        <v>3995.085</v>
      </c>
      <c r="W26" s="38">
        <v>0.48199999999999998</v>
      </c>
      <c r="X26" s="24">
        <f t="shared" si="191"/>
        <v>7551.4939999999997</v>
      </c>
      <c r="Y26" s="38">
        <v>0.46</v>
      </c>
      <c r="Z26" s="24">
        <f t="shared" si="192"/>
        <v>7206.8200000000006</v>
      </c>
      <c r="AA26" s="118">
        <v>2.7699999999999999E-3</v>
      </c>
      <c r="AB26" s="121">
        <f t="shared" si="61"/>
        <v>43.397590000000001</v>
      </c>
      <c r="AC26" s="45">
        <v>2.9299999999999999E-3</v>
      </c>
      <c r="AD26" s="17">
        <f t="shared" si="194"/>
        <v>45.904309999999995</v>
      </c>
      <c r="AE26" s="26">
        <f>IF(M26&gt;0,(AG26+AP26)/M26,0)</f>
        <v>2.9877609625327123E-3</v>
      </c>
      <c r="AF26" s="45">
        <v>2.3000000000000001E-4</v>
      </c>
      <c r="AG26" s="36">
        <f t="shared" si="195"/>
        <v>3.6034100000000002</v>
      </c>
      <c r="AH26" s="27">
        <v>0.23250000000000001</v>
      </c>
      <c r="AI26" s="40">
        <f t="shared" si="196"/>
        <v>43.039237500000006</v>
      </c>
      <c r="AJ26" s="27">
        <f t="shared" si="197"/>
        <v>0.9224142022546139</v>
      </c>
      <c r="AK26" s="28">
        <f t="shared" si="6"/>
        <v>0.92392974729745903</v>
      </c>
      <c r="AL26" s="42">
        <v>205</v>
      </c>
      <c r="AM26" s="38">
        <v>9.7000000000000003E-2</v>
      </c>
      <c r="AN26" s="27">
        <v>0.2334</v>
      </c>
      <c r="AO26" s="105">
        <v>0.219</v>
      </c>
      <c r="AP26" s="40">
        <f>AL26*(1-AM26)*AN26</f>
        <v>43.205840999999999</v>
      </c>
      <c r="AQ26" s="106">
        <f t="shared" si="21"/>
        <v>40.540185000000001</v>
      </c>
      <c r="AR26" s="17">
        <v>1.55</v>
      </c>
      <c r="AS26" s="17"/>
      <c r="AT26" s="129">
        <f>AT25+AL26-AS26</f>
        <v>1584.6799999999992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9">SUM(D24:D26)</f>
        <v>39971</v>
      </c>
      <c r="E27" s="49"/>
      <c r="F27" s="49">
        <f t="shared" ref="F27" si="200">SUM(F24:F26)</f>
        <v>53489</v>
      </c>
      <c r="G27" s="50"/>
      <c r="H27" s="50"/>
      <c r="I27" s="49">
        <f t="shared" ref="I27:K27" si="201">SUM(I24:I26)</f>
        <v>52142</v>
      </c>
      <c r="J27" s="50"/>
      <c r="K27" s="49">
        <f t="shared" si="201"/>
        <v>50512</v>
      </c>
      <c r="L27" s="20">
        <f t="shared" ref="L27" si="202">IF(K27&gt;0,(K24*L24+K25*L25+K26*L26)/K27,0)</f>
        <v>7.0333683085207488E-2</v>
      </c>
      <c r="M27" s="50">
        <f t="shared" ref="M27" si="203">M24+M25+M26</f>
        <v>46959</v>
      </c>
      <c r="N27" s="51">
        <f t="shared" ref="N27" si="204">IF(M27&gt;0,O27/M27,0)</f>
        <v>0.80462318192465776</v>
      </c>
      <c r="O27" s="52">
        <f t="shared" ref="O27" si="205">O24+O25+O26</f>
        <v>37784.300000000003</v>
      </c>
      <c r="P27" s="20">
        <f t="shared" ref="P27" si="206">IF(M27&gt;0,Q27/M27,0)</f>
        <v>0.16637087672224707</v>
      </c>
      <c r="Q27" s="52">
        <f t="shared" ref="Q27" si="207">Q24+Q25+Q26</f>
        <v>7812.6100000000006</v>
      </c>
      <c r="R27" s="20">
        <f t="shared" ref="R27" si="208">IF(M27&gt;0,T27/M27,0)</f>
        <v>2.9005941353095251E-2</v>
      </c>
      <c r="S27" s="107"/>
      <c r="T27" s="52">
        <f t="shared" ref="T27" si="209">T24+T25+T26</f>
        <v>1362.09</v>
      </c>
      <c r="U27" s="20">
        <f t="shared" ref="U27" si="210">IF(M27&gt;0,V27/M27,0)</f>
        <v>0.24833580357332991</v>
      </c>
      <c r="V27" s="52">
        <f t="shared" ref="V27" si="211">V24+V25+V26</f>
        <v>11661.600999999999</v>
      </c>
      <c r="W27" s="20">
        <f t="shared" ref="W27" si="212">IF(M27&gt;0,X27/M27,0)</f>
        <v>0.48000038331310291</v>
      </c>
      <c r="X27" s="52">
        <f t="shared" ref="X27" si="213">X24+X25+X26</f>
        <v>22540.338</v>
      </c>
      <c r="Y27" s="20">
        <f t="shared" ref="Y27" si="214">IF(M27&gt;0,Z27/M27,0)</f>
        <v>0.45667071274941967</v>
      </c>
      <c r="Z27" s="52">
        <f t="shared" ref="Z27" si="215">Z24+Z25+Z26</f>
        <v>21444.799999999999</v>
      </c>
      <c r="AA27" s="119">
        <f t="shared" ref="AA27" si="216">IF(M27&gt;0,AB27/M27,0)</f>
        <v>2.6500689963585258E-3</v>
      </c>
      <c r="AB27" s="54">
        <f t="shared" ref="AB27" si="217">SUM(AB24:AB26)</f>
        <v>124.44459000000001</v>
      </c>
      <c r="AC27" s="53">
        <f t="shared" ref="AC27" si="218">IF(M27&gt;0,AD27/M27,0)</f>
        <v>2.7600836900274709E-3</v>
      </c>
      <c r="AD27" s="54">
        <f t="shared" ref="AD27" si="219">SUM(AD24:AD26)</f>
        <v>129.61077</v>
      </c>
      <c r="AE27" s="53">
        <f t="shared" ref="AE27" si="220">IF(M27&gt;0,(AE24*M24+AE25*M25+AE26*M26)/M27,0)</f>
        <v>2.9406186460529402E-3</v>
      </c>
      <c r="AF27" s="53">
        <f t="shared" ref="AF27" si="221">IF(K27&gt;0,(K24*AF24+K25*AF25+K26*AF26)/K27,0)</f>
        <v>2.2666316914792526E-4</v>
      </c>
      <c r="AG27" s="50">
        <f t="shared" ref="AG27" si="222">SUM(AG24:AG26)</f>
        <v>10.643990000000001</v>
      </c>
      <c r="AH27" s="51">
        <f t="shared" ref="AH27" si="223">IF(K27&gt;0,(K24*AH24+K25*AH25+K26*AH26)/K27,0)</f>
        <v>0.22426543197656001</v>
      </c>
      <c r="AI27" s="56">
        <f t="shared" ref="AI27" si="224">SUM(AI24:AI26)</f>
        <v>125.0740911</v>
      </c>
      <c r="AJ27" s="51">
        <f t="shared" ref="AJ27" si="225">IF(AND(AD27&gt;0),((AD24*AJ24+AD25*AJ25+AD26*AJ26)/AD27),0)</f>
        <v>0.91880553362452733</v>
      </c>
      <c r="AK27" s="55">
        <f t="shared" si="6"/>
        <v>0.92383644910612239</v>
      </c>
      <c r="AL27" s="49">
        <f t="shared" ref="AL27" si="226">SUM(AL24:AL26)</f>
        <v>617</v>
      </c>
      <c r="AM27" s="20">
        <f t="shared" ref="AM27" si="227">IF(AL27&gt;0,(AM24*AL24+AM25*AL25+AM26*AL26)/AL27,0)</f>
        <v>9.5687196110210704E-2</v>
      </c>
      <c r="AN27" s="51">
        <f>IF(K27&gt;0,(AN24*K24+AN25*K25+AN26*K26)/K27,0)</f>
        <v>0.22846619417168199</v>
      </c>
      <c r="AO27" s="107">
        <f>IF(K27&gt;0,(AO24*K24+AO25*K25+AO26*K26)/K27,0)</f>
        <v>0.21359790544821033</v>
      </c>
      <c r="AP27" s="56">
        <f t="shared" ref="AP27:AQ39" si="228">SUM(AP24:AP26)</f>
        <v>127.44452100000001</v>
      </c>
      <c r="AQ27" s="108">
        <f t="shared" si="228"/>
        <v>119.12437440000002</v>
      </c>
      <c r="AR27" s="54"/>
      <c r="AS27" s="54">
        <f t="shared" ref="AS27" si="229">SUM(AS24:AS26)</f>
        <v>0</v>
      </c>
      <c r="AT27" s="83"/>
      <c r="AU27" s="84">
        <f>AT26</f>
        <v>1584.6799999999992</v>
      </c>
      <c r="AV27" s="49">
        <f t="shared" ref="AV27" si="230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59</v>
      </c>
      <c r="D28" s="11">
        <v>11500</v>
      </c>
      <c r="E28" s="11">
        <v>10</v>
      </c>
      <c r="F28" s="11">
        <v>17382</v>
      </c>
      <c r="G28" s="12">
        <v>0.6</v>
      </c>
      <c r="H28" s="12">
        <v>6</v>
      </c>
      <c r="I28" s="11">
        <v>17112</v>
      </c>
      <c r="J28" s="12">
        <v>5.6</v>
      </c>
      <c r="K28" s="11">
        <v>16333</v>
      </c>
      <c r="L28" s="13">
        <v>6.0999999999999999E-2</v>
      </c>
      <c r="M28" s="23">
        <f>ROUND(K28*(1-L28),0)</f>
        <v>15337</v>
      </c>
      <c r="N28" s="14">
        <v>0.81</v>
      </c>
      <c r="O28" s="24">
        <f t="shared" ref="O28:O30" si="231">M28*N28</f>
        <v>12422.970000000001</v>
      </c>
      <c r="P28" s="13">
        <v>0.14499999999999999</v>
      </c>
      <c r="Q28" s="24">
        <f t="shared" ref="Q28:Q30" si="232">M28*P28</f>
        <v>2223.8649999999998</v>
      </c>
      <c r="R28" s="15">
        <v>4.4999999999999998E-2</v>
      </c>
      <c r="S28" s="112">
        <v>0.23400000000000001</v>
      </c>
      <c r="T28" s="24">
        <f t="shared" ref="T28:T30" si="233">M28*R28</f>
        <v>690.16499999999996</v>
      </c>
      <c r="U28" s="25">
        <v>0.25</v>
      </c>
      <c r="V28" s="24">
        <f t="shared" ref="V28:V30" si="234">M28*U28</f>
        <v>3834.25</v>
      </c>
      <c r="W28" s="15">
        <v>0.46500000000000002</v>
      </c>
      <c r="X28" s="24">
        <f t="shared" ref="X28:X30" si="235">M28*W28</f>
        <v>7131.7049999999999</v>
      </c>
      <c r="Y28" s="15">
        <v>0.44</v>
      </c>
      <c r="Z28" s="24">
        <f t="shared" ref="Z28:Z30" si="236">Y28*M28</f>
        <v>6748.28</v>
      </c>
      <c r="AA28" s="116">
        <v>2.82E-3</v>
      </c>
      <c r="AB28" s="18">
        <f t="shared" ref="AB28" si="237">M28*AA28</f>
        <v>43.250340000000001</v>
      </c>
      <c r="AC28" s="16">
        <v>3.1099999999999999E-3</v>
      </c>
      <c r="AD28" s="17">
        <f t="shared" ref="AD28:AD30" si="238">M28*AC28</f>
        <v>47.698070000000001</v>
      </c>
      <c r="AE28" s="26">
        <f>IF(M28&gt;0,(AG28+AP28)/M28,0)</f>
        <v>3.1223172067549061E-3</v>
      </c>
      <c r="AF28" s="16">
        <v>2.2000000000000001E-4</v>
      </c>
      <c r="AG28" s="23">
        <f t="shared" ref="AG28:AG30" si="239">AF28*M28</f>
        <v>3.3741400000000001</v>
      </c>
      <c r="AH28" s="92">
        <v>0.21879999999999999</v>
      </c>
      <c r="AI28" s="29">
        <f t="shared" ref="AI28:AI30" si="240">AL28*(1-AM28)*AH28</f>
        <v>41.674835999999999</v>
      </c>
      <c r="AJ28" s="27">
        <f t="shared" ref="AJ28:AJ30" si="241">IF(AND(AH28&gt;0,AF28&gt;0,AC28&gt;0),((AC28-AF28)*AH28)/((AH28-AF28)*AC28),0)</f>
        <v>0.93019574753031764</v>
      </c>
      <c r="AK28" s="58">
        <f t="shared" si="6"/>
        <v>0.93041538252186307</v>
      </c>
      <c r="AL28" s="11">
        <v>210</v>
      </c>
      <c r="AM28" s="13">
        <v>9.2999999999999999E-2</v>
      </c>
      <c r="AN28" s="14">
        <v>0.23369999999999999</v>
      </c>
      <c r="AO28" s="101">
        <v>0.21629999999999999</v>
      </c>
      <c r="AP28" s="29">
        <f>AL28*(1-AM28)*AN28</f>
        <v>44.512839</v>
      </c>
      <c r="AQ28" s="102">
        <f t="shared" ref="AQ28" si="242">AL28*(1-AM28)*AO28</f>
        <v>41.198661000000001</v>
      </c>
      <c r="AR28" s="18">
        <v>1.55</v>
      </c>
      <c r="AS28" s="18"/>
      <c r="AT28" s="79">
        <f>AT26+AL28-AS28</f>
        <v>1794.6799999999992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53</v>
      </c>
      <c r="D29" s="33">
        <v>19100</v>
      </c>
      <c r="E29" s="33">
        <v>14</v>
      </c>
      <c r="F29" s="33">
        <v>12417</v>
      </c>
      <c r="G29" s="34">
        <v>2</v>
      </c>
      <c r="H29" s="34">
        <v>6</v>
      </c>
      <c r="I29" s="33">
        <v>11674</v>
      </c>
      <c r="J29" s="34">
        <v>7.6</v>
      </c>
      <c r="K29" s="33">
        <v>15702</v>
      </c>
      <c r="L29" s="35">
        <v>5.7000000000000002E-2</v>
      </c>
      <c r="M29" s="36">
        <f>ROUND(K29*(1-L29),0)</f>
        <v>14807</v>
      </c>
      <c r="N29" s="37">
        <v>0.75900000000000001</v>
      </c>
      <c r="O29" s="24">
        <f t="shared" si="231"/>
        <v>11238.513000000001</v>
      </c>
      <c r="P29" s="35">
        <v>0.22500000000000001</v>
      </c>
      <c r="Q29" s="24">
        <f t="shared" si="232"/>
        <v>3331.5750000000003</v>
      </c>
      <c r="R29" s="38">
        <v>1.6E-2</v>
      </c>
      <c r="S29" s="105">
        <v>0.2369</v>
      </c>
      <c r="T29" s="24">
        <f t="shared" si="233"/>
        <v>236.91200000000001</v>
      </c>
      <c r="U29" s="27">
        <v>0.24299999999999999</v>
      </c>
      <c r="V29" s="24">
        <f t="shared" si="234"/>
        <v>3598.1010000000001</v>
      </c>
      <c r="W29" s="38">
        <v>0.45300000000000001</v>
      </c>
      <c r="X29" s="24">
        <f t="shared" si="235"/>
        <v>6707.5709999999999</v>
      </c>
      <c r="Y29" s="38">
        <v>0.43</v>
      </c>
      <c r="Z29" s="24">
        <f t="shared" si="236"/>
        <v>6367.01</v>
      </c>
      <c r="AA29" s="117">
        <v>2.7899999999999999E-3</v>
      </c>
      <c r="AB29" s="18">
        <f t="shared" si="61"/>
        <v>41.311529999999998</v>
      </c>
      <c r="AC29" s="39">
        <v>2.8400000000000001E-3</v>
      </c>
      <c r="AD29" s="17">
        <f t="shared" si="238"/>
        <v>42.051880000000004</v>
      </c>
      <c r="AE29" s="26">
        <f>IF(M29&gt;0,(AG29+AP29)/M29,0)</f>
        <v>3.177561693793476E-3</v>
      </c>
      <c r="AF29" s="39">
        <v>2.0000000000000001E-4</v>
      </c>
      <c r="AG29" s="36">
        <f t="shared" si="239"/>
        <v>2.9614000000000003</v>
      </c>
      <c r="AH29" s="27">
        <v>0.214</v>
      </c>
      <c r="AI29" s="40">
        <f t="shared" si="240"/>
        <v>43.279788000000003</v>
      </c>
      <c r="AJ29" s="27">
        <f t="shared" si="241"/>
        <v>0.93044704146299684</v>
      </c>
      <c r="AK29" s="28">
        <f t="shared" si="6"/>
        <v>0.93791913341795774</v>
      </c>
      <c r="AL29" s="33">
        <v>222</v>
      </c>
      <c r="AM29" s="35">
        <v>8.8999999999999996E-2</v>
      </c>
      <c r="AN29" s="37">
        <v>0.218</v>
      </c>
      <c r="AO29" s="103">
        <v>0.20300000000000001</v>
      </c>
      <c r="AP29" s="40">
        <f>AL29*(1-AM29)*AN29</f>
        <v>44.088756000000004</v>
      </c>
      <c r="AQ29" s="104">
        <f t="shared" si="21"/>
        <v>41.055126000000008</v>
      </c>
      <c r="AR29" s="41">
        <v>1.6</v>
      </c>
      <c r="AS29" s="41"/>
      <c r="AT29" s="129">
        <f>AT28+AL29-AS29</f>
        <v>2016.6799999999992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43" t="s">
        <v>57</v>
      </c>
      <c r="D30" s="42">
        <v>21009</v>
      </c>
      <c r="E30" s="42">
        <v>11</v>
      </c>
      <c r="F30" s="42">
        <v>19912</v>
      </c>
      <c r="G30" s="36">
        <v>3</v>
      </c>
      <c r="H30" s="36">
        <v>6.8</v>
      </c>
      <c r="I30" s="42">
        <v>19735</v>
      </c>
      <c r="J30" s="36">
        <v>5.3</v>
      </c>
      <c r="K30" s="42">
        <v>15572</v>
      </c>
      <c r="L30" s="38">
        <v>5.0999999999999997E-2</v>
      </c>
      <c r="M30" s="36">
        <f>ROUND(K30*(1-L30),0)</f>
        <v>14778</v>
      </c>
      <c r="N30" s="27">
        <v>0.64</v>
      </c>
      <c r="O30" s="24">
        <f t="shared" si="231"/>
        <v>9457.92</v>
      </c>
      <c r="P30" s="38">
        <v>0.318</v>
      </c>
      <c r="Q30" s="24">
        <f t="shared" si="232"/>
        <v>4699.4040000000005</v>
      </c>
      <c r="R30" s="38">
        <v>4.2000000000000003E-2</v>
      </c>
      <c r="S30" s="105">
        <v>0.23269999999999999</v>
      </c>
      <c r="T30" s="24">
        <f t="shared" si="233"/>
        <v>620.67600000000004</v>
      </c>
      <c r="U30" s="27">
        <v>0.23699999999999999</v>
      </c>
      <c r="V30" s="24">
        <f t="shared" si="234"/>
        <v>3502.386</v>
      </c>
      <c r="W30" s="38">
        <v>0.48499999999999999</v>
      </c>
      <c r="X30" s="24">
        <f t="shared" si="235"/>
        <v>7167.33</v>
      </c>
      <c r="Y30" s="38">
        <v>0.42</v>
      </c>
      <c r="Z30" s="24">
        <f t="shared" si="236"/>
        <v>6206.76</v>
      </c>
      <c r="AA30" s="118">
        <v>2.6900000000000001E-3</v>
      </c>
      <c r="AB30" s="121">
        <f t="shared" si="61"/>
        <v>39.75282</v>
      </c>
      <c r="AC30" s="45">
        <v>2.8400000000000001E-3</v>
      </c>
      <c r="AD30" s="17">
        <f t="shared" si="238"/>
        <v>41.969520000000003</v>
      </c>
      <c r="AE30" s="26">
        <f>IF(M30&gt;0,(AG30+AP30)/M30,0)</f>
        <v>2.6902525578562726E-3</v>
      </c>
      <c r="AF30" s="45">
        <v>2.0000000000000001E-4</v>
      </c>
      <c r="AG30" s="36">
        <f t="shared" si="239"/>
        <v>2.9556</v>
      </c>
      <c r="AH30" s="27">
        <v>0.20899999999999999</v>
      </c>
      <c r="AI30" s="40">
        <f t="shared" si="240"/>
        <v>35.072499000000001</v>
      </c>
      <c r="AJ30" s="27">
        <f t="shared" si="241"/>
        <v>0.93046786465921971</v>
      </c>
      <c r="AK30" s="28">
        <f t="shared" si="6"/>
        <v>0.92650250098325859</v>
      </c>
      <c r="AL30" s="42">
        <v>183</v>
      </c>
      <c r="AM30" s="38">
        <v>8.3000000000000004E-2</v>
      </c>
      <c r="AN30" s="27">
        <v>0.21929999999999999</v>
      </c>
      <c r="AO30" s="105">
        <v>0.21859999999999999</v>
      </c>
      <c r="AP30" s="40">
        <f>AL30*(1-AM30)*AN30</f>
        <v>36.800952299999999</v>
      </c>
      <c r="AQ30" s="106">
        <f t="shared" si="21"/>
        <v>36.6834846</v>
      </c>
      <c r="AR30" s="17">
        <v>1.55</v>
      </c>
      <c r="AS30" s="17"/>
      <c r="AT30" s="129">
        <f>AT29+AL30-AS30</f>
        <v>2199.6799999999994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3">SUM(D28:D30)</f>
        <v>51609</v>
      </c>
      <c r="E31" s="49"/>
      <c r="F31" s="49">
        <f t="shared" ref="F31" si="244">SUM(F28:F30)</f>
        <v>49711</v>
      </c>
      <c r="G31" s="50"/>
      <c r="H31" s="50"/>
      <c r="I31" s="49">
        <f t="shared" ref="I31:K31" si="245">SUM(I28:I30)</f>
        <v>48521</v>
      </c>
      <c r="J31" s="50"/>
      <c r="K31" s="49">
        <f t="shared" si="245"/>
        <v>47607</v>
      </c>
      <c r="L31" s="20">
        <f t="shared" ref="L31" si="246">IF(K31&gt;0,(K28*L28+K29*L29+K30*L30)/K31,0)</f>
        <v>5.6409750666918723E-2</v>
      </c>
      <c r="M31" s="50">
        <f t="shared" ref="M31" si="247">M28+M29+M30</f>
        <v>44922</v>
      </c>
      <c r="N31" s="51">
        <f t="shared" ref="N31" si="248">IF(M31&gt;0,O31/M31,0)</f>
        <v>0.73726465874181912</v>
      </c>
      <c r="O31" s="52">
        <f t="shared" ref="O31" si="249">O28+O29+O30</f>
        <v>33119.402999999998</v>
      </c>
      <c r="P31" s="20">
        <f t="shared" ref="P31" si="250">IF(M31&gt;0,Q31/M31,0)</f>
        <v>0.22828110947865191</v>
      </c>
      <c r="Q31" s="52">
        <f t="shared" ref="Q31" si="251">Q28+Q29+Q30</f>
        <v>10254.844000000001</v>
      </c>
      <c r="R31" s="20">
        <f t="shared" ref="R31" si="252">IF(M31&gt;0,T31/M31,0)</f>
        <v>3.4454231779528964E-2</v>
      </c>
      <c r="S31" s="107"/>
      <c r="T31" s="52">
        <f t="shared" ref="T31" si="253">T28+T29+T30</f>
        <v>1547.7530000000002</v>
      </c>
      <c r="U31" s="20">
        <f t="shared" ref="U31" si="254">IF(M31&gt;0,V31/M31,0)</f>
        <v>0.24341607675526469</v>
      </c>
      <c r="V31" s="52">
        <f t="shared" ref="V31" si="255">V28+V29+V30</f>
        <v>10934.737000000001</v>
      </c>
      <c r="W31" s="20">
        <f t="shared" ref="W31" si="256">IF(M31&gt;0,X31/M31,0)</f>
        <v>0.4676240149592627</v>
      </c>
      <c r="X31" s="52">
        <f t="shared" ref="X31" si="257">X28+X29+X30</f>
        <v>21006.606</v>
      </c>
      <c r="Y31" s="20">
        <f t="shared" ref="Y31" si="258">IF(M31&gt;0,Z31/M31,0)</f>
        <v>0.43012443791460758</v>
      </c>
      <c r="Z31" s="52">
        <f t="shared" ref="Z31" si="259">Z28+Z29+Z30</f>
        <v>19322.050000000003</v>
      </c>
      <c r="AA31" s="119">
        <f t="shared" ref="AA31" si="260">IF(M31&gt;0,AB31/M31,0)</f>
        <v>2.7673453986910646E-3</v>
      </c>
      <c r="AB31" s="54">
        <f t="shared" ref="AB31" si="261">SUM(AB28:AB30)</f>
        <v>124.31469</v>
      </c>
      <c r="AC31" s="53">
        <f t="shared" ref="AC31" si="262">IF(M31&gt;0,AD31/M31,0)</f>
        <v>2.9321817817550421E-3</v>
      </c>
      <c r="AD31" s="54">
        <f t="shared" ref="AD31" si="263">SUM(AD28:AD30)</f>
        <v>131.71947</v>
      </c>
      <c r="AE31" s="53">
        <f t="shared" ref="AE31" si="264">IF(M31&gt;0,(AE28*M28+AE29*M29+AE30*M30)/M31,0)</f>
        <v>2.998390260896665E-3</v>
      </c>
      <c r="AF31" s="53">
        <f t="shared" ref="AF31" si="265">IF(K31&gt;0,(K28*AF28+K29*AF29+K30*AF30)/K31,0)</f>
        <v>2.0686159598378391E-4</v>
      </c>
      <c r="AG31" s="50">
        <f t="shared" ref="AG31" si="266">SUM(AG28:AG30)</f>
        <v>9.2911400000000004</v>
      </c>
      <c r="AH31" s="51">
        <f t="shared" ref="AH31" si="267">IF(K31&gt;0,(K28*AH28+K29*AH29+K30*AH30)/K31,0)</f>
        <v>0.21401130926124307</v>
      </c>
      <c r="AI31" s="56">
        <f t="shared" ref="AI31" si="268">SUM(AI28:AI30)</f>
        <v>120.02712299999999</v>
      </c>
      <c r="AJ31" s="51">
        <f t="shared" ref="AJ31" si="269">IF(AND(AD31&gt;0),((AD28*AJ28+AD29*AJ29+AD30*AJ30)/AD31),0)</f>
        <v>0.9303626781107821</v>
      </c>
      <c r="AK31" s="55">
        <f t="shared" si="6"/>
        <v>0.93187041239305868</v>
      </c>
      <c r="AL31" s="49">
        <f t="shared" ref="AL31" si="270">SUM(AL28:AL30)</f>
        <v>615</v>
      </c>
      <c r="AM31" s="20">
        <f t="shared" ref="AM31" si="271">IF(AL31&gt;0,(AM28*AL28+AM29*AL29+AM30*AL30)/AL31,0)</f>
        <v>8.8580487804878039E-2</v>
      </c>
      <c r="AN31" s="51">
        <f>IF(K31&gt;0,(AN28*K28+AN29*K29+AN30*K30)/K31,0)</f>
        <v>0.22381157602873528</v>
      </c>
      <c r="AO31" s="107">
        <f>IF(L31&gt;0,(AO28*K28+AO29*K29+AO30*K30)/K31,0)</f>
        <v>0.21266563950679521</v>
      </c>
      <c r="AP31" s="56">
        <f t="shared" ref="AP31" si="272">SUM(AP28:AP30)</f>
        <v>125.40254730000001</v>
      </c>
      <c r="AQ31" s="108">
        <f t="shared" si="228"/>
        <v>118.93727160000002</v>
      </c>
      <c r="AR31" s="54"/>
      <c r="AS31" s="54">
        <f t="shared" ref="AS31" si="273">SUM(AS28:AS30)</f>
        <v>0</v>
      </c>
      <c r="AT31" s="83"/>
      <c r="AU31" s="84">
        <f>AT30</f>
        <v>2199.6799999999994</v>
      </c>
      <c r="AV31" s="49">
        <f t="shared" ref="AV31" si="274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43" t="s">
        <v>55</v>
      </c>
      <c r="D32" s="11">
        <v>7261</v>
      </c>
      <c r="E32" s="11">
        <v>10</v>
      </c>
      <c r="F32" s="11">
        <v>10693</v>
      </c>
      <c r="G32" s="12">
        <v>1.9</v>
      </c>
      <c r="H32" s="12">
        <v>5.2</v>
      </c>
      <c r="I32" s="11">
        <v>10639</v>
      </c>
      <c r="J32" s="12">
        <v>4.3</v>
      </c>
      <c r="K32" s="11">
        <v>15514</v>
      </c>
      <c r="L32" s="13">
        <v>6.3E-2</v>
      </c>
      <c r="M32" s="23">
        <f>ROUND(K32*(1-L32),0)</f>
        <v>14537</v>
      </c>
      <c r="N32" s="14">
        <v>0.622</v>
      </c>
      <c r="O32" s="24">
        <f t="shared" ref="O32:O34" si="275">M32*N32</f>
        <v>9042.0139999999992</v>
      </c>
      <c r="P32" s="13">
        <v>0.35799999999999998</v>
      </c>
      <c r="Q32" s="24">
        <f t="shared" ref="Q32:Q34" si="276">M32*P32</f>
        <v>5204.2460000000001</v>
      </c>
      <c r="R32" s="15">
        <v>0.02</v>
      </c>
      <c r="S32" s="112">
        <v>0.21909999999999999</v>
      </c>
      <c r="T32" s="24">
        <f t="shared" ref="T32:T34" si="277">M32*R32</f>
        <v>290.74</v>
      </c>
      <c r="U32" s="25">
        <v>0.23</v>
      </c>
      <c r="V32" s="24">
        <f t="shared" ref="V32:V34" si="278">M32*U32</f>
        <v>3343.51</v>
      </c>
      <c r="W32" s="15">
        <v>0.48299999999999998</v>
      </c>
      <c r="X32" s="24">
        <f t="shared" ref="X32:X34" si="279">M32*W32</f>
        <v>7021.3710000000001</v>
      </c>
      <c r="Y32" s="15">
        <v>0.43</v>
      </c>
      <c r="Z32" s="24">
        <f t="shared" ref="Z32:Z34" si="280">Y32*M32</f>
        <v>6250.91</v>
      </c>
      <c r="AA32" s="116">
        <v>2.6099999999999999E-3</v>
      </c>
      <c r="AB32" s="18">
        <f t="shared" ref="AB32" si="281">M32*AA32</f>
        <v>37.941569999999999</v>
      </c>
      <c r="AC32" s="16">
        <v>2.5699999999999998E-3</v>
      </c>
      <c r="AD32" s="17">
        <f t="shared" ref="AD32:AD34" si="282">M32*AC32</f>
        <v>37.36009</v>
      </c>
      <c r="AE32" s="26">
        <f>IF(M32&gt;0,(AG32+AP32)/M32,0)</f>
        <v>2.7565429593451197E-3</v>
      </c>
      <c r="AF32" s="16">
        <v>2.0000000000000001E-4</v>
      </c>
      <c r="AG32" s="23">
        <f t="shared" ref="AG32:AG34" si="283">AF32*M32</f>
        <v>2.9074</v>
      </c>
      <c r="AH32" s="92">
        <v>0.214</v>
      </c>
      <c r="AI32" s="29">
        <f t="shared" ref="AI32:AI34" si="284">AL32*(1-AM32)*AH32</f>
        <v>35.987310000000001</v>
      </c>
      <c r="AJ32" s="27">
        <f t="shared" ref="AJ32:AJ34" si="285">IF(AND(AH32&gt;0,AF32&gt;0,AC32&gt;0),((AC32-AF32)*AH32)/((AH32-AF32)*AC32),0)</f>
        <v>0.92304164406896883</v>
      </c>
      <c r="AK32" s="58">
        <f t="shared" si="6"/>
        <v>0.92828543080472836</v>
      </c>
      <c r="AL32" s="11">
        <v>185</v>
      </c>
      <c r="AM32" s="13">
        <v>9.0999999999999998E-2</v>
      </c>
      <c r="AN32" s="14">
        <v>0.221</v>
      </c>
      <c r="AO32" s="101">
        <v>0.22020000000000001</v>
      </c>
      <c r="AP32" s="29">
        <f>AL32*(1-AM32)*AN32</f>
        <v>37.164465</v>
      </c>
      <c r="AQ32" s="102">
        <f t="shared" ref="AQ32" si="286">AL32*(1-AM32)*AO32</f>
        <v>37.029933</v>
      </c>
      <c r="AR32" s="18">
        <v>1.56</v>
      </c>
      <c r="AS32" s="18">
        <v>906.66</v>
      </c>
      <c r="AT32" s="79">
        <f>AT30+AL32-AS32</f>
        <v>1478.0199999999995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53</v>
      </c>
      <c r="D33" s="33">
        <v>20000</v>
      </c>
      <c r="E33" s="33">
        <v>15</v>
      </c>
      <c r="F33" s="33">
        <v>18156</v>
      </c>
      <c r="G33" s="34">
        <v>0.8</v>
      </c>
      <c r="H33" s="34">
        <v>4.9000000000000004</v>
      </c>
      <c r="I33" s="33">
        <v>17608</v>
      </c>
      <c r="J33" s="34">
        <v>6.2</v>
      </c>
      <c r="K33" s="33">
        <v>15946</v>
      </c>
      <c r="L33" s="35">
        <v>6.5000000000000002E-2</v>
      </c>
      <c r="M33" s="36">
        <f>ROUND(K33*(1-L33),0)</f>
        <v>14910</v>
      </c>
      <c r="N33" s="37">
        <v>0.60399999999999998</v>
      </c>
      <c r="O33" s="24">
        <f t="shared" si="275"/>
        <v>9005.64</v>
      </c>
      <c r="P33" s="35">
        <v>0.37</v>
      </c>
      <c r="Q33" s="24">
        <f t="shared" si="276"/>
        <v>5516.7</v>
      </c>
      <c r="R33" s="38">
        <v>2.5999999999999999E-2</v>
      </c>
      <c r="S33" s="105">
        <v>0.1976</v>
      </c>
      <c r="T33" s="24">
        <f t="shared" si="277"/>
        <v>387.65999999999997</v>
      </c>
      <c r="U33" s="27">
        <v>0.24099999999999999</v>
      </c>
      <c r="V33" s="24">
        <f t="shared" si="278"/>
        <v>3593.31</v>
      </c>
      <c r="W33" s="38">
        <v>0.47799999999999998</v>
      </c>
      <c r="X33" s="24">
        <f t="shared" si="279"/>
        <v>7126.98</v>
      </c>
      <c r="Y33" s="38">
        <v>0.44</v>
      </c>
      <c r="Z33" s="24">
        <f t="shared" si="280"/>
        <v>6560.4</v>
      </c>
      <c r="AA33" s="117">
        <v>2.3900000000000002E-3</v>
      </c>
      <c r="AB33" s="18">
        <f t="shared" si="61"/>
        <v>35.634900000000002</v>
      </c>
      <c r="AC33" s="39">
        <v>2.4099999999999998E-3</v>
      </c>
      <c r="AD33" s="17">
        <f t="shared" si="282"/>
        <v>35.933099999999996</v>
      </c>
      <c r="AE33" s="26">
        <f>IF(M33&gt;0,(AG33+AP33)/M33,0)</f>
        <v>2.4335212340710929E-3</v>
      </c>
      <c r="AF33" s="39">
        <v>1.9000000000000001E-4</v>
      </c>
      <c r="AG33" s="36">
        <f t="shared" si="283"/>
        <v>2.8329</v>
      </c>
      <c r="AH33" s="27">
        <v>0.21790000000000001</v>
      </c>
      <c r="AI33" s="40">
        <f t="shared" si="284"/>
        <v>33.041484400000002</v>
      </c>
      <c r="AJ33" s="27">
        <f t="shared" si="285"/>
        <v>0.92196574261965991</v>
      </c>
      <c r="AK33" s="28">
        <f t="shared" si="6"/>
        <v>0.92271856309026279</v>
      </c>
      <c r="AL33" s="33">
        <v>167</v>
      </c>
      <c r="AM33" s="35">
        <v>9.1999999999999998E-2</v>
      </c>
      <c r="AN33" s="37">
        <v>0.22059999999999999</v>
      </c>
      <c r="AO33" s="103">
        <v>0.22</v>
      </c>
      <c r="AP33" s="40">
        <f>AL33*(1-AM33)*AN33</f>
        <v>33.450901599999995</v>
      </c>
      <c r="AQ33" s="104">
        <f t="shared" si="21"/>
        <v>33.359920000000002</v>
      </c>
      <c r="AR33" s="41">
        <v>1.55</v>
      </c>
      <c r="AS33" s="41"/>
      <c r="AT33" s="129">
        <f>AT32+AL33-AS33</f>
        <v>1645.0199999999995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0" t="s">
        <v>59</v>
      </c>
      <c r="D34" s="42">
        <v>21109</v>
      </c>
      <c r="E34" s="42">
        <v>10</v>
      </c>
      <c r="F34" s="42">
        <v>20674</v>
      </c>
      <c r="G34" s="36">
        <v>2.2000000000000002</v>
      </c>
      <c r="H34" s="36">
        <v>7.2</v>
      </c>
      <c r="I34" s="42">
        <v>19754</v>
      </c>
      <c r="J34" s="36">
        <v>4.8</v>
      </c>
      <c r="K34" s="42">
        <v>16628</v>
      </c>
      <c r="L34" s="38">
        <v>6.9000000000000006E-2</v>
      </c>
      <c r="M34" s="36">
        <f>ROUND(K34*(1-L34),0)</f>
        <v>15481</v>
      </c>
      <c r="N34" s="27">
        <v>0.68700000000000006</v>
      </c>
      <c r="O34" s="24">
        <f t="shared" si="275"/>
        <v>10635.447</v>
      </c>
      <c r="P34" s="38">
        <v>0.28999999999999998</v>
      </c>
      <c r="Q34" s="24">
        <f t="shared" si="276"/>
        <v>4489.49</v>
      </c>
      <c r="R34" s="38">
        <v>2.3E-2</v>
      </c>
      <c r="S34" s="105">
        <v>0.20319999999999999</v>
      </c>
      <c r="T34" s="24">
        <f t="shared" si="277"/>
        <v>356.06299999999999</v>
      </c>
      <c r="U34" s="27">
        <v>0.26300000000000001</v>
      </c>
      <c r="V34" s="24">
        <f t="shared" si="278"/>
        <v>4071.5030000000002</v>
      </c>
      <c r="W34" s="38">
        <v>0.46500000000000002</v>
      </c>
      <c r="X34" s="24">
        <f t="shared" si="279"/>
        <v>7198.665</v>
      </c>
      <c r="Y34" s="38">
        <v>0.44</v>
      </c>
      <c r="Z34" s="24">
        <f t="shared" si="280"/>
        <v>6811.64</v>
      </c>
      <c r="AA34" s="118">
        <v>2.47E-3</v>
      </c>
      <c r="AB34" s="121">
        <f t="shared" si="61"/>
        <v>38.23807</v>
      </c>
      <c r="AC34" s="45">
        <v>2.6199999999999999E-3</v>
      </c>
      <c r="AD34" s="17">
        <f t="shared" si="282"/>
        <v>40.560220000000001</v>
      </c>
      <c r="AE34" s="26">
        <f>IF(M34&gt;0,(AG34+AP34)/M34,0)</f>
        <v>2.7354964149602736E-3</v>
      </c>
      <c r="AF34" s="45">
        <v>2.2000000000000001E-4</v>
      </c>
      <c r="AG34" s="36">
        <f t="shared" si="283"/>
        <v>3.4058200000000003</v>
      </c>
      <c r="AH34" s="27">
        <v>0.21940000000000001</v>
      </c>
      <c r="AI34" s="40">
        <f t="shared" si="284"/>
        <v>38.142690000000002</v>
      </c>
      <c r="AJ34" s="27">
        <f t="shared" si="285"/>
        <v>0.91694999195474602</v>
      </c>
      <c r="AK34" s="28">
        <f t="shared" si="6"/>
        <v>0.92047988323824115</v>
      </c>
      <c r="AL34" s="42">
        <v>190</v>
      </c>
      <c r="AM34" s="38">
        <v>8.5000000000000006E-2</v>
      </c>
      <c r="AN34" s="27">
        <v>0.224</v>
      </c>
      <c r="AO34" s="105">
        <v>0.22020000000000001</v>
      </c>
      <c r="AP34" s="40">
        <f>AL34*(1-AM34)*AN34</f>
        <v>38.942399999999999</v>
      </c>
      <c r="AQ34" s="106">
        <f t="shared" si="21"/>
        <v>38.281770000000002</v>
      </c>
      <c r="AR34" s="17">
        <v>1.58</v>
      </c>
      <c r="AS34" s="17"/>
      <c r="AT34" s="129">
        <f>AT33+AL34-AS34</f>
        <v>1835.0199999999995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7">SUM(D32:D34)</f>
        <v>48370</v>
      </c>
      <c r="E35" s="49"/>
      <c r="F35" s="49">
        <f t="shared" ref="F35" si="288">SUM(F32:F34)</f>
        <v>49523</v>
      </c>
      <c r="G35" s="50"/>
      <c r="H35" s="50"/>
      <c r="I35" s="49">
        <f t="shared" ref="I35:K35" si="289">SUM(I32:I34)</f>
        <v>48001</v>
      </c>
      <c r="J35" s="50"/>
      <c r="K35" s="49">
        <f t="shared" si="289"/>
        <v>48088</v>
      </c>
      <c r="L35" s="20">
        <f t="shared" ref="L35" si="290">IF(K35&gt;0,(K32*L32+K33*L33+K34*L34)/K35,0)</f>
        <v>6.5737897188487771E-2</v>
      </c>
      <c r="M35" s="50">
        <f t="shared" ref="M35" si="291">M32+M33+M34</f>
        <v>44928</v>
      </c>
      <c r="N35" s="51">
        <f t="shared" ref="N35" si="292">IF(M35&gt;0,O35/M35,0)</f>
        <v>0.63842372240028489</v>
      </c>
      <c r="O35" s="52">
        <f t="shared" ref="O35" si="293">O32+O33+O34</f>
        <v>28683.100999999999</v>
      </c>
      <c r="P35" s="20">
        <f t="shared" ref="P35" si="294">IF(M35&gt;0,Q35/M35,0)</f>
        <v>0.33855137108262107</v>
      </c>
      <c r="Q35" s="52">
        <f t="shared" ref="Q35" si="295">Q32+Q33+Q34</f>
        <v>15210.436</v>
      </c>
      <c r="R35" s="20">
        <f t="shared" ref="R35" si="296">IF(M35&gt;0,T35/M35,0)</f>
        <v>2.3024906517094015E-2</v>
      </c>
      <c r="S35" s="107"/>
      <c r="T35" s="52">
        <f t="shared" ref="T35" si="297">T32+T33+T34</f>
        <v>1034.463</v>
      </c>
      <c r="U35" s="20">
        <f t="shared" ref="U35" si="298">IF(M35&gt;0,V35/M35,0)</f>
        <v>0.2450214342948718</v>
      </c>
      <c r="V35" s="52">
        <f t="shared" ref="V35" si="299">V32+V33+V34</f>
        <v>11008.323</v>
      </c>
      <c r="W35" s="20">
        <f t="shared" ref="W35" si="300">IF(M35&gt;0,X35/M35,0)</f>
        <v>0.47513835470085469</v>
      </c>
      <c r="X35" s="52">
        <f t="shared" ref="X35" si="301">X32+X33+X34</f>
        <v>21347.016</v>
      </c>
      <c r="Y35" s="20">
        <f t="shared" ref="Y35" si="302">IF(M35&gt;0,Z35/M35,0)</f>
        <v>0.43676437856125355</v>
      </c>
      <c r="Z35" s="52">
        <f t="shared" ref="Z35" si="303">Z32+Z33+Z34</f>
        <v>19622.95</v>
      </c>
      <c r="AA35" s="119">
        <f t="shared" ref="AA35" si="304">IF(M35&gt;0,AB35/M35,0)</f>
        <v>2.4887495548433047E-3</v>
      </c>
      <c r="AB35" s="54">
        <f t="shared" ref="AB35" si="305">SUM(AB32:AB34)</f>
        <v>111.81453999999999</v>
      </c>
      <c r="AC35" s="53">
        <f t="shared" ref="AC35" si="306">IF(M35&gt;0,AD35/M35,0)</f>
        <v>2.5341303863960114E-3</v>
      </c>
      <c r="AD35" s="54">
        <f t="shared" ref="AD35" si="307">SUM(AD32:AD34)</f>
        <v>113.85341</v>
      </c>
      <c r="AE35" s="53">
        <f t="shared" ref="AE35" si="308">IF(M35&gt;0,(AE32*M32+AE33*M33+AE34*M34)/M35,0)</f>
        <v>2.6420914930555556E-3</v>
      </c>
      <c r="AF35" s="53">
        <f t="shared" ref="AF35" si="309">IF(K35&gt;0,(K32*AF32+K33*AF33+K34*AF34)/K35,0)</f>
        <v>2.0359965064049247E-4</v>
      </c>
      <c r="AG35" s="50">
        <f t="shared" ref="AG35" si="310">SUM(AG32:AG34)</f>
        <v>9.1461199999999998</v>
      </c>
      <c r="AH35" s="51">
        <f t="shared" ref="AH35" si="311">IF(K35&gt;0,(K32*AH32+K33*AH33+K34*AH34)/K35,0)</f>
        <v>0.21716046830810184</v>
      </c>
      <c r="AI35" s="56">
        <f t="shared" ref="AI35" si="312">SUM(AI32:AI34)</f>
        <v>107.17148440000001</v>
      </c>
      <c r="AJ35" s="51">
        <f t="shared" ref="AJ35" si="313">IF(AND(AD35&gt;0),((AD32*AJ32+AD33*AJ33+AD34*AJ34)/AD35),0)</f>
        <v>0.92053193246450749</v>
      </c>
      <c r="AK35" s="55">
        <f t="shared" si="6"/>
        <v>0.9237875533941996</v>
      </c>
      <c r="AL35" s="49">
        <f t="shared" ref="AL35" si="314">SUM(AL32:AL34)</f>
        <v>542</v>
      </c>
      <c r="AM35" s="20">
        <f t="shared" ref="AM35" si="315">IF(AL35&gt;0,(AM32*AL32+AM33*AL33+AM34*AL34)/AL35,0)</f>
        <v>8.9204797047970491E-2</v>
      </c>
      <c r="AN35" s="51">
        <f>IF(K35&gt;0,(AN32*K32+AN33*K33+AN34*K34)/K35,0)</f>
        <v>0.22190470803526868</v>
      </c>
      <c r="AO35" s="107">
        <f>IF(L35&gt;0,(AO32*K32+AO33*K33+AO34*K34)/K35,0)</f>
        <v>0.22013367992014637</v>
      </c>
      <c r="AP35" s="56">
        <f t="shared" ref="AP35" si="316">SUM(AP32:AP34)</f>
        <v>109.55776659999998</v>
      </c>
      <c r="AQ35" s="108">
        <f t="shared" si="228"/>
        <v>108.67162300000001</v>
      </c>
      <c r="AR35" s="54"/>
      <c r="AS35" s="54">
        <f t="shared" ref="AS35" si="317">SUM(AS32:AS34)</f>
        <v>906.66</v>
      </c>
      <c r="AT35" s="83"/>
      <c r="AU35" s="84">
        <f>AT34</f>
        <v>1835.0199999999995</v>
      </c>
      <c r="AV35" s="49">
        <f t="shared" ref="AV35" si="318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43" t="s">
        <v>55</v>
      </c>
      <c r="D36" s="11">
        <v>3588</v>
      </c>
      <c r="E36" s="11">
        <v>12</v>
      </c>
      <c r="F36" s="11">
        <v>10892</v>
      </c>
      <c r="G36" s="12">
        <v>2.2999999999999998</v>
      </c>
      <c r="H36" s="12">
        <v>6.1</v>
      </c>
      <c r="I36" s="11">
        <v>11163</v>
      </c>
      <c r="J36" s="12">
        <v>6.5</v>
      </c>
      <c r="K36" s="11">
        <v>15382</v>
      </c>
      <c r="L36" s="13">
        <v>6.0999999999999999E-2</v>
      </c>
      <c r="M36" s="23">
        <f>ROUND(K36*(1-L36),0)</f>
        <v>14444</v>
      </c>
      <c r="N36" s="14">
        <v>0.62</v>
      </c>
      <c r="O36" s="24">
        <f t="shared" ref="O36:O38" si="319">M36*N36</f>
        <v>8955.2800000000007</v>
      </c>
      <c r="P36" s="13">
        <v>0.378</v>
      </c>
      <c r="Q36" s="24">
        <f t="shared" ref="Q36:Q38" si="320">M36*P36</f>
        <v>5459.8320000000003</v>
      </c>
      <c r="R36" s="15">
        <v>2E-3</v>
      </c>
      <c r="S36" s="112">
        <v>0.23280000000000001</v>
      </c>
      <c r="T36" s="24">
        <f t="shared" ref="T36:T38" si="321">M36*R36</f>
        <v>28.888000000000002</v>
      </c>
      <c r="U36" s="25">
        <v>0.26</v>
      </c>
      <c r="V36" s="24">
        <f t="shared" ref="V36:V38" si="322">M36*U36</f>
        <v>3755.44</v>
      </c>
      <c r="W36" s="15">
        <v>0.46400000000000002</v>
      </c>
      <c r="X36" s="24">
        <f t="shared" ref="X36:X38" si="323">M36*W36</f>
        <v>6702.0160000000005</v>
      </c>
      <c r="Y36" s="15">
        <v>0.44</v>
      </c>
      <c r="Z36" s="24">
        <f t="shared" ref="Z36:Z38" si="324">Y36*M36</f>
        <v>6355.36</v>
      </c>
      <c r="AA36" s="116">
        <v>2.7899999999999999E-3</v>
      </c>
      <c r="AB36" s="18">
        <f t="shared" ref="AB36" si="325">M36*AA36</f>
        <v>40.298760000000001</v>
      </c>
      <c r="AC36" s="16">
        <v>2.9099999999999998E-3</v>
      </c>
      <c r="AD36" s="17">
        <f t="shared" ref="AD36:AD38" si="326">M36*AC36</f>
        <v>42.032039999999995</v>
      </c>
      <c r="AE36" s="26">
        <f>IF(M36&gt;0,(AG36+AP36)/M36,0)</f>
        <v>3.3588961852672392E-3</v>
      </c>
      <c r="AF36" s="16">
        <v>2.9999999999999997E-4</v>
      </c>
      <c r="AG36" s="23">
        <f t="shared" ref="AG36:AG38" si="327">AF36*M36</f>
        <v>4.3331999999999997</v>
      </c>
      <c r="AH36" s="92">
        <v>0.21279999999999999</v>
      </c>
      <c r="AI36" s="29">
        <f t="shared" ref="AI36:AI38" si="328">AL36*(1-AM36)*AH36</f>
        <v>41.473655999999998</v>
      </c>
      <c r="AJ36" s="27">
        <f t="shared" ref="AJ36:AJ38" si="329">IF(AND(AH36&gt;0,AF36&gt;0,AC36&gt;0),((AC36-AF36)*AH36)/((AH36-AF36)*AC36),0)</f>
        <v>0.89817343844754394</v>
      </c>
      <c r="AK36" s="58">
        <f t="shared" si="6"/>
        <v>0.91189168226392681</v>
      </c>
      <c r="AL36" s="11">
        <v>213</v>
      </c>
      <c r="AM36" s="13">
        <v>8.5000000000000006E-2</v>
      </c>
      <c r="AN36" s="14">
        <v>0.22670000000000001</v>
      </c>
      <c r="AO36" s="101">
        <v>0.21560000000000001</v>
      </c>
      <c r="AP36" s="29">
        <f>AL36*(1-AM36)*AN36</f>
        <v>44.182696500000006</v>
      </c>
      <c r="AQ36" s="102">
        <f t="shared" ref="AQ36" si="330">AL36*(1-AM36)*AO36</f>
        <v>42.019362000000008</v>
      </c>
      <c r="AR36" s="18">
        <v>1.56</v>
      </c>
      <c r="AS36" s="18">
        <v>1101.82</v>
      </c>
      <c r="AT36" s="79">
        <f>AT34+AL36-AS36+AU36</f>
        <v>922.17999999999961</v>
      </c>
      <c r="AU36" s="130">
        <v>-24.02</v>
      </c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53</v>
      </c>
      <c r="D37" s="33">
        <v>20400</v>
      </c>
      <c r="E37" s="33">
        <v>14</v>
      </c>
      <c r="F37" s="33">
        <v>16506</v>
      </c>
      <c r="G37" s="34">
        <v>1.2</v>
      </c>
      <c r="H37" s="34">
        <v>5.6</v>
      </c>
      <c r="I37" s="33">
        <v>16069</v>
      </c>
      <c r="J37" s="34">
        <v>6.3</v>
      </c>
      <c r="K37" s="33">
        <v>15352</v>
      </c>
      <c r="L37" s="35">
        <v>6.0999999999999999E-2</v>
      </c>
      <c r="M37" s="36">
        <f>ROUND(K37*(1-L37),0)</f>
        <v>14416</v>
      </c>
      <c r="N37" s="37">
        <v>0.65400000000000003</v>
      </c>
      <c r="O37" s="24">
        <f t="shared" si="319"/>
        <v>9428.0640000000003</v>
      </c>
      <c r="P37" s="35">
        <v>0.33300000000000002</v>
      </c>
      <c r="Q37" s="24">
        <f t="shared" si="320"/>
        <v>4800.5280000000002</v>
      </c>
      <c r="R37" s="38">
        <v>1.2999999999999999E-2</v>
      </c>
      <c r="S37" s="105">
        <v>0.2326</v>
      </c>
      <c r="T37" s="24">
        <f t="shared" si="321"/>
        <v>187.40799999999999</v>
      </c>
      <c r="U37" s="27">
        <v>0.253</v>
      </c>
      <c r="V37" s="24">
        <f t="shared" si="322"/>
        <v>3647.248</v>
      </c>
      <c r="W37" s="38">
        <v>0.46899999999999997</v>
      </c>
      <c r="X37" s="24">
        <f t="shared" si="323"/>
        <v>6761.1039999999994</v>
      </c>
      <c r="Y37" s="38">
        <v>0.45</v>
      </c>
      <c r="Z37" s="24">
        <f t="shared" si="324"/>
        <v>6487.2</v>
      </c>
      <c r="AA37" s="117">
        <v>2.7899999999999999E-3</v>
      </c>
      <c r="AB37" s="18">
        <f t="shared" si="61"/>
        <v>40.220639999999996</v>
      </c>
      <c r="AC37" s="39">
        <v>2.8400000000000001E-3</v>
      </c>
      <c r="AD37" s="17">
        <f t="shared" si="326"/>
        <v>40.94144</v>
      </c>
      <c r="AE37" s="26">
        <f>IF(M37&gt;0,(AG37+AP37)/M37,0)</f>
        <v>2.9490896781354048E-3</v>
      </c>
      <c r="AF37" s="39">
        <v>2.5000000000000001E-4</v>
      </c>
      <c r="AG37" s="36">
        <f t="shared" si="327"/>
        <v>3.6040000000000001</v>
      </c>
      <c r="AH37" s="27">
        <v>0.21640000000000001</v>
      </c>
      <c r="AI37" s="40">
        <f t="shared" si="328"/>
        <v>38.766761600000002</v>
      </c>
      <c r="AJ37" s="27">
        <f t="shared" si="329"/>
        <v>0.91302662144507118</v>
      </c>
      <c r="AK37" s="28">
        <f t="shared" si="6"/>
        <v>0.91628273129208793</v>
      </c>
      <c r="AL37" s="33">
        <v>196</v>
      </c>
      <c r="AM37" s="35">
        <v>8.5999999999999993E-2</v>
      </c>
      <c r="AN37" s="37">
        <v>0.2172</v>
      </c>
      <c r="AO37" s="103">
        <v>0.20710000000000001</v>
      </c>
      <c r="AP37" s="40">
        <f>AL37*(1-AM37)*AN37</f>
        <v>38.910076799999999</v>
      </c>
      <c r="AQ37" s="104">
        <f t="shared" si="21"/>
        <v>37.100722400000002</v>
      </c>
      <c r="AR37" s="41">
        <v>1.58</v>
      </c>
      <c r="AS37" s="41"/>
      <c r="AT37" s="129">
        <f>AT36+AL37-AS37</f>
        <v>1118.1799999999996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0" t="s">
        <v>59</v>
      </c>
      <c r="D38" s="42">
        <v>22162</v>
      </c>
      <c r="E38" s="42">
        <v>10</v>
      </c>
      <c r="F38" s="42">
        <v>19333</v>
      </c>
      <c r="G38" s="36">
        <v>2</v>
      </c>
      <c r="H38" s="36">
        <v>5.8</v>
      </c>
      <c r="I38" s="42">
        <v>18768</v>
      </c>
      <c r="J38" s="36">
        <v>4.5999999999999996</v>
      </c>
      <c r="K38" s="42">
        <v>15382</v>
      </c>
      <c r="L38" s="38">
        <v>6.2E-2</v>
      </c>
      <c r="M38" s="36">
        <f>ROUND(K38*(1-L38),0)</f>
        <v>14428</v>
      </c>
      <c r="N38" s="27">
        <v>0.67900000000000005</v>
      </c>
      <c r="O38" s="24">
        <f t="shared" si="319"/>
        <v>9796.612000000001</v>
      </c>
      <c r="P38" s="38">
        <v>0.312</v>
      </c>
      <c r="Q38" s="24">
        <f t="shared" si="320"/>
        <v>4501.5360000000001</v>
      </c>
      <c r="R38" s="38">
        <v>8.9999999999999993E-3</v>
      </c>
      <c r="S38" s="105">
        <v>0.27039999999999997</v>
      </c>
      <c r="T38" s="24">
        <f t="shared" si="321"/>
        <v>129.852</v>
      </c>
      <c r="U38" s="27">
        <v>0.25800000000000001</v>
      </c>
      <c r="V38" s="24">
        <f t="shared" si="322"/>
        <v>3722.424</v>
      </c>
      <c r="W38" s="38">
        <v>0.47699999999999998</v>
      </c>
      <c r="X38" s="24">
        <f t="shared" si="323"/>
        <v>6882.1559999999999</v>
      </c>
      <c r="Y38" s="38">
        <v>0.46</v>
      </c>
      <c r="Z38" s="24">
        <f t="shared" si="324"/>
        <v>6636.88</v>
      </c>
      <c r="AA38" s="118">
        <v>2.64E-3</v>
      </c>
      <c r="AB38" s="121">
        <f t="shared" si="61"/>
        <v>38.089919999999999</v>
      </c>
      <c r="AC38" s="45">
        <v>2.6700000000000001E-3</v>
      </c>
      <c r="AD38" s="17">
        <f t="shared" si="326"/>
        <v>38.522759999999998</v>
      </c>
      <c r="AE38" s="26">
        <f>IF(M38&gt;0,(AG38+AP38)/M38,0)</f>
        <v>2.8980809537011371E-3</v>
      </c>
      <c r="AF38" s="45">
        <v>2.3000000000000001E-4</v>
      </c>
      <c r="AG38" s="36">
        <f t="shared" si="327"/>
        <v>3.3184400000000003</v>
      </c>
      <c r="AH38" s="27">
        <v>0.21360000000000001</v>
      </c>
      <c r="AI38" s="40">
        <f t="shared" si="328"/>
        <v>36.707800800000001</v>
      </c>
      <c r="AJ38" s="27">
        <f t="shared" si="329"/>
        <v>0.91484276140038434</v>
      </c>
      <c r="AK38" s="28">
        <f t="shared" si="6"/>
        <v>0.92158340625972979</v>
      </c>
      <c r="AL38" s="42">
        <v>187</v>
      </c>
      <c r="AM38" s="38">
        <v>8.1000000000000003E-2</v>
      </c>
      <c r="AN38" s="27">
        <v>0.224</v>
      </c>
      <c r="AO38" s="105">
        <v>0.2172</v>
      </c>
      <c r="AP38" s="40">
        <f>AL38*(1-AM38)*AN38</f>
        <v>38.495072</v>
      </c>
      <c r="AQ38" s="106">
        <f t="shared" si="21"/>
        <v>37.326471600000005</v>
      </c>
      <c r="AR38" s="17">
        <v>1.52</v>
      </c>
      <c r="AS38" s="17"/>
      <c r="AT38" s="129">
        <f>AT37+AL38-AS38</f>
        <v>1305.1799999999996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1">SUM(D36:D38)</f>
        <v>46150</v>
      </c>
      <c r="E39" s="49"/>
      <c r="F39" s="49">
        <f t="shared" ref="F39" si="332">SUM(F36:F38)</f>
        <v>46731</v>
      </c>
      <c r="G39" s="50"/>
      <c r="H39" s="50"/>
      <c r="I39" s="49">
        <f t="shared" ref="I39:K39" si="333">SUM(I36:I38)</f>
        <v>46000</v>
      </c>
      <c r="J39" s="50"/>
      <c r="K39" s="49">
        <f t="shared" si="333"/>
        <v>46116</v>
      </c>
      <c r="L39" s="20">
        <f t="shared" ref="L39" si="334">IF(K39&gt;0,(K36*L36+K37*L37+K38*L38)/K39,0)</f>
        <v>6.1333550177812467E-2</v>
      </c>
      <c r="M39" s="50">
        <f t="shared" ref="M39" si="335">M36+M37+M38</f>
        <v>43288</v>
      </c>
      <c r="N39" s="51">
        <f t="shared" ref="N39" si="336">IF(M39&gt;0,O39/M39,0)</f>
        <v>0.65098771021992241</v>
      </c>
      <c r="O39" s="52">
        <f t="shared" ref="O39" si="337">O36+O37+O38</f>
        <v>28179.956000000002</v>
      </c>
      <c r="P39" s="20">
        <f t="shared" ref="P39" si="338">IF(M39&gt;0,Q39/M39,0)</f>
        <v>0.34101589355017559</v>
      </c>
      <c r="Q39" s="52">
        <f t="shared" ref="Q39" si="339">Q36+Q37+Q38</f>
        <v>14761.896000000001</v>
      </c>
      <c r="R39" s="20">
        <f t="shared" ref="R39" si="340">IF(M39&gt;0,T39/M39,0)</f>
        <v>7.9963962299020516E-3</v>
      </c>
      <c r="S39" s="107"/>
      <c r="T39" s="52">
        <f t="shared" ref="T39" si="341">T36+T37+T38</f>
        <v>346.14800000000002</v>
      </c>
      <c r="U39" s="20">
        <f t="shared" ref="U39" si="342">IF(M39&gt;0,V39/M39,0)</f>
        <v>0.25700221770467568</v>
      </c>
      <c r="V39" s="52">
        <f t="shared" ref="V39" si="343">V36+V37+V38</f>
        <v>11125.112000000001</v>
      </c>
      <c r="W39" s="20">
        <f t="shared" ref="W39" si="344">IF(M39&gt;0,X39/M39,0)</f>
        <v>0.46999805950840873</v>
      </c>
      <c r="X39" s="52">
        <f t="shared" ref="X39" si="345">X36+X37+X38</f>
        <v>20345.275999999998</v>
      </c>
      <c r="Y39" s="20">
        <f t="shared" ref="Y39" si="346">IF(M39&gt;0,Z39/M39,0)</f>
        <v>0.44999630382554051</v>
      </c>
      <c r="Z39" s="52">
        <f t="shared" ref="Z39" si="347">Z36+Z37+Z38</f>
        <v>19479.439999999999</v>
      </c>
      <c r="AA39" s="119">
        <f t="shared" ref="AA39" si="348">IF(M39&gt;0,AB39/M39,0)</f>
        <v>2.7400046202180743E-3</v>
      </c>
      <c r="AB39" s="54">
        <f t="shared" ref="AB39" si="349">SUM(AB36:AB38)</f>
        <v>118.60932</v>
      </c>
      <c r="AC39" s="53">
        <f t="shared" ref="AC39" si="350">IF(M39&gt;0,AD39/M39,0)</f>
        <v>2.8066956200332657E-3</v>
      </c>
      <c r="AD39" s="54">
        <f t="shared" ref="AD39" si="351">SUM(AD36:AD38)</f>
        <v>121.49624</v>
      </c>
      <c r="AE39" s="53">
        <f t="shared" ref="AE39" si="352">IF(M39&gt;0,(AE36*M36+AE37*M37+AE38*M38)/M39,0)</f>
        <v>3.0688293591757529E-3</v>
      </c>
      <c r="AF39" s="53">
        <f t="shared" ref="AF39" si="353">IF(K39&gt;0,(K36*AF36+K37*AF37+K38*AF38)/K39,0)</f>
        <v>2.6000650533437419E-4</v>
      </c>
      <c r="AG39" s="50">
        <f t="shared" ref="AG39" si="354">SUM(AG36:AG38)</f>
        <v>11.25564</v>
      </c>
      <c r="AH39" s="51">
        <f t="shared" ref="AH39" si="355">IF(K39&gt;0,(K36*AH36+K37*AH37+K38*AH38)/K39,0)</f>
        <v>0.21426527886200017</v>
      </c>
      <c r="AI39" s="56">
        <f t="shared" ref="AI39" si="356">SUM(AI36:AI38)</f>
        <v>116.9482184</v>
      </c>
      <c r="AJ39" s="51">
        <f t="shared" ref="AJ39" si="357">IF(AND(AD39&gt;0),((AD36*AJ36+AD37*AJ37+AD38*AJ38)/AD39),0)</f>
        <v>0.90846395466415308</v>
      </c>
      <c r="AK39" s="55">
        <f t="shared" si="6"/>
        <v>0.91634517411559557</v>
      </c>
      <c r="AL39" s="49">
        <f t="shared" ref="AL39" si="358">SUM(AL36:AL38)</f>
        <v>596</v>
      </c>
      <c r="AM39" s="20">
        <f t="shared" ref="AM39" si="359">IF(AL39&gt;0,(AM36*AL36+AM37*AL37+AM38*AL38)/AL39,0)</f>
        <v>8.4073825503355695E-2</v>
      </c>
      <c r="AN39" s="51">
        <f>IF(K39&gt;0,(AN36*K36+AN37*K37+AN38*K38)/K39,0)</f>
        <v>0.22263686789834333</v>
      </c>
      <c r="AO39" s="107">
        <f>IF(L39&gt;0,(AO36*K36+AO37*K37+AO38*K38)/K39,0)</f>
        <v>0.21330403330731201</v>
      </c>
      <c r="AP39" s="56">
        <f t="shared" ref="AP39" si="360">SUM(AP36:AP38)</f>
        <v>121.5878453</v>
      </c>
      <c r="AQ39" s="108">
        <f t="shared" si="228"/>
        <v>116.44655600000002</v>
      </c>
      <c r="AR39" s="54"/>
      <c r="AS39" s="54">
        <f t="shared" ref="AS39" si="361">SUM(AS36:AS38)</f>
        <v>1101.82</v>
      </c>
      <c r="AT39" s="83"/>
      <c r="AU39" s="84">
        <f>AT38</f>
        <v>1305.1799999999996</v>
      </c>
      <c r="AV39" s="49">
        <f t="shared" ref="AV39" si="362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43" t="s">
        <v>55</v>
      </c>
      <c r="D40" s="11">
        <v>5500</v>
      </c>
      <c r="E40" s="11">
        <v>8</v>
      </c>
      <c r="F40" s="11">
        <v>13200</v>
      </c>
      <c r="G40" s="12">
        <v>1.4</v>
      </c>
      <c r="H40" s="12">
        <v>6.1</v>
      </c>
      <c r="I40" s="11">
        <v>12965</v>
      </c>
      <c r="J40" s="12">
        <v>5.5</v>
      </c>
      <c r="K40" s="11">
        <v>15388</v>
      </c>
      <c r="L40" s="13">
        <v>7.0000000000000007E-2</v>
      </c>
      <c r="M40" s="23">
        <f>ROUND(K40*(1-L40),0)</f>
        <v>14311</v>
      </c>
      <c r="N40" s="14">
        <v>0.84299999999999997</v>
      </c>
      <c r="O40" s="24">
        <f t="shared" ref="O40:O42" si="363">M40*N40</f>
        <v>12064.172999999999</v>
      </c>
      <c r="P40" s="13">
        <v>0.152</v>
      </c>
      <c r="Q40" s="24">
        <f t="shared" ref="Q40:Q42" si="364">M40*P40</f>
        <v>2175.2719999999999</v>
      </c>
      <c r="R40" s="15">
        <v>5.0000000000000001E-3</v>
      </c>
      <c r="S40" s="112">
        <v>0.22320000000000001</v>
      </c>
      <c r="T40" s="24">
        <f t="shared" ref="T40:T42" si="365">M40*R40</f>
        <v>71.555000000000007</v>
      </c>
      <c r="U40" s="25">
        <v>0.24199999999999999</v>
      </c>
      <c r="V40" s="24">
        <f t="shared" ref="V40:V42" si="366">M40*U40</f>
        <v>3463.2619999999997</v>
      </c>
      <c r="W40" s="15">
        <v>0.48399999999999999</v>
      </c>
      <c r="X40" s="24">
        <f t="shared" ref="X40:X42" si="367">M40*W40</f>
        <v>6926.5239999999994</v>
      </c>
      <c r="Y40" s="15">
        <v>0.46</v>
      </c>
      <c r="Z40" s="24">
        <f t="shared" ref="Z40:Z42" si="368">Y40*M40</f>
        <v>6583.06</v>
      </c>
      <c r="AA40" s="116">
        <v>2.4299999999999999E-3</v>
      </c>
      <c r="AB40" s="18">
        <f t="shared" ref="AB40" si="369">M40*AA40</f>
        <v>34.775729999999996</v>
      </c>
      <c r="AC40" s="16">
        <v>2.4499999999999999E-3</v>
      </c>
      <c r="AD40" s="17">
        <f t="shared" ref="AD40:AD42" si="370">M40*AC40</f>
        <v>35.061949999999996</v>
      </c>
      <c r="AE40" s="26">
        <f>IF(M40&gt;0,(AG40+AP40)/M40,0)</f>
        <v>2.7917255258193001E-3</v>
      </c>
      <c r="AF40" s="16">
        <v>2.2000000000000001E-4</v>
      </c>
      <c r="AG40" s="23">
        <f t="shared" ref="AG40:AG42" si="371">AF40*M40</f>
        <v>3.1484200000000002</v>
      </c>
      <c r="AH40" s="92">
        <v>0.22189999999999999</v>
      </c>
      <c r="AI40" s="29">
        <f t="shared" ref="AI40:AI42" si="372">AL40*(1-AM40)*AH40</f>
        <v>35.662880399999999</v>
      </c>
      <c r="AJ40" s="27">
        <f t="shared" ref="AJ40:AJ42" si="373">IF(AND(AH40&gt;0,AF40&gt;0,AC40&gt;0),((AC40-AF40)*AH40)/((AH40-AF40)*AC40),0)</f>
        <v>0.91110738774037214</v>
      </c>
      <c r="AK40" s="58">
        <f t="shared" si="6"/>
        <v>0.92208153387260838</v>
      </c>
      <c r="AL40" s="11">
        <v>177</v>
      </c>
      <c r="AM40" s="13">
        <v>9.1999999999999998E-2</v>
      </c>
      <c r="AN40" s="14">
        <v>0.22900000000000001</v>
      </c>
      <c r="AO40" s="101">
        <v>0.2165</v>
      </c>
      <c r="AP40" s="29">
        <f>AL40*(1-AM40)*AN40</f>
        <v>36.803964000000001</v>
      </c>
      <c r="AQ40" s="102">
        <f t="shared" ref="AQ40" si="374">AL40*(1-AM40)*AO40</f>
        <v>34.795014000000002</v>
      </c>
      <c r="AR40" s="18">
        <v>1.56</v>
      </c>
      <c r="AS40" s="18">
        <v>1044.08</v>
      </c>
      <c r="AT40" s="79">
        <f>AT38+AL40-AS40+AU40</f>
        <v>423.05999999999966</v>
      </c>
      <c r="AU40" s="130">
        <v>-15.04</v>
      </c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43" t="s">
        <v>57</v>
      </c>
      <c r="D41" s="33">
        <v>19700</v>
      </c>
      <c r="E41" s="33">
        <v>14</v>
      </c>
      <c r="F41" s="33">
        <v>17242</v>
      </c>
      <c r="G41" s="34">
        <v>1.4</v>
      </c>
      <c r="H41" s="34">
        <v>6.6</v>
      </c>
      <c r="I41" s="33">
        <v>17040</v>
      </c>
      <c r="J41" s="34">
        <v>4.5999999999999996</v>
      </c>
      <c r="K41" s="33">
        <v>15387</v>
      </c>
      <c r="L41" s="35">
        <v>5.5E-2</v>
      </c>
      <c r="M41" s="36">
        <f>ROUND(K41*(1-L41),0)</f>
        <v>14541</v>
      </c>
      <c r="N41" s="37">
        <v>0.82399999999999995</v>
      </c>
      <c r="O41" s="24">
        <f t="shared" si="363"/>
        <v>11981.784</v>
      </c>
      <c r="P41" s="35">
        <v>0.14699999999999999</v>
      </c>
      <c r="Q41" s="24">
        <f t="shared" si="364"/>
        <v>2137.527</v>
      </c>
      <c r="R41" s="38">
        <v>2.9000000000000001E-2</v>
      </c>
      <c r="S41" s="105">
        <v>0.22239999999999999</v>
      </c>
      <c r="T41" s="24">
        <f t="shared" si="365"/>
        <v>421.68900000000002</v>
      </c>
      <c r="U41" s="27">
        <v>0.247</v>
      </c>
      <c r="V41" s="24">
        <f t="shared" si="366"/>
        <v>3591.627</v>
      </c>
      <c r="W41" s="38">
        <v>0.48899999999999999</v>
      </c>
      <c r="X41" s="24">
        <f t="shared" si="367"/>
        <v>7110.549</v>
      </c>
      <c r="Y41" s="38">
        <v>0.45</v>
      </c>
      <c r="Z41" s="24">
        <f t="shared" si="368"/>
        <v>6543.45</v>
      </c>
      <c r="AA41" s="117">
        <v>2.47E-3</v>
      </c>
      <c r="AB41" s="18">
        <f t="shared" si="61"/>
        <v>35.916269999999997</v>
      </c>
      <c r="AC41" s="39">
        <v>2.4599999999999999E-3</v>
      </c>
      <c r="AD41" s="17">
        <f t="shared" si="370"/>
        <v>35.770859999999999</v>
      </c>
      <c r="AE41" s="26">
        <f>IF(M41&gt;0,(AG41+AP41)/M41,0)</f>
        <v>2.6264481947596455E-3</v>
      </c>
      <c r="AF41" s="39">
        <v>2.3000000000000001E-4</v>
      </c>
      <c r="AG41" s="36">
        <f t="shared" si="371"/>
        <v>3.34443</v>
      </c>
      <c r="AH41" s="27">
        <v>0.22550000000000001</v>
      </c>
      <c r="AI41" s="40">
        <f t="shared" si="372"/>
        <v>33.914298000000002</v>
      </c>
      <c r="AJ41" s="27">
        <f t="shared" si="373"/>
        <v>0.90742960299492448</v>
      </c>
      <c r="AK41" s="28">
        <f t="shared" si="6"/>
        <v>0.91333589925022041</v>
      </c>
      <c r="AL41" s="33">
        <v>166</v>
      </c>
      <c r="AM41" s="35">
        <v>9.4E-2</v>
      </c>
      <c r="AN41" s="37">
        <v>0.23169999999999999</v>
      </c>
      <c r="AO41" s="103">
        <v>0.21859999999999999</v>
      </c>
      <c r="AP41" s="40">
        <f>AL41*(1-AM41)*AN41</f>
        <v>34.846753200000002</v>
      </c>
      <c r="AQ41" s="104">
        <f t="shared" si="21"/>
        <v>32.876565599999999</v>
      </c>
      <c r="AR41" s="41">
        <v>1.55</v>
      </c>
      <c r="AS41" s="41"/>
      <c r="AT41" s="129">
        <f>AT40+AL41-AS41</f>
        <v>589.05999999999972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59</v>
      </c>
      <c r="D42" s="42">
        <v>21700</v>
      </c>
      <c r="E42" s="42">
        <v>5</v>
      </c>
      <c r="F42" s="42">
        <v>17643</v>
      </c>
      <c r="G42" s="36">
        <v>3.2</v>
      </c>
      <c r="H42" s="36">
        <v>7</v>
      </c>
      <c r="I42" s="42">
        <v>17134</v>
      </c>
      <c r="J42" s="36">
        <v>4.0999999999999996</v>
      </c>
      <c r="K42" s="42">
        <v>15614</v>
      </c>
      <c r="L42" s="38">
        <v>6.8000000000000005E-2</v>
      </c>
      <c r="M42" s="36">
        <f>ROUND(K42*(1-L42),0)</f>
        <v>14552</v>
      </c>
      <c r="N42" s="27">
        <v>0.82499999999999996</v>
      </c>
      <c r="O42" s="24">
        <f t="shared" si="363"/>
        <v>12005.4</v>
      </c>
      <c r="P42" s="38">
        <v>0.16200000000000001</v>
      </c>
      <c r="Q42" s="24">
        <f t="shared" si="364"/>
        <v>2357.424</v>
      </c>
      <c r="R42" s="38">
        <v>1.2999999999999999E-2</v>
      </c>
      <c r="S42" s="105">
        <v>0.215</v>
      </c>
      <c r="T42" s="24">
        <f t="shared" si="365"/>
        <v>189.17599999999999</v>
      </c>
      <c r="U42" s="27">
        <v>0.252</v>
      </c>
      <c r="V42" s="24">
        <f t="shared" si="366"/>
        <v>3667.1039999999998</v>
      </c>
      <c r="W42" s="38">
        <v>0.48</v>
      </c>
      <c r="X42" s="24">
        <f t="shared" si="367"/>
        <v>6984.96</v>
      </c>
      <c r="Y42" s="38">
        <v>0.45</v>
      </c>
      <c r="Z42" s="24">
        <f t="shared" si="368"/>
        <v>6548.4000000000005</v>
      </c>
      <c r="AA42" s="118">
        <v>2.5300000000000001E-3</v>
      </c>
      <c r="AB42" s="121">
        <f t="shared" si="61"/>
        <v>36.816560000000003</v>
      </c>
      <c r="AC42" s="45">
        <v>2.5100000000000001E-3</v>
      </c>
      <c r="AD42" s="17">
        <f t="shared" si="370"/>
        <v>36.52552</v>
      </c>
      <c r="AE42" s="26">
        <f>IF(M42&gt;0,(AG42+AP42)/M42,0)</f>
        <v>2.6272622045079718E-3</v>
      </c>
      <c r="AF42" s="45">
        <v>2.1000000000000001E-4</v>
      </c>
      <c r="AG42" s="36">
        <f t="shared" si="371"/>
        <v>3.05592</v>
      </c>
      <c r="AH42" s="27">
        <v>0.21479999999999999</v>
      </c>
      <c r="AI42" s="40">
        <f t="shared" si="372"/>
        <v>33.314835600000002</v>
      </c>
      <c r="AJ42" s="27">
        <f t="shared" si="373"/>
        <v>0.91723139595956993</v>
      </c>
      <c r="AK42" s="28">
        <f t="shared" si="6"/>
        <v>0.92092158918695055</v>
      </c>
      <c r="AL42" s="42">
        <v>171</v>
      </c>
      <c r="AM42" s="38">
        <v>9.2999999999999999E-2</v>
      </c>
      <c r="AN42" s="27">
        <v>0.2268</v>
      </c>
      <c r="AO42" s="105">
        <v>0.2172</v>
      </c>
      <c r="AP42" s="40">
        <f>AL42*(1-AM42)*AN42</f>
        <v>35.175999600000004</v>
      </c>
      <c r="AQ42" s="106">
        <f t="shared" si="21"/>
        <v>33.687068400000001</v>
      </c>
      <c r="AR42" s="17">
        <v>1.55</v>
      </c>
      <c r="AS42" s="17"/>
      <c r="AT42" s="129">
        <f>AT41+AL42-AS42</f>
        <v>760.05999999999972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5">SUM(D40:D42)</f>
        <v>46900</v>
      </c>
      <c r="E43" s="49"/>
      <c r="F43" s="49">
        <f t="shared" ref="F43" si="376">SUM(F40:F42)</f>
        <v>48085</v>
      </c>
      <c r="G43" s="50"/>
      <c r="H43" s="50"/>
      <c r="I43" s="49">
        <f t="shared" ref="I43:K43" si="377">SUM(I40:I42)</f>
        <v>47139</v>
      </c>
      <c r="J43" s="50"/>
      <c r="K43" s="49">
        <f t="shared" si="377"/>
        <v>46389</v>
      </c>
      <c r="L43" s="20">
        <f t="shared" ref="L43" si="378">IF(K43&gt;0,(K40*L40+K41*L41+K42*L42)/K43,0)</f>
        <v>6.435139796072345E-2</v>
      </c>
      <c r="M43" s="50">
        <f t="shared" ref="M43" si="379">M40+M41+M42</f>
        <v>43404</v>
      </c>
      <c r="N43" s="51">
        <f t="shared" ref="N43" si="380">IF(M43&gt;0,O43/M43,0)</f>
        <v>0.83059987558750337</v>
      </c>
      <c r="O43" s="52">
        <f t="shared" ref="O43" si="381">O40+O41+O42</f>
        <v>36051.356999999996</v>
      </c>
      <c r="P43" s="20">
        <f t="shared" ref="P43" si="382">IF(M43&gt;0,Q43/M43,0)</f>
        <v>0.15367761035849231</v>
      </c>
      <c r="Q43" s="52">
        <f t="shared" ref="Q43" si="383">Q40+Q41+Q42</f>
        <v>6670.223</v>
      </c>
      <c r="R43" s="20">
        <f t="shared" ref="R43" si="384">IF(M43&gt;0,T43/M43,0)</f>
        <v>1.5722514054004242E-2</v>
      </c>
      <c r="S43" s="107"/>
      <c r="T43" s="52">
        <f t="shared" ref="T43" si="385">T40+T41+T42</f>
        <v>682.42000000000007</v>
      </c>
      <c r="U43" s="20">
        <f t="shared" ref="U43" si="386">IF(M43&gt;0,V43/M43,0)</f>
        <v>0.24702776241821028</v>
      </c>
      <c r="V43" s="52">
        <f t="shared" ref="V43" si="387">V40+V41+V42</f>
        <v>10721.992999999999</v>
      </c>
      <c r="W43" s="20">
        <f t="shared" ref="W43" si="388">IF(M43&gt;0,X43/M43,0)</f>
        <v>0.48433400147451844</v>
      </c>
      <c r="X43" s="52">
        <f t="shared" ref="X43" si="389">X40+X41+X42</f>
        <v>21022.032999999999</v>
      </c>
      <c r="Y43" s="20">
        <f t="shared" ref="Y43" si="390">IF(M43&gt;0,Z43/M43,0)</f>
        <v>0.45329716155193067</v>
      </c>
      <c r="Z43" s="52">
        <f t="shared" ref="Z43" si="391">Z40+Z41+Z42</f>
        <v>19674.91</v>
      </c>
      <c r="AA43" s="119">
        <f t="shared" ref="AA43" si="392">IF(M43&gt;0,AB43/M43,0)</f>
        <v>2.4769274721223849E-3</v>
      </c>
      <c r="AB43" s="54">
        <f t="shared" ref="AB43" si="393">SUM(AB40:AB42)</f>
        <v>107.50855999999999</v>
      </c>
      <c r="AC43" s="53">
        <f t="shared" ref="AC43" si="394">IF(M43&gt;0,AD43/M43,0)</f>
        <v>2.4734662703898257E-3</v>
      </c>
      <c r="AD43" s="54">
        <f t="shared" ref="AD43" si="395">SUM(AD40:AD42)</f>
        <v>107.35833</v>
      </c>
      <c r="AE43" s="53">
        <f t="shared" ref="AE43" si="396">IF(M43&gt;0,(AE40*M40+AE41*M41+AE42*M42)/M43,0)</f>
        <v>2.6812157128375267E-3</v>
      </c>
      <c r="AF43" s="53">
        <f t="shared" ref="AF43" si="397">IF(K43&gt;0,(K40*AF40+K41*AF41+K42*AF42)/K43,0)</f>
        <v>2.1995106598547069E-4</v>
      </c>
      <c r="AG43" s="50">
        <f t="shared" ref="AG43" si="398">SUM(AG40:AG42)</f>
        <v>9.5487700000000011</v>
      </c>
      <c r="AH43" s="51">
        <f t="shared" ref="AH43" si="399">IF(K43&gt;0,(K40*AH40+K41*AH41+K42*AH42)/K43,0)</f>
        <v>0.22070432430101963</v>
      </c>
      <c r="AI43" s="56">
        <f t="shared" ref="AI43" si="400">SUM(AI40:AI42)</f>
        <v>102.89201400000002</v>
      </c>
      <c r="AJ43" s="51">
        <f t="shared" ref="AJ43" si="401">IF(AND(AD43&gt;0),((AD40*AJ40+AD41*AJ41+AD42*AJ42)/AD43),0)</f>
        <v>0.91196549592304355</v>
      </c>
      <c r="AK43" s="55">
        <f t="shared" si="6"/>
        <v>0.91884786169410715</v>
      </c>
      <c r="AL43" s="49">
        <f t="shared" ref="AL43" si="402">SUM(AL40:AL42)</f>
        <v>514</v>
      </c>
      <c r="AM43" s="20">
        <f t="shared" ref="AM43" si="403">IF(AL43&gt;0,(AM40*AL40+AM41*AL41+AM42*AL42)/AL43,0)</f>
        <v>9.2978599221789873E-2</v>
      </c>
      <c r="AN43" s="51">
        <f>IF(K43&gt;0,(AN40*K40+AN41*K41+AN42*K42)/K43,0)</f>
        <v>0.22915508202375565</v>
      </c>
      <c r="AO43" s="107">
        <f>IF(L43&gt;0,(AO40*K40+AO41*K41+AO42*K42)/K43,0)</f>
        <v>0.21743217141994867</v>
      </c>
      <c r="AP43" s="56">
        <f t="shared" ref="AP43:AQ55" si="404">SUM(AP40:AP42)</f>
        <v>106.82671680000001</v>
      </c>
      <c r="AQ43" s="108">
        <f t="shared" si="404"/>
        <v>101.358648</v>
      </c>
      <c r="AR43" s="54"/>
      <c r="AS43" s="54">
        <f t="shared" ref="AS43" si="405">SUM(AS40:AS42)</f>
        <v>1044.08</v>
      </c>
      <c r="AT43" s="83"/>
      <c r="AU43" s="84">
        <f>AT42</f>
        <v>760.05999999999972</v>
      </c>
      <c r="AV43" s="49">
        <f t="shared" ref="AV43" si="406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53</v>
      </c>
      <c r="D44" s="11">
        <v>8400</v>
      </c>
      <c r="E44" s="11">
        <v>5</v>
      </c>
      <c r="F44" s="11">
        <v>12838</v>
      </c>
      <c r="G44" s="12">
        <v>0.9</v>
      </c>
      <c r="H44" s="12">
        <v>5.3</v>
      </c>
      <c r="I44" s="11">
        <v>12892</v>
      </c>
      <c r="J44" s="12">
        <v>5</v>
      </c>
      <c r="K44" s="11">
        <v>16185</v>
      </c>
      <c r="L44" s="13">
        <v>6.2E-2</v>
      </c>
      <c r="M44" s="23">
        <f>ROUND(K44*(1-L44),0)</f>
        <v>15182</v>
      </c>
      <c r="N44" s="14">
        <v>0.73</v>
      </c>
      <c r="O44" s="24">
        <f t="shared" ref="O44:O46" si="407">M44*N44</f>
        <v>11082.86</v>
      </c>
      <c r="P44" s="13">
        <v>0.25</v>
      </c>
      <c r="Q44" s="24">
        <f t="shared" ref="Q44:Q46" si="408">M44*P44</f>
        <v>3795.5</v>
      </c>
      <c r="R44" s="15">
        <v>0.02</v>
      </c>
      <c r="S44" s="112">
        <v>0.2319</v>
      </c>
      <c r="T44" s="24">
        <f t="shared" ref="T44:T46" si="409">M44*R44</f>
        <v>303.64</v>
      </c>
      <c r="U44" s="25">
        <v>0.255</v>
      </c>
      <c r="V44" s="24">
        <f t="shared" ref="V44:V46" si="410">M44*U44</f>
        <v>3871.41</v>
      </c>
      <c r="W44" s="15">
        <v>0.47099999999999997</v>
      </c>
      <c r="X44" s="24">
        <f t="shared" ref="X44:X46" si="411">M44*W44</f>
        <v>7150.7219999999998</v>
      </c>
      <c r="Y44" s="15">
        <v>0.45</v>
      </c>
      <c r="Z44" s="24">
        <f t="shared" ref="Z44:Z46" si="412">Y44*M44</f>
        <v>6831.9000000000005</v>
      </c>
      <c r="AA44" s="116">
        <v>2.5899999999999999E-3</v>
      </c>
      <c r="AB44" s="18">
        <f t="shared" ref="AB44" si="413">M44*AA44</f>
        <v>39.321379999999998</v>
      </c>
      <c r="AC44" s="16">
        <v>2.63E-3</v>
      </c>
      <c r="AD44" s="17">
        <f t="shared" ref="AD44:AD46" si="414">M44*AC44</f>
        <v>39.928660000000001</v>
      </c>
      <c r="AE44" s="26">
        <f>IF(M44&gt;0,(AG44+AP44)/M44,0)</f>
        <v>2.6458136082202609E-3</v>
      </c>
      <c r="AF44" s="16">
        <v>2.3000000000000001E-4</v>
      </c>
      <c r="AG44" s="23">
        <f t="shared" ref="AG44:AG46" si="415">AF44*M44</f>
        <v>3.49186</v>
      </c>
      <c r="AH44" s="92">
        <v>0.2162</v>
      </c>
      <c r="AI44" s="29">
        <f t="shared" ref="AI44:AI46" si="416">AL44*(1-AM44)*AH44</f>
        <v>35.289461199999998</v>
      </c>
      <c r="AJ44" s="27">
        <f t="shared" ref="AJ44:AJ46" si="417">IF(AND(AH44&gt;0,AF44&gt;0,AC44&gt;0),((AC44-AF44)*AH44)/((AH44-AF44)*AC44),0)</f>
        <v>0.91351935762096237</v>
      </c>
      <c r="AK44" s="58">
        <f t="shared" si="6"/>
        <v>0.91400578250759978</v>
      </c>
      <c r="AL44" s="11">
        <v>178</v>
      </c>
      <c r="AM44" s="13">
        <v>8.3000000000000004E-2</v>
      </c>
      <c r="AN44" s="14">
        <v>0.22470000000000001</v>
      </c>
      <c r="AO44" s="101">
        <v>0.22409999999999999</v>
      </c>
      <c r="AP44" s="29">
        <f>AL44*(1-AM44)*AN44</f>
        <v>36.676882200000001</v>
      </c>
      <c r="AQ44" s="102">
        <f t="shared" ref="AQ44" si="418">AL44*(1-AM44)*AO44</f>
        <v>36.578946600000002</v>
      </c>
      <c r="AR44" s="18">
        <v>1.6</v>
      </c>
      <c r="AS44" s="18">
        <v>532.41999999999996</v>
      </c>
      <c r="AT44" s="79">
        <f>AT42+AL44-AS44+AU44</f>
        <v>404.25999999999976</v>
      </c>
      <c r="AU44" s="130">
        <v>-1.38</v>
      </c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43" t="s">
        <v>57</v>
      </c>
      <c r="D45" s="33">
        <v>18500</v>
      </c>
      <c r="E45" s="33">
        <v>12</v>
      </c>
      <c r="F45" s="33">
        <v>16106</v>
      </c>
      <c r="G45" s="34">
        <v>1</v>
      </c>
      <c r="H45" s="34">
        <v>4.7</v>
      </c>
      <c r="I45" s="33">
        <v>15911</v>
      </c>
      <c r="J45" s="34">
        <v>5.5</v>
      </c>
      <c r="K45" s="33">
        <v>16768</v>
      </c>
      <c r="L45" s="35">
        <v>6.4000000000000001E-2</v>
      </c>
      <c r="M45" s="36">
        <f>ROUND(K45*(1-L45),0)</f>
        <v>15695</v>
      </c>
      <c r="N45" s="37">
        <v>0.67500000000000004</v>
      </c>
      <c r="O45" s="24">
        <f t="shared" si="407"/>
        <v>10594.125</v>
      </c>
      <c r="P45" s="35">
        <v>0.28599999999999998</v>
      </c>
      <c r="Q45" s="24">
        <f t="shared" si="408"/>
        <v>4488.7699999999995</v>
      </c>
      <c r="R45" s="38">
        <v>3.9E-2</v>
      </c>
      <c r="S45" s="105">
        <v>0.224</v>
      </c>
      <c r="T45" s="24">
        <f t="shared" si="409"/>
        <v>612.10500000000002</v>
      </c>
      <c r="U45" s="27">
        <v>0.26700000000000002</v>
      </c>
      <c r="V45" s="24">
        <f t="shared" si="410"/>
        <v>4190.5650000000005</v>
      </c>
      <c r="W45" s="38">
        <v>0.46300000000000002</v>
      </c>
      <c r="X45" s="24">
        <f t="shared" si="411"/>
        <v>7266.7850000000008</v>
      </c>
      <c r="Y45" s="38">
        <v>0.45</v>
      </c>
      <c r="Z45" s="24">
        <f t="shared" si="412"/>
        <v>7062.75</v>
      </c>
      <c r="AA45" s="117">
        <v>2.64E-3</v>
      </c>
      <c r="AB45" s="18">
        <f t="shared" si="61"/>
        <v>41.434800000000003</v>
      </c>
      <c r="AC45" s="39">
        <v>2.7499999999999998E-3</v>
      </c>
      <c r="AD45" s="17">
        <f t="shared" si="414"/>
        <v>43.161249999999995</v>
      </c>
      <c r="AE45" s="26">
        <f>IF(M45&gt;0,(AG45+AP45)/M45,0)</f>
        <v>2.6769996559413826E-3</v>
      </c>
      <c r="AF45" s="39">
        <v>2.2000000000000001E-4</v>
      </c>
      <c r="AG45" s="36">
        <f t="shared" si="415"/>
        <v>3.4529000000000001</v>
      </c>
      <c r="AH45" s="27">
        <v>0.22070000000000001</v>
      </c>
      <c r="AI45" s="40">
        <f t="shared" si="416"/>
        <v>37.278878400000004</v>
      </c>
      <c r="AJ45" s="27">
        <f t="shared" si="417"/>
        <v>0.92091799709724231</v>
      </c>
      <c r="AK45" s="28">
        <f t="shared" si="6"/>
        <v>0.91870374658459419</v>
      </c>
      <c r="AL45" s="33">
        <v>184</v>
      </c>
      <c r="AM45" s="35">
        <v>8.2000000000000003E-2</v>
      </c>
      <c r="AN45" s="37">
        <v>0.2283</v>
      </c>
      <c r="AO45" s="103">
        <v>0.22819999999999999</v>
      </c>
      <c r="AP45" s="40">
        <f>AL45*(1-AM45)*AN45</f>
        <v>38.562609600000002</v>
      </c>
      <c r="AQ45" s="104">
        <f t="shared" si="21"/>
        <v>38.545718399999998</v>
      </c>
      <c r="AR45" s="41">
        <v>1.55</v>
      </c>
      <c r="AS45" s="41"/>
      <c r="AT45" s="129">
        <f>AT44+AL45-AS45</f>
        <v>588.25999999999976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43" t="s">
        <v>55</v>
      </c>
      <c r="D46" s="42">
        <v>23000</v>
      </c>
      <c r="E46" s="42">
        <v>4</v>
      </c>
      <c r="F46" s="42">
        <v>17264</v>
      </c>
      <c r="G46" s="36">
        <v>1.3</v>
      </c>
      <c r="H46" s="36">
        <v>5.9</v>
      </c>
      <c r="I46" s="42">
        <v>17110</v>
      </c>
      <c r="J46" s="36">
        <v>5</v>
      </c>
      <c r="K46" s="42">
        <v>16847</v>
      </c>
      <c r="L46" s="38">
        <v>6.0999999999999999E-2</v>
      </c>
      <c r="M46" s="36">
        <f>ROUND(K46*(1-L46),0)</f>
        <v>15819</v>
      </c>
      <c r="N46" s="27">
        <v>0.748</v>
      </c>
      <c r="O46" s="24">
        <f t="shared" si="407"/>
        <v>11832.611999999999</v>
      </c>
      <c r="P46" s="38">
        <v>0.214</v>
      </c>
      <c r="Q46" s="24">
        <f t="shared" si="408"/>
        <v>3385.2660000000001</v>
      </c>
      <c r="R46" s="38">
        <v>3.7999999999999999E-2</v>
      </c>
      <c r="S46" s="105">
        <v>0.2266</v>
      </c>
      <c r="T46" s="24">
        <f t="shared" si="409"/>
        <v>601.12199999999996</v>
      </c>
      <c r="U46" s="27">
        <v>0.26300000000000001</v>
      </c>
      <c r="V46" s="24">
        <f t="shared" si="410"/>
        <v>4160.3969999999999</v>
      </c>
      <c r="W46" s="38">
        <v>0.45900000000000002</v>
      </c>
      <c r="X46" s="24">
        <f t="shared" si="411"/>
        <v>7260.9210000000003</v>
      </c>
      <c r="Y46" s="38">
        <v>0.46</v>
      </c>
      <c r="Z46" s="24">
        <f t="shared" si="412"/>
        <v>7276.7400000000007</v>
      </c>
      <c r="AA46" s="118">
        <v>2.6700000000000001E-3</v>
      </c>
      <c r="AB46" s="121">
        <f t="shared" si="61"/>
        <v>42.236730000000001</v>
      </c>
      <c r="AC46" s="45">
        <v>2.8E-3</v>
      </c>
      <c r="AD46" s="17">
        <f t="shared" si="414"/>
        <v>44.293199999999999</v>
      </c>
      <c r="AE46" s="26">
        <f>IF(M46&gt;0,(AG46+AP46)/M46,0)</f>
        <v>2.9929221316138824E-3</v>
      </c>
      <c r="AF46" s="45">
        <v>2.3000000000000001E-4</v>
      </c>
      <c r="AG46" s="36">
        <f t="shared" si="415"/>
        <v>3.6383700000000001</v>
      </c>
      <c r="AH46" s="27">
        <v>0.21540000000000001</v>
      </c>
      <c r="AI46" s="40">
        <f t="shared" si="416"/>
        <v>41.237037600000008</v>
      </c>
      <c r="AJ46" s="27">
        <f t="shared" si="417"/>
        <v>0.91883826077719277</v>
      </c>
      <c r="AK46" s="28">
        <f t="shared" si="6"/>
        <v>0.92408299074902012</v>
      </c>
      <c r="AL46" s="42">
        <v>209</v>
      </c>
      <c r="AM46" s="38">
        <v>8.4000000000000005E-2</v>
      </c>
      <c r="AN46" s="27">
        <v>0.2283</v>
      </c>
      <c r="AO46" s="105">
        <v>0.2268</v>
      </c>
      <c r="AP46" s="40">
        <f>AL46*(1-AM46)*AN46</f>
        <v>43.706665200000003</v>
      </c>
      <c r="AQ46" s="106">
        <f t="shared" si="21"/>
        <v>43.419499200000004</v>
      </c>
      <c r="AR46" s="17">
        <v>1.6</v>
      </c>
      <c r="AS46" s="17"/>
      <c r="AT46" s="129">
        <f>AT45+AL46-AS46</f>
        <v>797.25999999999976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9">SUM(D44:D46)</f>
        <v>49900</v>
      </c>
      <c r="E47" s="49"/>
      <c r="F47" s="49">
        <f t="shared" ref="F47" si="420">SUM(F44:F46)</f>
        <v>46208</v>
      </c>
      <c r="G47" s="50"/>
      <c r="H47" s="50"/>
      <c r="I47" s="49">
        <f t="shared" ref="I47:K47" si="421">SUM(I44:I46)</f>
        <v>45913</v>
      </c>
      <c r="J47" s="50"/>
      <c r="K47" s="49">
        <f t="shared" si="421"/>
        <v>49800</v>
      </c>
      <c r="L47" s="20">
        <f t="shared" ref="L47" si="422">IF(K47&gt;0,(K44*L44+K45*L45+K46*L46)/K47,0)</f>
        <v>6.2335120481927714E-2</v>
      </c>
      <c r="M47" s="50">
        <f t="shared" ref="M47" si="423">M44+M45+M46</f>
        <v>46696</v>
      </c>
      <c r="N47" s="51">
        <f t="shared" ref="N47" si="424">IF(M47&gt;0,O47/M47,0)</f>
        <v>0.71761172263148876</v>
      </c>
      <c r="O47" s="52">
        <f t="shared" ref="O47" si="425">O44+O45+O46</f>
        <v>33509.597000000002</v>
      </c>
      <c r="P47" s="20">
        <f t="shared" ref="P47" si="426">IF(M47&gt;0,Q47/M47,0)</f>
        <v>0.2499044029467192</v>
      </c>
      <c r="Q47" s="52">
        <f t="shared" ref="Q47" si="427">Q44+Q45+Q46</f>
        <v>11669.536</v>
      </c>
      <c r="R47" s="20">
        <f t="shared" ref="R47" si="428">IF(M47&gt;0,T47/M47,0)</f>
        <v>3.2483874421792014E-2</v>
      </c>
      <c r="S47" s="107"/>
      <c r="T47" s="52">
        <f t="shared" ref="T47" si="429">T44+T45+T46</f>
        <v>1516.867</v>
      </c>
      <c r="U47" s="20">
        <f t="shared" ref="U47" si="430">IF(M47&gt;0,V47/M47,0)</f>
        <v>0.2617434469761864</v>
      </c>
      <c r="V47" s="52">
        <f t="shared" ref="V47" si="431">V44+V45+V46</f>
        <v>12222.371999999999</v>
      </c>
      <c r="W47" s="20">
        <f t="shared" ref="W47" si="432">IF(M47&gt;0,X47/M47,0)</f>
        <v>0.46424593112900464</v>
      </c>
      <c r="X47" s="52">
        <f t="shared" ref="X47" si="433">X44+X45+X46</f>
        <v>21678.428</v>
      </c>
      <c r="Y47" s="20">
        <f t="shared" ref="Y47" si="434">IF(M47&gt;0,Z47/M47,0)</f>
        <v>0.45338765633030675</v>
      </c>
      <c r="Z47" s="52">
        <f t="shared" ref="Z47" si="435">Z44+Z45+Z46</f>
        <v>21171.390000000003</v>
      </c>
      <c r="AA47" s="119">
        <f t="shared" ref="AA47" si="436">IF(M47&gt;0,AB47/M47,0)</f>
        <v>2.6339067586088742E-3</v>
      </c>
      <c r="AB47" s="54">
        <f t="shared" ref="AB47" si="437">SUM(AB44:AB46)</f>
        <v>122.99290999999999</v>
      </c>
      <c r="AC47" s="53">
        <f t="shared" ref="AC47" si="438">IF(M47&gt;0,AD47/M47,0)</f>
        <v>2.7279233767346241E-3</v>
      </c>
      <c r="AD47" s="54">
        <f t="shared" ref="AD47" si="439">SUM(AD44:AD46)</f>
        <v>127.38311</v>
      </c>
      <c r="AE47" s="53">
        <f t="shared" ref="AE47" si="440">IF(M47&gt;0,(AE44*M44+AE45*M45+AE46*M46)/M47,0)</f>
        <v>2.7738839943464112E-3</v>
      </c>
      <c r="AF47" s="53">
        <f t="shared" ref="AF47" si="441">IF(K47&gt;0,(K44*AF44+K45*AF45+K46*AF46)/K47,0)</f>
        <v>2.2663293172690762E-4</v>
      </c>
      <c r="AG47" s="50">
        <f t="shared" ref="AG47" si="442">SUM(AG44:AG46)</f>
        <v>10.583130000000001</v>
      </c>
      <c r="AH47" s="51">
        <f t="shared" ref="AH47" si="443">IF(K47&gt;0,(K44*AH44+K45*AH45+K46*AH46)/K47,0)</f>
        <v>0.21744454618473896</v>
      </c>
      <c r="AI47" s="56">
        <f t="shared" ref="AI47" si="444">SUM(AI44:AI46)</f>
        <v>113.80537720000001</v>
      </c>
      <c r="AJ47" s="51">
        <f t="shared" ref="AJ47" si="445">IF(AND(AD47&gt;0),((AD44*AJ44+AD45*AJ45+AD46*AJ46)/AD47),0)</f>
        <v>0.91787571043237626</v>
      </c>
      <c r="AK47" s="55">
        <f t="shared" si="6"/>
        <v>0.91921482042200853</v>
      </c>
      <c r="AL47" s="49">
        <f t="shared" ref="AL47" si="446">SUM(AL44:AL46)</f>
        <v>571</v>
      </c>
      <c r="AM47" s="20">
        <f t="shared" ref="AM47" si="447">IF(AL47&gt;0,(AM44*AL44+AM45*AL45+AM46*AL46)/AL47,0)</f>
        <v>8.3043782837127864E-2</v>
      </c>
      <c r="AN47" s="51">
        <f>IF(K47&gt;0,(AN44*K44+AN45*K45+AN46*K46)/K47,0)</f>
        <v>0.22713</v>
      </c>
      <c r="AO47" s="107">
        <f>IF(L47&gt;0,(AO44*K44+AO45*K45+AO46*K46)/K47,0)</f>
        <v>0.22639388955823292</v>
      </c>
      <c r="AP47" s="56">
        <f t="shared" ref="AP47" si="448">SUM(AP44:AP46)</f>
        <v>118.946157</v>
      </c>
      <c r="AQ47" s="108">
        <f t="shared" si="404"/>
        <v>118.5441642</v>
      </c>
      <c r="AR47" s="54"/>
      <c r="AS47" s="54">
        <f t="shared" ref="AS47" si="449">SUM(AS44:AS46)</f>
        <v>532.41999999999996</v>
      </c>
      <c r="AT47" s="83"/>
      <c r="AU47" s="84">
        <f>AT46</f>
        <v>797.25999999999976</v>
      </c>
      <c r="AV47" s="49">
        <f t="shared" ref="AV47" si="450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53</v>
      </c>
      <c r="D48" s="11">
        <v>17679</v>
      </c>
      <c r="E48" s="11">
        <v>4</v>
      </c>
      <c r="F48" s="11">
        <v>16401</v>
      </c>
      <c r="G48" s="12">
        <v>0.5</v>
      </c>
      <c r="H48" s="12">
        <v>4</v>
      </c>
      <c r="I48" s="11">
        <v>16443</v>
      </c>
      <c r="J48" s="12">
        <v>5</v>
      </c>
      <c r="K48" s="11">
        <v>16716</v>
      </c>
      <c r="L48" s="13">
        <v>6.5000000000000002E-2</v>
      </c>
      <c r="M48" s="23">
        <f>ROUND(K48*(1-L48),0)</f>
        <v>15629</v>
      </c>
      <c r="N48" s="14">
        <v>0.747</v>
      </c>
      <c r="O48" s="24">
        <f t="shared" ref="O48:O50" si="451">M48*N48</f>
        <v>11674.862999999999</v>
      </c>
      <c r="P48" s="13">
        <v>0.23799999999999999</v>
      </c>
      <c r="Q48" s="24">
        <f t="shared" ref="Q48:Q50" si="452">M48*P48</f>
        <v>3719.7019999999998</v>
      </c>
      <c r="R48" s="15">
        <v>1.4999999999999999E-2</v>
      </c>
      <c r="S48" s="112">
        <v>0.22900000000000001</v>
      </c>
      <c r="T48" s="24">
        <f t="shared" ref="T48:T50" si="453">M48*R48</f>
        <v>234.435</v>
      </c>
      <c r="U48" s="25">
        <v>0.25800000000000001</v>
      </c>
      <c r="V48" s="24">
        <f t="shared" ref="V48:V50" si="454">M48*U48</f>
        <v>4032.2820000000002</v>
      </c>
      <c r="W48" s="15">
        <v>0.45700000000000002</v>
      </c>
      <c r="X48" s="24">
        <f t="shared" ref="X48:X50" si="455">M48*W48</f>
        <v>7142.4530000000004</v>
      </c>
      <c r="Y48" s="15">
        <v>0.43</v>
      </c>
      <c r="Z48" s="24">
        <f t="shared" ref="Z48:Z50" si="456">Y48*M48</f>
        <v>6720.47</v>
      </c>
      <c r="AA48" s="116">
        <v>2.7299999999999998E-3</v>
      </c>
      <c r="AB48" s="18">
        <f t="shared" ref="AB48" si="457">M48*AA48</f>
        <v>42.667169999999999</v>
      </c>
      <c r="AC48" s="16">
        <v>2.8900000000000002E-3</v>
      </c>
      <c r="AD48" s="17">
        <f t="shared" ref="AD48:AD50" si="458">M48*AC48</f>
        <v>45.167810000000003</v>
      </c>
      <c r="AE48" s="26">
        <f>IF(M48&gt;0,(AG48+AP48)/M48,0)</f>
        <v>3.0453199820845867E-3</v>
      </c>
      <c r="AF48" s="16">
        <v>2.4000000000000001E-4</v>
      </c>
      <c r="AG48" s="23">
        <f t="shared" ref="AG48:AG50" si="459">AF48*M48</f>
        <v>3.7509600000000001</v>
      </c>
      <c r="AH48" s="92">
        <v>0.21590000000000001</v>
      </c>
      <c r="AI48" s="29">
        <f t="shared" ref="AI48:AI50" si="460">AL48*(1-AM48)*AH48</f>
        <v>41.847897000000003</v>
      </c>
      <c r="AJ48" s="27">
        <f t="shared" ref="AJ48:AJ50" si="461">IF(AND(AH48&gt;0,AF48&gt;0,AC48&gt;0),((AC48-AF48)*AH48)/((AH48-AF48)*AC48),0)</f>
        <v>0.91797546246542738</v>
      </c>
      <c r="AK48" s="58">
        <f t="shared" si="6"/>
        <v>0.92216897627815275</v>
      </c>
      <c r="AL48" s="11">
        <v>213</v>
      </c>
      <c r="AM48" s="13">
        <v>0.09</v>
      </c>
      <c r="AN48" s="14">
        <v>0.22620000000000001</v>
      </c>
      <c r="AO48" s="101">
        <v>0.216</v>
      </c>
      <c r="AP48" s="29">
        <f>AL48*(1-AM48)*AN48</f>
        <v>43.844346000000009</v>
      </c>
      <c r="AQ48" s="102">
        <f t="shared" ref="AQ48" si="462">AL48*(1-AM48)*AO48</f>
        <v>41.867280000000001</v>
      </c>
      <c r="AR48" s="18">
        <v>1.65</v>
      </c>
      <c r="AS48" s="18"/>
      <c r="AT48" s="79">
        <f>AT46+AL48-AS48</f>
        <v>1010.2599999999998</v>
      </c>
      <c r="AU48" s="80"/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43" t="s">
        <v>57</v>
      </c>
      <c r="D49" s="33">
        <v>17321</v>
      </c>
      <c r="E49" s="33">
        <v>5</v>
      </c>
      <c r="F49" s="33">
        <v>16369</v>
      </c>
      <c r="G49" s="34">
        <v>0.8</v>
      </c>
      <c r="H49" s="34">
        <v>5.6</v>
      </c>
      <c r="I49" s="33">
        <v>15918</v>
      </c>
      <c r="J49" s="34">
        <v>5.5</v>
      </c>
      <c r="K49" s="33">
        <v>16414</v>
      </c>
      <c r="L49" s="35">
        <v>6.3E-2</v>
      </c>
      <c r="M49" s="36">
        <f>ROUND(K49*(1-L49),0)</f>
        <v>15380</v>
      </c>
      <c r="N49" s="37">
        <v>0.79300000000000004</v>
      </c>
      <c r="O49" s="24">
        <f t="shared" si="451"/>
        <v>12196.34</v>
      </c>
      <c r="P49" s="35">
        <v>0.191</v>
      </c>
      <c r="Q49" s="24">
        <f t="shared" si="452"/>
        <v>2937.58</v>
      </c>
      <c r="R49" s="38">
        <v>1.6E-2</v>
      </c>
      <c r="S49" s="105"/>
      <c r="T49" s="24">
        <f t="shared" si="453"/>
        <v>246.08</v>
      </c>
      <c r="U49" s="27">
        <v>0.246</v>
      </c>
      <c r="V49" s="24">
        <f t="shared" si="454"/>
        <v>3783.48</v>
      </c>
      <c r="W49" s="38">
        <v>0.48699999999999999</v>
      </c>
      <c r="X49" s="24">
        <f t="shared" si="455"/>
        <v>7490.0599999999995</v>
      </c>
      <c r="Y49" s="38">
        <v>0.44</v>
      </c>
      <c r="Z49" s="24">
        <f t="shared" si="456"/>
        <v>6767.2</v>
      </c>
      <c r="AA49" s="117">
        <v>2.8700000000000002E-3</v>
      </c>
      <c r="AB49" s="18">
        <f t="shared" si="61"/>
        <v>44.140599999999999</v>
      </c>
      <c r="AC49" s="39">
        <v>2.9399999999999999E-3</v>
      </c>
      <c r="AD49" s="17">
        <f t="shared" si="458"/>
        <v>45.217199999999998</v>
      </c>
      <c r="AE49" s="26">
        <f>IF(M49&gt;0,(AG49+AP49)/M49,0)</f>
        <v>3.1015769830949288E-3</v>
      </c>
      <c r="AF49" s="39">
        <v>2.3000000000000001E-4</v>
      </c>
      <c r="AG49" s="36">
        <f t="shared" si="459"/>
        <v>3.5374000000000003</v>
      </c>
      <c r="AH49" s="27">
        <v>0.21360000000000001</v>
      </c>
      <c r="AI49" s="40">
        <f t="shared" si="460"/>
        <v>42.802236000000008</v>
      </c>
      <c r="AJ49" s="27">
        <f t="shared" si="461"/>
        <v>0.92276231859383862</v>
      </c>
      <c r="AK49" s="28">
        <f t="shared" si="6"/>
        <v>0.92681135562860717</v>
      </c>
      <c r="AL49" s="33">
        <v>219</v>
      </c>
      <c r="AM49" s="35">
        <v>8.5000000000000006E-2</v>
      </c>
      <c r="AN49" s="37">
        <v>0.22040000000000001</v>
      </c>
      <c r="AO49" s="103">
        <v>0.21029999999999999</v>
      </c>
      <c r="AP49" s="40">
        <f>AL49*(1-AM49)*AN49</f>
        <v>44.164854000000005</v>
      </c>
      <c r="AQ49" s="104">
        <f t="shared" si="21"/>
        <v>42.1409655</v>
      </c>
      <c r="AR49" s="41">
        <v>1.65</v>
      </c>
      <c r="AS49" s="41"/>
      <c r="AT49" s="129">
        <f>AT48+AL49-AS49</f>
        <v>1229.2599999999998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43" t="s">
        <v>59</v>
      </c>
      <c r="D50" s="42">
        <v>16700</v>
      </c>
      <c r="E50" s="42">
        <v>3</v>
      </c>
      <c r="F50" s="42">
        <v>17203</v>
      </c>
      <c r="G50" s="36">
        <v>1</v>
      </c>
      <c r="H50" s="36">
        <v>5.4</v>
      </c>
      <c r="I50" s="42">
        <v>17453</v>
      </c>
      <c r="J50" s="36">
        <v>4.3</v>
      </c>
      <c r="K50" s="42">
        <v>16424</v>
      </c>
      <c r="L50" s="38">
        <v>7.0000000000000007E-2</v>
      </c>
      <c r="M50" s="36">
        <f>ROUND(K50*(1-L50),0)</f>
        <v>15274</v>
      </c>
      <c r="N50" s="27">
        <v>0.76100000000000001</v>
      </c>
      <c r="O50" s="24">
        <f t="shared" si="451"/>
        <v>11623.514000000001</v>
      </c>
      <c r="P50" s="38">
        <v>0.21099999999999999</v>
      </c>
      <c r="Q50" s="24">
        <f t="shared" si="452"/>
        <v>3222.8139999999999</v>
      </c>
      <c r="R50" s="38">
        <v>2.8000000000000001E-2</v>
      </c>
      <c r="S50" s="105"/>
      <c r="T50" s="24">
        <f t="shared" si="453"/>
        <v>427.67200000000003</v>
      </c>
      <c r="U50" s="27">
        <v>0.247</v>
      </c>
      <c r="V50" s="24">
        <f t="shared" si="454"/>
        <v>3772.6779999999999</v>
      </c>
      <c r="W50" s="38">
        <v>0.48299999999999998</v>
      </c>
      <c r="X50" s="24">
        <f t="shared" si="455"/>
        <v>7377.3419999999996</v>
      </c>
      <c r="Y50" s="38">
        <v>0.44</v>
      </c>
      <c r="Z50" s="24">
        <f t="shared" si="456"/>
        <v>6720.56</v>
      </c>
      <c r="AA50" s="118">
        <v>2.7899999999999999E-3</v>
      </c>
      <c r="AB50" s="121">
        <f t="shared" si="61"/>
        <v>42.614460000000001</v>
      </c>
      <c r="AC50" s="45">
        <v>2.9499999999999999E-3</v>
      </c>
      <c r="AD50" s="17">
        <f t="shared" si="458"/>
        <v>45.058299999999996</v>
      </c>
      <c r="AE50" s="26">
        <f>IF(M50&gt;0,(AG50+AP50)/M50,0)</f>
        <v>3.1921933743616604E-3</v>
      </c>
      <c r="AF50" s="45">
        <v>2.2000000000000001E-4</v>
      </c>
      <c r="AG50" s="36">
        <f t="shared" si="459"/>
        <v>3.3602799999999999</v>
      </c>
      <c r="AH50" s="27">
        <v>0.215</v>
      </c>
      <c r="AI50" s="40">
        <f t="shared" si="460"/>
        <v>42.399720000000002</v>
      </c>
      <c r="AJ50" s="27">
        <f t="shared" si="461"/>
        <v>0.92637164398414762</v>
      </c>
      <c r="AK50" s="28">
        <f t="shared" si="6"/>
        <v>0.9319725468599227</v>
      </c>
      <c r="AL50" s="42">
        <v>216</v>
      </c>
      <c r="AM50" s="38">
        <v>8.6999999999999994E-2</v>
      </c>
      <c r="AN50" s="27">
        <v>0.23019999999999999</v>
      </c>
      <c r="AO50" s="105">
        <v>0.22620000000000001</v>
      </c>
      <c r="AP50" s="40">
        <f>AL50*(1-AM50)*AN50</f>
        <v>45.397281599999999</v>
      </c>
      <c r="AQ50" s="106">
        <f t="shared" si="21"/>
        <v>44.6084496</v>
      </c>
      <c r="AR50" s="17">
        <v>1.6</v>
      </c>
      <c r="AS50" s="17"/>
      <c r="AT50" s="129">
        <f>AT49+AL50-AS50</f>
        <v>1445.2599999999998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3">SUM(D48:D50)</f>
        <v>51700</v>
      </c>
      <c r="E51" s="49"/>
      <c r="F51" s="49">
        <f t="shared" ref="F51" si="464">SUM(F48:F50)</f>
        <v>49973</v>
      </c>
      <c r="G51" s="50"/>
      <c r="H51" s="50"/>
      <c r="I51" s="49">
        <f t="shared" ref="I51:K51" si="465">SUM(I48:I50)</f>
        <v>49814</v>
      </c>
      <c r="J51" s="50"/>
      <c r="K51" s="49">
        <f t="shared" si="465"/>
        <v>49554</v>
      </c>
      <c r="L51" s="20">
        <f t="shared" ref="L51" si="466">IF(K51&gt;0,(K48*L48+K49*L49+K50*L50)/K51,0)</f>
        <v>6.5994712838519612E-2</v>
      </c>
      <c r="M51" s="50">
        <f t="shared" ref="M51" si="467">M48+M49+M50</f>
        <v>46283</v>
      </c>
      <c r="N51" s="51">
        <f t="shared" ref="N51" si="468">IF(M51&gt;0,O51/M51,0)</f>
        <v>0.76690614264416745</v>
      </c>
      <c r="O51" s="52">
        <f t="shared" ref="O51" si="469">O48+O49+O50</f>
        <v>35494.717000000004</v>
      </c>
      <c r="P51" s="20">
        <f t="shared" ref="P51" si="470">IF(M51&gt;0,Q51/M51,0)</f>
        <v>0.21347138258107728</v>
      </c>
      <c r="Q51" s="52">
        <f t="shared" ref="Q51" si="471">Q48+Q49+Q50</f>
        <v>9880.0959999999995</v>
      </c>
      <c r="R51" s="20">
        <f t="shared" ref="R51" si="472">IF(M51&gt;0,T51/M51,0)</f>
        <v>1.9622474774755309E-2</v>
      </c>
      <c r="S51" s="107"/>
      <c r="T51" s="52">
        <f t="shared" ref="T51" si="473">T48+T49+T50</f>
        <v>908.18700000000001</v>
      </c>
      <c r="U51" s="20">
        <f t="shared" ref="U51" si="474">IF(M51&gt;0,V51/M51,0)</f>
        <v>0.25038221377179526</v>
      </c>
      <c r="V51" s="52">
        <f t="shared" ref="V51" si="475">V48+V49+V50</f>
        <v>11588.44</v>
      </c>
      <c r="W51" s="20">
        <f t="shared" ref="W51" si="476">IF(M51&gt;0,X51/M51,0)</f>
        <v>0.47554944580083397</v>
      </c>
      <c r="X51" s="52">
        <f t="shared" ref="X51" si="477">X48+X49+X50</f>
        <v>22009.855</v>
      </c>
      <c r="Y51" s="20">
        <f t="shared" ref="Y51" si="478">IF(M51&gt;0,Z51/M51,0)</f>
        <v>0.43662316617332497</v>
      </c>
      <c r="Z51" s="52">
        <f t="shared" ref="Z51" si="479">Z48+Z49+Z50</f>
        <v>20208.23</v>
      </c>
      <c r="AA51" s="119">
        <f t="shared" ref="AA51" si="480">IF(M51&gt;0,AB51/M51,0)</f>
        <v>2.7963232720437312E-3</v>
      </c>
      <c r="AB51" s="54">
        <f t="shared" ref="AB51" si="481">SUM(AB48:AB50)</f>
        <v>129.42223000000001</v>
      </c>
      <c r="AC51" s="53">
        <f t="shared" ref="AC51" si="482">IF(M51&gt;0,AD51/M51,0)</f>
        <v>2.9264159626644771E-3</v>
      </c>
      <c r="AD51" s="54">
        <f t="shared" ref="AD51" si="483">SUM(AD48:AD50)</f>
        <v>135.44331</v>
      </c>
      <c r="AE51" s="53">
        <f t="shared" ref="AE51" si="484">IF(M51&gt;0,(AE48*M48+AE49*M49+AE50*M50)/M51,0)</f>
        <v>3.1124845321176243E-3</v>
      </c>
      <c r="AF51" s="53">
        <f t="shared" ref="AF51" si="485">IF(K51&gt;0,(K48*AF48+K49*AF49+K50*AF50)/K51,0)</f>
        <v>2.3005892561649916E-4</v>
      </c>
      <c r="AG51" s="50">
        <f t="shared" ref="AG51" si="486">SUM(AG48:AG50)</f>
        <v>10.64864</v>
      </c>
      <c r="AH51" s="51">
        <f t="shared" ref="AH51" si="487">IF(K51&gt;0,(K48*AH48+K49*AH49+K50*AH50)/K51,0)</f>
        <v>0.21483986761916296</v>
      </c>
      <c r="AI51" s="56">
        <f t="shared" ref="AI51" si="488">SUM(AI48:AI50)</f>
        <v>127.04985300000001</v>
      </c>
      <c r="AJ51" s="51">
        <f t="shared" ref="AJ51" si="489">IF(AND(AD51&gt;0),((AD48*AJ48+AD49*AJ49+AD50*AJ50)/AD51),0)</f>
        <v>0.92236671587362118</v>
      </c>
      <c r="AK51" s="55">
        <f t="shared" si="6"/>
        <v>0.92703045217526825</v>
      </c>
      <c r="AL51" s="49">
        <f t="shared" ref="AL51" si="490">SUM(AL48:AL50)</f>
        <v>648</v>
      </c>
      <c r="AM51" s="20">
        <f t="shared" ref="AM51" si="491">IF(AL51&gt;0,(AM48*AL48+AM49*AL49+AM50*AL50)/AL51,0)</f>
        <v>8.7310185185185185E-2</v>
      </c>
      <c r="AN51" s="51">
        <f>IF(K51&gt;0,(AN48*K48+AN49*K49+AN50*K50)/K51,0)</f>
        <v>0.22560458489728377</v>
      </c>
      <c r="AO51" s="107">
        <f>IF(L51&gt;0,(AO48*K48+AO49*K49+AO50*K50)/K51,0)</f>
        <v>0.21749261411793197</v>
      </c>
      <c r="AP51" s="56">
        <f t="shared" ref="AP51" si="492">SUM(AP48:AP50)</f>
        <v>133.40648160000001</v>
      </c>
      <c r="AQ51" s="108">
        <f t="shared" si="404"/>
        <v>128.61669510000002</v>
      </c>
      <c r="AR51" s="54"/>
      <c r="AS51" s="54">
        <f t="shared" ref="AS51" si="493">SUM(AS48:AS50)</f>
        <v>0</v>
      </c>
      <c r="AT51" s="83"/>
      <c r="AU51" s="84">
        <f>AT50</f>
        <v>1445.2599999999998</v>
      </c>
      <c r="AV51" s="49">
        <f t="shared" ref="AV51" si="49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43" t="s">
        <v>55</v>
      </c>
      <c r="D52" s="11">
        <v>13422</v>
      </c>
      <c r="E52" s="11">
        <v>4</v>
      </c>
      <c r="F52" s="11">
        <v>17838</v>
      </c>
      <c r="G52" s="12">
        <v>1.8</v>
      </c>
      <c r="H52" s="12">
        <v>5.9</v>
      </c>
      <c r="I52" s="11">
        <v>17379</v>
      </c>
      <c r="J52" s="12">
        <v>4</v>
      </c>
      <c r="K52" s="11">
        <v>16436</v>
      </c>
      <c r="L52" s="13">
        <v>6.5000000000000002E-2</v>
      </c>
      <c r="M52" s="23">
        <f>ROUND(K52*(1-L52),0)</f>
        <v>15368</v>
      </c>
      <c r="N52" s="14">
        <v>0.68899999999999995</v>
      </c>
      <c r="O52" s="24">
        <f t="shared" ref="O52:O54" si="495">M52*N52</f>
        <v>10588.552</v>
      </c>
      <c r="P52" s="13">
        <v>0.27400000000000002</v>
      </c>
      <c r="Q52" s="24">
        <f t="shared" ref="Q52:Q54" si="496">M52*P52</f>
        <v>4210.8320000000003</v>
      </c>
      <c r="R52" s="15">
        <v>3.6999999999999998E-2</v>
      </c>
      <c r="S52" s="112"/>
      <c r="T52" s="24">
        <f t="shared" ref="T52:T54" si="497">M52*R52</f>
        <v>568.61599999999999</v>
      </c>
      <c r="U52" s="25">
        <v>0.245</v>
      </c>
      <c r="V52" s="24">
        <f t="shared" ref="V52:V54" si="498">M52*U52</f>
        <v>3765.16</v>
      </c>
      <c r="W52" s="15">
        <v>0.47199999999999998</v>
      </c>
      <c r="X52" s="24">
        <f t="shared" ref="X52:X54" si="499">M52*W52</f>
        <v>7253.6959999999999</v>
      </c>
      <c r="Y52" s="15">
        <v>0.46</v>
      </c>
      <c r="Z52" s="24">
        <f t="shared" ref="Z52:Z54" si="500">Y52*M52</f>
        <v>7069.2800000000007</v>
      </c>
      <c r="AA52" s="116">
        <v>2.8700000000000002E-3</v>
      </c>
      <c r="AB52" s="18">
        <f t="shared" ref="AB52" si="501">M52*AA52</f>
        <v>44.106160000000003</v>
      </c>
      <c r="AC52" s="16">
        <v>3.0200000000000001E-3</v>
      </c>
      <c r="AD52" s="17">
        <f t="shared" ref="AD52:AD54" si="502">M52*AC52</f>
        <v>46.411360000000002</v>
      </c>
      <c r="AE52" s="26">
        <f>IF(M52&gt;0,(AG52+AP52)/M52,0)</f>
        <v>2.7652514836022904E-3</v>
      </c>
      <c r="AF52" s="16">
        <v>2.2000000000000001E-4</v>
      </c>
      <c r="AG52" s="23">
        <f t="shared" ref="AG52:AG54" si="503">AF52*M52</f>
        <v>3.38096</v>
      </c>
      <c r="AH52" s="92">
        <v>0.21790000000000001</v>
      </c>
      <c r="AI52" s="29">
        <f t="shared" ref="AI52:AI54" si="504">AL52*(1-AM52)*AH52</f>
        <v>37.914817900000003</v>
      </c>
      <c r="AJ52" s="27">
        <f t="shared" ref="AJ52:AJ54" si="505">IF(AND(AH52&gt;0,AF52&gt;0,AC52&gt;0),((AC52-AF52)*AH52)/((AH52-AF52)*AC52),0)</f>
        <v>0.92808935164565032</v>
      </c>
      <c r="AK52" s="58">
        <f t="shared" si="6"/>
        <v>0.92134290255079765</v>
      </c>
      <c r="AL52" s="11">
        <v>191</v>
      </c>
      <c r="AM52" s="13">
        <v>8.8999999999999996E-2</v>
      </c>
      <c r="AN52" s="14">
        <v>0.2248</v>
      </c>
      <c r="AO52" s="101">
        <v>0.2165</v>
      </c>
      <c r="AP52" s="29">
        <f>AL52*(1-AM52)*AN52</f>
        <v>39.1154248</v>
      </c>
      <c r="AQ52" s="102">
        <f t="shared" ref="AQ52" si="506">AL52*(1-AM52)*AO52</f>
        <v>37.6712165</v>
      </c>
      <c r="AR52" s="18">
        <v>1.6</v>
      </c>
      <c r="AS52" s="18"/>
      <c r="AT52" s="79">
        <f>AT50+AL52-AS52</f>
        <v>1636.2599999999998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0" t="s">
        <v>53</v>
      </c>
      <c r="D53" s="33">
        <v>19058</v>
      </c>
      <c r="E53" s="33">
        <v>5</v>
      </c>
      <c r="F53" s="33">
        <v>15326</v>
      </c>
      <c r="G53" s="34">
        <v>1.7</v>
      </c>
      <c r="H53" s="34">
        <v>5.6</v>
      </c>
      <c r="I53" s="33">
        <v>15160</v>
      </c>
      <c r="J53" s="34">
        <v>4.4000000000000004</v>
      </c>
      <c r="K53" s="33">
        <v>16291</v>
      </c>
      <c r="L53" s="35">
        <v>7.2999999999999995E-2</v>
      </c>
      <c r="M53" s="36">
        <f>ROUND(K53*(1-L53),0)</f>
        <v>15102</v>
      </c>
      <c r="N53" s="37">
        <v>0.64600000000000002</v>
      </c>
      <c r="O53" s="24">
        <f t="shared" si="495"/>
        <v>9755.8919999999998</v>
      </c>
      <c r="P53" s="35">
        <v>0.28799999999999998</v>
      </c>
      <c r="Q53" s="24">
        <f t="shared" si="496"/>
        <v>4349.3759999999993</v>
      </c>
      <c r="R53" s="38">
        <v>6.6000000000000003E-2</v>
      </c>
      <c r="S53" s="105"/>
      <c r="T53" s="24">
        <f t="shared" si="497"/>
        <v>996.73200000000008</v>
      </c>
      <c r="U53" s="27">
        <v>0.24399999999999999</v>
      </c>
      <c r="V53" s="24">
        <f t="shared" si="498"/>
        <v>3684.8879999999999</v>
      </c>
      <c r="W53" s="38">
        <v>0.48299999999999998</v>
      </c>
      <c r="X53" s="24">
        <f t="shared" si="499"/>
        <v>7294.2659999999996</v>
      </c>
      <c r="Y53" s="38">
        <v>0.43</v>
      </c>
      <c r="Z53" s="24">
        <f t="shared" si="500"/>
        <v>6493.86</v>
      </c>
      <c r="AA53" s="117">
        <v>3.1099999999999999E-3</v>
      </c>
      <c r="AB53" s="18">
        <f t="shared" si="61"/>
        <v>46.967219999999998</v>
      </c>
      <c r="AC53" s="39">
        <v>3.0799999999999998E-3</v>
      </c>
      <c r="AD53" s="17">
        <f t="shared" si="502"/>
        <v>46.514159999999997</v>
      </c>
      <c r="AE53" s="26">
        <f>IF(M53&gt;0,(AG53+AP53)/M53,0)</f>
        <v>3.3001822010329763E-3</v>
      </c>
      <c r="AF53" s="39">
        <v>2.3000000000000001E-4</v>
      </c>
      <c r="AG53" s="36">
        <f t="shared" si="503"/>
        <v>3.4734600000000002</v>
      </c>
      <c r="AH53" s="27">
        <v>0.22040000000000001</v>
      </c>
      <c r="AI53" s="40">
        <f t="shared" si="504"/>
        <v>43.971783600000009</v>
      </c>
      <c r="AJ53" s="27">
        <f t="shared" si="505"/>
        <v>0.92629131326501546</v>
      </c>
      <c r="AK53" s="28">
        <f t="shared" si="6"/>
        <v>0.93122848990238338</v>
      </c>
      <c r="AL53" s="33">
        <v>219</v>
      </c>
      <c r="AM53" s="35">
        <v>8.8999999999999996E-2</v>
      </c>
      <c r="AN53" s="37">
        <v>0.2324</v>
      </c>
      <c r="AO53" s="103">
        <v>0.2248</v>
      </c>
      <c r="AP53" s="40">
        <f>AL53*(1-AM53)*AN53</f>
        <v>46.365891600000005</v>
      </c>
      <c r="AQ53" s="104">
        <f t="shared" si="21"/>
        <v>44.849623200000003</v>
      </c>
      <c r="AR53" s="41">
        <v>1.6</v>
      </c>
      <c r="AS53" s="41"/>
      <c r="AT53" s="129">
        <f>AT52+AL53-AS53</f>
        <v>1855.2599999999998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43" t="s">
        <v>59</v>
      </c>
      <c r="D54" s="42">
        <v>19200</v>
      </c>
      <c r="E54" s="42">
        <v>3</v>
      </c>
      <c r="F54" s="42">
        <v>17752</v>
      </c>
      <c r="G54" s="36">
        <v>1.5</v>
      </c>
      <c r="H54" s="36">
        <v>5.9</v>
      </c>
      <c r="I54" s="42">
        <v>16874</v>
      </c>
      <c r="J54" s="36">
        <v>3.5</v>
      </c>
      <c r="K54" s="42">
        <v>15975</v>
      </c>
      <c r="L54" s="38">
        <v>7.0999999999999994E-2</v>
      </c>
      <c r="M54" s="36">
        <f>ROUND(K54*(1-L54),0)</f>
        <v>14841</v>
      </c>
      <c r="N54" s="27">
        <v>0.8</v>
      </c>
      <c r="O54" s="24">
        <f t="shared" si="495"/>
        <v>11872.800000000001</v>
      </c>
      <c r="P54" s="38">
        <v>0.17</v>
      </c>
      <c r="Q54" s="24">
        <f t="shared" si="496"/>
        <v>2522.9700000000003</v>
      </c>
      <c r="R54" s="38">
        <v>0.03</v>
      </c>
      <c r="S54" s="105"/>
      <c r="T54" s="24">
        <f t="shared" si="497"/>
        <v>445.22999999999996</v>
      </c>
      <c r="U54" s="27">
        <v>0.23400000000000001</v>
      </c>
      <c r="V54" s="24">
        <f t="shared" si="498"/>
        <v>3472.7940000000003</v>
      </c>
      <c r="W54" s="38">
        <v>0.5</v>
      </c>
      <c r="X54" s="24">
        <f t="shared" si="499"/>
        <v>7420.5</v>
      </c>
      <c r="Y54" s="38">
        <v>0.42</v>
      </c>
      <c r="Z54" s="24">
        <f t="shared" si="500"/>
        <v>6233.2199999999993</v>
      </c>
      <c r="AA54" s="118">
        <v>2.8900000000000002E-3</v>
      </c>
      <c r="AB54" s="121">
        <f t="shared" si="61"/>
        <v>42.89049</v>
      </c>
      <c r="AC54" s="45">
        <v>2.8800000000000002E-3</v>
      </c>
      <c r="AD54" s="17">
        <f t="shared" si="502"/>
        <v>42.742080000000001</v>
      </c>
      <c r="AE54" s="26">
        <f>IF(M54&gt;0,(AG54+AP54)/M54,0)</f>
        <v>3.0003032140691333E-3</v>
      </c>
      <c r="AF54" s="45">
        <v>2.0000000000000001E-4</v>
      </c>
      <c r="AG54" s="36">
        <f t="shared" si="503"/>
        <v>2.9681999999999999</v>
      </c>
      <c r="AH54" s="27">
        <v>0.21379999999999999</v>
      </c>
      <c r="AI54" s="40">
        <f t="shared" si="504"/>
        <v>39.125399999999999</v>
      </c>
      <c r="AJ54" s="27">
        <f t="shared" si="505"/>
        <v>0.93142686225551397</v>
      </c>
      <c r="AK54" s="28">
        <f t="shared" si="6"/>
        <v>0.93416275921414615</v>
      </c>
      <c r="AL54" s="42">
        <v>200</v>
      </c>
      <c r="AM54" s="38">
        <v>8.5000000000000006E-2</v>
      </c>
      <c r="AN54" s="27">
        <v>0.2271</v>
      </c>
      <c r="AO54" s="105">
        <v>0.22090000000000001</v>
      </c>
      <c r="AP54" s="40">
        <f>AL54*(1-AM54)*AN54</f>
        <v>41.5593</v>
      </c>
      <c r="AQ54" s="106">
        <f t="shared" si="21"/>
        <v>40.424700000000001</v>
      </c>
      <c r="AR54" s="17">
        <v>1.5</v>
      </c>
      <c r="AS54" s="17"/>
      <c r="AT54" s="129">
        <f>AT53+AL54-AS54</f>
        <v>2055.2599999999998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7">SUM(D52:D54)</f>
        <v>51680</v>
      </c>
      <c r="E55" s="49"/>
      <c r="F55" s="49">
        <f t="shared" ref="F55" si="508">SUM(F52:F54)</f>
        <v>50916</v>
      </c>
      <c r="G55" s="50"/>
      <c r="H55" s="50"/>
      <c r="I55" s="49">
        <f t="shared" ref="I55:K55" si="509">SUM(I52:I54)</f>
        <v>49413</v>
      </c>
      <c r="J55" s="50"/>
      <c r="K55" s="49">
        <f t="shared" si="509"/>
        <v>48702</v>
      </c>
      <c r="L55" s="20">
        <f t="shared" ref="L55" si="510">IF(K55&gt;0,(K52*L52+K53*L53+K54*L54)/K55,0)</f>
        <v>6.9644121391318634E-2</v>
      </c>
      <c r="M55" s="50">
        <f t="shared" ref="M55" si="511">M52+M53+M54</f>
        <v>45311</v>
      </c>
      <c r="N55" s="51">
        <f t="shared" ref="N55" si="512">IF(M55&gt;0,O55/M55,0)</f>
        <v>0.71102478426872062</v>
      </c>
      <c r="O55" s="52">
        <f t="shared" ref="O55" si="513">O52+O53+O54</f>
        <v>32217.243999999999</v>
      </c>
      <c r="P55" s="20">
        <f t="shared" ref="P55" si="514">IF(M55&gt;0,Q55/M55,0)</f>
        <v>0.24460237028536116</v>
      </c>
      <c r="Q55" s="52">
        <f t="shared" ref="Q55" si="515">Q52+Q53+Q54</f>
        <v>11083.178</v>
      </c>
      <c r="R55" s="20">
        <f t="shared" ref="R55" si="516">IF(M55&gt;0,T55/M55,0)</f>
        <v>4.4372845445918206E-2</v>
      </c>
      <c r="S55" s="107"/>
      <c r="T55" s="52">
        <f t="shared" ref="T55" si="517">T52+T53+T54</f>
        <v>2010.578</v>
      </c>
      <c r="U55" s="20">
        <f t="shared" ref="U55" si="518">IF(M55&gt;0,V55/M55,0)</f>
        <v>0.24106380349142595</v>
      </c>
      <c r="V55" s="52">
        <f t="shared" ref="V55" si="519">V52+V53+V54</f>
        <v>10922.842000000001</v>
      </c>
      <c r="W55" s="20">
        <f t="shared" ref="W55" si="520">IF(M55&gt;0,X55/M55,0)</f>
        <v>0.48483728013065258</v>
      </c>
      <c r="X55" s="52">
        <f t="shared" ref="X55" si="521">X52+X53+X54</f>
        <v>21968.462</v>
      </c>
      <c r="Y55" s="20">
        <f t="shared" ref="Y55" si="522">IF(M55&gt;0,Z55/M55,0)</f>
        <v>0.43689964909183204</v>
      </c>
      <c r="Z55" s="52">
        <f t="shared" ref="Z55" si="523">Z52+Z53+Z54</f>
        <v>19796.36</v>
      </c>
      <c r="AA55" s="119">
        <f t="shared" ref="AA55" si="524">IF(M55&gt;0,AB55/M55,0)</f>
        <v>2.9565418993180463E-3</v>
      </c>
      <c r="AB55" s="54">
        <f t="shared" ref="AB55" si="525">SUM(AB52:AB54)</f>
        <v>133.96386999999999</v>
      </c>
      <c r="AC55" s="53">
        <f t="shared" ref="AC55" si="526">IF(M55&gt;0,AD55/M55,0)</f>
        <v>2.9941427026549841E-3</v>
      </c>
      <c r="AD55" s="54">
        <f t="shared" ref="AD55" si="527">SUM(AD52:AD54)</f>
        <v>135.66759999999999</v>
      </c>
      <c r="AE55" s="53">
        <f t="shared" ref="AE55" si="528">IF(M55&gt;0,(AE52*M52+AE53*M53+AE54*M54)/M55,0)</f>
        <v>3.0205300346494231E-3</v>
      </c>
      <c r="AF55" s="53">
        <f t="shared" ref="AF55" si="529">IF(K55&gt;0,(K52*AF52+K53*AF53+K54*AF54)/K55,0)</f>
        <v>2.1678473163319782E-4</v>
      </c>
      <c r="AG55" s="50">
        <f t="shared" ref="AG55" si="530">SUM(AG52:AG54)</f>
        <v>9.8226200000000006</v>
      </c>
      <c r="AH55" s="51">
        <f t="shared" ref="AH55" si="531">IF(K55&gt;0,(K52*AH52+K53*AH53+K54*AH54)/K55,0)</f>
        <v>0.21739139665722149</v>
      </c>
      <c r="AI55" s="56">
        <f t="shared" ref="AI55" si="532">SUM(AI52:AI54)</f>
        <v>121.01200150000001</v>
      </c>
      <c r="AJ55" s="51">
        <f t="shared" ref="AJ55" si="533">IF(AND(AD55&gt;0),((AD52*AJ52+AD53*AJ53+AD54*AJ54)/AD55),0)</f>
        <v>0.92852437003297827</v>
      </c>
      <c r="AK55" s="55">
        <f t="shared" si="6"/>
        <v>0.9291126079717712</v>
      </c>
      <c r="AL55" s="49">
        <f t="shared" ref="AL55" si="534">SUM(AL52:AL54)</f>
        <v>610</v>
      </c>
      <c r="AM55" s="20">
        <f t="shared" ref="AM55" si="535">IF(AL55&gt;0,(AM52*AL52+AM53*AL53+AM54*AL54)/AL55,0)</f>
        <v>8.7688524590163922E-2</v>
      </c>
      <c r="AN55" s="51">
        <f>IF(K55&gt;0,(AN52*K52+AN53*K53+AN54*K54)/K55,0)</f>
        <v>0.22809666338138068</v>
      </c>
      <c r="AO55" s="107">
        <f>IF(L55&gt;0,(AO52*K52+AO53*K53+AO54*K54)/K55,0)</f>
        <v>0.22071964806373456</v>
      </c>
      <c r="AP55" s="56">
        <f t="shared" ref="AP55" si="536">SUM(AP52:AP54)</f>
        <v>127.0406164</v>
      </c>
      <c r="AQ55" s="108">
        <f t="shared" si="404"/>
        <v>122.94553970000001</v>
      </c>
      <c r="AR55" s="54"/>
      <c r="AS55" s="54">
        <f t="shared" ref="AS55" si="537">SUM(AS52:AS54)</f>
        <v>0</v>
      </c>
      <c r="AT55" s="83"/>
      <c r="AU55" s="84">
        <f>AT54</f>
        <v>2055.2599999999998</v>
      </c>
      <c r="AV55" s="49">
        <f t="shared" ref="AV55" si="538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43" t="s">
        <v>57</v>
      </c>
      <c r="D56" s="11">
        <v>6600</v>
      </c>
      <c r="E56" s="11">
        <v>2</v>
      </c>
      <c r="F56" s="11">
        <v>14305</v>
      </c>
      <c r="G56" s="12">
        <v>1.1000000000000001</v>
      </c>
      <c r="H56" s="12">
        <v>3.3</v>
      </c>
      <c r="I56" s="11">
        <v>14504</v>
      </c>
      <c r="J56" s="12">
        <v>4.2</v>
      </c>
      <c r="K56" s="11">
        <v>15829</v>
      </c>
      <c r="L56" s="13">
        <v>7.2999999999999995E-2</v>
      </c>
      <c r="M56" s="23">
        <f>ROUND(K56*(1-L56),0)</f>
        <v>14673</v>
      </c>
      <c r="N56" s="14">
        <v>0.65400000000000003</v>
      </c>
      <c r="O56" s="24">
        <f t="shared" ref="O56:O58" si="539">M56*N56</f>
        <v>9596.1419999999998</v>
      </c>
      <c r="P56" s="13">
        <v>0.312</v>
      </c>
      <c r="Q56" s="24">
        <f t="shared" ref="Q56:Q58" si="540">M56*P56</f>
        <v>4577.9759999999997</v>
      </c>
      <c r="R56" s="15">
        <v>3.4000000000000002E-2</v>
      </c>
      <c r="S56" s="112">
        <v>0.19700000000000001</v>
      </c>
      <c r="T56" s="24">
        <f t="shared" ref="T56:T58" si="541">M56*R56</f>
        <v>498.88200000000006</v>
      </c>
      <c r="U56" s="25">
        <v>0.223</v>
      </c>
      <c r="V56" s="24">
        <f t="shared" ref="V56:V58" si="542">M56*U56</f>
        <v>3272.0790000000002</v>
      </c>
      <c r="W56" s="15">
        <v>0.48799999999999999</v>
      </c>
      <c r="X56" s="24">
        <f t="shared" ref="X56:X58" si="543">M56*W56</f>
        <v>7160.424</v>
      </c>
      <c r="Y56" s="15">
        <v>0.43</v>
      </c>
      <c r="Z56" s="24">
        <f t="shared" ref="Z56:Z58" si="544">Y56*M56</f>
        <v>6309.39</v>
      </c>
      <c r="AA56" s="116">
        <v>2.7399999999999998E-3</v>
      </c>
      <c r="AB56" s="18">
        <f t="shared" ref="AB56" si="545">M56*AA56</f>
        <v>40.20402</v>
      </c>
      <c r="AC56" s="16">
        <v>2.7100000000000002E-3</v>
      </c>
      <c r="AD56" s="17">
        <f t="shared" ref="AD56:AD58" si="546">M56*AC56</f>
        <v>39.763830000000006</v>
      </c>
      <c r="AE56" s="26">
        <f>IF(M56&gt;0,(AG56+AP56)/M56,0)</f>
        <v>2.9019529339603355E-3</v>
      </c>
      <c r="AF56" s="16">
        <v>2.0000000000000001E-4</v>
      </c>
      <c r="AG56" s="23">
        <f t="shared" ref="AG56:AG58" si="547">AF56*M56</f>
        <v>2.9346000000000001</v>
      </c>
      <c r="AH56" s="92">
        <v>0.2082</v>
      </c>
      <c r="AI56" s="29">
        <f t="shared" ref="AI56:AI58" si="548">AL56*(1-AM56)*AH56</f>
        <v>36.346306800000001</v>
      </c>
      <c r="AJ56" s="27">
        <f t="shared" ref="AJ56:AJ58" si="549">IF(AND(AH56&gt;0,AF56&gt;0,AC56&gt;0),((AC56-AF56)*AH56)/((AH56-AF56)*AC56),0)</f>
        <v>0.92708983820607449</v>
      </c>
      <c r="AK56" s="58">
        <f t="shared" si="6"/>
        <v>0.9319015917724307</v>
      </c>
      <c r="AL56" s="11">
        <v>191</v>
      </c>
      <c r="AM56" s="13">
        <v>8.5999999999999993E-2</v>
      </c>
      <c r="AN56" s="14">
        <v>0.2271</v>
      </c>
      <c r="AO56" s="101">
        <v>0.22570000000000001</v>
      </c>
      <c r="AP56" s="29">
        <f>AL56*(1-AM56)*AN56</f>
        <v>39.645755399999999</v>
      </c>
      <c r="AQ56" s="102">
        <f t="shared" ref="AQ56" si="550">AL56*(1-AM56)*AO56</f>
        <v>39.401351800000008</v>
      </c>
      <c r="AR56" s="18">
        <v>1.55</v>
      </c>
      <c r="AS56" s="18">
        <v>1065.06</v>
      </c>
      <c r="AT56" s="79">
        <f>AT54+AL56-AS56</f>
        <v>1181.1999999999998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53</v>
      </c>
      <c r="D57" s="33">
        <v>16700</v>
      </c>
      <c r="E57" s="33">
        <v>7</v>
      </c>
      <c r="F57" s="33">
        <v>15895</v>
      </c>
      <c r="G57" s="34">
        <v>0.6</v>
      </c>
      <c r="H57" s="34">
        <v>5.3</v>
      </c>
      <c r="I57" s="33">
        <v>15759</v>
      </c>
      <c r="J57" s="34">
        <v>3.8</v>
      </c>
      <c r="K57" s="33">
        <v>15845</v>
      </c>
      <c r="L57" s="35">
        <v>6.6000000000000003E-2</v>
      </c>
      <c r="M57" s="36">
        <f>ROUND(K57*(1-L57),0)</f>
        <v>14799</v>
      </c>
      <c r="N57" s="37">
        <v>0.66600000000000004</v>
      </c>
      <c r="O57" s="24">
        <f t="shared" si="539"/>
        <v>9856.134</v>
      </c>
      <c r="P57" s="35">
        <v>0.29699999999999999</v>
      </c>
      <c r="Q57" s="24">
        <f t="shared" si="540"/>
        <v>4395.3029999999999</v>
      </c>
      <c r="R57" s="38">
        <v>3.6999999999999998E-2</v>
      </c>
      <c r="S57" s="105">
        <v>0.26669999999999999</v>
      </c>
      <c r="T57" s="24">
        <f t="shared" si="541"/>
        <v>547.56299999999999</v>
      </c>
      <c r="U57" s="27">
        <v>0.23200000000000001</v>
      </c>
      <c r="V57" s="24">
        <f t="shared" si="542"/>
        <v>3433.3680000000004</v>
      </c>
      <c r="W57" s="38">
        <v>0.49</v>
      </c>
      <c r="X57" s="24">
        <f t="shared" si="543"/>
        <v>7251.51</v>
      </c>
      <c r="Y57" s="38">
        <v>0.43</v>
      </c>
      <c r="Z57" s="24">
        <f t="shared" si="544"/>
        <v>6363.57</v>
      </c>
      <c r="AA57" s="117">
        <v>2.6099999999999999E-3</v>
      </c>
      <c r="AB57" s="18">
        <f t="shared" si="61"/>
        <v>38.625389999999996</v>
      </c>
      <c r="AC57" s="39">
        <v>2.5400000000000002E-3</v>
      </c>
      <c r="AD57" s="17">
        <f t="shared" si="546"/>
        <v>37.589460000000003</v>
      </c>
      <c r="AE57" s="26">
        <f>IF(M57&gt;0,(AG57+AP57)/M57,0)</f>
        <v>2.5526564227312657E-3</v>
      </c>
      <c r="AF57" s="39">
        <v>2.0000000000000001E-4</v>
      </c>
      <c r="AG57" s="36">
        <f t="shared" si="547"/>
        <v>2.9598</v>
      </c>
      <c r="AH57" s="27">
        <v>0.21229999999999999</v>
      </c>
      <c r="AI57" s="40">
        <f t="shared" si="548"/>
        <v>33.265711600000003</v>
      </c>
      <c r="AJ57" s="27">
        <f t="shared" si="549"/>
        <v>0.92212854581296144</v>
      </c>
      <c r="AK57" s="28">
        <f t="shared" si="6"/>
        <v>0.92248056262208411</v>
      </c>
      <c r="AL57" s="33">
        <v>172</v>
      </c>
      <c r="AM57" s="35">
        <v>8.8999999999999996E-2</v>
      </c>
      <c r="AN57" s="37">
        <v>0.22220000000000001</v>
      </c>
      <c r="AO57" s="103">
        <v>0.22220000000000001</v>
      </c>
      <c r="AP57" s="40">
        <f>AL57*(1-AM57)*AN57</f>
        <v>34.816962400000001</v>
      </c>
      <c r="AQ57" s="104">
        <f t="shared" si="21"/>
        <v>34.816962400000001</v>
      </c>
      <c r="AR57" s="41">
        <v>1.55</v>
      </c>
      <c r="AS57" s="41"/>
      <c r="AT57" s="129">
        <f>AT56+AL57-AS57</f>
        <v>1353.1999999999998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43" t="s">
        <v>55</v>
      </c>
      <c r="D58" s="42">
        <v>19000</v>
      </c>
      <c r="E58" s="42">
        <v>4</v>
      </c>
      <c r="F58" s="42">
        <v>15792</v>
      </c>
      <c r="G58" s="36">
        <v>0.9</v>
      </c>
      <c r="H58" s="36">
        <v>6.4</v>
      </c>
      <c r="I58" s="42">
        <v>15150</v>
      </c>
      <c r="J58" s="36">
        <v>4</v>
      </c>
      <c r="K58" s="42">
        <v>15594</v>
      </c>
      <c r="L58" s="38">
        <v>6.7000000000000004E-2</v>
      </c>
      <c r="M58" s="36">
        <f>ROUND(K58*(1-L58),0)</f>
        <v>14549</v>
      </c>
      <c r="N58" s="27">
        <v>0.65200000000000002</v>
      </c>
      <c r="O58" s="24">
        <f t="shared" si="539"/>
        <v>9485.9480000000003</v>
      </c>
      <c r="P58" s="38">
        <v>0.316</v>
      </c>
      <c r="Q58" s="24">
        <f t="shared" si="540"/>
        <v>4597.4840000000004</v>
      </c>
      <c r="R58" s="38">
        <v>3.2000000000000001E-2</v>
      </c>
      <c r="S58" s="105">
        <v>0.25800000000000001</v>
      </c>
      <c r="T58" s="24">
        <f t="shared" si="541"/>
        <v>465.56799999999998</v>
      </c>
      <c r="U58" s="27">
        <v>0.23</v>
      </c>
      <c r="V58" s="24">
        <f t="shared" si="542"/>
        <v>3346.27</v>
      </c>
      <c r="W58" s="38">
        <v>0.49</v>
      </c>
      <c r="X58" s="24">
        <f t="shared" si="543"/>
        <v>7129.01</v>
      </c>
      <c r="Y58" s="38">
        <v>0.43</v>
      </c>
      <c r="Z58" s="24">
        <f t="shared" si="544"/>
        <v>6256.07</v>
      </c>
      <c r="AA58" s="118">
        <v>2.4099999999999998E-3</v>
      </c>
      <c r="AB58" s="121">
        <f t="shared" si="61"/>
        <v>35.063089999999995</v>
      </c>
      <c r="AC58" s="45">
        <v>2.3500000000000001E-3</v>
      </c>
      <c r="AD58" s="17">
        <f t="shared" si="546"/>
        <v>34.190150000000003</v>
      </c>
      <c r="AE58" s="26">
        <f>IF(M58&gt;0,(AG58+AP58)/M58,0)</f>
        <v>2.5413148670011686E-3</v>
      </c>
      <c r="AF58" s="45">
        <v>1.9000000000000001E-4</v>
      </c>
      <c r="AG58" s="36">
        <f t="shared" si="547"/>
        <v>2.76431</v>
      </c>
      <c r="AH58" s="27">
        <v>0.2084</v>
      </c>
      <c r="AI58" s="40">
        <f t="shared" si="548"/>
        <v>31.826848000000002</v>
      </c>
      <c r="AJ58" s="27">
        <f t="shared" si="549"/>
        <v>0.91998769654614243</v>
      </c>
      <c r="AK58" s="28">
        <f t="shared" si="6"/>
        <v>0.92602101752517552</v>
      </c>
      <c r="AL58" s="42">
        <v>166</v>
      </c>
      <c r="AM58" s="38">
        <v>0.08</v>
      </c>
      <c r="AN58" s="27">
        <v>0.224</v>
      </c>
      <c r="AO58" s="105">
        <v>0.22500000000000001</v>
      </c>
      <c r="AP58" s="40">
        <f>AL58*(1-AM58)*AN58</f>
        <v>34.20928</v>
      </c>
      <c r="AQ58" s="106">
        <f t="shared" si="21"/>
        <v>34.362000000000002</v>
      </c>
      <c r="AR58" s="17">
        <v>1.55</v>
      </c>
      <c r="AS58" s="17"/>
      <c r="AT58" s="129">
        <f>AT57+AL58-AS58</f>
        <v>1519.1999999999998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1">SUM(D56:D58)</f>
        <v>42300</v>
      </c>
      <c r="E59" s="49"/>
      <c r="F59" s="49">
        <f t="shared" ref="F59" si="552">SUM(F56:F58)</f>
        <v>45992</v>
      </c>
      <c r="G59" s="50"/>
      <c r="H59" s="50"/>
      <c r="I59" s="49">
        <f t="shared" ref="I59:K59" si="553">SUM(I56:I58)</f>
        <v>45413</v>
      </c>
      <c r="J59" s="50"/>
      <c r="K59" s="49">
        <f t="shared" si="553"/>
        <v>47268</v>
      </c>
      <c r="L59" s="20">
        <f t="shared" ref="L59" si="554">IF(K59&gt;0,(K56*L56+K57*L57+K58*L58)/K59,0)</f>
        <v>6.8674050097317418E-2</v>
      </c>
      <c r="M59" s="50">
        <f t="shared" ref="M59" si="555">M56+M57+M58</f>
        <v>44021</v>
      </c>
      <c r="N59" s="51">
        <f t="shared" ref="N59" si="556">IF(M59&gt;0,O59/M59,0)</f>
        <v>0.65737316280865943</v>
      </c>
      <c r="O59" s="52">
        <f t="shared" ref="O59" si="557">O56+O57+O58</f>
        <v>28938.223999999998</v>
      </c>
      <c r="P59" s="20">
        <f t="shared" ref="P59" si="558">IF(M59&gt;0,Q59/M59,0)</f>
        <v>0.30827929851661706</v>
      </c>
      <c r="Q59" s="52">
        <f t="shared" ref="Q59" si="559">Q56+Q57+Q58</f>
        <v>13570.762999999999</v>
      </c>
      <c r="R59" s="20">
        <f t="shared" ref="R59" si="560">IF(M59&gt;0,T59/M59,0)</f>
        <v>3.4347538674723434E-2</v>
      </c>
      <c r="S59" s="107"/>
      <c r="T59" s="52">
        <f t="shared" ref="T59" si="561">T56+T57+T58</f>
        <v>1512.0130000000001</v>
      </c>
      <c r="U59" s="20">
        <f t="shared" ref="U59" si="562">IF(M59&gt;0,V59/M59,0)</f>
        <v>0.22833913359532951</v>
      </c>
      <c r="V59" s="52">
        <f t="shared" ref="V59" si="563">V56+V57+V58</f>
        <v>10051.717000000001</v>
      </c>
      <c r="W59" s="20">
        <f t="shared" ref="W59" si="564">IF(M59&gt;0,X59/M59,0)</f>
        <v>0.48933336362190782</v>
      </c>
      <c r="X59" s="52">
        <f t="shared" ref="X59" si="565">X56+X57+X58</f>
        <v>21540.944000000003</v>
      </c>
      <c r="Y59" s="20">
        <f t="shared" ref="Y59" si="566">IF(M59&gt;0,Z59/M59,0)</f>
        <v>0.43</v>
      </c>
      <c r="Z59" s="52">
        <f t="shared" ref="Z59" si="567">Z56+Z57+Z58</f>
        <v>18929.03</v>
      </c>
      <c r="AA59" s="119">
        <f t="shared" ref="AA59" si="568">IF(M59&gt;0,AB59/M59,0)</f>
        <v>2.5872310942504709E-3</v>
      </c>
      <c r="AB59" s="54">
        <f t="shared" ref="AB59" si="569">SUM(AB56:AB58)</f>
        <v>113.89249999999998</v>
      </c>
      <c r="AC59" s="53">
        <f t="shared" ref="AC59" si="570">IF(M59&gt;0,AD59/M59,0)</f>
        <v>2.5338688353285935E-3</v>
      </c>
      <c r="AD59" s="54">
        <f t="shared" ref="AD59" si="571">SUM(AD56:AD58)</f>
        <v>111.54344000000002</v>
      </c>
      <c r="AE59" s="53">
        <f t="shared" ref="AE59" si="572">IF(M59&gt;0,(AE56*M56+AE57*M57+AE58*M58)/M59,0)</f>
        <v>2.6653349037959154E-3</v>
      </c>
      <c r="AF59" s="53">
        <f t="shared" ref="AF59" si="573">IF(K59&gt;0,(K56*AF56+K57*AF57+K58*AF58)/K59,0)</f>
        <v>1.9670093932470172E-4</v>
      </c>
      <c r="AG59" s="50">
        <f t="shared" ref="AG59" si="574">SUM(AG56:AG58)</f>
        <v>8.6587099999999992</v>
      </c>
      <c r="AH59" s="51">
        <f t="shared" ref="AH59" si="575">IF(K59&gt;0,(K56*AH56+K57*AH57+K58*AH58)/K59,0)</f>
        <v>0.2096403676906152</v>
      </c>
      <c r="AI59" s="56">
        <f t="shared" ref="AI59" si="576">SUM(AI56:AI58)</f>
        <v>101.43886640000001</v>
      </c>
      <c r="AJ59" s="51">
        <f t="shared" ref="AJ59" si="577">IF(AND(AD59&gt;0),((AD56*AJ56+AD57*AJ57+AD58*AJ58)/AD59),0)</f>
        <v>0.92324097366833424</v>
      </c>
      <c r="AK59" s="55">
        <f t="shared" si="6"/>
        <v>0.92701275152544182</v>
      </c>
      <c r="AL59" s="49">
        <f t="shared" ref="AL59" si="578">SUM(AL56:AL58)</f>
        <v>529</v>
      </c>
      <c r="AM59" s="20">
        <f t="shared" ref="AM59" si="579">IF(AL59&gt;0,(AM56*AL56+AM57*AL57+AM58*AL58)/AL59,0)</f>
        <v>8.5092627599243853E-2</v>
      </c>
      <c r="AN59" s="51">
        <f>IF(K59&gt;0,(AN56*K56+AN57*K57+AN58*K58)/K59,0)</f>
        <v>0.22443473174240502</v>
      </c>
      <c r="AO59" s="107">
        <f>IF(L59&gt;0,(AO56*K56+AO57*K57+AO58*K58)/K59,0)</f>
        <v>0.22429580900397733</v>
      </c>
      <c r="AP59" s="56">
        <f t="shared" ref="AP59:AQ71" si="580">SUM(AP56:AP58)</f>
        <v>108.67199780000001</v>
      </c>
      <c r="AQ59" s="108">
        <f t="shared" si="580"/>
        <v>108.5803142</v>
      </c>
      <c r="AR59" s="54"/>
      <c r="AS59" s="54">
        <f t="shared" ref="AS59" si="581">SUM(AS56:AS58)</f>
        <v>1065.06</v>
      </c>
      <c r="AT59" s="83"/>
      <c r="AU59" s="84">
        <f>AT58</f>
        <v>1519.1999999999998</v>
      </c>
      <c r="AV59" s="49">
        <f t="shared" ref="AV59" si="582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43" t="s">
        <v>57</v>
      </c>
      <c r="D60" s="11">
        <v>5220</v>
      </c>
      <c r="E60" s="11">
        <v>2</v>
      </c>
      <c r="F60" s="11">
        <v>17382</v>
      </c>
      <c r="G60" s="12">
        <v>0.6</v>
      </c>
      <c r="H60" s="12">
        <v>5.6</v>
      </c>
      <c r="I60" s="11">
        <v>16930</v>
      </c>
      <c r="J60" s="12">
        <v>3.1</v>
      </c>
      <c r="K60" s="11">
        <v>14599</v>
      </c>
      <c r="L60" s="13">
        <v>6.0999999999999999E-2</v>
      </c>
      <c r="M60" s="23">
        <f>ROUND(K60*(1-L60),0)</f>
        <v>13708</v>
      </c>
      <c r="N60" s="14">
        <v>0.61499999999999999</v>
      </c>
      <c r="O60" s="24">
        <f t="shared" ref="O60:O62" si="583">M60*N60</f>
        <v>8430.42</v>
      </c>
      <c r="P60" s="13">
        <v>0.34200000000000003</v>
      </c>
      <c r="Q60" s="24">
        <f t="shared" ref="Q60:Q62" si="584">M60*P60</f>
        <v>4688.1360000000004</v>
      </c>
      <c r="R60" s="15">
        <v>4.2999999999999997E-2</v>
      </c>
      <c r="S60" s="112">
        <v>0.2389</v>
      </c>
      <c r="T60" s="24">
        <f t="shared" ref="T60:T62" si="585">M60*R60</f>
        <v>589.44399999999996</v>
      </c>
      <c r="U60" s="25">
        <v>0.222</v>
      </c>
      <c r="V60" s="24">
        <f t="shared" ref="V60:V62" si="586">M60*U60</f>
        <v>3043.1759999999999</v>
      </c>
      <c r="W60" s="15">
        <v>0.48799999999999999</v>
      </c>
      <c r="X60" s="24">
        <f t="shared" ref="X60:X62" si="587">M60*W60</f>
        <v>6689.5039999999999</v>
      </c>
      <c r="Y60" s="15">
        <v>0.43</v>
      </c>
      <c r="Z60" s="24">
        <f t="shared" ref="Z60:Z62" si="588">Y60*M60</f>
        <v>5894.44</v>
      </c>
      <c r="AA60" s="116">
        <v>2.4399999999999999E-3</v>
      </c>
      <c r="AB60" s="18">
        <f t="shared" ref="AB60" si="589">M60*AA60</f>
        <v>33.447519999999997</v>
      </c>
      <c r="AC60" s="16">
        <v>2.33E-3</v>
      </c>
      <c r="AD60" s="17">
        <f t="shared" ref="AD60:AD62" si="590">M60*AC60</f>
        <v>31.939640000000001</v>
      </c>
      <c r="AE60" s="26">
        <f>IF(M60&gt;0,(AG60+AP60)/M60,0)</f>
        <v>2.2991630434782613E-3</v>
      </c>
      <c r="AF60" s="16">
        <v>1.9000000000000001E-4</v>
      </c>
      <c r="AG60" s="23">
        <f t="shared" ref="AG60:AG62" si="591">AF60*M60</f>
        <v>2.6045199999999999</v>
      </c>
      <c r="AH60" s="92">
        <v>0.2152</v>
      </c>
      <c r="AI60" s="29">
        <f t="shared" ref="AI60:AI62" si="592">AL60*(1-AM60)*AH60</f>
        <v>29.211032800000002</v>
      </c>
      <c r="AJ60" s="27">
        <f t="shared" ref="AJ60:AJ62" si="593">IF(AND(AH60&gt;0,AF60&gt;0,AC60&gt;0),((AC60-AF60)*AH60)/((AH60-AF60)*AC60),0)</f>
        <v>0.91926655572263016</v>
      </c>
      <c r="AK60" s="58">
        <f t="shared" si="6"/>
        <v>0.91818026662528784</v>
      </c>
      <c r="AL60" s="11">
        <v>149</v>
      </c>
      <c r="AM60" s="13">
        <v>8.8999999999999996E-2</v>
      </c>
      <c r="AN60" s="14">
        <v>0.21299999999999999</v>
      </c>
      <c r="AO60" s="101">
        <v>0.21629999999999999</v>
      </c>
      <c r="AP60" s="29">
        <f>AL60*(1-AM60)*AN60</f>
        <v>28.912407000000002</v>
      </c>
      <c r="AQ60" s="102">
        <f t="shared" ref="AQ60" si="594">AL60*(1-AM60)*AO60</f>
        <v>29.3603457</v>
      </c>
      <c r="AR60" s="18">
        <v>1.55</v>
      </c>
      <c r="AS60" s="18">
        <v>1002.68</v>
      </c>
      <c r="AT60" s="79">
        <f>AT58+AL60-AS60</f>
        <v>665.51999999999987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59</v>
      </c>
      <c r="D61" s="33">
        <v>18500</v>
      </c>
      <c r="E61" s="33">
        <v>7</v>
      </c>
      <c r="F61" s="33">
        <v>14556</v>
      </c>
      <c r="G61" s="34">
        <v>0.6</v>
      </c>
      <c r="H61" s="34">
        <v>4.9000000000000004</v>
      </c>
      <c r="I61" s="33">
        <v>14094</v>
      </c>
      <c r="J61" s="34">
        <v>3</v>
      </c>
      <c r="K61" s="33">
        <v>14615</v>
      </c>
      <c r="L61" s="35">
        <v>5.7000000000000002E-2</v>
      </c>
      <c r="M61" s="36">
        <f>ROUND(K61*(1-L61),0)</f>
        <v>13782</v>
      </c>
      <c r="N61" s="37">
        <v>0.74299999999999999</v>
      </c>
      <c r="O61" s="24">
        <f t="shared" si="583"/>
        <v>10240.026</v>
      </c>
      <c r="P61" s="35">
        <v>0.19900000000000001</v>
      </c>
      <c r="Q61" s="24">
        <f t="shared" si="584"/>
        <v>2742.6179999999999</v>
      </c>
      <c r="R61" s="38">
        <v>5.8000000000000003E-2</v>
      </c>
      <c r="S61" s="105">
        <v>0.33729999999999999</v>
      </c>
      <c r="T61" s="24">
        <f t="shared" si="585"/>
        <v>799.35599999999999</v>
      </c>
      <c r="U61" s="27">
        <v>0.23200000000000001</v>
      </c>
      <c r="V61" s="24">
        <f t="shared" si="586"/>
        <v>3197.424</v>
      </c>
      <c r="W61" s="38">
        <v>0.48499999999999999</v>
      </c>
      <c r="X61" s="24">
        <f t="shared" si="587"/>
        <v>6684.2699999999995</v>
      </c>
      <c r="Y61" s="38">
        <v>0.43</v>
      </c>
      <c r="Z61" s="24">
        <f t="shared" si="588"/>
        <v>5926.26</v>
      </c>
      <c r="AA61" s="117">
        <v>2.3400000000000001E-3</v>
      </c>
      <c r="AB61" s="18">
        <f t="shared" si="61"/>
        <v>32.249879999999997</v>
      </c>
      <c r="AC61" s="39">
        <v>2.2699999999999999E-3</v>
      </c>
      <c r="AD61" s="17">
        <f t="shared" si="590"/>
        <v>31.285139999999998</v>
      </c>
      <c r="AE61" s="26">
        <f>IF(M61&gt;0,(AG61+AP61)/M61,0)</f>
        <v>2.3446605137135393E-3</v>
      </c>
      <c r="AF61" s="39">
        <v>1.7000000000000001E-4</v>
      </c>
      <c r="AG61" s="36">
        <f t="shared" si="591"/>
        <v>2.34294</v>
      </c>
      <c r="AH61" s="27">
        <v>0.20749999999999999</v>
      </c>
      <c r="AI61" s="40">
        <f t="shared" si="592"/>
        <v>28.1658425</v>
      </c>
      <c r="AJ61" s="27">
        <f t="shared" si="593"/>
        <v>0.92586867516957261</v>
      </c>
      <c r="AK61" s="28">
        <f t="shared" si="6"/>
        <v>0.9282094879419881</v>
      </c>
      <c r="AL61" s="33">
        <v>149</v>
      </c>
      <c r="AM61" s="35">
        <v>8.8999999999999996E-2</v>
      </c>
      <c r="AN61" s="37">
        <v>0.2208</v>
      </c>
      <c r="AO61" s="103">
        <v>0.22589999999999999</v>
      </c>
      <c r="AP61" s="40">
        <f>AL61*(1-AM61)*AN61</f>
        <v>29.971171200000001</v>
      </c>
      <c r="AQ61" s="104">
        <f t="shared" si="21"/>
        <v>30.663440099999999</v>
      </c>
      <c r="AR61" s="41">
        <v>1.55</v>
      </c>
      <c r="AS61" s="41"/>
      <c r="AT61" s="129">
        <f>AT60+AL61-AS61</f>
        <v>814.51999999999987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55</v>
      </c>
      <c r="D62" s="42">
        <v>22000</v>
      </c>
      <c r="E62" s="42">
        <v>4</v>
      </c>
      <c r="F62" s="42">
        <v>17740</v>
      </c>
      <c r="G62" s="36">
        <v>0.8</v>
      </c>
      <c r="H62" s="36">
        <v>5.4</v>
      </c>
      <c r="I62" s="42">
        <v>17320</v>
      </c>
      <c r="J62" s="36">
        <v>1.7</v>
      </c>
      <c r="K62" s="42">
        <v>14579</v>
      </c>
      <c r="L62" s="38">
        <v>6.4000000000000001E-2</v>
      </c>
      <c r="M62" s="36">
        <f>ROUND(K62*(1-L62),0)</f>
        <v>13646</v>
      </c>
      <c r="N62" s="27">
        <v>0.61799999999999999</v>
      </c>
      <c r="O62" s="24">
        <f t="shared" si="583"/>
        <v>8433.2279999999992</v>
      </c>
      <c r="P62" s="38">
        <v>0.35699999999999998</v>
      </c>
      <c r="Q62" s="24">
        <f t="shared" si="584"/>
        <v>4871.6219999999994</v>
      </c>
      <c r="R62" s="38">
        <v>2.5000000000000001E-2</v>
      </c>
      <c r="S62" s="105">
        <v>0.253</v>
      </c>
      <c r="T62" s="24">
        <f t="shared" si="585"/>
        <v>341.15000000000003</v>
      </c>
      <c r="U62" s="27">
        <v>0.22600000000000001</v>
      </c>
      <c r="V62" s="24">
        <f t="shared" si="586"/>
        <v>3083.9960000000001</v>
      </c>
      <c r="W62" s="38">
        <v>0.48599999999999999</v>
      </c>
      <c r="X62" s="24">
        <f t="shared" si="587"/>
        <v>6631.9560000000001</v>
      </c>
      <c r="Y62" s="38">
        <v>0.4</v>
      </c>
      <c r="Z62" s="24">
        <f t="shared" si="588"/>
        <v>5458.4000000000005</v>
      </c>
      <c r="AA62" s="118">
        <v>2.3400000000000001E-3</v>
      </c>
      <c r="AB62" s="121">
        <f t="shared" si="61"/>
        <v>31.931640000000002</v>
      </c>
      <c r="AC62" s="45">
        <v>2.2799999999999999E-3</v>
      </c>
      <c r="AD62" s="17">
        <f t="shared" si="590"/>
        <v>31.112879999999997</v>
      </c>
      <c r="AE62" s="26">
        <f>IF(M62&gt;0,(AG62+AP62)/M62,0)</f>
        <v>2.2229969661439249E-3</v>
      </c>
      <c r="AF62" s="45">
        <v>1.8000000000000001E-4</v>
      </c>
      <c r="AG62" s="36">
        <f t="shared" si="591"/>
        <v>2.45628</v>
      </c>
      <c r="AH62" s="27">
        <v>0.20180000000000001</v>
      </c>
      <c r="AI62" s="40">
        <f t="shared" si="592"/>
        <v>26.375663599999999</v>
      </c>
      <c r="AJ62" s="27">
        <f t="shared" si="593"/>
        <v>0.92187491842392411</v>
      </c>
      <c r="AK62" s="28">
        <f t="shared" si="6"/>
        <v>0.91980443584911331</v>
      </c>
      <c r="AL62" s="42">
        <v>143</v>
      </c>
      <c r="AM62" s="38">
        <v>8.5999999999999993E-2</v>
      </c>
      <c r="AN62" s="27">
        <v>0.21329999999999999</v>
      </c>
      <c r="AO62" s="105">
        <v>0.219</v>
      </c>
      <c r="AP62" s="40">
        <f>AL62*(1-AM62)*AN62</f>
        <v>27.8787366</v>
      </c>
      <c r="AQ62" s="106">
        <f t="shared" si="21"/>
        <v>28.623737999999999</v>
      </c>
      <c r="AR62" s="17">
        <v>1.56</v>
      </c>
      <c r="AS62" s="17"/>
      <c r="AT62" s="129">
        <f>AT61+AL62-AS62</f>
        <v>957.51999999999987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5">SUM(D60:D62)</f>
        <v>45720</v>
      </c>
      <c r="E63" s="49"/>
      <c r="F63" s="49">
        <f t="shared" ref="F63" si="596">SUM(F60:F62)</f>
        <v>49678</v>
      </c>
      <c r="G63" s="50"/>
      <c r="H63" s="50"/>
      <c r="I63" s="49">
        <f t="shared" ref="I63:K63" si="597">SUM(I60:I62)</f>
        <v>48344</v>
      </c>
      <c r="J63" s="50"/>
      <c r="K63" s="49">
        <f t="shared" si="597"/>
        <v>43793</v>
      </c>
      <c r="L63" s="20">
        <f t="shared" ref="L63" si="598">IF(K63&gt;0,(K60*L60+K61*L61+K62*L62)/K63,0)</f>
        <v>6.0663804717648942E-2</v>
      </c>
      <c r="M63" s="50">
        <f t="shared" ref="M63" si="599">M60+M61+M62</f>
        <v>41136</v>
      </c>
      <c r="N63" s="51">
        <f t="shared" ref="N63" si="600">IF(M63&gt;0,O63/M63,0)</f>
        <v>0.65887966744457405</v>
      </c>
      <c r="O63" s="52">
        <f t="shared" ref="O63" si="601">O60+O61+O62</f>
        <v>27103.673999999999</v>
      </c>
      <c r="P63" s="20">
        <f t="shared" ref="P63" si="602">IF(M63&gt;0,Q63/M63,0)</f>
        <v>0.2990659276546091</v>
      </c>
      <c r="Q63" s="52">
        <f t="shared" ref="Q63" si="603">Q60+Q61+Q62</f>
        <v>12302.376</v>
      </c>
      <c r="R63" s="20">
        <f t="shared" ref="R63" si="604">IF(M63&gt;0,T63/M63,0)</f>
        <v>4.2054404900816807E-2</v>
      </c>
      <c r="S63" s="107"/>
      <c r="T63" s="52">
        <f t="shared" ref="T63" si="605">T60+T61+T62</f>
        <v>1729.95</v>
      </c>
      <c r="U63" s="20">
        <f t="shared" ref="U63" si="606">IF(M63&gt;0,V63/M63,0)</f>
        <v>0.22667726565538704</v>
      </c>
      <c r="V63" s="52">
        <f t="shared" ref="V63" si="607">V60+V61+V62</f>
        <v>9324.5960000000014</v>
      </c>
      <c r="W63" s="20">
        <f t="shared" ref="W63" si="608">IF(M63&gt;0,X63/M63,0)</f>
        <v>0.48633143718397509</v>
      </c>
      <c r="X63" s="52">
        <f t="shared" ref="X63" si="609">X60+X61+X62</f>
        <v>20005.73</v>
      </c>
      <c r="Y63" s="20">
        <f t="shared" ref="Y63" si="610">IF(M63&gt;0,Z63/M63,0)</f>
        <v>0.42004813302217042</v>
      </c>
      <c r="Z63" s="52">
        <f t="shared" ref="Z63" si="611">Z60+Z61+Z62</f>
        <v>17279.100000000002</v>
      </c>
      <c r="AA63" s="119">
        <f t="shared" ref="AA63" si="612">IF(M63&gt;0,AB63/M63,0)</f>
        <v>2.3733236094904703E-3</v>
      </c>
      <c r="AB63" s="54">
        <f t="shared" ref="AB63" si="613">SUM(AB60:AB62)</f>
        <v>97.629039999999989</v>
      </c>
      <c r="AC63" s="53">
        <f t="shared" ref="AC63" si="614">IF(M63&gt;0,AD63/M63,0)</f>
        <v>2.2933114546868924E-3</v>
      </c>
      <c r="AD63" s="54">
        <f t="shared" ref="AD63" si="615">SUM(AD60:AD62)</f>
        <v>94.33766</v>
      </c>
      <c r="AE63" s="53">
        <f t="shared" ref="AE63" si="616">IF(M63&gt;0,(AE60*M60+AE61*M61+AE62*M62)/M63,0)</f>
        <v>2.2891397996888372E-3</v>
      </c>
      <c r="AF63" s="53">
        <f t="shared" ref="AF63" si="617">IF(K63&gt;0,(K60*AF60+K61*AF61+K62*AF62)/K63,0)</f>
        <v>1.7999634644806246E-4</v>
      </c>
      <c r="AG63" s="50">
        <f t="shared" ref="AG63" si="618">SUM(AG60:AG62)</f>
        <v>7.4037399999999991</v>
      </c>
      <c r="AH63" s="51">
        <f t="shared" ref="AH63" si="619">IF(K63&gt;0,(K60*AH60+K61*AH61+K62*AH62)/K63,0)</f>
        <v>0.20816933071495444</v>
      </c>
      <c r="AI63" s="56">
        <f t="shared" ref="AI63" si="620">SUM(AI60:AI62)</f>
        <v>83.752538900000005</v>
      </c>
      <c r="AJ63" s="51">
        <f t="shared" ref="AJ63" si="621">IF(AND(AD63&gt;0),((AD60*AJ60+AD61*AJ61+AD62*AJ62)/AD63),0)</f>
        <v>0.92231625938197626</v>
      </c>
      <c r="AK63" s="55">
        <f t="shared" si="6"/>
        <v>0.92213893079846598</v>
      </c>
      <c r="AL63" s="49">
        <f t="shared" ref="AL63" si="622">SUM(AL60:AL62)</f>
        <v>441</v>
      </c>
      <c r="AM63" s="20">
        <f t="shared" ref="AM63" si="623">IF(AL63&gt;0,(AM60*AL60+AM61*AL61+AM62*AL62)/AL63,0)</f>
        <v>8.8027210884353724E-2</v>
      </c>
      <c r="AN63" s="51">
        <f>IF(K63&gt;0,(AN60*K60+AN61*K61+AN62*K62)/K63,0)</f>
        <v>0.21570295937706938</v>
      </c>
      <c r="AO63" s="107">
        <f>IF(L63&gt;0,(AO60*K60+AO61*K61+AO62*K62)/K63,0)</f>
        <v>0.2204026488251547</v>
      </c>
      <c r="AP63" s="56">
        <f t="shared" ref="AP63" si="624">SUM(AP60:AP62)</f>
        <v>86.762314799999999</v>
      </c>
      <c r="AQ63" s="108">
        <f t="shared" si="580"/>
        <v>88.647523800000002</v>
      </c>
      <c r="AR63" s="54"/>
      <c r="AS63" s="54">
        <f t="shared" ref="AS63" si="625">SUM(AS60:AS62)</f>
        <v>1002.68</v>
      </c>
      <c r="AT63" s="83"/>
      <c r="AU63" s="84">
        <f>AT62</f>
        <v>957.51999999999987</v>
      </c>
      <c r="AV63" s="49">
        <f t="shared" ref="AV63" si="626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54</v>
      </c>
      <c r="D64" s="11">
        <v>6644</v>
      </c>
      <c r="E64" s="11">
        <v>3</v>
      </c>
      <c r="F64" s="11">
        <v>10990</v>
      </c>
      <c r="G64" s="12">
        <v>0.6</v>
      </c>
      <c r="H64" s="12">
        <v>6.2</v>
      </c>
      <c r="I64" s="11">
        <v>10978</v>
      </c>
      <c r="J64" s="12">
        <v>3.5</v>
      </c>
      <c r="K64" s="11">
        <v>15038</v>
      </c>
      <c r="L64" s="13">
        <v>6.6000000000000003E-2</v>
      </c>
      <c r="M64" s="23">
        <f>ROUND(K64*(1-L64),0)</f>
        <v>14045</v>
      </c>
      <c r="N64" s="14">
        <v>0.7</v>
      </c>
      <c r="O64" s="24">
        <f t="shared" ref="O64:O66" si="627">M64*N64</f>
        <v>9831.5</v>
      </c>
      <c r="P64" s="13">
        <v>0.26500000000000001</v>
      </c>
      <c r="Q64" s="24">
        <f t="shared" ref="Q64:Q66" si="628">M64*P64</f>
        <v>3721.9250000000002</v>
      </c>
      <c r="R64" s="15">
        <v>3.5000000000000003E-2</v>
      </c>
      <c r="S64" s="112">
        <v>0.25850000000000001</v>
      </c>
      <c r="T64" s="24">
        <f t="shared" ref="T64:T66" si="629">M64*R64</f>
        <v>491.57500000000005</v>
      </c>
      <c r="U64" s="25">
        <v>0.24399999999999999</v>
      </c>
      <c r="V64" s="24">
        <f t="shared" ref="V64:V66" si="630">M64*U64</f>
        <v>3426.98</v>
      </c>
      <c r="W64" s="15">
        <v>0.47499999999999998</v>
      </c>
      <c r="X64" s="24">
        <f t="shared" ref="X64:X66" si="631">M64*W64</f>
        <v>6671.375</v>
      </c>
      <c r="Y64" s="15">
        <v>0.43</v>
      </c>
      <c r="Z64" s="24">
        <f t="shared" ref="Z64:Z66" si="632">Y64*M64</f>
        <v>6039.3499999999995</v>
      </c>
      <c r="AA64" s="116">
        <v>2.3800000000000002E-3</v>
      </c>
      <c r="AB64" s="18">
        <f t="shared" ref="AB64" si="633">M64*AA64</f>
        <v>33.427100000000003</v>
      </c>
      <c r="AC64" s="16">
        <v>2.2899999999999999E-3</v>
      </c>
      <c r="AD64" s="17">
        <f t="shared" ref="AD64:AD66" si="634">M64*AC64</f>
        <v>32.163049999999998</v>
      </c>
      <c r="AE64" s="26">
        <f>IF(M64&gt;0,(AG64+AP64)/M64,0)</f>
        <v>2.2794445283018869E-3</v>
      </c>
      <c r="AF64" s="16">
        <v>2.2000000000000001E-4</v>
      </c>
      <c r="AG64" s="23">
        <f t="shared" ref="AG64:AG66" si="635">AF64*M64</f>
        <v>3.0899000000000001</v>
      </c>
      <c r="AH64" s="92">
        <v>0.2041</v>
      </c>
      <c r="AI64" s="29">
        <f t="shared" ref="AI64:AI66" si="636">AL64*(1-AM64)*AH64</f>
        <v>29.725940400000002</v>
      </c>
      <c r="AJ64" s="27">
        <f t="shared" ref="AJ64:AJ66" si="637">IF(AND(AH64&gt;0,AF64&gt;0,AC64&gt;0),((AC64-AF64)*AH64)/((AH64-AF64)*AC64),0)</f>
        <v>0.9049055313811617</v>
      </c>
      <c r="AK64" s="58">
        <f t="shared" si="6"/>
        <v>0.90448720781795489</v>
      </c>
      <c r="AL64" s="11">
        <v>159</v>
      </c>
      <c r="AM64" s="13">
        <v>8.4000000000000005E-2</v>
      </c>
      <c r="AN64" s="14">
        <v>0.1986</v>
      </c>
      <c r="AO64" s="101">
        <v>0.1993</v>
      </c>
      <c r="AP64" s="29">
        <f>AL64*(1-AM64)*AN64</f>
        <v>28.9248984</v>
      </c>
      <c r="AQ64" s="102">
        <f t="shared" ref="AQ64" si="638">AL64*(1-AM64)*AO64</f>
        <v>29.026849200000001</v>
      </c>
      <c r="AR64" s="18">
        <v>1.52</v>
      </c>
      <c r="AS64" s="18">
        <v>501.84</v>
      </c>
      <c r="AT64" s="79">
        <f>AT62+AL64-AS64-AS65+AU64</f>
        <v>614.1400000000001</v>
      </c>
      <c r="AU64" s="130">
        <v>-0.54</v>
      </c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59</v>
      </c>
      <c r="D65" s="33">
        <v>15200</v>
      </c>
      <c r="E65" s="33">
        <v>8</v>
      </c>
      <c r="F65" s="33">
        <v>17581</v>
      </c>
      <c r="G65" s="34">
        <v>0.7</v>
      </c>
      <c r="H65" s="34">
        <v>6.5</v>
      </c>
      <c r="I65" s="33">
        <v>17035</v>
      </c>
      <c r="J65" s="34">
        <v>3</v>
      </c>
      <c r="K65" s="33">
        <v>16642</v>
      </c>
      <c r="L65" s="35">
        <v>6.4000000000000001E-2</v>
      </c>
      <c r="M65" s="36">
        <f>ROUND(K65*(1-L65),0)</f>
        <v>15577</v>
      </c>
      <c r="N65" s="37">
        <v>0.78</v>
      </c>
      <c r="O65" s="24">
        <f t="shared" si="627"/>
        <v>12150.060000000001</v>
      </c>
      <c r="P65" s="35">
        <v>0.192</v>
      </c>
      <c r="Q65" s="24">
        <f t="shared" si="628"/>
        <v>2990.7840000000001</v>
      </c>
      <c r="R65" s="38">
        <v>2.8000000000000001E-2</v>
      </c>
      <c r="S65" s="105">
        <v>0.26640000000000003</v>
      </c>
      <c r="T65" s="24">
        <f t="shared" si="629"/>
        <v>436.15600000000001</v>
      </c>
      <c r="U65" s="27">
        <v>0.247</v>
      </c>
      <c r="V65" s="24">
        <f t="shared" si="630"/>
        <v>3847.5189999999998</v>
      </c>
      <c r="W65" s="38">
        <v>0.46899999999999997</v>
      </c>
      <c r="X65" s="24">
        <f t="shared" si="631"/>
        <v>7305.6129999999994</v>
      </c>
      <c r="Y65" s="38">
        <v>0.43</v>
      </c>
      <c r="Z65" s="24">
        <f t="shared" si="632"/>
        <v>6698.11</v>
      </c>
      <c r="AA65" s="117">
        <v>2.4199999999999998E-3</v>
      </c>
      <c r="AB65" s="18">
        <f t="shared" si="61"/>
        <v>37.696339999999999</v>
      </c>
      <c r="AC65" s="39">
        <v>2.4099999999999998E-3</v>
      </c>
      <c r="AD65" s="17">
        <f t="shared" si="634"/>
        <v>37.540569999999995</v>
      </c>
      <c r="AE65" s="26">
        <f>IF(M65&gt;0,(AG65+AP65)/M65,0)</f>
        <v>2.5251962252038265E-3</v>
      </c>
      <c r="AF65" s="39">
        <v>2.2000000000000001E-4</v>
      </c>
      <c r="AG65" s="36">
        <f t="shared" si="635"/>
        <v>3.4269400000000001</v>
      </c>
      <c r="AH65" s="27">
        <v>0.2112</v>
      </c>
      <c r="AI65" s="40">
        <f t="shared" si="636"/>
        <v>35.207884800000002</v>
      </c>
      <c r="AJ65" s="27">
        <f t="shared" si="637"/>
        <v>0.90966125675517806</v>
      </c>
      <c r="AK65" s="28">
        <f t="shared" si="6"/>
        <v>0.91381138402240547</v>
      </c>
      <c r="AL65" s="33">
        <v>184</v>
      </c>
      <c r="AM65" s="35">
        <v>9.4E-2</v>
      </c>
      <c r="AN65" s="37">
        <v>0.21540000000000001</v>
      </c>
      <c r="AO65" s="103">
        <v>0.2145</v>
      </c>
      <c r="AP65" s="40">
        <f>AL65*(1-AM65)*AN65</f>
        <v>35.908041600000004</v>
      </c>
      <c r="AQ65" s="104">
        <f t="shared" si="21"/>
        <v>35.758008000000004</v>
      </c>
      <c r="AR65" s="41">
        <v>1.6</v>
      </c>
      <c r="AS65" s="41"/>
      <c r="AT65" s="129">
        <f>AT64+AL65-AS65</f>
        <v>798.1400000000001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0" t="s">
        <v>53</v>
      </c>
      <c r="D66" s="42">
        <v>17800</v>
      </c>
      <c r="E66" s="42">
        <v>6</v>
      </c>
      <c r="F66" s="42">
        <v>18128</v>
      </c>
      <c r="G66" s="36">
        <v>0.2</v>
      </c>
      <c r="H66" s="36">
        <v>3.7</v>
      </c>
      <c r="I66" s="42">
        <v>17991</v>
      </c>
      <c r="J66" s="36">
        <v>2</v>
      </c>
      <c r="K66" s="42">
        <v>16756</v>
      </c>
      <c r="L66" s="38">
        <v>6.4000000000000001E-2</v>
      </c>
      <c r="M66" s="36">
        <f>ROUND(K66*(1-L66),0)</f>
        <v>15684</v>
      </c>
      <c r="N66" s="27">
        <v>0.64200000000000002</v>
      </c>
      <c r="O66" s="24">
        <f t="shared" si="627"/>
        <v>10069.128000000001</v>
      </c>
      <c r="P66" s="38">
        <v>0.34</v>
      </c>
      <c r="Q66" s="24">
        <f t="shared" si="628"/>
        <v>5332.56</v>
      </c>
      <c r="R66" s="38">
        <v>1.7999999999999999E-2</v>
      </c>
      <c r="S66" s="105">
        <v>0.25459999999999999</v>
      </c>
      <c r="T66" s="24">
        <f t="shared" si="629"/>
        <v>282.31199999999995</v>
      </c>
      <c r="U66" s="27">
        <v>0.26400000000000001</v>
      </c>
      <c r="V66" s="24">
        <f t="shared" si="630"/>
        <v>4140.576</v>
      </c>
      <c r="W66" s="38">
        <v>0.46400000000000002</v>
      </c>
      <c r="X66" s="24">
        <f t="shared" si="631"/>
        <v>7277.3760000000002</v>
      </c>
      <c r="Y66" s="38">
        <v>0.43</v>
      </c>
      <c r="Z66" s="24">
        <f t="shared" si="632"/>
        <v>6744.12</v>
      </c>
      <c r="AA66" s="118">
        <v>2.31E-3</v>
      </c>
      <c r="AB66" s="121">
        <f t="shared" si="61"/>
        <v>36.230040000000002</v>
      </c>
      <c r="AC66" s="45">
        <v>2.2599999999999999E-3</v>
      </c>
      <c r="AD66" s="17">
        <f t="shared" si="634"/>
        <v>35.445839999999997</v>
      </c>
      <c r="AE66" s="26">
        <f>IF(M66&gt;0,(AG66+AP66)/M66,0)</f>
        <v>2.1923092004590668E-3</v>
      </c>
      <c r="AF66" s="45">
        <v>2.4000000000000001E-4</v>
      </c>
      <c r="AG66" s="36">
        <f t="shared" si="635"/>
        <v>3.76416</v>
      </c>
      <c r="AH66" s="27">
        <v>0.2039</v>
      </c>
      <c r="AI66" s="40">
        <f t="shared" si="636"/>
        <v>28.918117500000005</v>
      </c>
      <c r="AJ66" s="27">
        <f t="shared" si="637"/>
        <v>0.89485860087826385</v>
      </c>
      <c r="AK66" s="28">
        <f t="shared" si="6"/>
        <v>0.89151742482789753</v>
      </c>
      <c r="AL66" s="42">
        <v>155</v>
      </c>
      <c r="AM66" s="38">
        <v>8.5000000000000006E-2</v>
      </c>
      <c r="AN66" s="27">
        <v>0.21590000000000001</v>
      </c>
      <c r="AO66" s="105">
        <v>0.21970000000000001</v>
      </c>
      <c r="AP66" s="40">
        <f>AL66*(1-AM66)*AN66</f>
        <v>30.620017500000007</v>
      </c>
      <c r="AQ66" s="106">
        <f t="shared" si="21"/>
        <v>31.158952500000005</v>
      </c>
      <c r="AR66" s="17">
        <v>1.5</v>
      </c>
      <c r="AS66" s="17"/>
      <c r="AT66" s="129">
        <f>AT65+AL66-AS66</f>
        <v>953.1400000000001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39">SUM(D64:D66)</f>
        <v>39644</v>
      </c>
      <c r="E67" s="49"/>
      <c r="F67" s="49">
        <f t="shared" ref="F67" si="640">SUM(F64:F66)</f>
        <v>46699</v>
      </c>
      <c r="G67" s="50"/>
      <c r="H67" s="50"/>
      <c r="I67" s="49">
        <f t="shared" ref="I67:K67" si="641">SUM(I64:I66)</f>
        <v>46004</v>
      </c>
      <c r="J67" s="50"/>
      <c r="K67" s="49">
        <f t="shared" si="641"/>
        <v>48436</v>
      </c>
      <c r="L67" s="20">
        <f t="shared" ref="L67" si="642">IF(K67&gt;0,(K64*L64+K65*L65+K66*L66)/K67,0)</f>
        <v>6.4620943100173425E-2</v>
      </c>
      <c r="M67" s="50">
        <f t="shared" ref="M67" si="643">M64+M65+M66</f>
        <v>45306</v>
      </c>
      <c r="N67" s="51">
        <f t="shared" ref="N67" si="644">IF(M67&gt;0,O67/M67,0)</f>
        <v>0.70742700746038056</v>
      </c>
      <c r="O67" s="52">
        <f t="shared" ref="O67" si="645">O64+O65+O66</f>
        <v>32050.688000000002</v>
      </c>
      <c r="P67" s="20">
        <f t="shared" ref="P67" si="646">IF(M67&gt;0,Q67/M67,0)</f>
        <v>0.26586476404891185</v>
      </c>
      <c r="Q67" s="52">
        <f t="shared" ref="Q67" si="647">Q64+Q65+Q66</f>
        <v>12045.269</v>
      </c>
      <c r="R67" s="20">
        <f t="shared" ref="R67" si="648">IF(M67&gt;0,T67/M67,0)</f>
        <v>2.6708228490707631E-2</v>
      </c>
      <c r="S67" s="107"/>
      <c r="T67" s="52">
        <f t="shared" ref="T67" si="649">T64+T65+T66</f>
        <v>1210.0429999999999</v>
      </c>
      <c r="U67" s="20">
        <f t="shared" ref="U67" si="650">IF(M67&gt;0,V67/M67,0)</f>
        <v>0.25195503906767319</v>
      </c>
      <c r="V67" s="52">
        <f t="shared" ref="V67" si="651">V64+V65+V66</f>
        <v>11415.075000000001</v>
      </c>
      <c r="W67" s="20">
        <f t="shared" ref="W67" si="652">IF(M67&gt;0,X67/M67,0)</f>
        <v>0.46912912197059997</v>
      </c>
      <c r="X67" s="52">
        <f t="shared" ref="X67" si="653">X64+X65+X66</f>
        <v>21254.364000000001</v>
      </c>
      <c r="Y67" s="20">
        <f t="shared" ref="Y67" si="654">IF(M67&gt;0,Z67/M67,0)</f>
        <v>0.42999999999999994</v>
      </c>
      <c r="Z67" s="52">
        <f t="shared" ref="Z67" si="655">Z64+Z65+Z66</f>
        <v>19481.579999999998</v>
      </c>
      <c r="AA67" s="119">
        <f t="shared" ref="AA67" si="656">IF(M67&gt;0,AB67/M67,0)</f>
        <v>2.3695201518562662E-3</v>
      </c>
      <c r="AB67" s="54">
        <f t="shared" ref="AB67" si="657">SUM(AB64:AB66)</f>
        <v>107.35348</v>
      </c>
      <c r="AC67" s="53">
        <f t="shared" ref="AC67" si="658">IF(M67&gt;0,AD67/M67,0)</f>
        <v>2.3208727320884652E-3</v>
      </c>
      <c r="AD67" s="54">
        <f t="shared" ref="AD67" si="659">SUM(AD64:AD66)</f>
        <v>105.14946</v>
      </c>
      <c r="AE67" s="53">
        <f t="shared" ref="AE67" si="660">IF(M67&gt;0,(AE64*M64+AE65*M65+AE66*M66)/M67,0)</f>
        <v>2.3337738379022649E-3</v>
      </c>
      <c r="AF67" s="53">
        <f t="shared" ref="AF67" si="661">IF(K67&gt;0,(K64*AF64+K65*AF65+K66*AF66)/K67,0)</f>
        <v>2.269188207118672E-4</v>
      </c>
      <c r="AG67" s="50">
        <f t="shared" ref="AG67" si="662">SUM(AG64:AG66)</f>
        <v>10.281000000000001</v>
      </c>
      <c r="AH67" s="51">
        <f t="shared" ref="AH67" si="663">IF(K67&gt;0,(K64*AH64+K65*AH65+K66*AH66)/K67,0)</f>
        <v>0.20647028243455282</v>
      </c>
      <c r="AI67" s="56">
        <f t="shared" ref="AI67" si="664">SUM(AI64:AI66)</f>
        <v>93.851942700000009</v>
      </c>
      <c r="AJ67" s="51">
        <f t="shared" ref="AJ67" si="665">IF(AND(AD67&gt;0),((AD64*AJ64+AD65*AJ65+AD66*AJ66)/AD67),0)</f>
        <v>0.90321660925267133</v>
      </c>
      <c r="AK67" s="55">
        <f t="shared" si="6"/>
        <v>0.90374232866436344</v>
      </c>
      <c r="AL67" s="49">
        <f t="shared" ref="AL67" si="666">SUM(AL64:AL66)</f>
        <v>498</v>
      </c>
      <c r="AM67" s="20">
        <f t="shared" ref="AM67" si="667">IF(AL67&gt;0,(AM64*AL64+AM65*AL65+AM66*AL66)/AL67,0)</f>
        <v>8.8006024096385541E-2</v>
      </c>
      <c r="AN67" s="51">
        <f>IF(K67&gt;0,(AN64*K64+AN65*K65+AN66*K66)/K67,0)</f>
        <v>0.2103570484763399</v>
      </c>
      <c r="AO67" s="107">
        <f>IF(L67&gt;0,(AO64*K64+AO65*K65+AO66*K66)/K67,0)</f>
        <v>0.21157972582376744</v>
      </c>
      <c r="AP67" s="56">
        <f t="shared" ref="AP67" si="668">SUM(AP64:AP66)</f>
        <v>95.452957500000011</v>
      </c>
      <c r="AQ67" s="108">
        <f t="shared" si="580"/>
        <v>95.943809700000003</v>
      </c>
      <c r="AR67" s="54"/>
      <c r="AS67" s="54">
        <f t="shared" ref="AS67" si="669">SUM(AS64:AS66)</f>
        <v>501.84</v>
      </c>
      <c r="AT67" s="83"/>
      <c r="AU67" s="84">
        <f>AT66</f>
        <v>953.1400000000001</v>
      </c>
      <c r="AV67" s="49">
        <f t="shared" ref="AV67" si="670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54</v>
      </c>
      <c r="D68" s="11">
        <v>5164</v>
      </c>
      <c r="E68" s="11">
        <v>6</v>
      </c>
      <c r="F68" s="11">
        <v>13984</v>
      </c>
      <c r="G68" s="12">
        <v>0.7</v>
      </c>
      <c r="H68" s="12">
        <v>6.4</v>
      </c>
      <c r="I68" s="11">
        <v>13755</v>
      </c>
      <c r="J68" s="12">
        <v>3.7</v>
      </c>
      <c r="K68" s="11">
        <v>16819</v>
      </c>
      <c r="L68" s="13">
        <v>6.7000000000000004E-2</v>
      </c>
      <c r="M68" s="23">
        <f>ROUND(K68*(1-L68),0)</f>
        <v>15692</v>
      </c>
      <c r="N68" s="14">
        <v>0.68300000000000005</v>
      </c>
      <c r="O68" s="24">
        <f t="shared" ref="O68:O70" si="671">M68*N68</f>
        <v>10717.636</v>
      </c>
      <c r="P68" s="13">
        <v>0.3</v>
      </c>
      <c r="Q68" s="24">
        <f t="shared" ref="Q68:Q70" si="672">M68*P68</f>
        <v>4707.5999999999995</v>
      </c>
      <c r="R68" s="15">
        <v>1.7000000000000001E-2</v>
      </c>
      <c r="S68" s="112">
        <v>0.24579999999999999</v>
      </c>
      <c r="T68" s="24">
        <f t="shared" ref="T68:T70" si="673">M68*R68</f>
        <v>266.76400000000001</v>
      </c>
      <c r="U68" s="25">
        <v>0.252</v>
      </c>
      <c r="V68" s="24">
        <f t="shared" ref="V68:V70" si="674">M68*U68</f>
        <v>3954.384</v>
      </c>
      <c r="W68" s="15">
        <v>0.47399999999999998</v>
      </c>
      <c r="X68" s="24">
        <f t="shared" ref="X68:X70" si="675">M68*W68</f>
        <v>7438.0079999999998</v>
      </c>
      <c r="Y68" s="15">
        <v>0.43</v>
      </c>
      <c r="Z68" s="24">
        <f t="shared" ref="Z68:Z70" si="676">Y68*M68</f>
        <v>6747.5599999999995</v>
      </c>
      <c r="AA68" s="116">
        <v>2.3900000000000002E-3</v>
      </c>
      <c r="AB68" s="18">
        <f t="shared" ref="AB68" si="677">M68*AA68</f>
        <v>37.503880000000002</v>
      </c>
      <c r="AC68" s="16">
        <v>2.5300000000000001E-3</v>
      </c>
      <c r="AD68" s="17">
        <f t="shared" ref="AD68:AD70" si="678">M68*AC68</f>
        <v>39.700760000000002</v>
      </c>
      <c r="AE68" s="26">
        <f>IF(M68&gt;0,(AG68+AP68)/M68,0)</f>
        <v>2.4124087942900842E-3</v>
      </c>
      <c r="AF68" s="16">
        <v>2.7999999999999998E-4</v>
      </c>
      <c r="AG68" s="23">
        <f t="shared" ref="AG68:AG70" si="679">AF68*M68</f>
        <v>4.3937599999999994</v>
      </c>
      <c r="AH68" s="92">
        <v>0.21179999999999999</v>
      </c>
      <c r="AI68" s="29">
        <f t="shared" ref="AI68:AI70" si="680">AL68*(1-AM68)*AH68</f>
        <v>32.994415799999999</v>
      </c>
      <c r="AJ68" s="27">
        <f t="shared" ref="AJ68:AJ70" si="681">IF(AND(AH68&gt;0,AF68&gt;0,AC68&gt;0),((AC68-AF68)*AH68)/((AH68-AF68)*AC68),0)</f>
        <v>0.89050531294660751</v>
      </c>
      <c r="AK68" s="58">
        <f t="shared" ref="AK68:AK131" si="682">IF(AND(AE68&gt;0,AN68&gt;0,AF68&gt;0),((AN68*(AE68-AF68))/(AE68*(AN68-AF68))),0)</f>
        <v>0.88508718081096927</v>
      </c>
      <c r="AL68" s="11">
        <v>171</v>
      </c>
      <c r="AM68" s="13">
        <v>8.8999999999999996E-2</v>
      </c>
      <c r="AN68" s="14">
        <v>0.21479999999999999</v>
      </c>
      <c r="AO68" s="101">
        <v>0.2225</v>
      </c>
      <c r="AP68" s="29">
        <f>AL68*(1-AM68)*AN68</f>
        <v>33.461758799999998</v>
      </c>
      <c r="AQ68" s="102">
        <f t="shared" ref="AQ68" si="683">AL68*(1-AM68)*AO68</f>
        <v>34.661272500000003</v>
      </c>
      <c r="AR68" s="18">
        <v>1.58</v>
      </c>
      <c r="AS68" s="18">
        <v>1005.54</v>
      </c>
      <c r="AT68" s="79">
        <f>AT66+AL68-AS68+AU68</f>
        <v>127.66000000000014</v>
      </c>
      <c r="AU68" s="80">
        <v>9.06</v>
      </c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59</v>
      </c>
      <c r="D69" s="33">
        <v>16332</v>
      </c>
      <c r="E69" s="33">
        <v>7</v>
      </c>
      <c r="F69" s="33">
        <v>16318</v>
      </c>
      <c r="G69" s="34">
        <v>0.5</v>
      </c>
      <c r="H69" s="34">
        <v>5.6</v>
      </c>
      <c r="I69" s="33">
        <v>15674</v>
      </c>
      <c r="J69" s="34">
        <v>3.6</v>
      </c>
      <c r="K69" s="33">
        <v>16819</v>
      </c>
      <c r="L69" s="35">
        <v>6.8000000000000005E-2</v>
      </c>
      <c r="M69" s="36">
        <f>ROUND(K69*(1-L69),0)</f>
        <v>15675</v>
      </c>
      <c r="N69" s="37">
        <v>0.69599999999999995</v>
      </c>
      <c r="O69" s="24">
        <f t="shared" si="671"/>
        <v>10909.8</v>
      </c>
      <c r="P69" s="35">
        <v>0.27800000000000002</v>
      </c>
      <c r="Q69" s="24">
        <f t="shared" si="672"/>
        <v>4357.6500000000005</v>
      </c>
      <c r="R69" s="38">
        <v>2.5999999999999999E-2</v>
      </c>
      <c r="S69" s="105">
        <v>0.2581</v>
      </c>
      <c r="T69" s="24">
        <f t="shared" si="673"/>
        <v>407.54999999999995</v>
      </c>
      <c r="U69" s="27">
        <v>0.249</v>
      </c>
      <c r="V69" s="24">
        <f t="shared" si="674"/>
        <v>3903.0749999999998</v>
      </c>
      <c r="W69" s="38">
        <v>0.46899999999999997</v>
      </c>
      <c r="X69" s="24">
        <f t="shared" si="675"/>
        <v>7351.5749999999998</v>
      </c>
      <c r="Y69" s="38">
        <v>0.45</v>
      </c>
      <c r="Z69" s="24">
        <f t="shared" si="676"/>
        <v>7053.75</v>
      </c>
      <c r="AA69" s="117">
        <v>2.5000000000000001E-3</v>
      </c>
      <c r="AB69" s="18">
        <f t="shared" si="61"/>
        <v>39.1875</v>
      </c>
      <c r="AC69" s="39">
        <v>2.5799999999999998E-3</v>
      </c>
      <c r="AD69" s="17">
        <f t="shared" si="678"/>
        <v>40.441499999999998</v>
      </c>
      <c r="AE69" s="26">
        <f>IF(M69&gt;0,(AG69+AP69)/M69,0)</f>
        <v>2.5666660542264753E-3</v>
      </c>
      <c r="AF69" s="39">
        <v>2.5000000000000001E-4</v>
      </c>
      <c r="AG69" s="36">
        <f t="shared" si="679"/>
        <v>3.9187500000000002</v>
      </c>
      <c r="AH69" s="27">
        <v>0.20830000000000001</v>
      </c>
      <c r="AI69" s="40">
        <f t="shared" si="680"/>
        <v>34.195986099999999</v>
      </c>
      <c r="AJ69" s="27">
        <f t="shared" si="681"/>
        <v>0.90418597199167605</v>
      </c>
      <c r="AK69" s="28">
        <f t="shared" si="682"/>
        <v>0.90361864817161042</v>
      </c>
      <c r="AL69" s="33">
        <v>181</v>
      </c>
      <c r="AM69" s="35">
        <v>9.2999999999999999E-2</v>
      </c>
      <c r="AN69" s="37">
        <v>0.22120000000000001</v>
      </c>
      <c r="AO69" s="103">
        <v>0.22819999999999999</v>
      </c>
      <c r="AP69" s="40">
        <f>AL69*(1-AM69)*AN69</f>
        <v>36.3137404</v>
      </c>
      <c r="AQ69" s="104">
        <f t="shared" si="21"/>
        <v>37.462909400000001</v>
      </c>
      <c r="AR69" s="41">
        <v>1.55</v>
      </c>
      <c r="AS69" s="41"/>
      <c r="AT69" s="129">
        <f>AT68+AL69-AS69</f>
        <v>308.66000000000014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53</v>
      </c>
      <c r="D70" s="42">
        <v>19000</v>
      </c>
      <c r="E70" s="42">
        <v>12</v>
      </c>
      <c r="F70" s="42">
        <v>19279</v>
      </c>
      <c r="G70" s="36">
        <v>0.4</v>
      </c>
      <c r="H70" s="36">
        <v>4.0999999999999996</v>
      </c>
      <c r="I70" s="42">
        <v>19149</v>
      </c>
      <c r="J70" s="36">
        <v>2</v>
      </c>
      <c r="K70" s="42">
        <v>16783</v>
      </c>
      <c r="L70" s="38">
        <v>7.0999999999999994E-2</v>
      </c>
      <c r="M70" s="36">
        <f>ROUND(K70*(1-L70),0)</f>
        <v>15591</v>
      </c>
      <c r="N70" s="27">
        <v>0.59799999999999998</v>
      </c>
      <c r="O70" s="24">
        <f t="shared" si="671"/>
        <v>9323.4179999999997</v>
      </c>
      <c r="P70" s="38">
        <v>0.36399999999999999</v>
      </c>
      <c r="Q70" s="24">
        <f t="shared" si="672"/>
        <v>5675.1239999999998</v>
      </c>
      <c r="R70" s="38">
        <v>3.7999999999999999E-2</v>
      </c>
      <c r="S70" s="105"/>
      <c r="T70" s="24">
        <f t="shared" si="673"/>
        <v>592.45799999999997</v>
      </c>
      <c r="U70" s="27">
        <v>0.249</v>
      </c>
      <c r="V70" s="24">
        <f t="shared" si="674"/>
        <v>3882.1590000000001</v>
      </c>
      <c r="W70" s="38">
        <v>0.47</v>
      </c>
      <c r="X70" s="24">
        <f t="shared" si="675"/>
        <v>7327.7699999999995</v>
      </c>
      <c r="Y70" s="38">
        <v>0.44</v>
      </c>
      <c r="Z70" s="24">
        <f t="shared" si="676"/>
        <v>6860.04</v>
      </c>
      <c r="AA70" s="118">
        <v>2.6700000000000001E-3</v>
      </c>
      <c r="AB70" s="121">
        <f t="shared" si="61"/>
        <v>41.627969999999998</v>
      </c>
      <c r="AC70" s="45">
        <v>2.7699999999999999E-3</v>
      </c>
      <c r="AD70" s="17">
        <f t="shared" si="678"/>
        <v>43.187069999999999</v>
      </c>
      <c r="AE70" s="26">
        <f>IF(M70&gt;0,(AG70+AP70)/M70,0)</f>
        <v>2.7927873773330772E-3</v>
      </c>
      <c r="AF70" s="45">
        <v>2.5999999999999998E-4</v>
      </c>
      <c r="AG70" s="36">
        <f t="shared" si="679"/>
        <v>4.0536599999999998</v>
      </c>
      <c r="AH70" s="27">
        <v>0.20810000000000001</v>
      </c>
      <c r="AI70" s="40">
        <f t="shared" si="680"/>
        <v>36.296802000000007</v>
      </c>
      <c r="AJ70" s="27">
        <f t="shared" si="681"/>
        <v>0.90727072755215776</v>
      </c>
      <c r="AK70" s="28">
        <f t="shared" si="682"/>
        <v>0.90794573915369259</v>
      </c>
      <c r="AL70" s="42">
        <v>190</v>
      </c>
      <c r="AM70" s="38">
        <v>8.2000000000000003E-2</v>
      </c>
      <c r="AN70" s="27">
        <v>0.22639999999999999</v>
      </c>
      <c r="AO70" s="105">
        <v>0.23069999999999999</v>
      </c>
      <c r="AP70" s="40">
        <f>AL70*(1-AM70)*AN70</f>
        <v>39.488688000000003</v>
      </c>
      <c r="AQ70" s="106">
        <f t="shared" si="21"/>
        <v>40.238694000000002</v>
      </c>
      <c r="AR70" s="17">
        <v>1.6</v>
      </c>
      <c r="AS70" s="17"/>
      <c r="AT70" s="129">
        <f>AT69+AL70-AS70</f>
        <v>498.66000000000014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4">SUM(D68:D70)</f>
        <v>40496</v>
      </c>
      <c r="E71" s="49"/>
      <c r="F71" s="49">
        <f t="shared" ref="F71" si="685">SUM(F68:F70)</f>
        <v>49581</v>
      </c>
      <c r="G71" s="50"/>
      <c r="H71" s="50"/>
      <c r="I71" s="49">
        <f t="shared" ref="I71:K71" si="686">SUM(I68:I70)</f>
        <v>48578</v>
      </c>
      <c r="J71" s="50"/>
      <c r="K71" s="49">
        <f t="shared" si="686"/>
        <v>50421</v>
      </c>
      <c r="L71" s="20">
        <f t="shared" ref="L71" si="687">IF(K71&gt;0,(K68*L68+K69*L69+K70*L70)/K71,0)</f>
        <v>6.8665000694155209E-2</v>
      </c>
      <c r="M71" s="50">
        <f t="shared" ref="M71" si="688">M68+M69+M70</f>
        <v>46958</v>
      </c>
      <c r="N71" s="51">
        <f t="shared" ref="N71" si="689">IF(M71&gt;0,O71/M71,0)</f>
        <v>0.65911780740235959</v>
      </c>
      <c r="O71" s="52">
        <f t="shared" ref="O71" si="690">O68+O69+O70</f>
        <v>30950.853999999999</v>
      </c>
      <c r="P71" s="20">
        <f t="shared" ref="P71" si="691">IF(M71&gt;0,Q71/M71,0)</f>
        <v>0.31390549001235146</v>
      </c>
      <c r="Q71" s="52">
        <f t="shared" ref="Q71" si="692">Q68+Q69+Q70</f>
        <v>14740.374</v>
      </c>
      <c r="R71" s="20">
        <f t="shared" ref="R71" si="693">IF(M71&gt;0,T71/M71,0)</f>
        <v>2.6976702585288979E-2</v>
      </c>
      <c r="S71" s="107"/>
      <c r="T71" s="52">
        <f t="shared" ref="T71" si="694">T68+T69+T70</f>
        <v>1266.7719999999999</v>
      </c>
      <c r="U71" s="20">
        <f t="shared" ref="U71" si="695">IF(M71&gt;0,V71/M71,0)</f>
        <v>0.25000251288385367</v>
      </c>
      <c r="V71" s="52">
        <f t="shared" ref="V71" si="696">V68+V69+V70</f>
        <v>11739.618</v>
      </c>
      <c r="W71" s="20">
        <f t="shared" ref="W71" si="697">IF(M71&gt;0,X71/M71,0)</f>
        <v>0.47100287490949355</v>
      </c>
      <c r="X71" s="52">
        <f t="shared" ref="X71" si="698">X68+X69+X70</f>
        <v>22117.352999999999</v>
      </c>
      <c r="Y71" s="20">
        <f t="shared" ref="Y71" si="699">IF(M71&gt;0,Z71/M71,0)</f>
        <v>0.43999637974360062</v>
      </c>
      <c r="Z71" s="52">
        <f t="shared" ref="Z71" si="700">Z68+Z69+Z70</f>
        <v>20661.349999999999</v>
      </c>
      <c r="AA71" s="119">
        <f t="shared" ref="AA71" si="701">IF(M71&gt;0,AB71/M71,0)</f>
        <v>2.5196846117807405E-3</v>
      </c>
      <c r="AB71" s="54">
        <f t="shared" ref="AB71" si="702">SUM(AB68:AB70)</f>
        <v>118.31935000000001</v>
      </c>
      <c r="AC71" s="53">
        <f t="shared" ref="AC71" si="703">IF(M71&gt;0,AD71/M71,0)</f>
        <v>2.6263752715192301E-3</v>
      </c>
      <c r="AD71" s="54">
        <f t="shared" ref="AD71" si="704">SUM(AD68:AD70)</f>
        <v>123.32933</v>
      </c>
      <c r="AE71" s="53">
        <f t="shared" ref="AE71" si="705">IF(M71&gt;0,(AE68*M68+AE69*M69+AE70*M70)/M71,0)</f>
        <v>2.5901945823927765E-3</v>
      </c>
      <c r="AF71" s="53">
        <f t="shared" ref="AF71" si="706">IF(K71&gt;0,(K68*AF68+K69*AF69+K70*AF70)/K71,0)</f>
        <v>2.6333571329406396E-4</v>
      </c>
      <c r="AG71" s="50">
        <f t="shared" ref="AG71" si="707">SUM(AG68:AG70)</f>
        <v>12.36617</v>
      </c>
      <c r="AH71" s="51">
        <f t="shared" ref="AH71" si="708">IF(K71&gt;0,(K68*AH68+K69*AH69+K70*AH70)/K71,0)</f>
        <v>0.20940092818468495</v>
      </c>
      <c r="AI71" s="56">
        <f t="shared" ref="AI71" si="709">SUM(AI68:AI70)</f>
        <v>103.4872039</v>
      </c>
      <c r="AJ71" s="51">
        <f t="shared" ref="AJ71" si="710">IF(AND(AD71&gt;0),((AD68*AJ68+AD69*AJ69+AD70*AJ70)/AD71),0)</f>
        <v>0.90086226134582492</v>
      </c>
      <c r="AK71" s="55">
        <f t="shared" si="682"/>
        <v>0.89940630807735167</v>
      </c>
      <c r="AL71" s="49">
        <f t="shared" ref="AL71" si="711">SUM(AL68:AL70)</f>
        <v>542</v>
      </c>
      <c r="AM71" s="20">
        <f t="shared" ref="AM71" si="712">IF(AL71&gt;0,(AM68*AL68+AM69*AL69+AM70*AL70)/AL71,0)</f>
        <v>8.7881918819188193E-2</v>
      </c>
      <c r="AN71" s="51">
        <f>IF(K71&gt;0,(AN68*K68+AN69*K69+AN70*K70)/K71,0)</f>
        <v>0.22079600166597249</v>
      </c>
      <c r="AO71" s="107">
        <f>IF(L71&gt;0,(AO68*K68+AO69*K69+AO70*K70)/K71,0)</f>
        <v>0.22713078677535156</v>
      </c>
      <c r="AP71" s="56">
        <f t="shared" ref="AP71" si="713">SUM(AP68:AP70)</f>
        <v>109.26418720000001</v>
      </c>
      <c r="AQ71" s="108">
        <f t="shared" si="580"/>
        <v>112.36287590000001</v>
      </c>
      <c r="AR71" s="54"/>
      <c r="AS71" s="54">
        <f t="shared" ref="AS71" si="714">SUM(AS68:AS70)</f>
        <v>1005.54</v>
      </c>
      <c r="AT71" s="83"/>
      <c r="AU71" s="84">
        <f>AT70</f>
        <v>498.66000000000014</v>
      </c>
      <c r="AV71" s="49">
        <f t="shared" ref="AV71" si="715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54</v>
      </c>
      <c r="D72" s="11">
        <v>1288</v>
      </c>
      <c r="E72" s="11">
        <v>12</v>
      </c>
      <c r="F72" s="11">
        <v>11102</v>
      </c>
      <c r="G72" s="12">
        <v>0.5</v>
      </c>
      <c r="H72" s="12">
        <v>4.7</v>
      </c>
      <c r="I72" s="11">
        <v>10270</v>
      </c>
      <c r="J72" s="131">
        <v>5.4</v>
      </c>
      <c r="K72" s="11">
        <v>16572</v>
      </c>
      <c r="L72" s="13">
        <v>6.5000000000000002E-2</v>
      </c>
      <c r="M72" s="23">
        <f>ROUND(K72*(1-L72),0)</f>
        <v>15495</v>
      </c>
      <c r="N72" s="14">
        <v>0.58599999999999997</v>
      </c>
      <c r="O72" s="24">
        <f t="shared" ref="O72:O74" si="716">M72*N72</f>
        <v>9080.07</v>
      </c>
      <c r="P72" s="13">
        <v>0.371</v>
      </c>
      <c r="Q72" s="24">
        <f t="shared" ref="Q72:Q74" si="717">M72*P72</f>
        <v>5748.6449999999995</v>
      </c>
      <c r="R72" s="15">
        <v>4.2999999999999997E-2</v>
      </c>
      <c r="S72" s="112"/>
      <c r="T72" s="24">
        <f t="shared" ref="T72:T74" si="718">M72*R72</f>
        <v>666.28499999999997</v>
      </c>
      <c r="U72" s="25">
        <v>0.25</v>
      </c>
      <c r="V72" s="24">
        <f t="shared" ref="V72:V74" si="719">M72*U72</f>
        <v>3873.75</v>
      </c>
      <c r="W72" s="15">
        <v>0.497</v>
      </c>
      <c r="X72" s="24">
        <f t="shared" ref="X72:X74" si="720">M72*W72</f>
        <v>7701.0150000000003</v>
      </c>
      <c r="Y72" s="15">
        <v>0.43</v>
      </c>
      <c r="Z72" s="24">
        <f t="shared" ref="Z72:Z74" si="721">Y72*M72</f>
        <v>6662.8499999999995</v>
      </c>
      <c r="AA72" s="116">
        <v>2.65E-3</v>
      </c>
      <c r="AB72" s="18">
        <f t="shared" ref="AB72" si="722">M72*AA72</f>
        <v>41.061750000000004</v>
      </c>
      <c r="AC72" s="16">
        <v>2.5999999999999999E-3</v>
      </c>
      <c r="AD72" s="17">
        <f t="shared" ref="AD72:AD74" si="723">M72*AC72</f>
        <v>40.286999999999999</v>
      </c>
      <c r="AE72" s="26">
        <f>IF(M72&gt;0,(AG72+AP72)/M72,0)</f>
        <v>2.7830646272991289E-3</v>
      </c>
      <c r="AF72" s="16">
        <v>2.5999999999999998E-4</v>
      </c>
      <c r="AG72" s="23">
        <f t="shared" ref="AG72:AG74" si="724">AF72*M72</f>
        <v>4.0286999999999997</v>
      </c>
      <c r="AH72" s="92">
        <v>0.20760000000000001</v>
      </c>
      <c r="AI72" s="29">
        <f t="shared" ref="AI72:AI74" si="725">AL72*(1-AM72)*AH72</f>
        <v>37.298246400000004</v>
      </c>
      <c r="AJ72" s="27">
        <f t="shared" ref="AJ72:AJ74" si="726">IF(AND(AH72&gt;0,AF72&gt;0,AC72&gt;0),((AC72-AF72)*AH72)/((AH72-AF72)*AC72),0)</f>
        <v>0.90112858107456351</v>
      </c>
      <c r="AK72" s="58">
        <f t="shared" si="682"/>
        <v>0.9076623302718968</v>
      </c>
      <c r="AL72" s="11">
        <v>197</v>
      </c>
      <c r="AM72" s="13">
        <v>8.7999999999999995E-2</v>
      </c>
      <c r="AN72" s="14">
        <v>0.21759999999999999</v>
      </c>
      <c r="AO72" s="101">
        <v>0.22090000000000001</v>
      </c>
      <c r="AP72" s="29">
        <f>AL72*(1-AM72)*AN72</f>
        <v>39.0948864</v>
      </c>
      <c r="AQ72" s="102">
        <f t="shared" ref="AQ72:AQ123" si="727">AL72*(1-AM72)*AO72</f>
        <v>39.687777600000004</v>
      </c>
      <c r="AR72" s="18">
        <v>1.6</v>
      </c>
      <c r="AS72" s="18">
        <v>503.96</v>
      </c>
      <c r="AT72" s="79">
        <f>AT70+AL72-AS72+AU72</f>
        <v>194.3600000000001</v>
      </c>
      <c r="AU72" s="80">
        <v>2.66</v>
      </c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57</v>
      </c>
      <c r="D73" s="33">
        <v>17608</v>
      </c>
      <c r="E73" s="33">
        <v>9</v>
      </c>
      <c r="F73" s="33">
        <v>12925</v>
      </c>
      <c r="G73" s="34">
        <v>0.7</v>
      </c>
      <c r="H73" s="34">
        <v>4.5</v>
      </c>
      <c r="I73" s="33">
        <v>12918</v>
      </c>
      <c r="J73" s="132">
        <v>5.6</v>
      </c>
      <c r="K73" s="33">
        <v>16260</v>
      </c>
      <c r="L73" s="35">
        <v>7.0999999999999994E-2</v>
      </c>
      <c r="M73" s="36">
        <f>ROUND(K73*(1-L73),0)</f>
        <v>15106</v>
      </c>
      <c r="N73" s="37">
        <v>0.66200000000000003</v>
      </c>
      <c r="O73" s="24">
        <f t="shared" si="716"/>
        <v>10000.172</v>
      </c>
      <c r="P73" s="35">
        <v>0.27500000000000002</v>
      </c>
      <c r="Q73" s="24">
        <f t="shared" si="717"/>
        <v>4154.1500000000005</v>
      </c>
      <c r="R73" s="38">
        <v>6.3E-2</v>
      </c>
      <c r="S73" s="105">
        <v>0.2417</v>
      </c>
      <c r="T73" s="24">
        <f t="shared" si="718"/>
        <v>951.678</v>
      </c>
      <c r="U73" s="27">
        <v>0.246</v>
      </c>
      <c r="V73" s="24">
        <f t="shared" si="719"/>
        <v>3716.076</v>
      </c>
      <c r="W73" s="38">
        <v>0.47</v>
      </c>
      <c r="X73" s="24">
        <f t="shared" si="720"/>
        <v>7099.82</v>
      </c>
      <c r="Y73" s="38">
        <v>0.43</v>
      </c>
      <c r="Z73" s="24">
        <f t="shared" si="721"/>
        <v>6495.58</v>
      </c>
      <c r="AA73" s="117">
        <v>2.5300000000000001E-3</v>
      </c>
      <c r="AB73" s="18">
        <f t="shared" si="61"/>
        <v>38.218180000000004</v>
      </c>
      <c r="AC73" s="39">
        <v>2.47E-3</v>
      </c>
      <c r="AD73" s="17">
        <f t="shared" si="723"/>
        <v>37.311819999999997</v>
      </c>
      <c r="AE73" s="26">
        <f>IF(M73&gt;0,(AG73+AP73)/M73,0)</f>
        <v>2.7829998676022773E-3</v>
      </c>
      <c r="AF73" s="39">
        <v>2.1000000000000001E-4</v>
      </c>
      <c r="AG73" s="36">
        <f t="shared" si="724"/>
        <v>3.1722600000000001</v>
      </c>
      <c r="AH73" s="27">
        <v>0.2074</v>
      </c>
      <c r="AI73" s="40">
        <f t="shared" si="725"/>
        <v>36.246261000000004</v>
      </c>
      <c r="AJ73" s="27">
        <f t="shared" si="726"/>
        <v>0.91590714619157854</v>
      </c>
      <c r="AK73" s="28">
        <f t="shared" si="682"/>
        <v>0.92541567647018508</v>
      </c>
      <c r="AL73" s="33">
        <v>191</v>
      </c>
      <c r="AM73" s="35">
        <v>8.5000000000000006E-2</v>
      </c>
      <c r="AN73" s="37">
        <v>0.22239999999999999</v>
      </c>
      <c r="AO73" s="103">
        <v>0.22550000000000001</v>
      </c>
      <c r="AP73" s="40">
        <f>AL73*(1-AM73)*AN73</f>
        <v>38.867736000000001</v>
      </c>
      <c r="AQ73" s="104">
        <f t="shared" si="727"/>
        <v>39.409507500000004</v>
      </c>
      <c r="AR73" s="41">
        <v>1.55</v>
      </c>
      <c r="AS73" s="41"/>
      <c r="AT73" s="129">
        <f>AT72+AL73-AS73</f>
        <v>385.36000000000013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53</v>
      </c>
      <c r="D74" s="42">
        <v>20500</v>
      </c>
      <c r="E74" s="42">
        <v>10</v>
      </c>
      <c r="F74" s="42">
        <v>17307</v>
      </c>
      <c r="G74" s="36">
        <v>0.4</v>
      </c>
      <c r="H74" s="36">
        <v>4.5999999999999996</v>
      </c>
      <c r="I74" s="42">
        <v>17735</v>
      </c>
      <c r="J74" s="36">
        <v>4.5</v>
      </c>
      <c r="K74" s="42">
        <v>16210</v>
      </c>
      <c r="L74" s="38">
        <v>6.4000000000000001E-2</v>
      </c>
      <c r="M74" s="36">
        <f>ROUND(K74*(1-L74),0)</f>
        <v>15173</v>
      </c>
      <c r="N74" s="27">
        <v>0.69199999999999995</v>
      </c>
      <c r="O74" s="24">
        <f t="shared" si="716"/>
        <v>10499.715999999999</v>
      </c>
      <c r="P74" s="38">
        <v>0.28000000000000003</v>
      </c>
      <c r="Q74" s="24">
        <f t="shared" si="717"/>
        <v>4248.4400000000005</v>
      </c>
      <c r="R74" s="38">
        <v>2.8000000000000001E-2</v>
      </c>
      <c r="S74" s="105">
        <v>0.2467</v>
      </c>
      <c r="T74" s="24">
        <f t="shared" si="718"/>
        <v>424.84399999999999</v>
      </c>
      <c r="U74" s="27">
        <v>0.23599999999999999</v>
      </c>
      <c r="V74" s="24">
        <f t="shared" si="719"/>
        <v>3580.828</v>
      </c>
      <c r="W74" s="38">
        <v>0.47799999999999998</v>
      </c>
      <c r="X74" s="24">
        <f t="shared" si="720"/>
        <v>7252.6939999999995</v>
      </c>
      <c r="Y74" s="38">
        <v>0.43</v>
      </c>
      <c r="Z74" s="24">
        <f t="shared" si="721"/>
        <v>6524.39</v>
      </c>
      <c r="AA74" s="118">
        <v>2.47E-3</v>
      </c>
      <c r="AB74" s="121">
        <f t="shared" si="61"/>
        <v>37.477310000000003</v>
      </c>
      <c r="AC74" s="45">
        <v>2.3900000000000002E-3</v>
      </c>
      <c r="AD74" s="17">
        <f t="shared" si="723"/>
        <v>36.263470000000005</v>
      </c>
      <c r="AE74" s="26">
        <f>IF(M74&gt;0,(AG74+AP74)/M74,0)</f>
        <v>2.649997989850392E-3</v>
      </c>
      <c r="AF74" s="45">
        <v>2.1000000000000001E-4</v>
      </c>
      <c r="AG74" s="36">
        <f t="shared" si="724"/>
        <v>3.1863300000000003</v>
      </c>
      <c r="AH74" s="27">
        <v>0.20699999999999999</v>
      </c>
      <c r="AI74" s="40">
        <f t="shared" si="725"/>
        <v>34.661114999999995</v>
      </c>
      <c r="AJ74" s="27">
        <f t="shared" si="726"/>
        <v>0.91306018415383494</v>
      </c>
      <c r="AK74" s="28">
        <f t="shared" si="682"/>
        <v>0.92163001780938769</v>
      </c>
      <c r="AL74" s="42">
        <v>183</v>
      </c>
      <c r="AM74" s="38">
        <v>8.5000000000000006E-2</v>
      </c>
      <c r="AN74" s="27">
        <v>0.22109999999999999</v>
      </c>
      <c r="AO74" s="105">
        <v>0.2213</v>
      </c>
      <c r="AP74" s="40">
        <f>AL74*(1-AM74)*AN74</f>
        <v>37.0220895</v>
      </c>
      <c r="AQ74" s="106">
        <f t="shared" si="727"/>
        <v>37.055578499999996</v>
      </c>
      <c r="AR74" s="17">
        <v>1.6</v>
      </c>
      <c r="AS74" s="17"/>
      <c r="AT74" s="129">
        <f>AT73+AL74-AS74</f>
        <v>568.36000000000013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8">SUM(D72:D74)</f>
        <v>39396</v>
      </c>
      <c r="E75" s="49"/>
      <c r="F75" s="49">
        <f t="shared" ref="F75" si="729">SUM(F72:F74)</f>
        <v>41334</v>
      </c>
      <c r="G75" s="50"/>
      <c r="H75" s="50"/>
      <c r="I75" s="49">
        <f t="shared" ref="I75:K75" si="730">SUM(I72:I74)</f>
        <v>40923</v>
      </c>
      <c r="J75" s="50"/>
      <c r="K75" s="49">
        <f t="shared" si="730"/>
        <v>49042</v>
      </c>
      <c r="L75" s="20">
        <f t="shared" ref="L75" si="731">IF(K75&gt;0,(K72*L72+K73*L73+K74*L74)/K75,0)</f>
        <v>6.6658782268259859E-2</v>
      </c>
      <c r="M75" s="50">
        <f t="shared" ref="M75" si="732">M72+M73+M74</f>
        <v>45774</v>
      </c>
      <c r="N75" s="51">
        <f t="shared" ref="N75" si="733">IF(M75&gt;0,O75/M75,0)</f>
        <v>0.6462174596932756</v>
      </c>
      <c r="O75" s="52">
        <f t="shared" ref="O75" si="734">O72+O73+O74</f>
        <v>29579.957999999999</v>
      </c>
      <c r="P75" s="20">
        <f t="shared" ref="P75" si="735">IF(M75&gt;0,Q75/M75,0)</f>
        <v>0.30915443264735443</v>
      </c>
      <c r="Q75" s="52">
        <f t="shared" ref="Q75" si="736">Q72+Q73+Q74</f>
        <v>14151.235000000001</v>
      </c>
      <c r="R75" s="20">
        <f t="shared" ref="R75" si="737">IF(M75&gt;0,T75/M75,0)</f>
        <v>4.4628107659369948E-2</v>
      </c>
      <c r="S75" s="107"/>
      <c r="T75" s="52">
        <f t="shared" ref="T75" si="738">T72+T73+T74</f>
        <v>2042.807</v>
      </c>
      <c r="U75" s="20">
        <f t="shared" ref="U75" si="739">IF(M75&gt;0,V75/M75,0)</f>
        <v>0.24403927994057764</v>
      </c>
      <c r="V75" s="52">
        <f t="shared" ref="V75" si="740">V72+V73+V74</f>
        <v>11170.654</v>
      </c>
      <c r="W75" s="20">
        <f t="shared" ref="W75" si="741">IF(M75&gt;0,X75/M75,0)</f>
        <v>0.48179160658889325</v>
      </c>
      <c r="X75" s="52">
        <f t="shared" ref="X75" si="742">X72+X73+X74</f>
        <v>22053.528999999999</v>
      </c>
      <c r="Y75" s="20">
        <f t="shared" ref="Y75" si="743">IF(M75&gt;0,Z75/M75,0)</f>
        <v>0.43</v>
      </c>
      <c r="Z75" s="52">
        <f t="shared" ref="Z75" si="744">Z72+Z73+Z74</f>
        <v>19682.82</v>
      </c>
      <c r="AA75" s="119">
        <f t="shared" ref="AA75" si="745">IF(M75&gt;0,AB75/M75,0)</f>
        <v>2.550732730370953E-3</v>
      </c>
      <c r="AB75" s="54">
        <f t="shared" ref="AB75" si="746">SUM(AB72:AB74)</f>
        <v>116.75724000000001</v>
      </c>
      <c r="AC75" s="53">
        <f t="shared" ref="AC75" si="747">IF(M75&gt;0,AD75/M75,0)</f>
        <v>2.4874883121422642E-3</v>
      </c>
      <c r="AD75" s="54">
        <f t="shared" ref="AD75" si="748">SUM(AD72:AD74)</f>
        <v>113.86229</v>
      </c>
      <c r="AE75" s="53">
        <f t="shared" ref="AE75" si="749">IF(M75&gt;0,(AE72*M72+AE73*M73+AE74*M74)/M75,0)</f>
        <v>2.7389348079695894E-3</v>
      </c>
      <c r="AF75" s="53">
        <f t="shared" ref="AF75" si="750">IF(K75&gt;0,(K72*AF72+K73*AF73+K74*AF74)/K75,0)</f>
        <v>2.2689572203417476E-4</v>
      </c>
      <c r="AG75" s="50">
        <f t="shared" ref="AG75" si="751">SUM(AG72:AG74)</f>
        <v>10.38729</v>
      </c>
      <c r="AH75" s="51">
        <f t="shared" ref="AH75" si="752">IF(K75&gt;0,(K72*AH72+K73*AH73+K74*AH74)/K75,0)</f>
        <v>0.20733536968312874</v>
      </c>
      <c r="AI75" s="56">
        <f t="shared" ref="AI75" si="753">SUM(AI72:AI74)</f>
        <v>108.20562240000001</v>
      </c>
      <c r="AJ75" s="51">
        <f t="shared" ref="AJ75" si="754">IF(AND(AD75&gt;0),((AD72*AJ72+AD73*AJ73+AD74*AJ74)/AD75),0)</f>
        <v>0.90977144687167166</v>
      </c>
      <c r="AK75" s="55">
        <f t="shared" si="682"/>
        <v>0.91810452239637963</v>
      </c>
      <c r="AL75" s="49">
        <f t="shared" ref="AL75" si="755">SUM(AL72:AL74)</f>
        <v>571</v>
      </c>
      <c r="AM75" s="20">
        <f t="shared" ref="AM75" si="756">IF(AL75&gt;0,(AM72*AL72+AM73*AL73+AM74*AL74)/AL75,0)</f>
        <v>8.6035026269702275E-2</v>
      </c>
      <c r="AN75" s="51">
        <f>IF(K75&gt;0,(AN72*K72+AN73*K73+AN74*K74)/K75,0)</f>
        <v>0.22034831776844335</v>
      </c>
      <c r="AO75" s="107">
        <f>IF(L75&gt;0,(AO72*K72+AO73*K73+AO74*K74)/K75,0)</f>
        <v>0.22255735492027243</v>
      </c>
      <c r="AP75" s="56">
        <f t="shared" ref="AP75:AQ87" si="757">SUM(AP72:AP74)</f>
        <v>114.98471190000001</v>
      </c>
      <c r="AQ75" s="108">
        <f t="shared" si="757"/>
        <v>116.1528636</v>
      </c>
      <c r="AR75" s="54"/>
      <c r="AS75" s="54">
        <f t="shared" ref="AS75" si="758">SUM(AS72:AS74)</f>
        <v>503.96</v>
      </c>
      <c r="AT75" s="83"/>
      <c r="AU75" s="84">
        <f>AT74</f>
        <v>568.36000000000013</v>
      </c>
      <c r="AV75" s="49">
        <f t="shared" ref="AV75" si="759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54</v>
      </c>
      <c r="D76" s="11">
        <v>9768</v>
      </c>
      <c r="E76" s="11">
        <v>12</v>
      </c>
      <c r="F76" s="11">
        <v>17249</v>
      </c>
      <c r="G76" s="12">
        <v>0.6</v>
      </c>
      <c r="H76" s="12">
        <v>6.6</v>
      </c>
      <c r="I76" s="11">
        <v>16550</v>
      </c>
      <c r="J76" s="12">
        <v>4.3</v>
      </c>
      <c r="K76" s="11">
        <v>16275</v>
      </c>
      <c r="L76" s="13">
        <v>6.2E-2</v>
      </c>
      <c r="M76" s="23">
        <f>ROUND(K76*(1-L76),0)</f>
        <v>15266</v>
      </c>
      <c r="N76" s="14">
        <v>0.61599999999999999</v>
      </c>
      <c r="O76" s="24">
        <f t="shared" ref="O76:O78" si="760">M76*N76</f>
        <v>9403.8559999999998</v>
      </c>
      <c r="P76" s="13">
        <v>0.35399999999999998</v>
      </c>
      <c r="Q76" s="24">
        <f t="shared" ref="Q76:Q78" si="761">M76*P76</f>
        <v>5404.1639999999998</v>
      </c>
      <c r="R76" s="15">
        <v>0.03</v>
      </c>
      <c r="S76" s="112"/>
      <c r="T76" s="24">
        <f t="shared" ref="T76:T78" si="762">M76*R76</f>
        <v>457.97999999999996</v>
      </c>
      <c r="U76" s="25">
        <v>0.23100000000000001</v>
      </c>
      <c r="V76" s="24">
        <f t="shared" ref="V76:V78" si="763">M76*U76</f>
        <v>3526.4460000000004</v>
      </c>
      <c r="W76" s="15">
        <v>0.48799999999999999</v>
      </c>
      <c r="X76" s="24">
        <f t="shared" ref="X76:X78" si="764">M76*W76</f>
        <v>7449.808</v>
      </c>
      <c r="Y76" s="15">
        <v>0.43</v>
      </c>
      <c r="Z76" s="24">
        <f t="shared" ref="Z76:Z78" si="765">Y76*M76</f>
        <v>6564.38</v>
      </c>
      <c r="AA76" s="116">
        <v>2.5200000000000001E-3</v>
      </c>
      <c r="AB76" s="18">
        <f t="shared" ref="AB76:AB123" si="766">M76*AA76</f>
        <v>38.470320000000001</v>
      </c>
      <c r="AC76" s="16">
        <v>2.5000000000000001E-3</v>
      </c>
      <c r="AD76" s="17">
        <f t="shared" ref="AD76:AD78" si="767">M76*AC76</f>
        <v>38.164999999999999</v>
      </c>
      <c r="AE76" s="26">
        <f>IF(M76&gt;0,(AG76+AP76)/M76,0)</f>
        <v>2.7518371544608933E-3</v>
      </c>
      <c r="AF76" s="16">
        <v>2.1000000000000001E-4</v>
      </c>
      <c r="AG76" s="23">
        <f t="shared" ref="AG76:AG78" si="768">AF76*M76</f>
        <v>3.2058599999999999</v>
      </c>
      <c r="AH76" s="92">
        <v>0.2099</v>
      </c>
      <c r="AI76" s="29">
        <f t="shared" ref="AI76:AI78" si="769">AL76*(1-AM76)*AH76</f>
        <v>37.259349000000007</v>
      </c>
      <c r="AJ76" s="27">
        <f t="shared" ref="AJ76:AJ78" si="770">IF(AND(AH76&gt;0,AF76&gt;0,AC76&gt;0),((AC76-AF76)*AH76)/((AH76-AF76)*AC76),0)</f>
        <v>0.91691735418951781</v>
      </c>
      <c r="AK76" s="58">
        <f t="shared" si="682"/>
        <v>0.92457554635336059</v>
      </c>
      <c r="AL76" s="11">
        <v>194</v>
      </c>
      <c r="AM76" s="13">
        <v>8.5000000000000006E-2</v>
      </c>
      <c r="AN76" s="14">
        <v>0.21859999999999999</v>
      </c>
      <c r="AO76" s="101">
        <v>0.2172</v>
      </c>
      <c r="AP76" s="29">
        <f>AL76*(1-AM76)*AN76</f>
        <v>38.803685999999999</v>
      </c>
      <c r="AQ76" s="102">
        <f t="shared" ref="AQ76" si="771">AL76*(1-AM76)*AO76</f>
        <v>38.555172000000006</v>
      </c>
      <c r="AR76" s="18">
        <v>1.58</v>
      </c>
      <c r="AS76" s="18"/>
      <c r="AT76" s="79">
        <f>AT74+AL76-AS76</f>
        <v>762.36000000000013</v>
      </c>
      <c r="AU76" s="80"/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0" t="s">
        <v>59</v>
      </c>
      <c r="D77" s="33">
        <v>19000</v>
      </c>
      <c r="E77" s="33">
        <v>14</v>
      </c>
      <c r="F77" s="33">
        <v>15145</v>
      </c>
      <c r="G77" s="34">
        <v>0.6</v>
      </c>
      <c r="H77" s="34">
        <v>5.7</v>
      </c>
      <c r="I77" s="33">
        <v>15488</v>
      </c>
      <c r="J77" s="34">
        <v>4.3</v>
      </c>
      <c r="K77" s="33">
        <v>16295</v>
      </c>
      <c r="L77" s="35">
        <v>0.08</v>
      </c>
      <c r="M77" s="36">
        <f>ROUND(K77*(1-L77),0)</f>
        <v>14991</v>
      </c>
      <c r="N77" s="37">
        <v>0.65300000000000002</v>
      </c>
      <c r="O77" s="24">
        <f t="shared" si="760"/>
        <v>9789.1229999999996</v>
      </c>
      <c r="P77" s="35">
        <v>0.313</v>
      </c>
      <c r="Q77" s="24">
        <f t="shared" si="761"/>
        <v>4692.183</v>
      </c>
      <c r="R77" s="38">
        <v>3.4000000000000002E-2</v>
      </c>
      <c r="S77" s="105"/>
      <c r="T77" s="24">
        <f t="shared" si="762"/>
        <v>509.69400000000002</v>
      </c>
      <c r="U77" s="27">
        <v>0.22500000000000001</v>
      </c>
      <c r="V77" s="24">
        <f t="shared" si="763"/>
        <v>3372.9749999999999</v>
      </c>
      <c r="W77" s="38">
        <v>0.499</v>
      </c>
      <c r="X77" s="24">
        <f t="shared" si="764"/>
        <v>7480.509</v>
      </c>
      <c r="Y77" s="38">
        <v>0.43</v>
      </c>
      <c r="Z77" s="24">
        <f t="shared" si="765"/>
        <v>6446.13</v>
      </c>
      <c r="AA77" s="117">
        <v>2.7000000000000001E-3</v>
      </c>
      <c r="AB77" s="18">
        <f t="shared" si="766"/>
        <v>40.475700000000003</v>
      </c>
      <c r="AC77" s="39">
        <v>2.7299999999999998E-3</v>
      </c>
      <c r="AD77" s="17">
        <f t="shared" si="767"/>
        <v>40.925429999999999</v>
      </c>
      <c r="AE77" s="26">
        <f>IF(M77&gt;0,(AG77+AP77)/M77,0)</f>
        <v>3.0293562137282373E-3</v>
      </c>
      <c r="AF77" s="39">
        <v>2.2000000000000001E-4</v>
      </c>
      <c r="AG77" s="36">
        <f t="shared" si="768"/>
        <v>3.2980200000000002</v>
      </c>
      <c r="AH77" s="27">
        <v>0.20949999999999999</v>
      </c>
      <c r="AI77" s="40">
        <f t="shared" si="769"/>
        <v>40.343415</v>
      </c>
      <c r="AJ77" s="27">
        <f t="shared" si="770"/>
        <v>0.92038042869464876</v>
      </c>
      <c r="AK77" s="28">
        <f t="shared" si="682"/>
        <v>0.92831113829878842</v>
      </c>
      <c r="AL77" s="33">
        <v>210</v>
      </c>
      <c r="AM77" s="35">
        <v>8.3000000000000004E-2</v>
      </c>
      <c r="AN77" s="37">
        <v>0.21870000000000001</v>
      </c>
      <c r="AO77" s="103">
        <v>0.21490000000000001</v>
      </c>
      <c r="AP77" s="40">
        <f>AL77*(1-AM77)*AN77</f>
        <v>42.115059000000002</v>
      </c>
      <c r="AQ77" s="104">
        <f t="shared" si="727"/>
        <v>41.383293000000009</v>
      </c>
      <c r="AR77" s="41">
        <v>1.6</v>
      </c>
      <c r="AS77" s="41"/>
      <c r="AT77" s="129">
        <f>AT76+AL77-AS77</f>
        <v>972.36000000000013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57</v>
      </c>
      <c r="D78" s="42">
        <v>16600</v>
      </c>
      <c r="E78" s="42">
        <v>12</v>
      </c>
      <c r="F78" s="42">
        <v>17983</v>
      </c>
      <c r="G78" s="36">
        <v>0.7</v>
      </c>
      <c r="H78" s="36">
        <v>5.6</v>
      </c>
      <c r="I78" s="42">
        <v>17820</v>
      </c>
      <c r="J78" s="133">
        <v>3.4</v>
      </c>
      <c r="K78" s="42">
        <v>16284</v>
      </c>
      <c r="L78" s="38">
        <v>6.7000000000000004E-2</v>
      </c>
      <c r="M78" s="36">
        <f>ROUND(K78*(1-L78),0)</f>
        <v>15193</v>
      </c>
      <c r="N78" s="27">
        <v>0.626</v>
      </c>
      <c r="O78" s="24">
        <f t="shared" si="760"/>
        <v>9510.8179999999993</v>
      </c>
      <c r="P78" s="38">
        <v>0.33400000000000002</v>
      </c>
      <c r="Q78" s="24">
        <f t="shared" si="761"/>
        <v>5074.4620000000004</v>
      </c>
      <c r="R78" s="38">
        <v>0.04</v>
      </c>
      <c r="S78" s="105"/>
      <c r="T78" s="24">
        <f t="shared" si="762"/>
        <v>607.72</v>
      </c>
      <c r="U78" s="27">
        <v>0.22700000000000001</v>
      </c>
      <c r="V78" s="24">
        <f t="shared" si="763"/>
        <v>3448.8110000000001</v>
      </c>
      <c r="W78" s="38">
        <v>0.48599999999999999</v>
      </c>
      <c r="X78" s="24">
        <f t="shared" si="764"/>
        <v>7383.7979999999998</v>
      </c>
      <c r="Y78" s="38">
        <v>0.43</v>
      </c>
      <c r="Z78" s="24">
        <f t="shared" si="765"/>
        <v>6532.99</v>
      </c>
      <c r="AA78" s="118">
        <v>2.5000000000000001E-3</v>
      </c>
      <c r="AB78" s="121">
        <f t="shared" si="766"/>
        <v>37.982500000000002</v>
      </c>
      <c r="AC78" s="45">
        <v>2.5400000000000002E-3</v>
      </c>
      <c r="AD78" s="17">
        <f t="shared" si="767"/>
        <v>38.590220000000002</v>
      </c>
      <c r="AE78" s="26">
        <f>IF(M78&gt;0,(AG78+AP78)/M78,0)</f>
        <v>2.559997630487725E-3</v>
      </c>
      <c r="AF78" s="45">
        <v>2.2000000000000001E-4</v>
      </c>
      <c r="AG78" s="36">
        <f t="shared" si="768"/>
        <v>3.34246</v>
      </c>
      <c r="AH78" s="27">
        <v>0.21240000000000001</v>
      </c>
      <c r="AI78" s="40">
        <f t="shared" si="769"/>
        <v>34.480166400000002</v>
      </c>
      <c r="AJ78" s="27">
        <f t="shared" si="770"/>
        <v>0.91433287588980672</v>
      </c>
      <c r="AK78" s="28">
        <f t="shared" si="682"/>
        <v>0.91498158003509023</v>
      </c>
      <c r="AL78" s="42">
        <v>178</v>
      </c>
      <c r="AM78" s="38">
        <v>8.7999999999999995E-2</v>
      </c>
      <c r="AN78" s="27">
        <v>0.219</v>
      </c>
      <c r="AO78" s="105">
        <v>0.22220000000000001</v>
      </c>
      <c r="AP78" s="40">
        <f>AL78*(1-AM78)*AN78</f>
        <v>35.551584000000005</v>
      </c>
      <c r="AQ78" s="106">
        <f t="shared" si="727"/>
        <v>36.071059200000008</v>
      </c>
      <c r="AR78" s="17">
        <v>1.55</v>
      </c>
      <c r="AS78" s="17"/>
      <c r="AT78" s="129">
        <f>AT77+AL78-AS78</f>
        <v>1150.3600000000001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2">SUM(D76:D78)</f>
        <v>45368</v>
      </c>
      <c r="E79" s="49"/>
      <c r="F79" s="49">
        <f t="shared" ref="F79" si="773">SUM(F76:F78)</f>
        <v>50377</v>
      </c>
      <c r="G79" s="50"/>
      <c r="H79" s="50"/>
      <c r="I79" s="49">
        <f t="shared" ref="I79:K79" si="774">SUM(I76:I78)</f>
        <v>49858</v>
      </c>
      <c r="J79" s="50"/>
      <c r="K79" s="49">
        <f t="shared" si="774"/>
        <v>48854</v>
      </c>
      <c r="L79" s="20">
        <f t="shared" ref="L79" si="775">IF(K79&gt;0,(K76*L76+K77*L77+K78*L78)/K79,0)</f>
        <v>6.9670405698612187E-2</v>
      </c>
      <c r="M79" s="50">
        <f t="shared" ref="M79" si="776">M76+M77+M78</f>
        <v>45450</v>
      </c>
      <c r="N79" s="51">
        <f t="shared" ref="N79" si="777">IF(M79&gt;0,O79/M79,0)</f>
        <v>0.63154668866886687</v>
      </c>
      <c r="O79" s="52">
        <f t="shared" ref="O79" si="778">O76+O77+O78</f>
        <v>28703.796999999999</v>
      </c>
      <c r="P79" s="20">
        <f t="shared" ref="P79" si="779">IF(M79&gt;0,Q79/M79,0)</f>
        <v>0.33379117711771178</v>
      </c>
      <c r="Q79" s="52">
        <f t="shared" ref="Q79" si="780">Q76+Q77+Q78</f>
        <v>15170.809000000001</v>
      </c>
      <c r="R79" s="20">
        <f t="shared" ref="R79" si="781">IF(M79&gt;0,T79/M79,0)</f>
        <v>3.466213421342134E-2</v>
      </c>
      <c r="S79" s="107"/>
      <c r="T79" s="52">
        <f t="shared" ref="T79" si="782">T76+T77+T78</f>
        <v>1575.394</v>
      </c>
      <c r="U79" s="20">
        <f t="shared" ref="U79" si="783">IF(M79&gt;0,V79/M79,0)</f>
        <v>0.22768387238723872</v>
      </c>
      <c r="V79" s="52">
        <f t="shared" ref="V79" si="784">V76+V77+V78</f>
        <v>10348.232</v>
      </c>
      <c r="W79" s="20">
        <f t="shared" ref="W79" si="785">IF(M79&gt;0,X79/M79,0)</f>
        <v>0.49095962596259624</v>
      </c>
      <c r="X79" s="52">
        <f t="shared" ref="X79" si="786">X76+X77+X78</f>
        <v>22314.114999999998</v>
      </c>
      <c r="Y79" s="20">
        <f t="shared" ref="Y79" si="787">IF(M79&gt;0,Z79/M79,0)</f>
        <v>0.43</v>
      </c>
      <c r="Z79" s="52">
        <f t="shared" ref="Z79" si="788">Z76+Z77+Z78</f>
        <v>19543.5</v>
      </c>
      <c r="AA79" s="119">
        <f t="shared" ref="AA79" si="789">IF(M79&gt;0,AB79/M79,0)</f>
        <v>2.5726847084708471E-3</v>
      </c>
      <c r="AB79" s="54">
        <f t="shared" ref="AB79" si="790">SUM(AB76:AB78)</f>
        <v>116.92852000000001</v>
      </c>
      <c r="AC79" s="53">
        <f t="shared" ref="AC79" si="791">IF(M79&gt;0,AD79/M79,0)</f>
        <v>2.5892332233223322E-3</v>
      </c>
      <c r="AD79" s="54">
        <f t="shared" ref="AD79" si="792">SUM(AD76:AD78)</f>
        <v>117.68065</v>
      </c>
      <c r="AE79" s="53">
        <f t="shared" ref="AE79" si="793">IF(M79&gt;0,(AE76*M76+AE77*M77+AE78*M78)/M79,0)</f>
        <v>2.7792446424642469E-3</v>
      </c>
      <c r="AF79" s="53">
        <f t="shared" ref="AF79" si="794">IF(K79&gt;0,(K76*AF76+K77*AF77+K78*AF78)/K79,0)</f>
        <v>2.1666864535145537E-4</v>
      </c>
      <c r="AG79" s="50">
        <f t="shared" ref="AG79" si="795">SUM(AG76:AG78)</f>
        <v>9.8463400000000014</v>
      </c>
      <c r="AH79" s="51">
        <f t="shared" ref="AH79" si="796">IF(K79&gt;0,(K76*AH76+K77*AH77+K78*AH78)/K79,0)</f>
        <v>0.21059988127891269</v>
      </c>
      <c r="AI79" s="56">
        <f t="shared" ref="AI79" si="797">SUM(AI76:AI78)</f>
        <v>112.08293040000001</v>
      </c>
      <c r="AJ79" s="51">
        <f t="shared" ref="AJ79" si="798">IF(AND(AD79&gt;0),((AD76*AJ76+AD77*AJ77+AD78*AJ78)/AD79),0)</f>
        <v>0.91727418623517221</v>
      </c>
      <c r="AK79" s="55">
        <f t="shared" si="682"/>
        <v>0.9229545590228686</v>
      </c>
      <c r="AL79" s="49">
        <f t="shared" ref="AL79" si="799">SUM(AL76:AL78)</f>
        <v>582</v>
      </c>
      <c r="AM79" s="20">
        <f t="shared" ref="AM79" si="800">IF(AL79&gt;0,(AM76*AL76+AM77*AL77+AM78*AL78)/AL79,0)</f>
        <v>8.5195876288659794E-2</v>
      </c>
      <c r="AN79" s="51">
        <f>IF(K79&gt;0,(AN76*K76+AN77*K77+AN78*K78)/K79,0)</f>
        <v>0.21876668235968394</v>
      </c>
      <c r="AO79" s="107">
        <f>IF(L79&gt;0,(AO76*K76+AO77*K77+AO78*K78)/K79,0)</f>
        <v>0.21809944528595407</v>
      </c>
      <c r="AP79" s="56">
        <f t="shared" ref="AP79" si="801">SUM(AP76:AP78)</f>
        <v>116.47032900000001</v>
      </c>
      <c r="AQ79" s="108">
        <f t="shared" si="757"/>
        <v>116.00952420000002</v>
      </c>
      <c r="AR79" s="54"/>
      <c r="AS79" s="54">
        <f t="shared" ref="AS79" si="802">SUM(AS76:AS78)</f>
        <v>0</v>
      </c>
      <c r="AT79" s="83"/>
      <c r="AU79" s="84">
        <f>AT78</f>
        <v>1150.3600000000001</v>
      </c>
      <c r="AV79" s="49">
        <f t="shared" ref="AV79" si="803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43" t="s">
        <v>58</v>
      </c>
      <c r="D80" s="11">
        <v>17000</v>
      </c>
      <c r="E80" s="11">
        <v>7</v>
      </c>
      <c r="F80" s="11">
        <v>17077</v>
      </c>
      <c r="G80" s="12">
        <v>0.6</v>
      </c>
      <c r="H80" s="12">
        <v>5.6</v>
      </c>
      <c r="I80" s="11">
        <v>17098</v>
      </c>
      <c r="J80" s="131">
        <v>3</v>
      </c>
      <c r="K80" s="11">
        <v>16281</v>
      </c>
      <c r="L80" s="13">
        <v>7.0999999999999994E-2</v>
      </c>
      <c r="M80" s="23">
        <f>ROUND(K80*(1-L80),0)</f>
        <v>15125</v>
      </c>
      <c r="N80" s="14">
        <v>0.76</v>
      </c>
      <c r="O80" s="24">
        <f t="shared" ref="O80:O82" si="804">M80*N80</f>
        <v>11495</v>
      </c>
      <c r="P80" s="13">
        <v>0.218</v>
      </c>
      <c r="Q80" s="24">
        <f t="shared" ref="Q80:Q82" si="805">M80*P80</f>
        <v>3297.25</v>
      </c>
      <c r="R80" s="15">
        <v>2.1999999999999999E-2</v>
      </c>
      <c r="S80" s="112">
        <v>0.22489999999999999</v>
      </c>
      <c r="T80" s="24">
        <f t="shared" ref="T80:T82" si="806">M80*R80</f>
        <v>332.75</v>
      </c>
      <c r="U80" s="25">
        <v>0.22500000000000001</v>
      </c>
      <c r="V80" s="24">
        <f t="shared" ref="V80:V82" si="807">M80*U80</f>
        <v>3403.125</v>
      </c>
      <c r="W80" s="15">
        <v>0.48299999999999998</v>
      </c>
      <c r="X80" s="24">
        <f t="shared" ref="X80:X82" si="808">M80*W80</f>
        <v>7305.375</v>
      </c>
      <c r="Y80" s="15">
        <v>0.43</v>
      </c>
      <c r="Z80" s="24">
        <f t="shared" ref="Z80:Z82" si="809">Y80*M80</f>
        <v>6503.75</v>
      </c>
      <c r="AA80" s="116">
        <v>2.8700000000000002E-3</v>
      </c>
      <c r="AB80" s="18">
        <f t="shared" ref="AB80" si="810">M80*AA80</f>
        <v>43.408750000000005</v>
      </c>
      <c r="AC80" s="16">
        <v>2.9199999999999999E-3</v>
      </c>
      <c r="AD80" s="17">
        <f t="shared" ref="AD80:AD82" si="811">M80*AC80</f>
        <v>44.164999999999999</v>
      </c>
      <c r="AE80" s="26">
        <f>IF(M80&gt;0,(AG80+AP80)/M80,0)</f>
        <v>3.0700450380165287E-3</v>
      </c>
      <c r="AF80" s="16">
        <v>2.5999999999999998E-4</v>
      </c>
      <c r="AG80" s="23">
        <f t="shared" ref="AG80:AG82" si="812">AF80*M80</f>
        <v>3.9324999999999997</v>
      </c>
      <c r="AH80" s="92">
        <v>0.22600000000000001</v>
      </c>
      <c r="AI80" s="29">
        <f t="shared" ref="AI80:AI82" si="813">AL80*(1-AM80)*AH80</f>
        <v>41.908536000000005</v>
      </c>
      <c r="AJ80" s="27">
        <f t="shared" ref="AJ80:AJ82" si="814">IF(AND(AH80&gt;0,AF80&gt;0,AC80&gt;0),((AC80-AF80)*AH80)/((AH80-AF80)*AC80),0)</f>
        <v>0.91200811698753936</v>
      </c>
      <c r="AK80" s="58">
        <f t="shared" si="682"/>
        <v>0.91635017840824817</v>
      </c>
      <c r="AL80" s="11">
        <v>204</v>
      </c>
      <c r="AM80" s="13">
        <v>9.0999999999999998E-2</v>
      </c>
      <c r="AN80" s="14">
        <v>0.22919999999999999</v>
      </c>
      <c r="AO80" s="101">
        <v>0.22409999999999999</v>
      </c>
      <c r="AP80" s="29">
        <f>AL80*(1-AM80)*AN80</f>
        <v>42.501931200000001</v>
      </c>
      <c r="AQ80" s="102">
        <f t="shared" ref="AQ80" si="815">AL80*(1-AM80)*AO80</f>
        <v>41.5562076</v>
      </c>
      <c r="AR80" s="18">
        <v>1.55</v>
      </c>
      <c r="AS80" s="18"/>
      <c r="AT80" s="79">
        <f>AT78+AL80-AS80</f>
        <v>1354.3600000000001</v>
      </c>
      <c r="AU80" s="80"/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0" t="s">
        <v>59</v>
      </c>
      <c r="D81" s="33">
        <v>18400</v>
      </c>
      <c r="E81" s="33">
        <v>8</v>
      </c>
      <c r="F81" s="33">
        <v>14872</v>
      </c>
      <c r="G81" s="34">
        <v>0.3</v>
      </c>
      <c r="H81" s="34">
        <v>5.2</v>
      </c>
      <c r="I81" s="33">
        <v>15293</v>
      </c>
      <c r="J81" s="34">
        <v>3.2</v>
      </c>
      <c r="K81" s="33">
        <v>16195</v>
      </c>
      <c r="L81" s="35">
        <v>7.3999999999999996E-2</v>
      </c>
      <c r="M81" s="36">
        <f>ROUND(K81*(1-L81),0)</f>
        <v>14997</v>
      </c>
      <c r="N81" s="37">
        <v>0.68</v>
      </c>
      <c r="O81" s="24">
        <f t="shared" si="804"/>
        <v>10197.960000000001</v>
      </c>
      <c r="P81" s="35">
        <v>0.28799999999999998</v>
      </c>
      <c r="Q81" s="24">
        <f t="shared" si="805"/>
        <v>4319.1359999999995</v>
      </c>
      <c r="R81" s="38">
        <v>3.2000000000000001E-2</v>
      </c>
      <c r="S81" s="105"/>
      <c r="T81" s="24">
        <f t="shared" si="806"/>
        <v>479.904</v>
      </c>
      <c r="U81" s="27">
        <v>0.23</v>
      </c>
      <c r="V81" s="24">
        <f t="shared" si="807"/>
        <v>3449.31</v>
      </c>
      <c r="W81" s="38">
        <v>0.47499999999999998</v>
      </c>
      <c r="X81" s="24">
        <f t="shared" si="808"/>
        <v>7123.5749999999998</v>
      </c>
      <c r="Y81" s="38">
        <v>0.4</v>
      </c>
      <c r="Z81" s="24">
        <f t="shared" si="809"/>
        <v>5998.8</v>
      </c>
      <c r="AA81" s="117">
        <v>2.5000000000000001E-3</v>
      </c>
      <c r="AB81" s="18">
        <f t="shared" si="766"/>
        <v>37.4925</v>
      </c>
      <c r="AC81" s="39">
        <v>2.6099999999999999E-3</v>
      </c>
      <c r="AD81" s="17">
        <f t="shared" si="811"/>
        <v>39.14217</v>
      </c>
      <c r="AE81" s="26">
        <f>IF(M81&gt;0,(AG81+AP81)/M81,0)</f>
        <v>2.6701002600520106E-3</v>
      </c>
      <c r="AF81" s="39">
        <v>2.3000000000000001E-4</v>
      </c>
      <c r="AG81" s="36">
        <f t="shared" si="812"/>
        <v>3.4493100000000001</v>
      </c>
      <c r="AH81" s="27">
        <v>0.21659999999999999</v>
      </c>
      <c r="AI81" s="40">
        <f t="shared" si="813"/>
        <v>35.041114800000003</v>
      </c>
      <c r="AJ81" s="27">
        <f t="shared" si="814"/>
        <v>0.91284671478560309</v>
      </c>
      <c r="AK81" s="28">
        <f t="shared" si="682"/>
        <v>0.91479107138975102</v>
      </c>
      <c r="AL81" s="33">
        <v>177</v>
      </c>
      <c r="AM81" s="35">
        <v>8.5999999999999993E-2</v>
      </c>
      <c r="AN81" s="37">
        <v>0.22620000000000001</v>
      </c>
      <c r="AO81" s="103">
        <v>0.22320000000000001</v>
      </c>
      <c r="AP81" s="40">
        <f>AL81*(1-AM81)*AN81</f>
        <v>36.594183600000008</v>
      </c>
      <c r="AQ81" s="104">
        <f t="shared" si="727"/>
        <v>36.108849600000006</v>
      </c>
      <c r="AR81" s="41">
        <v>1.55</v>
      </c>
      <c r="AS81" s="41"/>
      <c r="AT81" s="129">
        <f>AT80+AL81-AS81</f>
        <v>1531.3600000000001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57</v>
      </c>
      <c r="D82" s="42">
        <v>19200</v>
      </c>
      <c r="E82" s="42">
        <v>8</v>
      </c>
      <c r="F82" s="42">
        <v>18256</v>
      </c>
      <c r="G82" s="36">
        <v>0.4</v>
      </c>
      <c r="H82" s="36">
        <v>4.5999999999999996</v>
      </c>
      <c r="I82" s="42">
        <v>18388</v>
      </c>
      <c r="J82" s="36">
        <v>1.5</v>
      </c>
      <c r="K82" s="42">
        <v>16181</v>
      </c>
      <c r="L82" s="38">
        <v>6.9000000000000006E-2</v>
      </c>
      <c r="M82" s="36">
        <f>ROUND(K82*(1-L82),0)</f>
        <v>15065</v>
      </c>
      <c r="N82" s="27">
        <v>0.69199999999999995</v>
      </c>
      <c r="O82" s="24">
        <f t="shared" si="804"/>
        <v>10424.98</v>
      </c>
      <c r="P82" s="38">
        <v>0.27800000000000002</v>
      </c>
      <c r="Q82" s="24">
        <f t="shared" si="805"/>
        <v>4188.0700000000006</v>
      </c>
      <c r="R82" s="38">
        <v>0.03</v>
      </c>
      <c r="S82" s="105"/>
      <c r="T82" s="24">
        <f t="shared" si="806"/>
        <v>451.95</v>
      </c>
      <c r="U82" s="27">
        <v>0.191</v>
      </c>
      <c r="V82" s="24">
        <f t="shared" si="807"/>
        <v>2877.415</v>
      </c>
      <c r="W82" s="38">
        <v>0.49099999999999999</v>
      </c>
      <c r="X82" s="24">
        <f t="shared" si="808"/>
        <v>7396.915</v>
      </c>
      <c r="Y82" s="38">
        <v>0.43</v>
      </c>
      <c r="Z82" s="24">
        <f t="shared" si="809"/>
        <v>6477.95</v>
      </c>
      <c r="AA82" s="118">
        <v>2.5999999999999999E-3</v>
      </c>
      <c r="AB82" s="121">
        <f t="shared" si="766"/>
        <v>39.168999999999997</v>
      </c>
      <c r="AC82" s="45">
        <v>2.7599999999999999E-3</v>
      </c>
      <c r="AD82" s="17">
        <f t="shared" si="811"/>
        <v>41.5794</v>
      </c>
      <c r="AE82" s="26">
        <f>IF(M82&gt;0,(AG82+AP82)/M82,0)</f>
        <v>2.7097198473282442E-3</v>
      </c>
      <c r="AF82" s="45">
        <v>2.3000000000000001E-4</v>
      </c>
      <c r="AG82" s="36">
        <f t="shared" si="812"/>
        <v>3.46495</v>
      </c>
      <c r="AH82" s="27">
        <v>0.22140000000000001</v>
      </c>
      <c r="AI82" s="40">
        <f t="shared" si="813"/>
        <v>37.072322999999997</v>
      </c>
      <c r="AJ82" s="27">
        <f t="shared" si="814"/>
        <v>0.91761993037030343</v>
      </c>
      <c r="AK82" s="28">
        <f t="shared" si="682"/>
        <v>0.91606477333285397</v>
      </c>
      <c r="AL82" s="42">
        <v>183</v>
      </c>
      <c r="AM82" s="38">
        <v>8.5000000000000006E-2</v>
      </c>
      <c r="AN82" s="27">
        <v>0.22309999999999999</v>
      </c>
      <c r="AO82" s="105">
        <v>0.21829999999999999</v>
      </c>
      <c r="AP82" s="40">
        <f>AL82*(1-AM82)*AN82</f>
        <v>37.356979499999994</v>
      </c>
      <c r="AQ82" s="106">
        <f t="shared" si="727"/>
        <v>36.553243500000001</v>
      </c>
      <c r="AR82" s="17">
        <v>1.55</v>
      </c>
      <c r="AS82" s="17"/>
      <c r="AT82" s="129">
        <f>AT81+AL82-AS82</f>
        <v>1714.3600000000001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6">SUM(D80:D82)</f>
        <v>54600</v>
      </c>
      <c r="E83" s="49"/>
      <c r="F83" s="49">
        <f t="shared" ref="F83" si="817">SUM(F80:F82)</f>
        <v>50205</v>
      </c>
      <c r="G83" s="50"/>
      <c r="H83" s="50"/>
      <c r="I83" s="49">
        <f t="shared" ref="I83:K83" si="818">SUM(I80:I82)</f>
        <v>50779</v>
      </c>
      <c r="J83" s="50"/>
      <c r="K83" s="49">
        <f t="shared" si="818"/>
        <v>48657</v>
      </c>
      <c r="L83" s="20">
        <f t="shared" ref="L83" si="819">IF(K83&gt;0,(K80*L80+K81*L81+K82*L82)/K83,0)</f>
        <v>7.1333415541443151E-2</v>
      </c>
      <c r="M83" s="50">
        <f t="shared" ref="M83" si="820">M80+M81+M82</f>
        <v>45187</v>
      </c>
      <c r="N83" s="51">
        <f t="shared" ref="N83" si="821">IF(M83&gt;0,O83/M83,0)</f>
        <v>0.71077832119857476</v>
      </c>
      <c r="O83" s="52">
        <f t="shared" ref="O83" si="822">O80+O81+O82</f>
        <v>32117.94</v>
      </c>
      <c r="P83" s="20">
        <f t="shared" ref="P83" si="823">IF(M83&gt;0,Q83/M83,0)</f>
        <v>0.2612356651249253</v>
      </c>
      <c r="Q83" s="52">
        <f t="shared" ref="Q83" si="824">Q80+Q81+Q82</f>
        <v>11804.456</v>
      </c>
      <c r="R83" s="20">
        <f t="shared" ref="R83" si="825">IF(M83&gt;0,T83/M83,0)</f>
        <v>2.7986013676499878E-2</v>
      </c>
      <c r="S83" s="107"/>
      <c r="T83" s="52">
        <f t="shared" ref="T83" si="826">T80+T81+T82</f>
        <v>1264.604</v>
      </c>
      <c r="U83" s="20">
        <f t="shared" ref="U83" si="827">IF(M83&gt;0,V83/M83,0)</f>
        <v>0.21532409763870136</v>
      </c>
      <c r="V83" s="52">
        <f t="shared" ref="V83" si="828">V80+V81+V82</f>
        <v>9729.8499999999985</v>
      </c>
      <c r="W83" s="20">
        <f t="shared" ref="W83" si="829">IF(M83&gt;0,X83/M83,0)</f>
        <v>0.48301203886073429</v>
      </c>
      <c r="X83" s="52">
        <f t="shared" ref="X83" si="830">X80+X81+X82</f>
        <v>21825.865000000002</v>
      </c>
      <c r="Y83" s="20">
        <f t="shared" ref="Y83" si="831">IF(M83&gt;0,Z83/M83,0)</f>
        <v>0.42004337530705732</v>
      </c>
      <c r="Z83" s="52">
        <f t="shared" ref="Z83" si="832">Z80+Z81+Z82</f>
        <v>18980.5</v>
      </c>
      <c r="AA83" s="119">
        <f t="shared" ref="AA83" si="833">IF(M83&gt;0,AB83/M83,0)</f>
        <v>2.6571856950007747E-3</v>
      </c>
      <c r="AB83" s="54">
        <f t="shared" ref="AB83" si="834">SUM(AB80:AB82)</f>
        <v>120.07025</v>
      </c>
      <c r="AC83" s="53">
        <f t="shared" ref="AC83" si="835">IF(M83&gt;0,AD83/M83,0)</f>
        <v>2.7637721025958796E-3</v>
      </c>
      <c r="AD83" s="54">
        <f t="shared" ref="AD83" si="836">SUM(AD80:AD82)</f>
        <v>124.88657000000001</v>
      </c>
      <c r="AE83" s="53">
        <f t="shared" ref="AE83" si="837">IF(M83&gt;0,(AE80*M80+AE81*M81+AE82*M82)/M83,0)</f>
        <v>2.8171787084781022E-3</v>
      </c>
      <c r="AF83" s="53">
        <f t="shared" ref="AF83" si="838">IF(K83&gt;0,(K80*AF80+K81*AF81+K82*AF82)/K83,0)</f>
        <v>2.4003822677107095E-4</v>
      </c>
      <c r="AG83" s="50">
        <f t="shared" ref="AG83" si="839">SUM(AG80:AG82)</f>
        <v>10.84676</v>
      </c>
      <c r="AH83" s="51">
        <f t="shared" ref="AH83" si="840">IF(K83&gt;0,(K80*AH80+K81*AH81+K82*AH82)/K83,0)</f>
        <v>0.22134156236512736</v>
      </c>
      <c r="AI83" s="56">
        <f t="shared" ref="AI83" si="841">SUM(AI80:AI82)</f>
        <v>114.0219738</v>
      </c>
      <c r="AJ83" s="51">
        <f t="shared" ref="AJ83" si="842">IF(AND(AD83&gt;0),((AD80*AJ80+AD81*AJ81+AD82*AJ82)/AD83),0)</f>
        <v>0.91413933390654623</v>
      </c>
      <c r="AK83" s="55">
        <f t="shared" si="682"/>
        <v>0.91576672416032345</v>
      </c>
      <c r="AL83" s="49">
        <f t="shared" ref="AL83" si="843">SUM(AL80:AL82)</f>
        <v>564</v>
      </c>
      <c r="AM83" s="20">
        <f t="shared" ref="AM83" si="844">IF(AL83&gt;0,(AM80*AL80+AM81*AL81+AM82*AL82)/AL83,0)</f>
        <v>8.7484042553191491E-2</v>
      </c>
      <c r="AN83" s="51">
        <f>IF(K83&gt;0,(AN80*K80+AN81*K81+AN82*K82)/K83,0)</f>
        <v>0.22617291037260825</v>
      </c>
      <c r="AO83" s="107">
        <f>IF(L83&gt;0,(AO80*K80+AO81*K81+AO82*K82)/K83,0)</f>
        <v>0.22187164025731138</v>
      </c>
      <c r="AP83" s="56">
        <f t="shared" ref="AP83" si="845">SUM(AP80:AP82)</f>
        <v>116.4530943</v>
      </c>
      <c r="AQ83" s="108">
        <f t="shared" si="757"/>
        <v>114.21830070000001</v>
      </c>
      <c r="AR83" s="54"/>
      <c r="AS83" s="54">
        <f t="shared" ref="AS83" si="846">SUM(AS80:AS82)</f>
        <v>0</v>
      </c>
      <c r="AT83" s="83"/>
      <c r="AU83" s="84">
        <f>AT82</f>
        <v>1714.3600000000001</v>
      </c>
      <c r="AV83" s="49">
        <f t="shared" ref="AV83" si="847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43" t="s">
        <v>58</v>
      </c>
      <c r="D84" s="11">
        <v>1000</v>
      </c>
      <c r="E84" s="11">
        <v>8</v>
      </c>
      <c r="F84" s="11">
        <v>11291</v>
      </c>
      <c r="G84" s="12">
        <v>0.5</v>
      </c>
      <c r="H84" s="12">
        <v>4.5999999999999996</v>
      </c>
      <c r="I84" s="11">
        <v>11465</v>
      </c>
      <c r="J84" s="12">
        <v>4.3</v>
      </c>
      <c r="K84" s="11">
        <v>16143</v>
      </c>
      <c r="L84" s="13">
        <v>6.2E-2</v>
      </c>
      <c r="M84" s="23">
        <f>ROUND(K84*(1-L84),0)</f>
        <v>15142</v>
      </c>
      <c r="N84" s="14">
        <v>0.80500000000000005</v>
      </c>
      <c r="O84" s="24">
        <f t="shared" ref="O84:O86" si="848">M84*N84</f>
        <v>12189.310000000001</v>
      </c>
      <c r="P84" s="13">
        <v>0.17499999999999999</v>
      </c>
      <c r="Q84" s="24">
        <f t="shared" ref="Q84:Q86" si="849">M84*P84</f>
        <v>2649.85</v>
      </c>
      <c r="R84" s="15">
        <v>0.02</v>
      </c>
      <c r="S84" s="112"/>
      <c r="T84" s="24">
        <f t="shared" ref="T84:T86" si="850">M84*R84</f>
        <v>302.84000000000003</v>
      </c>
      <c r="U84" s="25">
        <v>0.21299999999999999</v>
      </c>
      <c r="V84" s="24">
        <f t="shared" ref="V84:V86" si="851">M84*U84</f>
        <v>3225.2460000000001</v>
      </c>
      <c r="W84" s="15">
        <v>0.5</v>
      </c>
      <c r="X84" s="24">
        <f t="shared" ref="X84:X86" si="852">M84*W84</f>
        <v>7571</v>
      </c>
      <c r="Y84" s="15">
        <v>0.42</v>
      </c>
      <c r="Z84" s="24">
        <f t="shared" ref="Z84:Z86" si="853">Y84*M84</f>
        <v>6359.6399999999994</v>
      </c>
      <c r="AA84" s="116">
        <v>2.5899999999999999E-3</v>
      </c>
      <c r="AB84" s="18">
        <f t="shared" ref="AB84" si="854">M84*AA84</f>
        <v>39.217779999999998</v>
      </c>
      <c r="AC84" s="16">
        <v>2.5999999999999999E-3</v>
      </c>
      <c r="AD84" s="17">
        <f t="shared" ref="AD84:AD86" si="855">M84*AC84</f>
        <v>39.369199999999999</v>
      </c>
      <c r="AE84" s="26">
        <f>IF(M84&gt;0,(AG84+AP84)/M84,0)</f>
        <v>3.0270121186104872E-3</v>
      </c>
      <c r="AF84" s="16">
        <v>2.2000000000000001E-4</v>
      </c>
      <c r="AG84" s="23">
        <f t="shared" ref="AG84:AG86" si="856">AF84*M84</f>
        <v>3.3312400000000002</v>
      </c>
      <c r="AH84" s="92">
        <v>0.2248</v>
      </c>
      <c r="AI84" s="29">
        <f t="shared" ref="AI84:AI86" si="857">AL84*(1-AM84)*AH84</f>
        <v>41.706020000000002</v>
      </c>
      <c r="AJ84" s="27">
        <f t="shared" ref="AJ84:AJ86" si="858">IF(AND(AH84&gt;0,AF84&gt;0,AC84&gt;0),((AC84-AF84)*AH84)/((AH84-AF84)*AC84),0)</f>
        <v>0.91628133199065598</v>
      </c>
      <c r="AK84" s="58">
        <f t="shared" si="682"/>
        <v>0.92821241383742481</v>
      </c>
      <c r="AL84" s="11">
        <v>205</v>
      </c>
      <c r="AM84" s="13">
        <v>9.5000000000000001E-2</v>
      </c>
      <c r="AN84" s="14">
        <v>0.2291</v>
      </c>
      <c r="AO84" s="101">
        <v>0.21579999999999999</v>
      </c>
      <c r="AP84" s="29">
        <f>AL84*(1-AM84)*AN84</f>
        <v>42.503777499999998</v>
      </c>
      <c r="AQ84" s="102">
        <f t="shared" ref="AQ84" si="859">AL84*(1-AM84)*AO84</f>
        <v>40.036295000000003</v>
      </c>
      <c r="AR84" s="18">
        <v>1.55</v>
      </c>
      <c r="AS84" s="18">
        <v>1007.08</v>
      </c>
      <c r="AT84" s="79">
        <f>AT82+AL84-AS84</f>
        <v>912.28000000000009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53</v>
      </c>
      <c r="D85" s="33">
        <v>18006</v>
      </c>
      <c r="E85" s="33">
        <v>16</v>
      </c>
      <c r="F85" s="33">
        <v>15133</v>
      </c>
      <c r="G85" s="34">
        <v>0.2</v>
      </c>
      <c r="H85" s="34">
        <v>5.3</v>
      </c>
      <c r="I85" s="33">
        <v>15528</v>
      </c>
      <c r="J85" s="34">
        <v>3.5</v>
      </c>
      <c r="K85" s="33">
        <v>15701</v>
      </c>
      <c r="L85" s="35">
        <v>6.9000000000000006E-2</v>
      </c>
      <c r="M85" s="36">
        <f>ROUND(K85*(1-L85),0)</f>
        <v>14618</v>
      </c>
      <c r="N85" s="37">
        <v>0.82399999999999995</v>
      </c>
      <c r="O85" s="24">
        <f t="shared" si="848"/>
        <v>12045.232</v>
      </c>
      <c r="P85" s="35">
        <v>0.127</v>
      </c>
      <c r="Q85" s="24">
        <f t="shared" si="849"/>
        <v>1856.4860000000001</v>
      </c>
      <c r="R85" s="38">
        <v>4.9000000000000002E-2</v>
      </c>
      <c r="S85" s="105"/>
      <c r="T85" s="24">
        <f t="shared" si="850"/>
        <v>716.28200000000004</v>
      </c>
      <c r="U85" s="27">
        <v>0.19800000000000001</v>
      </c>
      <c r="V85" s="24">
        <f t="shared" si="851"/>
        <v>2894.364</v>
      </c>
      <c r="W85" s="38">
        <v>0.51400000000000001</v>
      </c>
      <c r="X85" s="24">
        <f t="shared" si="852"/>
        <v>7513.652</v>
      </c>
      <c r="Y85" s="38">
        <v>0.41</v>
      </c>
      <c r="Z85" s="24">
        <f t="shared" si="853"/>
        <v>5993.3799999999992</v>
      </c>
      <c r="AA85" s="117">
        <v>2.5699999999999998E-3</v>
      </c>
      <c r="AB85" s="18">
        <f t="shared" si="766"/>
        <v>37.568259999999995</v>
      </c>
      <c r="AC85" s="39">
        <v>2.5699999999999998E-3</v>
      </c>
      <c r="AD85" s="17">
        <f t="shared" si="855"/>
        <v>37.568259999999995</v>
      </c>
      <c r="AE85" s="26">
        <f>IF(M85&gt;0,(AG85+AP85)/M85,0)</f>
        <v>2.9689048022985358E-3</v>
      </c>
      <c r="AF85" s="39">
        <v>1.9000000000000001E-4</v>
      </c>
      <c r="AG85" s="36">
        <f t="shared" si="856"/>
        <v>2.7774200000000002</v>
      </c>
      <c r="AH85" s="27">
        <v>0.22009999999999999</v>
      </c>
      <c r="AI85" s="40">
        <f t="shared" si="857"/>
        <v>39.544046399999999</v>
      </c>
      <c r="AJ85" s="27">
        <f t="shared" si="858"/>
        <v>0.92687015399118877</v>
      </c>
      <c r="AK85" s="28">
        <f t="shared" si="682"/>
        <v>0.93679055599226602</v>
      </c>
      <c r="AL85" s="33">
        <v>197</v>
      </c>
      <c r="AM85" s="35">
        <v>8.7999999999999995E-2</v>
      </c>
      <c r="AN85" s="37">
        <v>0.2261</v>
      </c>
      <c r="AO85" s="103">
        <v>0.2041</v>
      </c>
      <c r="AP85" s="40">
        <f>AL85*(1-AM85)*AN85</f>
        <v>40.6220304</v>
      </c>
      <c r="AQ85" s="104">
        <f t="shared" si="727"/>
        <v>36.669422400000002</v>
      </c>
      <c r="AR85" s="41">
        <v>1.6</v>
      </c>
      <c r="AS85" s="41"/>
      <c r="AT85" s="129">
        <f>AT84+AL85-AS85</f>
        <v>1109.2800000000002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57</v>
      </c>
      <c r="D86" s="42">
        <v>23500</v>
      </c>
      <c r="E86" s="42">
        <v>10</v>
      </c>
      <c r="F86" s="42">
        <v>16605</v>
      </c>
      <c r="G86" s="36">
        <v>0.4</v>
      </c>
      <c r="H86" s="36">
        <v>5.4</v>
      </c>
      <c r="I86" s="42">
        <v>17058</v>
      </c>
      <c r="J86" s="133">
        <v>2.6</v>
      </c>
      <c r="K86" s="42">
        <v>15711</v>
      </c>
      <c r="L86" s="38">
        <v>6.8000000000000005E-2</v>
      </c>
      <c r="M86" s="36">
        <f>ROUND(K86*(1-L86),0)</f>
        <v>14643</v>
      </c>
      <c r="N86" s="27">
        <v>0.72899999999999998</v>
      </c>
      <c r="O86" s="24">
        <f t="shared" si="848"/>
        <v>10674.746999999999</v>
      </c>
      <c r="P86" s="38">
        <v>0.24399999999999999</v>
      </c>
      <c r="Q86" s="24">
        <f t="shared" si="849"/>
        <v>3572.8919999999998</v>
      </c>
      <c r="R86" s="38">
        <v>2.7E-2</v>
      </c>
      <c r="S86" s="105"/>
      <c r="T86" s="24">
        <f t="shared" si="850"/>
        <v>395.36099999999999</v>
      </c>
      <c r="U86" s="27">
        <v>0.214</v>
      </c>
      <c r="V86" s="24">
        <f t="shared" si="851"/>
        <v>3133.6019999999999</v>
      </c>
      <c r="W86" s="38">
        <v>0.49</v>
      </c>
      <c r="X86" s="24">
        <f t="shared" si="852"/>
        <v>7175.07</v>
      </c>
      <c r="Y86" s="38">
        <v>0.43</v>
      </c>
      <c r="Z86" s="24">
        <f t="shared" si="853"/>
        <v>6296.49</v>
      </c>
      <c r="AA86" s="118">
        <v>2.5000000000000001E-3</v>
      </c>
      <c r="AB86" s="121">
        <f t="shared" si="766"/>
        <v>36.607500000000002</v>
      </c>
      <c r="AC86" s="45">
        <v>2.3999999999999998E-3</v>
      </c>
      <c r="AD86" s="17">
        <f t="shared" si="855"/>
        <v>35.1432</v>
      </c>
      <c r="AE86" s="26">
        <f>IF(M86&gt;0,(AG86+AP86)/M86,0)</f>
        <v>2.4010951307792119E-3</v>
      </c>
      <c r="AF86" s="45">
        <v>1.8000000000000001E-4</v>
      </c>
      <c r="AG86" s="36">
        <f t="shared" si="856"/>
        <v>2.6357400000000002</v>
      </c>
      <c r="AH86" s="27">
        <v>0.20669999999999999</v>
      </c>
      <c r="AI86" s="40">
        <f t="shared" si="857"/>
        <v>31.051300800000003</v>
      </c>
      <c r="AJ86" s="27">
        <f t="shared" si="858"/>
        <v>0.92580621731551438</v>
      </c>
      <c r="AK86" s="28">
        <f t="shared" si="682"/>
        <v>0.92580392873913053</v>
      </c>
      <c r="AL86" s="42">
        <v>164</v>
      </c>
      <c r="AM86" s="38">
        <v>8.4000000000000005E-2</v>
      </c>
      <c r="AN86" s="27">
        <v>0.2165</v>
      </c>
      <c r="AO86" s="105">
        <v>0.20599999999999999</v>
      </c>
      <c r="AP86" s="40">
        <f>AL86*(1-AM86)*AN86</f>
        <v>32.523496000000002</v>
      </c>
      <c r="AQ86" s="106">
        <f t="shared" si="727"/>
        <v>30.946144</v>
      </c>
      <c r="AR86" s="17">
        <v>1.55</v>
      </c>
      <c r="AS86" s="17"/>
      <c r="AT86" s="129">
        <f>AT85+AL86-AS86</f>
        <v>1273.2800000000002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60">SUM(D84:D86)</f>
        <v>42506</v>
      </c>
      <c r="E87" s="49"/>
      <c r="F87" s="49">
        <f t="shared" ref="F87" si="861">SUM(F84:F86)</f>
        <v>43029</v>
      </c>
      <c r="G87" s="50"/>
      <c r="H87" s="50"/>
      <c r="I87" s="49">
        <f t="shared" ref="I87:K87" si="862">SUM(I84:I86)</f>
        <v>44051</v>
      </c>
      <c r="J87" s="50"/>
      <c r="K87" s="49">
        <f t="shared" si="862"/>
        <v>47555</v>
      </c>
      <c r="L87" s="20">
        <f t="shared" ref="L87" si="863">IF(K87&gt;0,(K84*L84+K85*L85+K86*L86)/K87,0)</f>
        <v>6.6293407633266757E-2</v>
      </c>
      <c r="M87" s="50">
        <f t="shared" ref="M87" si="864">M84+M85+M86</f>
        <v>44403</v>
      </c>
      <c r="N87" s="51">
        <f t="shared" ref="N87" si="865">IF(M87&gt;0,O87/M87,0)</f>
        <v>0.78619212665810878</v>
      </c>
      <c r="O87" s="52">
        <f t="shared" ref="O87" si="866">O84+O85+O86</f>
        <v>34909.289000000004</v>
      </c>
      <c r="P87" s="20">
        <f t="shared" ref="P87" si="867">IF(M87&gt;0,Q87/M87,0)</f>
        <v>0.18195230052023512</v>
      </c>
      <c r="Q87" s="52">
        <f t="shared" ref="Q87" si="868">Q84+Q85+Q86</f>
        <v>8079.2280000000001</v>
      </c>
      <c r="R87" s="20">
        <f t="shared" ref="R87" si="869">IF(M87&gt;0,T87/M87,0)</f>
        <v>3.18555728216562E-2</v>
      </c>
      <c r="S87" s="107"/>
      <c r="T87" s="52">
        <f t="shared" ref="T87" si="870">T84+T85+T86</f>
        <v>1414.4830000000002</v>
      </c>
      <c r="U87" s="20">
        <f t="shared" ref="U87" si="871">IF(M87&gt;0,V87/M87,0)</f>
        <v>0.20839159516248901</v>
      </c>
      <c r="V87" s="52">
        <f t="shared" ref="V87" si="872">V84+V85+V86</f>
        <v>9253.2119999999995</v>
      </c>
      <c r="W87" s="20">
        <f t="shared" ref="W87" si="873">IF(M87&gt;0,X87/M87,0)</f>
        <v>0.50131121771051512</v>
      </c>
      <c r="X87" s="52">
        <f t="shared" ref="X87" si="874">X84+X85+X86</f>
        <v>22259.722000000002</v>
      </c>
      <c r="Y87" s="20">
        <f t="shared" ref="Y87" si="875">IF(M87&gt;0,Z87/M87,0)</f>
        <v>0.42000563025020826</v>
      </c>
      <c r="Z87" s="52">
        <f t="shared" ref="Z87" si="876">Z84+Z85+Z86</f>
        <v>18649.509999999998</v>
      </c>
      <c r="AA87" s="119">
        <f t="shared" ref="AA87" si="877">IF(M87&gt;0,AB87/M87,0)</f>
        <v>2.553736008828232E-3</v>
      </c>
      <c r="AB87" s="54">
        <f t="shared" ref="AB87" si="878">SUM(AB84:AB86)</f>
        <v>113.39353999999999</v>
      </c>
      <c r="AC87" s="53">
        <f t="shared" ref="AC87" si="879">IF(M87&gt;0,AD87/M87,0)</f>
        <v>2.5241686372542396E-3</v>
      </c>
      <c r="AD87" s="54">
        <f t="shared" ref="AD87" si="880">SUM(AD84:AD86)</f>
        <v>112.08065999999999</v>
      </c>
      <c r="AE87" s="53">
        <f t="shared" ref="AE87" si="881">IF(M87&gt;0,(AE84*M84+AE85*M85+AE86*M86)/M87,0)</f>
        <v>2.8014707091863159E-3</v>
      </c>
      <c r="AF87" s="53">
        <f t="shared" ref="AF87" si="882">IF(K87&gt;0,(K84*AF84+K85*AF85+K86*AF86)/K87,0)</f>
        <v>1.9688003364525284E-4</v>
      </c>
      <c r="AG87" s="50">
        <f t="shared" ref="AG87" si="883">SUM(AG84:AG86)</f>
        <v>8.7444000000000006</v>
      </c>
      <c r="AH87" s="51">
        <f t="shared" ref="AH87" si="884">IF(K87&gt;0,(K84*AH84+K85*AH85+K86*AH86)/K87,0)</f>
        <v>0.21726843023867098</v>
      </c>
      <c r="AI87" s="56">
        <f t="shared" ref="AI87" si="885">SUM(AI84:AI86)</f>
        <v>112.30136720000002</v>
      </c>
      <c r="AJ87" s="51">
        <f t="shared" ref="AJ87" si="886">IF(AND(AD87&gt;0),((AD84*AJ84+AD85*AJ85+AD86*AJ86)/AD87),0)</f>
        <v>0.92281714796424408</v>
      </c>
      <c r="AK87" s="55">
        <f t="shared" si="682"/>
        <v>0.93054068901702325</v>
      </c>
      <c r="AL87" s="49">
        <f t="shared" ref="AL87" si="887">SUM(AL84:AL86)</f>
        <v>566</v>
      </c>
      <c r="AM87" s="20">
        <f t="shared" ref="AM87" si="888">IF(AL87&gt;0,(AM84*AL84+AM85*AL85+AM86*AL86)/AL87,0)</f>
        <v>8.9376325088339231E-2</v>
      </c>
      <c r="AN87" s="51">
        <f>IF(K87&gt;0,(AN84*K84+AN85*K85+AN86*K86)/K87,0)</f>
        <v>0.22394677531279569</v>
      </c>
      <c r="AO87" s="107">
        <f>IF(L87&gt;0,(AO84*K84+AO85*K85+AO86*K86)/K87,0)</f>
        <v>0.20869939017979183</v>
      </c>
      <c r="AP87" s="56">
        <f t="shared" ref="AP87" si="889">SUM(AP84:AP86)</f>
        <v>115.64930390000001</v>
      </c>
      <c r="AQ87" s="108">
        <f t="shared" si="757"/>
        <v>107.6518614</v>
      </c>
      <c r="AR87" s="54"/>
      <c r="AS87" s="54">
        <f t="shared" ref="AS87" si="890">SUM(AS84:AS86)</f>
        <v>1007.08</v>
      </c>
      <c r="AT87" s="83"/>
      <c r="AU87" s="84">
        <f>AT86</f>
        <v>1273.2800000000002</v>
      </c>
      <c r="AV87" s="49">
        <f t="shared" ref="AV87" si="891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43" t="s">
        <v>58</v>
      </c>
      <c r="D88" s="11">
        <v>16700</v>
      </c>
      <c r="E88" s="11">
        <v>5</v>
      </c>
      <c r="F88" s="11">
        <v>18933</v>
      </c>
      <c r="G88" s="12">
        <v>0.7</v>
      </c>
      <c r="H88" s="12">
        <v>5.3</v>
      </c>
      <c r="I88" s="11">
        <v>18348</v>
      </c>
      <c r="J88" s="131">
        <v>1.9</v>
      </c>
      <c r="K88" s="11">
        <v>15723</v>
      </c>
      <c r="L88" s="13">
        <v>6.5000000000000002E-2</v>
      </c>
      <c r="M88" s="23">
        <f>ROUND(K88*(1-L88),0)</f>
        <v>14701</v>
      </c>
      <c r="N88" s="14">
        <v>0.60799999999999998</v>
      </c>
      <c r="O88" s="24">
        <f t="shared" ref="O88:O90" si="892">M88*N88</f>
        <v>8938.2080000000005</v>
      </c>
      <c r="P88" s="13">
        <v>0.36</v>
      </c>
      <c r="Q88" s="24">
        <f t="shared" ref="Q88:Q90" si="893">M88*P88</f>
        <v>5292.36</v>
      </c>
      <c r="R88" s="15">
        <v>3.2000000000000001E-2</v>
      </c>
      <c r="S88" s="112"/>
      <c r="T88" s="24">
        <f t="shared" ref="T88:T90" si="894">M88*R88</f>
        <v>470.43200000000002</v>
      </c>
      <c r="U88" s="25">
        <v>0.21299999999999999</v>
      </c>
      <c r="V88" s="24">
        <f t="shared" ref="V88:V90" si="895">M88*U88</f>
        <v>3131.3130000000001</v>
      </c>
      <c r="W88" s="15">
        <v>0.49299999999999999</v>
      </c>
      <c r="X88" s="24">
        <f t="shared" ref="X88:X90" si="896">M88*W88</f>
        <v>7247.5929999999998</v>
      </c>
      <c r="Y88" s="15">
        <v>0.42</v>
      </c>
      <c r="Z88" s="24">
        <f t="shared" ref="Z88:Z90" si="897">Y88*M88</f>
        <v>6174.42</v>
      </c>
      <c r="AA88" s="116">
        <v>2.7780000000000001E-3</v>
      </c>
      <c r="AB88" s="18">
        <f t="shared" ref="AB88" si="898">M88*AA88</f>
        <v>40.839378000000004</v>
      </c>
      <c r="AC88" s="16">
        <v>2.63E-3</v>
      </c>
      <c r="AD88" s="17">
        <f t="shared" ref="AD88:AD90" si="899">M88*AC88</f>
        <v>38.663629999999998</v>
      </c>
      <c r="AE88" s="26">
        <f>IF(M88&gt;0,(AG88+AP88)/M88,0)</f>
        <v>2.5220521325079932E-3</v>
      </c>
      <c r="AF88" s="16">
        <v>1.9000000000000001E-4</v>
      </c>
      <c r="AG88" s="23">
        <f t="shared" ref="AG88:AG90" si="900">AF88*M88</f>
        <v>2.7931900000000001</v>
      </c>
      <c r="AH88" s="92">
        <v>0.21199999999999999</v>
      </c>
      <c r="AI88" s="29">
        <f t="shared" ref="AI88:AI90" si="901">AL88*(1-AM88)*AH88</f>
        <v>33.789408000000002</v>
      </c>
      <c r="AJ88" s="27">
        <f t="shared" ref="AJ88:AJ90" si="902">IF(AND(AH88&gt;0,AF88&gt;0,AC88&gt;0),((AC88-AF88)*AH88)/((AH88-AF88)*AC88),0)</f>
        <v>0.92858887987530259</v>
      </c>
      <c r="AK88" s="58">
        <f t="shared" si="682"/>
        <v>0.92548201076374548</v>
      </c>
      <c r="AL88" s="11">
        <v>174</v>
      </c>
      <c r="AM88" s="13">
        <v>8.4000000000000005E-2</v>
      </c>
      <c r="AN88" s="14">
        <v>0.21510000000000001</v>
      </c>
      <c r="AO88" s="101">
        <v>0.21879999999999999</v>
      </c>
      <c r="AP88" s="29">
        <f>AL88*(1-AM88)*AN88</f>
        <v>34.283498400000006</v>
      </c>
      <c r="AQ88" s="102">
        <f t="shared" ref="AQ88" si="903">AL88*(1-AM88)*AO88</f>
        <v>34.873219200000001</v>
      </c>
      <c r="AR88" s="18">
        <v>1.55</v>
      </c>
      <c r="AS88" s="18"/>
      <c r="AT88" s="79">
        <f>AT86+AL88-AS88</f>
        <v>1447.2800000000002</v>
      </c>
      <c r="AU88" s="80"/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53</v>
      </c>
      <c r="D89" s="33">
        <v>14840</v>
      </c>
      <c r="E89" s="33">
        <v>14</v>
      </c>
      <c r="F89" s="33">
        <v>14855</v>
      </c>
      <c r="G89" s="34">
        <v>0.4</v>
      </c>
      <c r="H89" s="34">
        <v>5</v>
      </c>
      <c r="I89" s="33">
        <v>15464</v>
      </c>
      <c r="J89" s="34">
        <v>1.7</v>
      </c>
      <c r="K89" s="33">
        <v>15637</v>
      </c>
      <c r="L89" s="35">
        <v>6.4000000000000001E-2</v>
      </c>
      <c r="M89" s="36">
        <f>ROUND(K89*(1-L89),0)</f>
        <v>14636</v>
      </c>
      <c r="N89" s="37">
        <v>0.68500000000000005</v>
      </c>
      <c r="O89" s="24">
        <f t="shared" si="892"/>
        <v>10025.660000000002</v>
      </c>
      <c r="P89" s="35">
        <v>0.25</v>
      </c>
      <c r="Q89" s="24">
        <f t="shared" si="893"/>
        <v>3659</v>
      </c>
      <c r="R89" s="38">
        <v>6.5000000000000002E-2</v>
      </c>
      <c r="S89" s="105"/>
      <c r="T89" s="24">
        <f t="shared" si="894"/>
        <v>951.34</v>
      </c>
      <c r="U89" s="27">
        <v>0.21199999999999999</v>
      </c>
      <c r="V89" s="24">
        <f t="shared" si="895"/>
        <v>3102.8319999999999</v>
      </c>
      <c r="W89" s="38">
        <v>0.499</v>
      </c>
      <c r="X89" s="24">
        <f t="shared" si="896"/>
        <v>7303.3639999999996</v>
      </c>
      <c r="Y89" s="38">
        <v>0.42</v>
      </c>
      <c r="Z89" s="24">
        <f t="shared" si="897"/>
        <v>6147.12</v>
      </c>
      <c r="AA89" s="117">
        <v>2.7599999999999999E-3</v>
      </c>
      <c r="AB89" s="18">
        <f t="shared" si="766"/>
        <v>40.395359999999997</v>
      </c>
      <c r="AC89" s="39">
        <v>2.7200000000000002E-3</v>
      </c>
      <c r="AD89" s="17">
        <f t="shared" si="899"/>
        <v>39.809920000000005</v>
      </c>
      <c r="AE89" s="26">
        <f>IF(M89&gt;0,(AG89+AP89)/M89,0)</f>
        <v>2.703506914457502E-3</v>
      </c>
      <c r="AF89" s="39">
        <v>1.9000000000000001E-4</v>
      </c>
      <c r="AG89" s="36">
        <f t="shared" si="900"/>
        <v>2.78084</v>
      </c>
      <c r="AH89" s="27">
        <v>0.2218</v>
      </c>
      <c r="AI89" s="40">
        <f t="shared" si="901"/>
        <v>36.3614484</v>
      </c>
      <c r="AJ89" s="27">
        <f t="shared" si="902"/>
        <v>0.93094453159631241</v>
      </c>
      <c r="AK89" s="28">
        <f t="shared" si="682"/>
        <v>0.93050877606632987</v>
      </c>
      <c r="AL89" s="33">
        <v>178</v>
      </c>
      <c r="AM89" s="35">
        <v>7.9000000000000001E-2</v>
      </c>
      <c r="AN89" s="37">
        <v>0.22439999999999999</v>
      </c>
      <c r="AO89" s="103">
        <v>0.23050000000000001</v>
      </c>
      <c r="AP89" s="40">
        <f>AL89*(1-AM89)*AN89</f>
        <v>36.787687200000001</v>
      </c>
      <c r="AQ89" s="104">
        <f t="shared" si="727"/>
        <v>37.787709000000007</v>
      </c>
      <c r="AR89" s="41">
        <v>1.58</v>
      </c>
      <c r="AS89" s="41"/>
      <c r="AT89" s="129">
        <f>AT88+AL89-AS89</f>
        <v>1625.2800000000002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0" t="s">
        <v>54</v>
      </c>
      <c r="D90" s="42">
        <v>19020</v>
      </c>
      <c r="E90" s="42">
        <v>8</v>
      </c>
      <c r="F90" s="42">
        <v>15588</v>
      </c>
      <c r="G90" s="36">
        <v>0.4</v>
      </c>
      <c r="H90" s="36">
        <v>5.2</v>
      </c>
      <c r="I90" s="42">
        <v>16148</v>
      </c>
      <c r="J90" s="133">
        <v>1.5</v>
      </c>
      <c r="K90" s="42">
        <v>15545</v>
      </c>
      <c r="L90" s="38">
        <v>6.5000000000000002E-2</v>
      </c>
      <c r="M90" s="36">
        <f>ROUND(K90*(1-L90),0)</f>
        <v>14535</v>
      </c>
      <c r="N90" s="27">
        <v>0.624</v>
      </c>
      <c r="O90" s="24">
        <f t="shared" si="892"/>
        <v>9069.84</v>
      </c>
      <c r="P90" s="38">
        <v>0.29899999999999999</v>
      </c>
      <c r="Q90" s="24">
        <f t="shared" si="893"/>
        <v>4345.9650000000001</v>
      </c>
      <c r="R90" s="38">
        <v>7.6999999999999999E-2</v>
      </c>
      <c r="S90" s="105"/>
      <c r="T90" s="24">
        <f t="shared" si="894"/>
        <v>1119.1949999999999</v>
      </c>
      <c r="U90" s="27">
        <v>0.224</v>
      </c>
      <c r="V90" s="24">
        <f t="shared" si="895"/>
        <v>3255.84</v>
      </c>
      <c r="W90" s="38">
        <v>0.496</v>
      </c>
      <c r="X90" s="24">
        <f t="shared" si="896"/>
        <v>7209.36</v>
      </c>
      <c r="Y90" s="38">
        <v>0.41</v>
      </c>
      <c r="Z90" s="24">
        <f t="shared" si="897"/>
        <v>5959.3499999999995</v>
      </c>
      <c r="AA90" s="118">
        <v>2.4299999999999999E-3</v>
      </c>
      <c r="AB90" s="121">
        <f t="shared" si="766"/>
        <v>35.320049999999995</v>
      </c>
      <c r="AC90" s="45">
        <v>2.3900000000000002E-3</v>
      </c>
      <c r="AD90" s="17">
        <f t="shared" si="899"/>
        <v>34.73865</v>
      </c>
      <c r="AE90" s="26">
        <f>IF(M90&gt;0,(AG90+AP90)/M90,0)</f>
        <v>2.444536222910217E-3</v>
      </c>
      <c r="AF90" s="45">
        <v>1.7000000000000001E-4</v>
      </c>
      <c r="AG90" s="36">
        <f t="shared" si="900"/>
        <v>2.4709500000000002</v>
      </c>
      <c r="AH90" s="27">
        <v>0.2074</v>
      </c>
      <c r="AI90" s="40">
        <f t="shared" si="901"/>
        <v>30.720088000000001</v>
      </c>
      <c r="AJ90" s="27">
        <f t="shared" si="902"/>
        <v>0.92963228656454111</v>
      </c>
      <c r="AK90" s="28">
        <f t="shared" si="682"/>
        <v>0.93116637819561121</v>
      </c>
      <c r="AL90" s="42">
        <v>161</v>
      </c>
      <c r="AM90" s="38">
        <v>0.08</v>
      </c>
      <c r="AN90" s="27">
        <v>0.22320000000000001</v>
      </c>
      <c r="AO90" s="105">
        <v>0.22500000000000001</v>
      </c>
      <c r="AP90" s="40">
        <f>AL90*(1-AM90)*AN90</f>
        <v>33.060383999999999</v>
      </c>
      <c r="AQ90" s="106">
        <f t="shared" si="727"/>
        <v>33.327000000000005</v>
      </c>
      <c r="AR90" s="17">
        <v>1.55</v>
      </c>
      <c r="AS90" s="17"/>
      <c r="AT90" s="129">
        <f>AT89+AL90-AS90</f>
        <v>1786.2800000000002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4">SUM(D88:D90)</f>
        <v>50560</v>
      </c>
      <c r="E91" s="49"/>
      <c r="F91" s="49">
        <f t="shared" ref="F91" si="905">SUM(F88:F90)</f>
        <v>49376</v>
      </c>
      <c r="G91" s="50"/>
      <c r="H91" s="50"/>
      <c r="I91" s="49">
        <f t="shared" ref="I91:K91" si="906">SUM(I88:I90)</f>
        <v>49960</v>
      </c>
      <c r="J91" s="50"/>
      <c r="K91" s="49">
        <f t="shared" si="906"/>
        <v>46905</v>
      </c>
      <c r="L91" s="20">
        <f t="shared" ref="L91" si="907">IF(K91&gt;0,(K88*L88+K89*L89+K90*L90)/K91,0)</f>
        <v>6.4666624027289205E-2</v>
      </c>
      <c r="M91" s="50">
        <f t="shared" ref="M91" si="908">M88+M89+M90</f>
        <v>43872</v>
      </c>
      <c r="N91" s="51">
        <f t="shared" ref="N91" si="909">IF(M91&gt;0,O91/M91,0)</f>
        <v>0.63898860320933626</v>
      </c>
      <c r="O91" s="52">
        <f t="shared" ref="O91" si="910">O88+O89+O90</f>
        <v>28033.708000000002</v>
      </c>
      <c r="P91" s="20">
        <f t="shared" ref="P91" si="911">IF(M91&gt;0,Q91/M91,0)</f>
        <v>0.30309365882567468</v>
      </c>
      <c r="Q91" s="52">
        <f t="shared" ref="Q91" si="912">Q88+Q89+Q90</f>
        <v>13297.325000000001</v>
      </c>
      <c r="R91" s="20">
        <f t="shared" ref="R91" si="913">IF(M91&gt;0,T91/M91,0)</f>
        <v>5.7917737964989051E-2</v>
      </c>
      <c r="S91" s="107"/>
      <c r="T91" s="52">
        <f t="shared" ref="T91" si="914">T88+T89+T90</f>
        <v>2540.9669999999996</v>
      </c>
      <c r="U91" s="20">
        <f t="shared" ref="U91" si="915">IF(M91&gt;0,V91/M91,0)</f>
        <v>0.21631074489423779</v>
      </c>
      <c r="V91" s="52">
        <f t="shared" ref="V91" si="916">V88+V89+V90</f>
        <v>9489.9850000000006</v>
      </c>
      <c r="W91" s="20">
        <f t="shared" ref="W91" si="917">IF(M91&gt;0,X91/M91,0)</f>
        <v>0.49599555525164113</v>
      </c>
      <c r="X91" s="52">
        <f t="shared" ref="X91" si="918">X88+X89+X90</f>
        <v>21760.316999999999</v>
      </c>
      <c r="Y91" s="20">
        <f t="shared" ref="Y91" si="919">IF(M91&gt;0,Z91/M91,0)</f>
        <v>0.41668695295404812</v>
      </c>
      <c r="Z91" s="52">
        <f t="shared" ref="Z91" si="920">Z88+Z89+Z90</f>
        <v>18280.89</v>
      </c>
      <c r="AA91" s="119">
        <f t="shared" ref="AA91" si="921">IF(M91&gt;0,AB91/M91,0)</f>
        <v>2.6567010393873081E-3</v>
      </c>
      <c r="AB91" s="54">
        <f t="shared" ref="AB91" si="922">SUM(AB88:AB90)</f>
        <v>116.55478799999999</v>
      </c>
      <c r="AC91" s="53">
        <f t="shared" ref="AC91" si="923">IF(M91&gt;0,AD91/M91,0)</f>
        <v>2.5805114879649889E-3</v>
      </c>
      <c r="AD91" s="54">
        <f t="shared" ref="AD91" si="924">SUM(AD88:AD90)</f>
        <v>113.2122</v>
      </c>
      <c r="AE91" s="53">
        <f t="shared" ref="AE91" si="925">IF(M91&gt;0,(AE88*M88+AE89*M89+AE90*M90)/M91,0)</f>
        <v>2.556905306345733E-3</v>
      </c>
      <c r="AF91" s="53">
        <f t="shared" ref="AF91" si="926">IF(K91&gt;0,(K88*AF88+K89*AF89+K90*AF90)/K91,0)</f>
        <v>1.8337170877305193E-4</v>
      </c>
      <c r="AG91" s="50">
        <f t="shared" ref="AG91" si="927">SUM(AG88:AG90)</f>
        <v>8.0449800000000007</v>
      </c>
      <c r="AH91" s="51">
        <f t="shared" ref="AH91" si="928">IF(K91&gt;0,(K88*AH88+K89*AH89+K90*AH90)/K91,0)</f>
        <v>0.21374257755036774</v>
      </c>
      <c r="AI91" s="56">
        <f t="shared" ref="AI91" si="929">SUM(AI88:AI90)</f>
        <v>100.87094440000001</v>
      </c>
      <c r="AJ91" s="51">
        <f t="shared" ref="AJ91" si="930">IF(AND(AD91&gt;0),((AD88*AJ88+AD89*AJ89+AD90*AJ90)/AD91),0)</f>
        <v>0.92973738548111529</v>
      </c>
      <c r="AK91" s="55">
        <f t="shared" si="682"/>
        <v>0.92905500344675329</v>
      </c>
      <c r="AL91" s="49">
        <f t="shared" ref="AL91" si="931">SUM(AL88:AL90)</f>
        <v>513</v>
      </c>
      <c r="AM91" s="20">
        <f t="shared" ref="AM91" si="932">IF(AL91&gt;0,(AM88*AL88+AM89*AL89+AM90*AL90)/AL91,0)</f>
        <v>8.1009746588693962E-2</v>
      </c>
      <c r="AN91" s="51">
        <f>IF(K91&gt;0,(AN88*K88+AN89*K89+AN90*K90)/K91,0)</f>
        <v>0.22088485449312442</v>
      </c>
      <c r="AO91" s="107">
        <f>IF(L91&gt;0,(AO88*K88+AO89*K89+AO90*K90)/K91,0)</f>
        <v>0.22475526916107025</v>
      </c>
      <c r="AP91" s="56">
        <f t="shared" ref="AP91:AQ103" si="933">SUM(AP88:AP90)</f>
        <v>104.13156960000001</v>
      </c>
      <c r="AQ91" s="108">
        <f t="shared" si="933"/>
        <v>105.9879282</v>
      </c>
      <c r="AR91" s="54"/>
      <c r="AS91" s="54">
        <f t="shared" ref="AS91" si="934">SUM(AS88:AS90)</f>
        <v>0</v>
      </c>
      <c r="AT91" s="83"/>
      <c r="AU91" s="84">
        <f>AT90</f>
        <v>1786.2800000000002</v>
      </c>
      <c r="AV91" s="49">
        <f t="shared" ref="AV91" si="935">SUM(AV88:AV90)</f>
        <v>0</v>
      </c>
      <c r="AW91" s="57"/>
      <c r="AX91" s="56"/>
      <c r="AY91" s="56"/>
      <c r="AZ91" s="56"/>
      <c r="BA91" s="56"/>
      <c r="BB91" s="21"/>
    </row>
    <row r="92" spans="1:54">
      <c r="A92" s="146">
        <v>23</v>
      </c>
      <c r="B92" s="22">
        <v>1</v>
      </c>
      <c r="C92" s="10" t="s">
        <v>58</v>
      </c>
      <c r="D92" s="11">
        <v>4700</v>
      </c>
      <c r="E92" s="11">
        <v>5</v>
      </c>
      <c r="F92" s="11">
        <v>10212</v>
      </c>
      <c r="G92" s="12">
        <v>0.4</v>
      </c>
      <c r="H92" s="12">
        <v>5.6</v>
      </c>
      <c r="I92" s="11">
        <v>9901</v>
      </c>
      <c r="J92" s="12">
        <v>3.5</v>
      </c>
      <c r="K92" s="11">
        <v>14273</v>
      </c>
      <c r="L92" s="13">
        <v>6.7000000000000004E-2</v>
      </c>
      <c r="M92" s="23">
        <f>ROUND(K92*(1-L92),0)</f>
        <v>13317</v>
      </c>
      <c r="N92" s="14">
        <v>0.73</v>
      </c>
      <c r="O92" s="24">
        <f t="shared" ref="O92:O94" si="936">M92*N92</f>
        <v>9721.41</v>
      </c>
      <c r="P92" s="13">
        <v>0.19900000000000001</v>
      </c>
      <c r="Q92" s="24">
        <f t="shared" ref="Q92:Q94" si="937">M92*P92</f>
        <v>2650.0830000000001</v>
      </c>
      <c r="R92" s="15">
        <v>7.0999999999999994E-2</v>
      </c>
      <c r="S92" s="112"/>
      <c r="T92" s="24">
        <f t="shared" ref="T92:T94" si="938">M92*R92</f>
        <v>945.50699999999995</v>
      </c>
      <c r="U92" s="25">
        <v>0.219</v>
      </c>
      <c r="V92" s="24">
        <f t="shared" ref="V92:V94" si="939">M92*U92</f>
        <v>2916.4230000000002</v>
      </c>
      <c r="W92" s="15">
        <v>0.495</v>
      </c>
      <c r="X92" s="24">
        <f t="shared" ref="X92:X94" si="940">M92*W92</f>
        <v>6591.915</v>
      </c>
      <c r="Y92" s="15">
        <v>0.41</v>
      </c>
      <c r="Z92" s="24">
        <f t="shared" ref="Z92:Z94" si="941">Y92*M92</f>
        <v>5459.9699999999993</v>
      </c>
      <c r="AA92" s="116">
        <v>2.47E-3</v>
      </c>
      <c r="AB92" s="18">
        <f t="shared" ref="AB92" si="942">M92*AA92</f>
        <v>32.892989999999998</v>
      </c>
      <c r="AC92" s="16">
        <v>2.4499999999999999E-3</v>
      </c>
      <c r="AD92" s="17">
        <f t="shared" ref="AD92:AD94" si="943">M92*AC92</f>
        <v>32.626649999999998</v>
      </c>
      <c r="AE92" s="26">
        <f>IF(M92&gt;0,(AG92+AP92)/M92,0)</f>
        <v>2.4771879927911696E-3</v>
      </c>
      <c r="AF92" s="16">
        <v>1.8000000000000001E-4</v>
      </c>
      <c r="AG92" s="23">
        <f t="shared" ref="AG92:AG94" si="944">AF92*M92</f>
        <v>2.3970600000000002</v>
      </c>
      <c r="AH92" s="92">
        <v>0.21160000000000001</v>
      </c>
      <c r="AI92" s="29">
        <f t="shared" ref="AI92:AI94" si="945">AL92*(1-AM92)*AH92</f>
        <v>30.010170000000006</v>
      </c>
      <c r="AJ92" s="27">
        <f t="shared" ref="AJ92:AJ94" si="946">IF(AND(AH92&gt;0,AF92&gt;0,AC92&gt;0),((AC92-AF92)*AH92)/((AH92-AF92)*AC92),0)</f>
        <v>0.92731944731350102</v>
      </c>
      <c r="AK92" s="58">
        <f t="shared" si="682"/>
        <v>0.92811146603949124</v>
      </c>
      <c r="AL92" s="11">
        <v>155</v>
      </c>
      <c r="AM92" s="13">
        <v>8.5000000000000006E-2</v>
      </c>
      <c r="AN92" s="14">
        <v>0.2157</v>
      </c>
      <c r="AO92" s="101">
        <v>0.2112</v>
      </c>
      <c r="AP92" s="29">
        <f>AL92*(1-AM92)*AN92</f>
        <v>30.591652500000006</v>
      </c>
      <c r="AQ92" s="102">
        <f t="shared" ref="AQ92" si="947">AL92*(1-AM92)*AO92</f>
        <v>29.953440000000004</v>
      </c>
      <c r="AR92" s="18">
        <v>1.55</v>
      </c>
      <c r="AS92" s="18">
        <v>1007.82</v>
      </c>
      <c r="AT92" s="79">
        <f>AT90+AL92-AS92+AU92</f>
        <v>926.74000000000012</v>
      </c>
      <c r="AU92" s="130">
        <v>-6.72</v>
      </c>
      <c r="AV92" s="11"/>
      <c r="AW92" s="30"/>
      <c r="AX92" s="19"/>
      <c r="AY92" s="19"/>
      <c r="AZ92" s="19"/>
      <c r="BA92" s="19"/>
      <c r="BB92" s="31"/>
    </row>
    <row r="93" spans="1:54">
      <c r="A93" s="147"/>
      <c r="B93" s="32">
        <v>2</v>
      </c>
      <c r="C93" s="10" t="s">
        <v>53</v>
      </c>
      <c r="D93" s="33">
        <v>21000</v>
      </c>
      <c r="E93" s="33">
        <v>10</v>
      </c>
      <c r="F93" s="33">
        <v>13699</v>
      </c>
      <c r="G93" s="34">
        <v>0.4</v>
      </c>
      <c r="H93" s="34">
        <v>4.8</v>
      </c>
      <c r="I93" s="33">
        <v>14192</v>
      </c>
      <c r="J93" s="34">
        <v>2.8</v>
      </c>
      <c r="K93" s="33">
        <v>14244</v>
      </c>
      <c r="L93" s="35">
        <v>6.3E-2</v>
      </c>
      <c r="M93" s="36">
        <f>ROUND(K93*(1-L93),0)</f>
        <v>13347</v>
      </c>
      <c r="N93" s="37">
        <v>0.752</v>
      </c>
      <c r="O93" s="24">
        <f t="shared" si="936"/>
        <v>10036.944</v>
      </c>
      <c r="P93" s="35">
        <v>0.2</v>
      </c>
      <c r="Q93" s="24">
        <f t="shared" si="937"/>
        <v>2669.4</v>
      </c>
      <c r="R93" s="38">
        <v>4.8000000000000001E-2</v>
      </c>
      <c r="S93" s="105">
        <v>0.1915</v>
      </c>
      <c r="T93" s="24">
        <f t="shared" si="938"/>
        <v>640.65600000000006</v>
      </c>
      <c r="U93" s="27">
        <v>0.21</v>
      </c>
      <c r="V93" s="24">
        <f t="shared" si="939"/>
        <v>2802.87</v>
      </c>
      <c r="W93" s="38">
        <v>0.498</v>
      </c>
      <c r="X93" s="24">
        <f t="shared" si="940"/>
        <v>6646.8059999999996</v>
      </c>
      <c r="Y93" s="38">
        <v>0.41</v>
      </c>
      <c r="Z93" s="24">
        <f t="shared" si="941"/>
        <v>5472.2699999999995</v>
      </c>
      <c r="AA93" s="117">
        <v>2.5300000000000001E-3</v>
      </c>
      <c r="AB93" s="18">
        <f t="shared" si="766"/>
        <v>33.767910000000001</v>
      </c>
      <c r="AC93" s="39">
        <v>2.4399999999999999E-3</v>
      </c>
      <c r="AD93" s="17">
        <f t="shared" si="943"/>
        <v>32.566679999999998</v>
      </c>
      <c r="AE93" s="26">
        <f>IF(M93&gt;0,(AG93+AP93)/M93,0)</f>
        <v>2.5537899453060612E-3</v>
      </c>
      <c r="AF93" s="39">
        <v>1.8000000000000001E-4</v>
      </c>
      <c r="AG93" s="36">
        <f t="shared" si="944"/>
        <v>2.40246</v>
      </c>
      <c r="AH93" s="27">
        <v>0.21540000000000001</v>
      </c>
      <c r="AI93" s="40">
        <f t="shared" si="945"/>
        <v>30.3851856</v>
      </c>
      <c r="AJ93" s="27">
        <f t="shared" si="946"/>
        <v>0.92700416348654291</v>
      </c>
      <c r="AK93" s="28">
        <f t="shared" si="682"/>
        <v>0.93026205603277534</v>
      </c>
      <c r="AL93" s="33">
        <v>154</v>
      </c>
      <c r="AM93" s="35">
        <v>8.4000000000000005E-2</v>
      </c>
      <c r="AN93" s="37">
        <v>0.22459999999999999</v>
      </c>
      <c r="AO93" s="103">
        <v>0.2218</v>
      </c>
      <c r="AP93" s="40">
        <f>AL93*(1-AM93)*AN93</f>
        <v>31.682974399999999</v>
      </c>
      <c r="AQ93" s="104">
        <f t="shared" si="727"/>
        <v>31.287995199999997</v>
      </c>
      <c r="AR93" s="41">
        <v>1.5</v>
      </c>
      <c r="AS93" s="41"/>
      <c r="AT93" s="129">
        <f>AT92+AL93-AS93</f>
        <v>1080.7400000000002</v>
      </c>
      <c r="AU93" s="82"/>
      <c r="AV93" s="42"/>
      <c r="AW93" s="43"/>
      <c r="AX93" s="44"/>
      <c r="AY93" s="44"/>
      <c r="AZ93" s="44"/>
      <c r="BA93" s="44"/>
      <c r="BB93" s="31"/>
    </row>
    <row r="94" spans="1:54">
      <c r="A94" s="147"/>
      <c r="B94" s="32">
        <v>3</v>
      </c>
      <c r="C94" s="143" t="s">
        <v>54</v>
      </c>
      <c r="D94" s="42">
        <v>20730</v>
      </c>
      <c r="E94" s="42">
        <v>4</v>
      </c>
      <c r="F94" s="42">
        <v>15889</v>
      </c>
      <c r="G94" s="36">
        <v>0.3</v>
      </c>
      <c r="H94" s="36">
        <v>5.3</v>
      </c>
      <c r="I94" s="42">
        <v>15845</v>
      </c>
      <c r="J94" s="36">
        <v>1.5</v>
      </c>
      <c r="K94" s="42">
        <v>14010</v>
      </c>
      <c r="L94" s="38">
        <v>7.0999999999999994E-2</v>
      </c>
      <c r="M94" s="36">
        <f>ROUND(K94*(1-L94),0)</f>
        <v>13015</v>
      </c>
      <c r="N94" s="27">
        <v>0.63500000000000001</v>
      </c>
      <c r="O94" s="24">
        <f t="shared" si="936"/>
        <v>8264.5249999999996</v>
      </c>
      <c r="P94" s="38">
        <v>0.29299999999999998</v>
      </c>
      <c r="Q94" s="24">
        <f t="shared" si="937"/>
        <v>3813.395</v>
      </c>
      <c r="R94" s="38">
        <v>7.1999999999999995E-2</v>
      </c>
      <c r="S94" s="105">
        <v>0.18790000000000001</v>
      </c>
      <c r="T94" s="24">
        <f t="shared" si="938"/>
        <v>937.07999999999993</v>
      </c>
      <c r="U94" s="27">
        <v>0.214</v>
      </c>
      <c r="V94" s="24">
        <f t="shared" si="939"/>
        <v>2785.21</v>
      </c>
      <c r="W94" s="38">
        <v>0.497</v>
      </c>
      <c r="X94" s="24">
        <f t="shared" si="940"/>
        <v>6468.4549999999999</v>
      </c>
      <c r="Y94" s="38">
        <v>0.41</v>
      </c>
      <c r="Z94" s="24">
        <f t="shared" si="941"/>
        <v>5336.15</v>
      </c>
      <c r="AA94" s="118">
        <v>2.3500000000000001E-3</v>
      </c>
      <c r="AB94" s="121">
        <f t="shared" si="766"/>
        <v>30.585250000000002</v>
      </c>
      <c r="AC94" s="45">
        <v>2.3999999999999998E-3</v>
      </c>
      <c r="AD94" s="17">
        <f t="shared" si="943"/>
        <v>31.235999999999997</v>
      </c>
      <c r="AE94" s="26">
        <f>IF(M94&gt;0,(AG94+AP94)/M94,0)</f>
        <v>2.4826336381098732E-3</v>
      </c>
      <c r="AF94" s="45">
        <v>1.9000000000000001E-4</v>
      </c>
      <c r="AG94" s="36">
        <f t="shared" si="944"/>
        <v>2.4728500000000002</v>
      </c>
      <c r="AH94" s="27">
        <v>0.20430000000000001</v>
      </c>
      <c r="AI94" s="40">
        <f t="shared" si="945"/>
        <v>28.196260200000005</v>
      </c>
      <c r="AJ94" s="27">
        <f t="shared" si="946"/>
        <v>0.92169051001910729</v>
      </c>
      <c r="AK94" s="28">
        <f t="shared" si="682"/>
        <v>0.92428064213892169</v>
      </c>
      <c r="AL94" s="42">
        <v>151</v>
      </c>
      <c r="AM94" s="38">
        <v>8.5999999999999993E-2</v>
      </c>
      <c r="AN94" s="27">
        <v>0.2162</v>
      </c>
      <c r="AO94" s="105">
        <v>0.21079999999999999</v>
      </c>
      <c r="AP94" s="40">
        <f>AL94*(1-AM94)*AN94</f>
        <v>29.838626800000004</v>
      </c>
      <c r="AQ94" s="106">
        <f t="shared" si="727"/>
        <v>29.093351200000001</v>
      </c>
      <c r="AR94" s="17">
        <v>1.55</v>
      </c>
      <c r="AS94" s="17"/>
      <c r="AT94" s="129">
        <f>AT93+AL94-AS94</f>
        <v>1231.7400000000002</v>
      </c>
      <c r="AU94" s="82"/>
      <c r="AV94" s="42"/>
      <c r="AW94" s="46"/>
      <c r="AX94" s="40"/>
      <c r="AY94" s="40"/>
      <c r="AZ94" s="40"/>
      <c r="BA94" s="40"/>
      <c r="BB94" s="31"/>
    </row>
    <row r="95" spans="1:54">
      <c r="A95" s="148"/>
      <c r="B95" s="47" t="s">
        <v>56</v>
      </c>
      <c r="C95" s="48"/>
      <c r="D95" s="49">
        <f t="shared" ref="D95" si="948">SUM(D92:D94)</f>
        <v>46430</v>
      </c>
      <c r="E95" s="49"/>
      <c r="F95" s="49">
        <f t="shared" ref="F95" si="949">SUM(F92:F94)</f>
        <v>39800</v>
      </c>
      <c r="G95" s="50"/>
      <c r="H95" s="50"/>
      <c r="I95" s="49">
        <f t="shared" ref="I95:K95" si="950">SUM(I92:I94)</f>
        <v>39938</v>
      </c>
      <c r="J95" s="50"/>
      <c r="K95" s="49">
        <f t="shared" si="950"/>
        <v>42527</v>
      </c>
      <c r="L95" s="20">
        <f t="shared" ref="L95" si="951">IF(K95&gt;0,(K92*L92+K93*L93+K94*L94)/K95,0)</f>
        <v>6.6977990453123901E-2</v>
      </c>
      <c r="M95" s="50">
        <f t="shared" ref="M95" si="952">M92+M93+M94</f>
        <v>39679</v>
      </c>
      <c r="N95" s="51">
        <f t="shared" ref="N95" si="953">IF(M95&gt;0,O95/M95,0)</f>
        <v>0.70623954736762518</v>
      </c>
      <c r="O95" s="52">
        <f t="shared" ref="O95" si="954">O92+O93+O94</f>
        <v>28022.879000000001</v>
      </c>
      <c r="P95" s="20">
        <f t="shared" ref="P95" si="955">IF(M95&gt;0,Q95/M95,0)</f>
        <v>0.23016905667985585</v>
      </c>
      <c r="Q95" s="52">
        <f t="shared" ref="Q95" si="956">Q92+Q93+Q94</f>
        <v>9132.8780000000006</v>
      </c>
      <c r="R95" s="20">
        <f t="shared" ref="R95" si="957">IF(M95&gt;0,T95/M95,0)</f>
        <v>6.3591395952518961E-2</v>
      </c>
      <c r="S95" s="107"/>
      <c r="T95" s="52">
        <f t="shared" ref="T95" si="958">T92+T93+T94</f>
        <v>2523.2429999999999</v>
      </c>
      <c r="U95" s="20">
        <f t="shared" ref="U95" si="959">IF(M95&gt;0,V95/M95,0)</f>
        <v>0.21433259406739083</v>
      </c>
      <c r="V95" s="52">
        <f t="shared" ref="V95" si="960">V92+V93+V94</f>
        <v>8504.5030000000006</v>
      </c>
      <c r="W95" s="20">
        <f t="shared" ref="W95" si="961">IF(M95&gt;0,X95/M95,0)</f>
        <v>0.49666513773028553</v>
      </c>
      <c r="X95" s="52">
        <f t="shared" ref="X95" si="962">X92+X93+X94</f>
        <v>19707.175999999999</v>
      </c>
      <c r="Y95" s="20">
        <f t="shared" ref="Y95" si="963">IF(M95&gt;0,Z95/M95,0)</f>
        <v>0.40999999999999992</v>
      </c>
      <c r="Z95" s="52">
        <f t="shared" ref="Z95" si="964">Z92+Z93+Z94</f>
        <v>16268.389999999998</v>
      </c>
      <c r="AA95" s="119">
        <f t="shared" ref="AA95" si="965">IF(M95&gt;0,AB95/M95,0)</f>
        <v>2.4508215932861209E-3</v>
      </c>
      <c r="AB95" s="54">
        <f t="shared" ref="AB95" si="966">SUM(AB92:AB94)</f>
        <v>97.24615</v>
      </c>
      <c r="AC95" s="53">
        <f t="shared" ref="AC95" si="967">IF(M95&gt;0,AD95/M95,0)</f>
        <v>2.4302358930416591E-3</v>
      </c>
      <c r="AD95" s="54">
        <f t="shared" ref="AD95" si="968">SUM(AD92:AD94)</f>
        <v>96.429329999999993</v>
      </c>
      <c r="AE95" s="53">
        <f t="shared" ref="AE95" si="969">IF(M95&gt;0,(AE92*M92+AE93*M93+AE94*M94)/M95,0)</f>
        <v>2.5047411401497013E-3</v>
      </c>
      <c r="AF95" s="53">
        <f t="shared" ref="AF95" si="970">IF(K95&gt;0,(K92*AF92+K93*AF93+K94*AF94)/K95,0)</f>
        <v>1.8329437768946789E-4</v>
      </c>
      <c r="AG95" s="50">
        <f t="shared" ref="AG95" si="971">SUM(AG92:AG94)</f>
        <v>7.2723700000000004</v>
      </c>
      <c r="AH95" s="51">
        <f t="shared" ref="AH95" si="972">IF(K95&gt;0,(K92*AH92+K93*AH93+K94*AH94)/K95,0)</f>
        <v>0.21046787687821855</v>
      </c>
      <c r="AI95" s="56">
        <f t="shared" ref="AI95" si="973">SUM(AI92:AI94)</f>
        <v>88.5916158</v>
      </c>
      <c r="AJ95" s="51">
        <f t="shared" ref="AJ95" si="974">IF(AND(AD95&gt;0),((AD92*AJ92+AD93*AJ93+AD94*AJ94)/AD95),0)</f>
        <v>0.92538960674705295</v>
      </c>
      <c r="AK95" s="55">
        <f t="shared" si="682"/>
        <v>0.92759794001462348</v>
      </c>
      <c r="AL95" s="49">
        <f t="shared" ref="AL95" si="975">SUM(AL92:AL94)</f>
        <v>460</v>
      </c>
      <c r="AM95" s="20">
        <f t="shared" ref="AM95" si="976">IF(AL95&gt;0,(AM92*AL92+AM93*AL93+AM94*AL94)/AL95,0)</f>
        <v>8.4993478260869573E-2</v>
      </c>
      <c r="AN95" s="51">
        <f>IF(K95&gt;0,(AN92*K92+AN93*K93+AN94*K94)/K95,0)</f>
        <v>0.21884568626989914</v>
      </c>
      <c r="AO95" s="107">
        <f>IF(L95&gt;0,(AO92*K92+AO93*K93+AO94*K94)/K95,0)</f>
        <v>0.21461859054247892</v>
      </c>
      <c r="AP95" s="56">
        <f t="shared" ref="AP95" si="977">SUM(AP92:AP94)</f>
        <v>92.113253700000001</v>
      </c>
      <c r="AQ95" s="108">
        <f t="shared" si="933"/>
        <v>90.334786399999999</v>
      </c>
      <c r="AR95" s="54"/>
      <c r="AS95" s="54">
        <f t="shared" ref="AS95" si="978">SUM(AS92:AS94)</f>
        <v>1007.82</v>
      </c>
      <c r="AT95" s="83"/>
      <c r="AU95" s="84">
        <f>AT94</f>
        <v>1231.7400000000002</v>
      </c>
      <c r="AV95" s="49">
        <f t="shared" ref="AV95" si="979">SUM(AV92:AV94)</f>
        <v>0</v>
      </c>
      <c r="AW95" s="57"/>
      <c r="AX95" s="56"/>
      <c r="AY95" s="56"/>
      <c r="AZ95" s="56"/>
      <c r="BA95" s="56"/>
      <c r="BB95" s="21"/>
    </row>
    <row r="96" spans="1:54">
      <c r="A96" s="146">
        <v>24</v>
      </c>
      <c r="B96" s="22">
        <v>1</v>
      </c>
      <c r="C96" s="10" t="s">
        <v>59</v>
      </c>
      <c r="D96" s="11">
        <v>6033</v>
      </c>
      <c r="E96" s="11">
        <v>3</v>
      </c>
      <c r="F96" s="11">
        <v>8351</v>
      </c>
      <c r="G96" s="12">
        <v>0.7</v>
      </c>
      <c r="H96" s="12">
        <v>5.5</v>
      </c>
      <c r="I96" s="11">
        <v>8935</v>
      </c>
      <c r="J96" s="12">
        <v>4</v>
      </c>
      <c r="K96" s="11">
        <v>14134</v>
      </c>
      <c r="L96" s="13">
        <v>6.9000000000000006E-2</v>
      </c>
      <c r="M96" s="23">
        <f>ROUND(K96*(1-L96),0)</f>
        <v>13159</v>
      </c>
      <c r="N96" s="14">
        <v>0.73</v>
      </c>
      <c r="O96" s="24">
        <f t="shared" ref="O96:O98" si="980">M96*N96</f>
        <v>9606.07</v>
      </c>
      <c r="P96" s="13">
        <v>0.23400000000000001</v>
      </c>
      <c r="Q96" s="24">
        <f t="shared" ref="Q96:Q98" si="981">M96*P96</f>
        <v>3079.2060000000001</v>
      </c>
      <c r="R96" s="15">
        <v>3.5999999999999997E-2</v>
      </c>
      <c r="S96" s="112">
        <v>0.19869999999999999</v>
      </c>
      <c r="T96" s="24">
        <f t="shared" ref="T96:T98" si="982">M96*R96</f>
        <v>473.72399999999999</v>
      </c>
      <c r="U96" s="25">
        <v>0.216</v>
      </c>
      <c r="V96" s="24">
        <f t="shared" ref="V96:V98" si="983">M96*U96</f>
        <v>2842.3440000000001</v>
      </c>
      <c r="W96" s="15">
        <v>0.496</v>
      </c>
      <c r="X96" s="24">
        <f t="shared" ref="X96:X98" si="984">M96*W96</f>
        <v>6526.8639999999996</v>
      </c>
      <c r="Y96" s="15">
        <v>0.4</v>
      </c>
      <c r="Z96" s="24">
        <f t="shared" ref="Z96:Z98" si="985">Y96*M96</f>
        <v>5263.6</v>
      </c>
      <c r="AA96" s="116">
        <v>2.4599999999999999E-3</v>
      </c>
      <c r="AB96" s="18">
        <f t="shared" ref="AB96" si="986">M96*AA96</f>
        <v>32.371139999999997</v>
      </c>
      <c r="AC96" s="16">
        <v>2.3900000000000002E-3</v>
      </c>
      <c r="AD96" s="17">
        <f t="shared" ref="AD96:AD98" si="987">M96*AC96</f>
        <v>31.450010000000002</v>
      </c>
      <c r="AE96" s="26">
        <f>IF(M96&gt;0,(AG96+AP96)/M96,0)</f>
        <v>2.3518983205410749E-3</v>
      </c>
      <c r="AF96" s="16">
        <v>1.9000000000000001E-4</v>
      </c>
      <c r="AG96" s="23">
        <f t="shared" ref="AG96:AG98" si="988">AF96*M96</f>
        <v>2.50021</v>
      </c>
      <c r="AH96" s="92">
        <v>0.2127</v>
      </c>
      <c r="AI96" s="29">
        <f t="shared" ref="AI96:AI98" si="989">AL96*(1-AM96)*AH96</f>
        <v>28.065765000000003</v>
      </c>
      <c r="AJ96" s="27">
        <f t="shared" ref="AJ96:AJ98" si="990">IF(AND(AH96&gt;0,AF96&gt;0,AC96&gt;0),((AC96-AF96)*AH96)/((AH96-AF96)*AC96),0)</f>
        <v>0.92132509048552758</v>
      </c>
      <c r="AK96" s="58">
        <f t="shared" si="682"/>
        <v>0.92002497729806798</v>
      </c>
      <c r="AL96" s="11">
        <v>145</v>
      </c>
      <c r="AM96" s="13">
        <v>0.09</v>
      </c>
      <c r="AN96" s="14">
        <v>0.21560000000000001</v>
      </c>
      <c r="AO96" s="101">
        <v>0.21440000000000001</v>
      </c>
      <c r="AP96" s="29">
        <f>AL96*(1-AM96)*AN96</f>
        <v>28.448420000000006</v>
      </c>
      <c r="AQ96" s="102">
        <f t="shared" ref="AQ96" si="991">AL96*(1-AM96)*AO96</f>
        <v>28.290080000000003</v>
      </c>
      <c r="AR96" s="18">
        <v>1.55</v>
      </c>
      <c r="AS96" s="18">
        <v>1007.28</v>
      </c>
      <c r="AT96" s="79">
        <f>AT94+AL96-AS96+AU96</f>
        <v>374.40000000000026</v>
      </c>
      <c r="AU96" s="130">
        <v>4.9400000000000004</v>
      </c>
      <c r="AV96" s="11"/>
      <c r="AW96" s="30"/>
      <c r="AX96" s="19"/>
      <c r="AY96" s="19"/>
      <c r="AZ96" s="19"/>
      <c r="BA96" s="19"/>
      <c r="BB96" s="31"/>
    </row>
    <row r="97" spans="1:54">
      <c r="A97" s="147"/>
      <c r="B97" s="32">
        <v>2</v>
      </c>
      <c r="C97" s="10" t="s">
        <v>57</v>
      </c>
      <c r="D97" s="33">
        <v>18600</v>
      </c>
      <c r="E97" s="33">
        <v>7</v>
      </c>
      <c r="F97" s="33">
        <v>15405</v>
      </c>
      <c r="G97" s="34">
        <v>0.7</v>
      </c>
      <c r="H97" s="34">
        <v>5.7</v>
      </c>
      <c r="I97" s="33">
        <v>15050</v>
      </c>
      <c r="J97" s="34">
        <v>2.8</v>
      </c>
      <c r="K97" s="33">
        <v>14105</v>
      </c>
      <c r="L97" s="35">
        <v>6.9000000000000006E-2</v>
      </c>
      <c r="M97" s="36">
        <f>ROUND(K97*(1-L97),0)</f>
        <v>13132</v>
      </c>
      <c r="N97" s="37">
        <v>0.67100000000000004</v>
      </c>
      <c r="O97" s="24">
        <f t="shared" si="980"/>
        <v>8811.5720000000001</v>
      </c>
      <c r="P97" s="35">
        <v>0.245</v>
      </c>
      <c r="Q97" s="24">
        <f t="shared" si="981"/>
        <v>3217.34</v>
      </c>
      <c r="R97" s="38">
        <v>8.4000000000000005E-2</v>
      </c>
      <c r="S97" s="105">
        <v>0.20649999999999999</v>
      </c>
      <c r="T97" s="24">
        <f t="shared" si="982"/>
        <v>1103.088</v>
      </c>
      <c r="U97" s="27">
        <v>0.20699999999999999</v>
      </c>
      <c r="V97" s="24">
        <f t="shared" si="983"/>
        <v>2718.3240000000001</v>
      </c>
      <c r="W97" s="38">
        <v>0.498</v>
      </c>
      <c r="X97" s="24">
        <f t="shared" si="984"/>
        <v>6539.7359999999999</v>
      </c>
      <c r="Y97" s="38">
        <v>0.42</v>
      </c>
      <c r="Z97" s="24">
        <f t="shared" si="985"/>
        <v>5515.44</v>
      </c>
      <c r="AA97" s="117">
        <v>2.5300000000000001E-3</v>
      </c>
      <c r="AB97" s="18">
        <f t="shared" si="766"/>
        <v>33.223960000000005</v>
      </c>
      <c r="AC97" s="39">
        <v>2.49E-3</v>
      </c>
      <c r="AD97" s="17">
        <f t="shared" si="987"/>
        <v>32.698680000000003</v>
      </c>
      <c r="AE97" s="26">
        <f>IF(M97&gt;0,(AG97+AP97)/M97,0)</f>
        <v>2.353324520255864E-3</v>
      </c>
      <c r="AF97" s="39">
        <v>1.9000000000000001E-4</v>
      </c>
      <c r="AG97" s="36">
        <f t="shared" si="988"/>
        <v>2.4950800000000002</v>
      </c>
      <c r="AH97" s="27">
        <v>0.2099</v>
      </c>
      <c r="AI97" s="40">
        <f t="shared" si="989"/>
        <v>28.207201600000005</v>
      </c>
      <c r="AJ97" s="27">
        <f t="shared" si="990"/>
        <v>0.92453165865502918</v>
      </c>
      <c r="AK97" s="28">
        <f t="shared" si="682"/>
        <v>0.9200901032143276</v>
      </c>
      <c r="AL97" s="33">
        <v>148</v>
      </c>
      <c r="AM97" s="35">
        <v>9.1999999999999998E-2</v>
      </c>
      <c r="AN97" s="37">
        <v>0.2114</v>
      </c>
      <c r="AO97" s="103">
        <v>0.20660000000000001</v>
      </c>
      <c r="AP97" s="40">
        <f>AL97*(1-AM97)*AN97</f>
        <v>28.408777600000004</v>
      </c>
      <c r="AQ97" s="104">
        <f t="shared" si="727"/>
        <v>27.763734400000004</v>
      </c>
      <c r="AR97" s="41">
        <v>1.5</v>
      </c>
      <c r="AS97" s="41"/>
      <c r="AT97" s="129">
        <f>AT96+AL97-AS97</f>
        <v>522.40000000000032</v>
      </c>
      <c r="AU97" s="82"/>
      <c r="AV97" s="42"/>
      <c r="AW97" s="43"/>
      <c r="AX97" s="44"/>
      <c r="AY97" s="44"/>
      <c r="AZ97" s="44"/>
      <c r="BA97" s="44"/>
      <c r="BB97" s="31"/>
    </row>
    <row r="98" spans="1:54">
      <c r="A98" s="147"/>
      <c r="B98" s="32">
        <v>3</v>
      </c>
      <c r="C98" s="143" t="s">
        <v>54</v>
      </c>
      <c r="D98" s="42">
        <v>21432</v>
      </c>
      <c r="E98" s="42">
        <v>2</v>
      </c>
      <c r="F98" s="42">
        <v>15304</v>
      </c>
      <c r="G98" s="36">
        <v>0.7</v>
      </c>
      <c r="H98" s="36">
        <v>4.4000000000000004</v>
      </c>
      <c r="I98" s="42">
        <v>15777</v>
      </c>
      <c r="J98" s="36">
        <v>1.9</v>
      </c>
      <c r="K98" s="42">
        <v>14584</v>
      </c>
      <c r="L98" s="38">
        <v>7.0999999999999994E-2</v>
      </c>
      <c r="M98" s="36">
        <f>ROUND(K98*(1-L98),0)</f>
        <v>13549</v>
      </c>
      <c r="N98" s="27">
        <v>0.58499999999999996</v>
      </c>
      <c r="O98" s="24">
        <f t="shared" si="980"/>
        <v>7926.165</v>
      </c>
      <c r="P98" s="38">
        <v>0.32500000000000001</v>
      </c>
      <c r="Q98" s="24">
        <f t="shared" si="981"/>
        <v>4403.4250000000002</v>
      </c>
      <c r="R98" s="38">
        <v>0.09</v>
      </c>
      <c r="S98" s="105">
        <v>0.2016</v>
      </c>
      <c r="T98" s="24">
        <f t="shared" si="982"/>
        <v>1219.4099999999999</v>
      </c>
      <c r="U98" s="27">
        <v>0.21299999999999999</v>
      </c>
      <c r="V98" s="24">
        <f t="shared" si="983"/>
        <v>2885.9369999999999</v>
      </c>
      <c r="W98" s="38">
        <v>0.505</v>
      </c>
      <c r="X98" s="24">
        <f t="shared" si="984"/>
        <v>6842.2449999999999</v>
      </c>
      <c r="Y98" s="38">
        <v>0.4</v>
      </c>
      <c r="Z98" s="24">
        <f t="shared" si="985"/>
        <v>5419.6</v>
      </c>
      <c r="AA98" s="118">
        <v>2.2000000000000001E-3</v>
      </c>
      <c r="AB98" s="121">
        <f t="shared" si="766"/>
        <v>29.8078</v>
      </c>
      <c r="AC98" s="45">
        <v>2.0899999999999998E-3</v>
      </c>
      <c r="AD98" s="17">
        <f t="shared" si="987"/>
        <v>28.317409999999999</v>
      </c>
      <c r="AE98" s="26">
        <f>IF(M98&gt;0,(AG98+AP98)/M98,0)</f>
        <v>2.1160997121558787E-3</v>
      </c>
      <c r="AF98" s="45">
        <v>1.7000000000000001E-4</v>
      </c>
      <c r="AG98" s="36">
        <f t="shared" si="988"/>
        <v>2.3033300000000003</v>
      </c>
      <c r="AH98" s="27">
        <v>0.2016</v>
      </c>
      <c r="AI98" s="40">
        <f t="shared" si="989"/>
        <v>25.133472000000001</v>
      </c>
      <c r="AJ98" s="27">
        <f t="shared" si="990"/>
        <v>0.91943560480364439</v>
      </c>
      <c r="AK98" s="28">
        <f t="shared" si="682"/>
        <v>0.92040332513248069</v>
      </c>
      <c r="AL98" s="42">
        <v>137</v>
      </c>
      <c r="AM98" s="38">
        <v>0.09</v>
      </c>
      <c r="AN98" s="27">
        <v>0.21149999999999999</v>
      </c>
      <c r="AO98" s="105">
        <v>0.2069</v>
      </c>
      <c r="AP98" s="40">
        <f>AL98*(1-AM98)*AN98</f>
        <v>26.367705000000001</v>
      </c>
      <c r="AQ98" s="106">
        <f t="shared" si="727"/>
        <v>25.794222999999999</v>
      </c>
      <c r="AR98" s="17">
        <v>1.5</v>
      </c>
      <c r="AS98" s="17"/>
      <c r="AT98" s="129">
        <f>AT97+AL98-AS98</f>
        <v>659.40000000000032</v>
      </c>
      <c r="AU98" s="82"/>
      <c r="AV98" s="42"/>
      <c r="AW98" s="46"/>
      <c r="AX98" s="40"/>
      <c r="AY98" s="40"/>
      <c r="AZ98" s="40"/>
      <c r="BA98" s="40"/>
      <c r="BB98" s="31"/>
    </row>
    <row r="99" spans="1:54">
      <c r="A99" s="148"/>
      <c r="B99" s="47" t="s">
        <v>56</v>
      </c>
      <c r="C99" s="48"/>
      <c r="D99" s="49">
        <f t="shared" ref="D99" si="992">SUM(D96:D98)</f>
        <v>46065</v>
      </c>
      <c r="E99" s="49"/>
      <c r="F99" s="49">
        <f t="shared" ref="F99" si="993">SUM(F96:F98)</f>
        <v>39060</v>
      </c>
      <c r="G99" s="50"/>
      <c r="H99" s="50"/>
      <c r="I99" s="49">
        <f t="shared" ref="I99:K99" si="994">SUM(I96:I98)</f>
        <v>39762</v>
      </c>
      <c r="J99" s="50"/>
      <c r="K99" s="49">
        <f t="shared" si="994"/>
        <v>42823</v>
      </c>
      <c r="L99" s="20">
        <f t="shared" ref="L99" si="995">IF(K99&gt;0,(K96*L96+K97*L97+K98*L98)/K99,0)</f>
        <v>6.9681129299675404E-2</v>
      </c>
      <c r="M99" s="50">
        <f t="shared" ref="M99" si="996">M96+M97+M98</f>
        <v>39840</v>
      </c>
      <c r="N99" s="51">
        <f t="shared" ref="N99" si="997">IF(M99&gt;0,O99/M99,0)</f>
        <v>0.66124013554216865</v>
      </c>
      <c r="O99" s="52">
        <f t="shared" ref="O99" si="998">O96+O97+O98</f>
        <v>26343.807000000001</v>
      </c>
      <c r="P99" s="20">
        <f t="shared" ref="P99" si="999">IF(M99&gt;0,Q99/M99,0)</f>
        <v>0.26857356927710846</v>
      </c>
      <c r="Q99" s="52">
        <f t="shared" ref="Q99" si="1000">Q96+Q97+Q98</f>
        <v>10699.971000000001</v>
      </c>
      <c r="R99" s="20">
        <f t="shared" ref="R99" si="1001">IF(M99&gt;0,T99/M99,0)</f>
        <v>7.0186295180722891E-2</v>
      </c>
      <c r="S99" s="107"/>
      <c r="T99" s="52">
        <f t="shared" ref="T99" si="1002">T96+T97+T98</f>
        <v>2796.2219999999998</v>
      </c>
      <c r="U99" s="20">
        <f t="shared" ref="U99" si="1003">IF(M99&gt;0,V99/M99,0)</f>
        <v>0.21201317771084335</v>
      </c>
      <c r="V99" s="52">
        <f t="shared" ref="V99" si="1004">V96+V97+V98</f>
        <v>8446.6049999999996</v>
      </c>
      <c r="W99" s="20">
        <f t="shared" ref="W99" si="1005">IF(M99&gt;0,X99/M99,0)</f>
        <v>0.49972000502008024</v>
      </c>
      <c r="X99" s="52">
        <f t="shared" ref="X99" si="1006">X96+X97+X98</f>
        <v>19908.844999999998</v>
      </c>
      <c r="Y99" s="20">
        <f t="shared" ref="Y99" si="1007">IF(M99&gt;0,Z99/M99,0)</f>
        <v>0.40659236947791166</v>
      </c>
      <c r="Z99" s="52">
        <f t="shared" ref="Z99" si="1008">Z96+Z97+Z98</f>
        <v>16198.640000000001</v>
      </c>
      <c r="AA99" s="119">
        <f t="shared" ref="AA99" si="1009">IF(M99&gt;0,AB99/M99,0)</f>
        <v>2.3946511044176709E-3</v>
      </c>
      <c r="AB99" s="54">
        <f t="shared" ref="AB99" si="1010">SUM(AB96:AB98)</f>
        <v>95.402900000000002</v>
      </c>
      <c r="AC99" s="53">
        <f t="shared" ref="AC99" si="1011">IF(M99&gt;0,AD99/M99,0)</f>
        <v>2.3209362449799196E-3</v>
      </c>
      <c r="AD99" s="54">
        <f t="shared" ref="AD99" si="1012">SUM(AD96:AD98)</f>
        <v>92.466099999999997</v>
      </c>
      <c r="AE99" s="53">
        <f t="shared" ref="AE99" si="1013">IF(M99&gt;0,(AE96*M96+AE97*M97+AE98*M98)/M99,0)</f>
        <v>2.2721767720883536E-3</v>
      </c>
      <c r="AF99" s="53">
        <f t="shared" ref="AF99" si="1014">IF(K99&gt;0,(K96*AF96+K97*AF97+K98*AF98)/K99,0)</f>
        <v>1.8318870700324594E-4</v>
      </c>
      <c r="AG99" s="50">
        <f t="shared" ref="AG99" si="1015">SUM(AG96:AG98)</f>
        <v>7.2986200000000014</v>
      </c>
      <c r="AH99" s="51">
        <f t="shared" ref="AH99" si="1016">IF(K99&gt;0,(K96*AH96+K97*AH97+K98*AH98)/K99,0)</f>
        <v>0.20799747098521826</v>
      </c>
      <c r="AI99" s="56">
        <f t="shared" ref="AI99" si="1017">SUM(AI96:AI98)</f>
        <v>81.406438600000001</v>
      </c>
      <c r="AJ99" s="51">
        <f t="shared" ref="AJ99" si="1018">IF(AND(AD99&gt;0),((AD96*AJ96+AD97*AJ97+AD98*AJ98)/AD99),0)</f>
        <v>0.92188037729582573</v>
      </c>
      <c r="AK99" s="55">
        <f t="shared" si="682"/>
        <v>0.920169492127905</v>
      </c>
      <c r="AL99" s="49">
        <f t="shared" ref="AL99" si="1019">SUM(AL96:AL98)</f>
        <v>430</v>
      </c>
      <c r="AM99" s="20">
        <f t="shared" ref="AM99" si="1020">IF(AL99&gt;0,(AM96*AL96+AM97*AL97+AM98*AL98)/AL99,0)</f>
        <v>9.0688372093023245E-2</v>
      </c>
      <c r="AN99" s="51">
        <f>IF(K99&gt;0,(AN96*K96+AN97*K97+AN98*K98)/K99,0)</f>
        <v>0.21282029283329051</v>
      </c>
      <c r="AO99" s="107">
        <f>IF(L99&gt;0,(AO96*K96+AO97*K97+AO98*K98)/K99,0)</f>
        <v>0.20927660836466383</v>
      </c>
      <c r="AP99" s="56">
        <f t="shared" ref="AP99" si="1021">SUM(AP96:AP98)</f>
        <v>83.224902600000007</v>
      </c>
      <c r="AQ99" s="108">
        <f t="shared" si="933"/>
        <v>81.84803740000001</v>
      </c>
      <c r="AR99" s="54"/>
      <c r="AS99" s="54">
        <f t="shared" ref="AS99" si="1022">SUM(AS96:AS98)</f>
        <v>1007.28</v>
      </c>
      <c r="AT99" s="83"/>
      <c r="AU99" s="84">
        <f>AT98</f>
        <v>659.40000000000032</v>
      </c>
      <c r="AV99" s="49">
        <f t="shared" ref="AV99" si="1023">SUM(AV96:AV98)</f>
        <v>0</v>
      </c>
      <c r="AW99" s="57"/>
      <c r="AX99" s="56"/>
      <c r="AY99" s="56"/>
      <c r="AZ99" s="56"/>
      <c r="BA99" s="56"/>
      <c r="BB99" s="21"/>
    </row>
    <row r="100" spans="1:54">
      <c r="A100" s="150">
        <v>25</v>
      </c>
      <c r="B100" s="32">
        <v>1</v>
      </c>
      <c r="C100" s="10" t="s">
        <v>59</v>
      </c>
      <c r="D100" s="11">
        <v>1021</v>
      </c>
      <c r="E100" s="11">
        <v>4</v>
      </c>
      <c r="F100" s="11">
        <v>9939</v>
      </c>
      <c r="G100" s="12">
        <v>0.5</v>
      </c>
      <c r="H100" s="12">
        <v>5.3</v>
      </c>
      <c r="I100" s="11">
        <v>10566</v>
      </c>
      <c r="J100" s="12">
        <v>3.8</v>
      </c>
      <c r="K100" s="11">
        <v>15211</v>
      </c>
      <c r="L100" s="13">
        <v>7.3999999999999996E-2</v>
      </c>
      <c r="M100" s="23">
        <f>ROUND(K100*(1-L100),0)</f>
        <v>14085</v>
      </c>
      <c r="N100" s="14">
        <v>0.64200000000000002</v>
      </c>
      <c r="O100" s="24">
        <f t="shared" ref="O100:O102" si="1024">M100*N100</f>
        <v>9042.57</v>
      </c>
      <c r="P100" s="13">
        <v>0.27900000000000003</v>
      </c>
      <c r="Q100" s="24">
        <f t="shared" ref="Q100:Q102" si="1025">M100*P100</f>
        <v>3929.7150000000001</v>
      </c>
      <c r="R100" s="15">
        <v>7.9000000000000001E-2</v>
      </c>
      <c r="S100" s="112">
        <v>0.21529999999999999</v>
      </c>
      <c r="T100" s="24">
        <f t="shared" ref="T100:T102" si="1026">M100*R100</f>
        <v>1112.7149999999999</v>
      </c>
      <c r="U100" s="25">
        <v>0.23400000000000001</v>
      </c>
      <c r="V100" s="24">
        <f t="shared" ref="V100:V102" si="1027">M100*U100</f>
        <v>3295.8900000000003</v>
      </c>
      <c r="W100" s="15">
        <v>0.48299999999999998</v>
      </c>
      <c r="X100" s="24">
        <f t="shared" ref="X100:X102" si="1028">M100*W100</f>
        <v>6803.0549999999994</v>
      </c>
      <c r="Y100" s="15">
        <v>0.42</v>
      </c>
      <c r="Z100" s="24">
        <f t="shared" ref="Z100:Z102" si="1029">Y100*M100</f>
        <v>5915.7</v>
      </c>
      <c r="AA100" s="116">
        <v>2.3E-3</v>
      </c>
      <c r="AB100" s="18">
        <f t="shared" ref="AB100" si="1030">M100*AA100</f>
        <v>32.395499999999998</v>
      </c>
      <c r="AC100" s="16">
        <v>2.1299999999999999E-3</v>
      </c>
      <c r="AD100" s="17">
        <f t="shared" ref="AD100:AD102" si="1031">M100*AC100</f>
        <v>30.001049999999999</v>
      </c>
      <c r="AE100" s="26">
        <f>IF(M100&gt;0,(AG100+AP100)/M100,0)</f>
        <v>2.1932385942492016E-3</v>
      </c>
      <c r="AF100" s="16">
        <v>2.0000000000000001E-4</v>
      </c>
      <c r="AG100" s="23">
        <f t="shared" ref="AG100:AG102" si="1032">AF100*M100</f>
        <v>2.8170000000000002</v>
      </c>
      <c r="AH100" s="92">
        <v>0.2185</v>
      </c>
      <c r="AI100" s="29">
        <f t="shared" ref="AI100:AI102" si="1033">AL100*(1-AM100)*AH100</f>
        <v>29.100267000000002</v>
      </c>
      <c r="AJ100" s="27">
        <f t="shared" ref="AJ100:AJ102" si="1034">IF(AND(AH100&gt;0,AF100&gt;0,AC100&gt;0),((AC100-AF100)*AH100)/((AH100-AF100)*AC100),0)</f>
        <v>0.90693343140227844</v>
      </c>
      <c r="AK100" s="58">
        <f t="shared" si="682"/>
        <v>0.90967371886722115</v>
      </c>
      <c r="AL100" s="11">
        <v>147</v>
      </c>
      <c r="AM100" s="13">
        <v>9.4E-2</v>
      </c>
      <c r="AN100" s="14">
        <v>0.21079999999999999</v>
      </c>
      <c r="AO100" s="101">
        <v>0.21079999999999999</v>
      </c>
      <c r="AP100" s="29">
        <f>AL100*(1-AM100)*AN100</f>
        <v>28.074765600000003</v>
      </c>
      <c r="AQ100" s="102">
        <f t="shared" ref="AQ100" si="1035">AL100*(1-AM100)*AO100</f>
        <v>28.074765600000003</v>
      </c>
      <c r="AR100" s="18">
        <v>1.6</v>
      </c>
      <c r="AS100" s="18">
        <v>501.52</v>
      </c>
      <c r="AT100" s="79">
        <f>AT98+AL100-AS100</f>
        <v>304.88000000000034</v>
      </c>
      <c r="AU100" s="134"/>
      <c r="AV100" s="11"/>
      <c r="AW100" s="30"/>
      <c r="AX100" s="19"/>
      <c r="AY100" s="19"/>
      <c r="AZ100" s="19"/>
      <c r="BA100" s="19"/>
      <c r="BB100" s="31"/>
    </row>
    <row r="101" spans="1:54">
      <c r="A101" s="150"/>
      <c r="B101" s="32">
        <v>2</v>
      </c>
      <c r="C101" s="10" t="s">
        <v>57</v>
      </c>
      <c r="D101" s="33">
        <v>19100</v>
      </c>
      <c r="E101" s="33">
        <v>7</v>
      </c>
      <c r="F101" s="33">
        <v>14952</v>
      </c>
      <c r="G101" s="34">
        <v>0.9</v>
      </c>
      <c r="H101" s="34">
        <v>5.7</v>
      </c>
      <c r="I101" s="33">
        <v>14773</v>
      </c>
      <c r="J101" s="34">
        <v>4.3</v>
      </c>
      <c r="K101" s="33">
        <v>16385</v>
      </c>
      <c r="L101" s="35">
        <v>6.6000000000000003E-2</v>
      </c>
      <c r="M101" s="36">
        <f>ROUND(K101*(1-L101),0)</f>
        <v>15304</v>
      </c>
      <c r="N101" s="37">
        <v>0.64</v>
      </c>
      <c r="O101" s="24">
        <f t="shared" si="1024"/>
        <v>9794.56</v>
      </c>
      <c r="P101" s="35">
        <v>0.309</v>
      </c>
      <c r="Q101" s="24">
        <f t="shared" si="1025"/>
        <v>4728.9359999999997</v>
      </c>
      <c r="R101" s="38">
        <v>5.0999999999999997E-2</v>
      </c>
      <c r="S101" s="105">
        <v>0.2205</v>
      </c>
      <c r="T101" s="24">
        <f t="shared" si="1026"/>
        <v>780.50399999999991</v>
      </c>
      <c r="U101" s="27">
        <v>0.24099999999999999</v>
      </c>
      <c r="V101" s="24">
        <f t="shared" si="1027"/>
        <v>3688.2639999999997</v>
      </c>
      <c r="W101" s="38">
        <v>0.47499999999999998</v>
      </c>
      <c r="X101" s="24">
        <f t="shared" si="1028"/>
        <v>7269.4</v>
      </c>
      <c r="Y101" s="38">
        <v>0.43</v>
      </c>
      <c r="Z101" s="24">
        <f t="shared" si="1029"/>
        <v>6580.72</v>
      </c>
      <c r="AA101" s="117">
        <v>2.3500000000000001E-3</v>
      </c>
      <c r="AB101" s="18">
        <f t="shared" si="766"/>
        <v>35.964400000000005</v>
      </c>
      <c r="AC101" s="39">
        <v>2.31E-3</v>
      </c>
      <c r="AD101" s="17">
        <f t="shared" si="1031"/>
        <v>35.352240000000002</v>
      </c>
      <c r="AE101" s="26">
        <f>IF(M101&gt;0,(AG101+AP101)/M101,0)</f>
        <v>2.3864585859905904E-3</v>
      </c>
      <c r="AF101" s="39">
        <v>2.5000000000000001E-4</v>
      </c>
      <c r="AG101" s="36">
        <f t="shared" si="1032"/>
        <v>3.8260000000000001</v>
      </c>
      <c r="AH101" s="27">
        <v>0.21479999999999999</v>
      </c>
      <c r="AI101" s="40">
        <f t="shared" si="1033"/>
        <v>32.499669599999997</v>
      </c>
      <c r="AJ101" s="27">
        <f t="shared" si="1034"/>
        <v>0.89281401423093343</v>
      </c>
      <c r="AK101" s="28">
        <f t="shared" si="682"/>
        <v>0.89627914346508097</v>
      </c>
      <c r="AL101" s="33">
        <v>167</v>
      </c>
      <c r="AM101" s="35">
        <v>9.4E-2</v>
      </c>
      <c r="AN101" s="37">
        <v>0.21609999999999999</v>
      </c>
      <c r="AO101" s="103">
        <v>0.20230000000000001</v>
      </c>
      <c r="AP101" s="40">
        <f>AL101*(1-AM101)*AN101</f>
        <v>32.696362199999996</v>
      </c>
      <c r="AQ101" s="104">
        <f t="shared" si="727"/>
        <v>30.6083946</v>
      </c>
      <c r="AR101" s="41">
        <v>1.55</v>
      </c>
      <c r="AS101" s="41"/>
      <c r="AT101" s="129">
        <f>AT100+AL101-AS101</f>
        <v>471.88000000000034</v>
      </c>
      <c r="AU101" s="82"/>
      <c r="AV101" s="42"/>
      <c r="AW101" s="43"/>
      <c r="AX101" s="44"/>
      <c r="AY101" s="44"/>
      <c r="AZ101" s="44"/>
      <c r="BA101" s="44"/>
      <c r="BB101" s="31"/>
    </row>
    <row r="102" spans="1:54">
      <c r="A102" s="150"/>
      <c r="B102" s="32">
        <v>3</v>
      </c>
      <c r="C102" s="143" t="s">
        <v>58</v>
      </c>
      <c r="D102" s="42">
        <v>20914</v>
      </c>
      <c r="E102" s="42">
        <v>1</v>
      </c>
      <c r="F102" s="42">
        <v>16015</v>
      </c>
      <c r="G102" s="36">
        <v>0.8</v>
      </c>
      <c r="H102" s="36">
        <v>4.9000000000000004</v>
      </c>
      <c r="I102" s="42">
        <v>16829</v>
      </c>
      <c r="J102" s="36">
        <v>4</v>
      </c>
      <c r="K102" s="42">
        <v>16280</v>
      </c>
      <c r="L102" s="38">
        <v>7.0999999999999994E-2</v>
      </c>
      <c r="M102" s="36">
        <f>ROUND(K102*(1-L102),0)</f>
        <v>15124</v>
      </c>
      <c r="N102" s="27">
        <v>0.66900000000000004</v>
      </c>
      <c r="O102" s="24">
        <f t="shared" si="1024"/>
        <v>10117.956</v>
      </c>
      <c r="P102" s="38">
        <v>0.251</v>
      </c>
      <c r="Q102" s="24">
        <f t="shared" si="1025"/>
        <v>3796.1239999999998</v>
      </c>
      <c r="R102" s="38">
        <v>0.08</v>
      </c>
      <c r="S102" s="105">
        <v>0.22670000000000001</v>
      </c>
      <c r="T102" s="24">
        <f t="shared" si="1026"/>
        <v>1209.92</v>
      </c>
      <c r="U102" s="27">
        <v>0.23100000000000001</v>
      </c>
      <c r="V102" s="24">
        <f t="shared" si="1027"/>
        <v>3493.6440000000002</v>
      </c>
      <c r="W102" s="38">
        <v>0.49199999999999999</v>
      </c>
      <c r="X102" s="24">
        <f t="shared" si="1028"/>
        <v>7441.0079999999998</v>
      </c>
      <c r="Y102" s="38">
        <v>0.43</v>
      </c>
      <c r="Z102" s="24">
        <f t="shared" si="1029"/>
        <v>6503.32</v>
      </c>
      <c r="AA102" s="118">
        <v>2.2499999999999998E-3</v>
      </c>
      <c r="AB102" s="121">
        <f t="shared" si="766"/>
        <v>34.028999999999996</v>
      </c>
      <c r="AC102" s="45">
        <v>2.2399999999999998E-3</v>
      </c>
      <c r="AD102" s="17">
        <f t="shared" si="1031"/>
        <v>33.877759999999995</v>
      </c>
      <c r="AE102" s="26">
        <f>IF(M102&gt;0,(AG102+AP102)/M102,0)</f>
        <v>2.1325522348585027E-3</v>
      </c>
      <c r="AF102" s="45">
        <v>2.3000000000000001E-4</v>
      </c>
      <c r="AG102" s="36">
        <f t="shared" si="1032"/>
        <v>3.4785200000000001</v>
      </c>
      <c r="AH102" s="27">
        <v>0.21290000000000001</v>
      </c>
      <c r="AI102" s="40">
        <f t="shared" si="1033"/>
        <v>29.060850000000002</v>
      </c>
      <c r="AJ102" s="27">
        <f t="shared" si="1034"/>
        <v>0.89829187070511651</v>
      </c>
      <c r="AK102" s="28">
        <f t="shared" si="682"/>
        <v>0.89312248058216259</v>
      </c>
      <c r="AL102" s="42">
        <v>150</v>
      </c>
      <c r="AM102" s="38">
        <v>0.09</v>
      </c>
      <c r="AN102" s="27">
        <v>0.21079999999999999</v>
      </c>
      <c r="AO102" s="105">
        <v>0.2094</v>
      </c>
      <c r="AP102" s="40">
        <f>AL102*(1-AM102)*AN102</f>
        <v>28.774199999999997</v>
      </c>
      <c r="AQ102" s="106">
        <f t="shared" si="727"/>
        <v>28.583100000000002</v>
      </c>
      <c r="AR102" s="17">
        <v>1.5</v>
      </c>
      <c r="AS102" s="17"/>
      <c r="AT102" s="129">
        <f>AT101+AL102-AS102</f>
        <v>621.88000000000034</v>
      </c>
      <c r="AU102" s="82"/>
      <c r="AV102" s="42"/>
      <c r="AW102" s="46"/>
      <c r="AX102" s="40"/>
      <c r="AY102" s="40"/>
      <c r="AZ102" s="40"/>
      <c r="BA102" s="40"/>
      <c r="BB102" s="31"/>
    </row>
    <row r="103" spans="1:54">
      <c r="A103" s="150"/>
      <c r="B103" s="135" t="s">
        <v>56</v>
      </c>
      <c r="C103" s="48"/>
      <c r="D103" s="49">
        <f t="shared" ref="D103" si="1036">SUM(D100:D102)</f>
        <v>41035</v>
      </c>
      <c r="E103" s="49"/>
      <c r="F103" s="49">
        <f t="shared" ref="F103" si="1037">SUM(F100:F102)</f>
        <v>40906</v>
      </c>
      <c r="G103" s="50"/>
      <c r="H103" s="50"/>
      <c r="I103" s="49">
        <f t="shared" ref="I103:K103" si="1038">SUM(I100:I102)</f>
        <v>42168</v>
      </c>
      <c r="J103" s="50"/>
      <c r="K103" s="49">
        <f t="shared" si="1038"/>
        <v>47876</v>
      </c>
      <c r="L103" s="20">
        <f t="shared" ref="L103" si="1039">IF(K103&gt;0,(K100*L100+K101*L101+K102*L102)/K103,0)</f>
        <v>7.0241958392514001E-2</v>
      </c>
      <c r="M103" s="50">
        <f t="shared" ref="M103" si="1040">M100+M101+M102</f>
        <v>44513</v>
      </c>
      <c r="N103" s="51">
        <f t="shared" ref="N103" si="1041">IF(M103&gt;0,O103/M103,0)</f>
        <v>0.65048606025206113</v>
      </c>
      <c r="O103" s="52">
        <f t="shared" ref="O103" si="1042">O100+O101+O102</f>
        <v>28955.085999999996</v>
      </c>
      <c r="P103" s="20">
        <f t="shared" ref="P103" si="1043">IF(M103&gt;0,Q103/M103,0)</f>
        <v>0.2798008446970548</v>
      </c>
      <c r="Q103" s="52">
        <f t="shared" ref="Q103" si="1044">Q100+Q101+Q102</f>
        <v>12454.775</v>
      </c>
      <c r="R103" s="20">
        <f t="shared" ref="R103" si="1045">IF(M103&gt;0,T103/M103,0)</f>
        <v>6.9713095050884008E-2</v>
      </c>
      <c r="S103" s="107"/>
      <c r="T103" s="52">
        <f t="shared" ref="T103" si="1046">T100+T101+T102</f>
        <v>3103.1390000000001</v>
      </c>
      <c r="U103" s="20">
        <f t="shared" ref="U103" si="1047">IF(M103&gt;0,V103/M103,0)</f>
        <v>0.2353873699818031</v>
      </c>
      <c r="V103" s="52">
        <f t="shared" ref="V103" si="1048">V100+V101+V102</f>
        <v>10477.798000000001</v>
      </c>
      <c r="W103" s="20">
        <f t="shared" ref="W103" si="1049">IF(M103&gt;0,X103/M103,0)</f>
        <v>0.48330741581111125</v>
      </c>
      <c r="X103" s="52">
        <f t="shared" ref="X103" si="1050">X100+X101+X102</f>
        <v>21513.462999999996</v>
      </c>
      <c r="Y103" s="20">
        <f t="shared" ref="Y103" si="1051">IF(M103&gt;0,Z103/M103,0)</f>
        <v>0.42683575584660655</v>
      </c>
      <c r="Z103" s="52">
        <f t="shared" ref="Z103" si="1052">Z100+Z101+Z102</f>
        <v>18999.739999999998</v>
      </c>
      <c r="AA103" s="119">
        <f t="shared" ref="AA103" si="1053">IF(M103&gt;0,AB103/M103,0)</f>
        <v>2.3002021881248177E-3</v>
      </c>
      <c r="AB103" s="54">
        <f t="shared" ref="AB103" si="1054">SUM(AB100:AB102)</f>
        <v>102.38890000000001</v>
      </c>
      <c r="AC103" s="53">
        <f t="shared" ref="AC103" si="1055">IF(M103&gt;0,AD103/M103,0)</f>
        <v>2.229259991463168E-3</v>
      </c>
      <c r="AD103" s="54">
        <f t="shared" ref="AD103" si="1056">SUM(AD100:AD102)</f>
        <v>99.231049999999996</v>
      </c>
      <c r="AE103" s="53">
        <f t="shared" ref="AE103" si="1057">IF(M103&gt;0,(AE100*M100+AE101*M101+AE102*M102)/M103,0)</f>
        <v>2.2390503403500101E-3</v>
      </c>
      <c r="AF103" s="53">
        <f t="shared" ref="AF103" si="1058">IF(K103&gt;0,(K100*AF100+K101*AF101+K102*AF102)/K103,0)</f>
        <v>2.2731326760798732E-4</v>
      </c>
      <c r="AG103" s="50">
        <f t="shared" ref="AG103" si="1059">SUM(AG100:AG102)</f>
        <v>10.12152</v>
      </c>
      <c r="AH103" s="51">
        <f t="shared" ref="AH103" si="1060">IF(K103&gt;0,(K100*AH100+K101*AH101+K102*AH102)/K103,0)</f>
        <v>0.21532946570306627</v>
      </c>
      <c r="AI103" s="56">
        <f t="shared" ref="AI103" si="1061">SUM(AI100:AI102)</f>
        <v>90.660786599999994</v>
      </c>
      <c r="AJ103" s="51">
        <f t="shared" ref="AJ103" si="1062">IF(AND(AD103&gt;0),((AD100*AJ100+AD101*AJ101+AD102*AJ102)/AD103),0)</f>
        <v>0.8989529681921703</v>
      </c>
      <c r="AK103" s="55">
        <f t="shared" si="682"/>
        <v>0.89943944547185239</v>
      </c>
      <c r="AL103" s="49">
        <f t="shared" ref="AL103" si="1063">SUM(AL100:AL102)</f>
        <v>464</v>
      </c>
      <c r="AM103" s="20">
        <f t="shared" ref="AM103" si="1064">IF(AL103&gt;0,(AM100*AL100+AM101*AL101+AM102*AL102)/AL103,0)</f>
        <v>9.2706896551724136E-2</v>
      </c>
      <c r="AN103" s="51">
        <f>IF(K103&gt;0,(AN100*K100+AN101*K101+AN102*K102)/K103,0)</f>
        <v>0.21261386289581416</v>
      </c>
      <c r="AO103" s="107">
        <f>IF(L103&gt;0,(AO100*K100+AO101*K101+AO102*K102)/K103,0)</f>
        <v>0.20741491143788118</v>
      </c>
      <c r="AP103" s="56">
        <f t="shared" ref="AP103" si="1065">SUM(AP100:AP102)</f>
        <v>89.545327799999995</v>
      </c>
      <c r="AQ103" s="108">
        <f t="shared" si="933"/>
        <v>87.266260200000005</v>
      </c>
      <c r="AR103" s="54"/>
      <c r="AS103" s="54">
        <f t="shared" ref="AS103" si="1066">SUM(AS100:AS102)</f>
        <v>501.52</v>
      </c>
      <c r="AT103" s="136"/>
      <c r="AU103" s="84">
        <f>AT102</f>
        <v>621.88000000000034</v>
      </c>
      <c r="AV103" s="49">
        <f t="shared" ref="AV103" si="1067">SUM(AV100:AV102)</f>
        <v>0</v>
      </c>
      <c r="AW103" s="57"/>
      <c r="AX103" s="56"/>
      <c r="AY103" s="56"/>
      <c r="AZ103" s="56"/>
      <c r="BA103" s="56"/>
      <c r="BB103" s="21"/>
    </row>
    <row r="104" spans="1:54">
      <c r="A104" s="146">
        <v>26</v>
      </c>
      <c r="B104" s="22">
        <v>1</v>
      </c>
      <c r="C104" s="10" t="s">
        <v>59</v>
      </c>
      <c r="D104" s="11">
        <v>10908</v>
      </c>
      <c r="E104" s="11">
        <v>3</v>
      </c>
      <c r="F104" s="11">
        <v>15607</v>
      </c>
      <c r="G104" s="12">
        <v>0.9</v>
      </c>
      <c r="H104" s="12">
        <v>5</v>
      </c>
      <c r="I104" s="11">
        <v>16704</v>
      </c>
      <c r="J104" s="12">
        <v>3.2</v>
      </c>
      <c r="K104" s="11">
        <v>16213</v>
      </c>
      <c r="L104" s="13">
        <v>6.3E-2</v>
      </c>
      <c r="M104" s="23">
        <f>ROUND(K104*(1-L104),0)</f>
        <v>15192</v>
      </c>
      <c r="N104" s="14">
        <v>0.68</v>
      </c>
      <c r="O104" s="24">
        <f t="shared" ref="O104:O106" si="1068">M104*N104</f>
        <v>10330.560000000001</v>
      </c>
      <c r="P104" s="13">
        <v>0.217</v>
      </c>
      <c r="Q104" s="24">
        <f t="shared" ref="Q104:Q106" si="1069">M104*P104</f>
        <v>3296.6639999999998</v>
      </c>
      <c r="R104" s="15">
        <v>0.10299999999999999</v>
      </c>
      <c r="S104" s="112"/>
      <c r="T104" s="24">
        <f t="shared" ref="T104:T106" si="1070">M104*R104</f>
        <v>1564.7759999999998</v>
      </c>
      <c r="U104" s="25">
        <v>0.23200000000000001</v>
      </c>
      <c r="V104" s="24">
        <f t="shared" ref="V104:V106" si="1071">M104*U104</f>
        <v>3524.5440000000003</v>
      </c>
      <c r="W104" s="15">
        <v>0.502</v>
      </c>
      <c r="X104" s="24">
        <f t="shared" ref="X104:X106" si="1072">M104*W104</f>
        <v>7626.384</v>
      </c>
      <c r="Y104" s="15">
        <v>0.43</v>
      </c>
      <c r="Z104" s="24">
        <f t="shared" ref="Z104:Z106" si="1073">Y104*M104</f>
        <v>6532.5599999999995</v>
      </c>
      <c r="AA104" s="116">
        <v>2.2699999999999999E-3</v>
      </c>
      <c r="AB104" s="18">
        <f t="shared" ref="AB104" si="1074">M104*AA104</f>
        <v>34.485839999999996</v>
      </c>
      <c r="AC104" s="16">
        <v>2.2899999999999999E-3</v>
      </c>
      <c r="AD104" s="17">
        <f t="shared" ref="AD104:AD106" si="1075">M104*AC104</f>
        <v>34.789679999999997</v>
      </c>
      <c r="AE104" s="26">
        <f>IF(M104&gt;0,(AG104+AP104)/M104,0)</f>
        <v>2.2572364402317015E-3</v>
      </c>
      <c r="AF104" s="16">
        <v>2.1000000000000001E-4</v>
      </c>
      <c r="AG104" s="23">
        <f t="shared" ref="AG104:AG106" si="1076">AF104*M104</f>
        <v>3.1903200000000003</v>
      </c>
      <c r="AH104" s="92">
        <v>0.20569999999999999</v>
      </c>
      <c r="AI104" s="29">
        <f t="shared" ref="AI104:AI106" si="1077">AL104*(1-AM104)*AH104</f>
        <v>30.698668000000001</v>
      </c>
      <c r="AJ104" s="27">
        <f t="shared" ref="AJ104:AJ106" si="1078">IF(AND(AH104&gt;0,AF104&gt;0,AC104&gt;0),((AC104-AF104)*AH104)/((AH104-AF104)*AC104),0)</f>
        <v>0.90922517505818978</v>
      </c>
      <c r="AK104" s="58">
        <f t="shared" si="682"/>
        <v>0.90788073361833099</v>
      </c>
      <c r="AL104" s="11">
        <v>164</v>
      </c>
      <c r="AM104" s="13">
        <v>0.09</v>
      </c>
      <c r="AN104" s="14">
        <v>0.2084</v>
      </c>
      <c r="AO104" s="101">
        <v>0.20660000000000001</v>
      </c>
      <c r="AP104" s="29">
        <f>AL104*(1-AM104)*AN104</f>
        <v>31.101616000000003</v>
      </c>
      <c r="AQ104" s="102">
        <f t="shared" ref="AQ104" si="1079">AL104*(1-AM104)*AO104</f>
        <v>30.832984000000003</v>
      </c>
      <c r="AR104" s="18">
        <v>1.54</v>
      </c>
      <c r="AS104" s="18"/>
      <c r="AT104" s="79">
        <f>AT102+AL104-AS104</f>
        <v>785.88000000000034</v>
      </c>
      <c r="AU104" s="80"/>
      <c r="AV104" s="11"/>
      <c r="AW104" s="30"/>
      <c r="AX104" s="19"/>
      <c r="AY104" s="19"/>
      <c r="AZ104" s="19"/>
      <c r="BA104" s="19"/>
      <c r="BB104" s="31"/>
    </row>
    <row r="105" spans="1:54">
      <c r="A105" s="147"/>
      <c r="B105" s="32">
        <v>2</v>
      </c>
      <c r="C105" s="10" t="s">
        <v>57</v>
      </c>
      <c r="D105" s="33">
        <v>20400</v>
      </c>
      <c r="E105" s="33">
        <v>4</v>
      </c>
      <c r="F105" s="33">
        <v>16830</v>
      </c>
      <c r="G105" s="34">
        <v>0.8</v>
      </c>
      <c r="H105" s="34">
        <v>5.5</v>
      </c>
      <c r="I105" s="33">
        <v>16805</v>
      </c>
      <c r="J105" s="34">
        <v>3.3</v>
      </c>
      <c r="K105" s="33">
        <v>16918</v>
      </c>
      <c r="L105" s="35">
        <v>7.0999999999999994E-2</v>
      </c>
      <c r="M105" s="36">
        <f>ROUND(K105*(1-L105),0)</f>
        <v>15717</v>
      </c>
      <c r="N105" s="37">
        <v>0.66300000000000003</v>
      </c>
      <c r="O105" s="24">
        <f t="shared" si="1068"/>
        <v>10420.371000000001</v>
      </c>
      <c r="P105" s="35">
        <v>0.25700000000000001</v>
      </c>
      <c r="Q105" s="24">
        <f t="shared" si="1069"/>
        <v>4039.2690000000002</v>
      </c>
      <c r="R105" s="38">
        <v>0.08</v>
      </c>
      <c r="S105" s="105"/>
      <c r="T105" s="24">
        <f t="shared" si="1070"/>
        <v>1257.3600000000001</v>
      </c>
      <c r="U105" s="27">
        <v>0.24299999999999999</v>
      </c>
      <c r="V105" s="24">
        <f t="shared" si="1071"/>
        <v>3819.2309999999998</v>
      </c>
      <c r="W105" s="38">
        <v>0.47799999999999998</v>
      </c>
      <c r="X105" s="24">
        <f t="shared" si="1072"/>
        <v>7512.7259999999997</v>
      </c>
      <c r="Y105" s="38">
        <v>0.44</v>
      </c>
      <c r="Z105" s="24">
        <f t="shared" si="1073"/>
        <v>6915.4800000000005</v>
      </c>
      <c r="AA105" s="117">
        <v>2.4099999999999998E-3</v>
      </c>
      <c r="AB105" s="18">
        <f t="shared" si="766"/>
        <v>37.877969999999998</v>
      </c>
      <c r="AC105" s="39">
        <v>2.3800000000000002E-3</v>
      </c>
      <c r="AD105" s="17">
        <f t="shared" si="1075"/>
        <v>37.406460000000003</v>
      </c>
      <c r="AE105" s="26">
        <f>IF(M105&gt;0,(AG105+AP105)/M105,0)</f>
        <v>2.2085135840173059E-3</v>
      </c>
      <c r="AF105" s="39">
        <v>1.8000000000000001E-4</v>
      </c>
      <c r="AG105" s="36">
        <f t="shared" si="1076"/>
        <v>2.8290600000000001</v>
      </c>
      <c r="AH105" s="27">
        <v>0.21099999999999999</v>
      </c>
      <c r="AI105" s="40">
        <f t="shared" si="1077"/>
        <v>31.435202</v>
      </c>
      <c r="AJ105" s="27">
        <f t="shared" si="1078"/>
        <v>0.9251589830505772</v>
      </c>
      <c r="AK105" s="28">
        <f t="shared" si="682"/>
        <v>0.91927043665958585</v>
      </c>
      <c r="AL105" s="33">
        <v>163</v>
      </c>
      <c r="AM105" s="35">
        <v>8.5999999999999993E-2</v>
      </c>
      <c r="AN105" s="37">
        <v>0.214</v>
      </c>
      <c r="AO105" s="103">
        <v>0.21540000000000001</v>
      </c>
      <c r="AP105" s="40">
        <f>AL105*(1-AM105)*AN105</f>
        <v>31.882148000000001</v>
      </c>
      <c r="AQ105" s="104">
        <f t="shared" si="727"/>
        <v>32.090722800000002</v>
      </c>
      <c r="AR105" s="41">
        <v>1.55</v>
      </c>
      <c r="AS105" s="41"/>
      <c r="AT105" s="129">
        <f>AT104+AL105-AS105</f>
        <v>948.88000000000034</v>
      </c>
      <c r="AU105" s="82"/>
      <c r="AV105" s="42"/>
      <c r="AW105" s="43"/>
      <c r="AX105" s="44"/>
      <c r="AY105" s="44"/>
      <c r="AZ105" s="44"/>
      <c r="BA105" s="44"/>
      <c r="BB105" s="31"/>
    </row>
    <row r="106" spans="1:54">
      <c r="A106" s="147"/>
      <c r="B106" s="32">
        <v>3</v>
      </c>
      <c r="C106" s="143" t="s">
        <v>58</v>
      </c>
      <c r="D106" s="42">
        <v>10500</v>
      </c>
      <c r="E106" s="42">
        <v>4</v>
      </c>
      <c r="F106" s="42">
        <v>18523</v>
      </c>
      <c r="G106" s="36">
        <v>0.4</v>
      </c>
      <c r="H106" s="36">
        <v>5.4</v>
      </c>
      <c r="I106" s="42">
        <v>18782</v>
      </c>
      <c r="J106" s="36">
        <v>2</v>
      </c>
      <c r="K106" s="42">
        <v>16960</v>
      </c>
      <c r="L106" s="38">
        <v>7.0000000000000007E-2</v>
      </c>
      <c r="M106" s="36">
        <f>ROUND(K106*(1-L106),0)</f>
        <v>15773</v>
      </c>
      <c r="N106" s="27">
        <v>0.755</v>
      </c>
      <c r="O106" s="24">
        <f t="shared" si="1068"/>
        <v>11908.615</v>
      </c>
      <c r="P106" s="38">
        <v>0.189</v>
      </c>
      <c r="Q106" s="24">
        <f t="shared" si="1069"/>
        <v>2981.0970000000002</v>
      </c>
      <c r="R106" s="38">
        <v>5.6000000000000001E-2</v>
      </c>
      <c r="S106" s="105"/>
      <c r="T106" s="24">
        <f t="shared" si="1070"/>
        <v>883.28800000000001</v>
      </c>
      <c r="U106" s="27">
        <v>0.24</v>
      </c>
      <c r="V106" s="24">
        <f t="shared" si="1071"/>
        <v>3785.52</v>
      </c>
      <c r="W106" s="38">
        <v>0.48</v>
      </c>
      <c r="X106" s="24">
        <f t="shared" si="1072"/>
        <v>7571.04</v>
      </c>
      <c r="Y106" s="38">
        <v>0.43</v>
      </c>
      <c r="Z106" s="24">
        <f t="shared" si="1073"/>
        <v>6782.39</v>
      </c>
      <c r="AA106" s="118">
        <v>2.63E-3</v>
      </c>
      <c r="AB106" s="121">
        <f t="shared" si="766"/>
        <v>41.482990000000001</v>
      </c>
      <c r="AC106" s="45">
        <v>2.6199999999999999E-3</v>
      </c>
      <c r="AD106" s="17">
        <f t="shared" si="1075"/>
        <v>41.32526</v>
      </c>
      <c r="AE106" s="26">
        <f>IF(M106&gt;0,(AG106+AP106)/M106,0)</f>
        <v>2.4826090661256581E-3</v>
      </c>
      <c r="AF106" s="45">
        <v>2.0000000000000001E-4</v>
      </c>
      <c r="AG106" s="36">
        <f t="shared" si="1076"/>
        <v>3.1546000000000003</v>
      </c>
      <c r="AH106" s="27">
        <v>0.21440000000000001</v>
      </c>
      <c r="AI106" s="40">
        <f t="shared" si="1077"/>
        <v>34.246540799999998</v>
      </c>
      <c r="AJ106" s="27">
        <f t="shared" si="1078"/>
        <v>0.92452655362399416</v>
      </c>
      <c r="AK106" s="28">
        <f t="shared" si="682"/>
        <v>0.92025614551805412</v>
      </c>
      <c r="AL106" s="42">
        <v>174</v>
      </c>
      <c r="AM106" s="38">
        <v>8.2000000000000003E-2</v>
      </c>
      <c r="AN106" s="27">
        <v>0.22539999999999999</v>
      </c>
      <c r="AO106" s="105">
        <v>0.2296</v>
      </c>
      <c r="AP106" s="40">
        <f>AL106*(1-AM106)*AN106</f>
        <v>36.0035928</v>
      </c>
      <c r="AQ106" s="106">
        <f t="shared" si="727"/>
        <v>36.674467200000002</v>
      </c>
      <c r="AR106" s="17">
        <v>1.55</v>
      </c>
      <c r="AS106" s="17"/>
      <c r="AT106" s="129">
        <f>AT105+AL106-AS106</f>
        <v>1122.8800000000003</v>
      </c>
      <c r="AU106" s="82"/>
      <c r="AV106" s="42"/>
      <c r="AW106" s="46"/>
      <c r="AX106" s="40"/>
      <c r="AY106" s="40"/>
      <c r="AZ106" s="40"/>
      <c r="BA106" s="40"/>
      <c r="BB106" s="31"/>
    </row>
    <row r="107" spans="1:54">
      <c r="A107" s="148"/>
      <c r="B107" s="47" t="s">
        <v>56</v>
      </c>
      <c r="C107" s="48"/>
      <c r="D107" s="49">
        <f t="shared" ref="D107" si="1080">SUM(D104:D106)</f>
        <v>41808</v>
      </c>
      <c r="E107" s="49"/>
      <c r="F107" s="49">
        <f t="shared" ref="F107" si="1081">SUM(F104:F106)</f>
        <v>50960</v>
      </c>
      <c r="G107" s="50"/>
      <c r="H107" s="50"/>
      <c r="I107" s="49">
        <f t="shared" ref="I107:K107" si="1082">SUM(I104:I106)</f>
        <v>52291</v>
      </c>
      <c r="J107" s="50"/>
      <c r="K107" s="49">
        <f t="shared" si="1082"/>
        <v>50091</v>
      </c>
      <c r="L107" s="20">
        <f t="shared" ref="L107" si="1083">IF(K107&gt;0,(K104*L104+K105*L105+K106*L106)/K107,0)</f>
        <v>6.8072048871054669E-2</v>
      </c>
      <c r="M107" s="50">
        <f t="shared" ref="M107" si="1084">M104+M105+M106</f>
        <v>46682</v>
      </c>
      <c r="N107" s="51">
        <f t="shared" ref="N107" si="1085">IF(M107&gt;0,O107/M107,0)</f>
        <v>0.69961753995115894</v>
      </c>
      <c r="O107" s="52">
        <f t="shared" ref="O107" si="1086">O104+O105+O106</f>
        <v>32659.546000000002</v>
      </c>
      <c r="P107" s="20">
        <f t="shared" ref="P107" si="1087">IF(M107&gt;0,Q107/M107,0)</f>
        <v>0.22100659783214088</v>
      </c>
      <c r="Q107" s="52">
        <f t="shared" ref="Q107" si="1088">Q104+Q105+Q106</f>
        <v>10317.030000000001</v>
      </c>
      <c r="R107" s="20">
        <f t="shared" ref="R107" si="1089">IF(M107&gt;0,T107/M107,0)</f>
        <v>7.9375862216700233E-2</v>
      </c>
      <c r="S107" s="107"/>
      <c r="T107" s="52">
        <f t="shared" ref="T107" si="1090">T104+T105+T106</f>
        <v>3705.424</v>
      </c>
      <c r="U107" s="20">
        <f t="shared" ref="U107" si="1091">IF(M107&gt;0,V107/M107,0)</f>
        <v>0.23840655927338161</v>
      </c>
      <c r="V107" s="52">
        <f t="shared" ref="V107" si="1092">V104+V105+V106</f>
        <v>11129.295</v>
      </c>
      <c r="W107" s="20">
        <f t="shared" ref="W107" si="1093">IF(M107&gt;0,X107/M107,0)</f>
        <v>0.48648622595432933</v>
      </c>
      <c r="X107" s="52">
        <f t="shared" ref="X107" si="1094">X104+X105+X106</f>
        <v>22710.15</v>
      </c>
      <c r="Y107" s="20">
        <f t="shared" ref="Y107" si="1095">IF(M107&gt;0,Z107/M107,0)</f>
        <v>0.43336682232980595</v>
      </c>
      <c r="Z107" s="52">
        <f t="shared" ref="Z107" si="1096">Z104+Z105+Z106</f>
        <v>20230.43</v>
      </c>
      <c r="AA107" s="119">
        <f t="shared" ref="AA107" si="1097">IF(M107&gt;0,AB107/M107,0)</f>
        <v>2.4387729745940618E-3</v>
      </c>
      <c r="AB107" s="54">
        <f t="shared" ref="AB107" si="1098">SUM(AB104:AB106)</f>
        <v>113.8468</v>
      </c>
      <c r="AC107" s="53">
        <f t="shared" ref="AC107" si="1099">IF(M107&gt;0,AD107/M107,0)</f>
        <v>2.4318024077803007E-3</v>
      </c>
      <c r="AD107" s="54">
        <f t="shared" ref="AD107" si="1100">SUM(AD104:AD106)</f>
        <v>113.5214</v>
      </c>
      <c r="AE107" s="53">
        <f t="shared" ref="AE107" si="1101">IF(M107&gt;0,(AE104*M104+AE105*M105+AE106*M106)/M107,0)</f>
        <v>2.3169816374619769E-3</v>
      </c>
      <c r="AF107" s="53">
        <f t="shared" ref="AF107" si="1102">IF(K107&gt;0,(K104*AF104+K105*AF105+K106*AF106)/K107,0)</f>
        <v>1.9648180311832464E-4</v>
      </c>
      <c r="AG107" s="50">
        <f t="shared" ref="AG107" si="1103">SUM(AG104:AG106)</f>
        <v>9.1739800000000002</v>
      </c>
      <c r="AH107" s="51">
        <f t="shared" ref="AH107" si="1104">IF(K107&gt;0,(K104*AH104+K105*AH105+K106*AH106)/K107,0)</f>
        <v>0.21043572897326862</v>
      </c>
      <c r="AI107" s="56">
        <f t="shared" ref="AI107" si="1105">SUM(AI104:AI106)</f>
        <v>96.380410799999993</v>
      </c>
      <c r="AJ107" s="51">
        <f t="shared" ref="AJ107" si="1106">IF(AND(AD107&gt;0),((AD104*AJ104+AD105*AJ105+AD106*AJ106)/AD107),0)</f>
        <v>0.92004569699418781</v>
      </c>
      <c r="AK107" s="55">
        <f t="shared" si="682"/>
        <v>0.91603231564094767</v>
      </c>
      <c r="AL107" s="49">
        <f t="shared" ref="AL107" si="1107">SUM(AL104:AL106)</f>
        <v>501</v>
      </c>
      <c r="AM107" s="20">
        <f t="shared" ref="AM107" si="1108">IF(AL107&gt;0,(AM104*AL104+AM105*AL105+AM106*AL106)/AL107,0)</f>
        <v>8.5920159680638722E-2</v>
      </c>
      <c r="AN107" s="51">
        <f>IF(K107&gt;0,(AN104*K104+AN105*K105+AN106*K106)/K107,0)</f>
        <v>0.21604729791778962</v>
      </c>
      <c r="AO107" s="107">
        <f>IF(L107&gt;0,(AO104*K104+AO105*K105+AO106*K106)/K107,0)</f>
        <v>0.21735958555429119</v>
      </c>
      <c r="AP107" s="56">
        <f t="shared" ref="AP107:AQ119" si="1109">SUM(AP104:AP106)</f>
        <v>98.987356800000015</v>
      </c>
      <c r="AQ107" s="108">
        <f t="shared" si="1109"/>
        <v>99.598174</v>
      </c>
      <c r="AR107" s="54"/>
      <c r="AS107" s="54">
        <f t="shared" ref="AS107" si="1110">SUM(AS104:AS106)</f>
        <v>0</v>
      </c>
      <c r="AT107" s="83"/>
      <c r="AU107" s="84">
        <f>AT106</f>
        <v>1122.8800000000003</v>
      </c>
      <c r="AV107" s="49">
        <f t="shared" ref="AV107" si="1111">SUM(AV104:AV106)</f>
        <v>0</v>
      </c>
      <c r="AW107" s="57"/>
      <c r="AX107" s="56"/>
      <c r="AY107" s="56"/>
      <c r="AZ107" s="56"/>
      <c r="BA107" s="56"/>
      <c r="BB107" s="21"/>
    </row>
    <row r="108" spans="1:54">
      <c r="A108" s="146">
        <v>27</v>
      </c>
      <c r="B108" s="22">
        <v>1</v>
      </c>
      <c r="C108" s="10" t="s">
        <v>59</v>
      </c>
      <c r="D108" s="11">
        <v>6853</v>
      </c>
      <c r="E108" s="11">
        <v>11</v>
      </c>
      <c r="F108" s="11">
        <v>15793</v>
      </c>
      <c r="G108" s="12">
        <v>0.4</v>
      </c>
      <c r="H108" s="12">
        <v>4.9000000000000004</v>
      </c>
      <c r="I108" s="11">
        <v>16290</v>
      </c>
      <c r="J108" s="12">
        <v>2.4</v>
      </c>
      <c r="K108" s="11">
        <v>16962</v>
      </c>
      <c r="L108" s="13">
        <v>6.7000000000000004E-2</v>
      </c>
      <c r="M108" s="23">
        <f>ROUND(K108*(1-L108),0)</f>
        <v>15826</v>
      </c>
      <c r="N108" s="14">
        <v>0.71899999999999997</v>
      </c>
      <c r="O108" s="24">
        <f t="shared" ref="O108:O110" si="1112">M108*N108</f>
        <v>11378.894</v>
      </c>
      <c r="P108" s="13">
        <v>0.22900000000000001</v>
      </c>
      <c r="Q108" s="24">
        <f t="shared" ref="Q108:Q110" si="1113">M108*P108</f>
        <v>3624.154</v>
      </c>
      <c r="R108" s="15">
        <v>5.1999999999999998E-2</v>
      </c>
      <c r="S108" s="112"/>
      <c r="T108" s="24">
        <f t="shared" ref="T108:T110" si="1114">M108*R108</f>
        <v>822.952</v>
      </c>
      <c r="U108" s="25">
        <v>0.23699999999999999</v>
      </c>
      <c r="V108" s="24">
        <f t="shared" ref="V108:V110" si="1115">M108*U108</f>
        <v>3750.7619999999997</v>
      </c>
      <c r="W108" s="15">
        <v>0.48399999999999999</v>
      </c>
      <c r="X108" s="24">
        <f t="shared" ref="X108:X110" si="1116">M108*W108</f>
        <v>7659.7839999999997</v>
      </c>
      <c r="Y108" s="15">
        <v>0.44</v>
      </c>
      <c r="Z108" s="24">
        <f t="shared" ref="Z108:Z110" si="1117">Y108*M108</f>
        <v>6963.44</v>
      </c>
      <c r="AA108" s="116">
        <v>2.65E-3</v>
      </c>
      <c r="AB108" s="18">
        <f t="shared" ref="AB108" si="1118">M108*AA108</f>
        <v>41.938899999999997</v>
      </c>
      <c r="AC108" s="16">
        <v>2.63E-3</v>
      </c>
      <c r="AD108" s="17">
        <f t="shared" ref="AD108:AD110" si="1119">M108*AC108</f>
        <v>41.62238</v>
      </c>
      <c r="AE108" s="26">
        <f>IF(M108&gt;0,(AG108+AP108)/M108,0)</f>
        <v>2.6141682294957662E-3</v>
      </c>
      <c r="AF108" s="16">
        <v>2.1000000000000001E-4</v>
      </c>
      <c r="AG108" s="23">
        <f t="shared" ref="AG108:AG110" si="1120">AF108*M108</f>
        <v>3.3234600000000003</v>
      </c>
      <c r="AH108" s="92">
        <v>0.2114</v>
      </c>
      <c r="AI108" s="29">
        <f t="shared" ref="AI108:AI110" si="1121">AL108*(1-AM108)*AH108</f>
        <v>36.053001600000002</v>
      </c>
      <c r="AJ108" s="27">
        <f t="shared" ref="AJ108:AJ110" si="1122">IF(AND(AH108&gt;0,AF108&gt;0,AC108&gt;0),((AC108-AF108)*AH108)/((AH108-AF108)*AC108),0)</f>
        <v>0.92106705853143966</v>
      </c>
      <c r="AK108" s="58">
        <f t="shared" si="682"/>
        <v>0.920535004059161</v>
      </c>
      <c r="AL108" s="11">
        <v>187</v>
      </c>
      <c r="AM108" s="13">
        <v>8.7999999999999995E-2</v>
      </c>
      <c r="AN108" s="14">
        <v>0.22309999999999999</v>
      </c>
      <c r="AO108" s="101">
        <v>0.22639999999999999</v>
      </c>
      <c r="AP108" s="29">
        <f>AL108*(1-AM108)*AN108</f>
        <v>38.048366399999999</v>
      </c>
      <c r="AQ108" s="102">
        <f t="shared" ref="AQ108" si="1123">AL108*(1-AM108)*AO108</f>
        <v>38.611161600000003</v>
      </c>
      <c r="AR108" s="18">
        <v>1.6</v>
      </c>
      <c r="AS108" s="18"/>
      <c r="AT108" s="79">
        <f>AT106+AL108-AS108+AU108</f>
        <v>1317.1800000000003</v>
      </c>
      <c r="AU108" s="80">
        <v>7.3</v>
      </c>
      <c r="AV108" s="11"/>
      <c r="AW108" s="30"/>
      <c r="AX108" s="19"/>
      <c r="AY108" s="19"/>
      <c r="AZ108" s="19"/>
      <c r="BA108" s="19"/>
      <c r="BB108" s="31"/>
    </row>
    <row r="109" spans="1:54">
      <c r="A109" s="147"/>
      <c r="B109" s="32">
        <v>2</v>
      </c>
      <c r="C109" s="143" t="s">
        <v>54</v>
      </c>
      <c r="D109" s="33">
        <v>18120</v>
      </c>
      <c r="E109" s="33">
        <v>9</v>
      </c>
      <c r="F109" s="33">
        <v>12174</v>
      </c>
      <c r="G109" s="34">
        <v>0.6</v>
      </c>
      <c r="H109" s="34">
        <v>6.1</v>
      </c>
      <c r="I109" s="33">
        <v>12668</v>
      </c>
      <c r="J109" s="34">
        <v>4.3</v>
      </c>
      <c r="K109" s="33">
        <v>16916</v>
      </c>
      <c r="L109" s="35">
        <v>7.0000000000000007E-2</v>
      </c>
      <c r="M109" s="36">
        <f>ROUND(K109*(1-L109),0)</f>
        <v>15732</v>
      </c>
      <c r="N109" s="37">
        <v>0.73799999999999999</v>
      </c>
      <c r="O109" s="24">
        <f t="shared" si="1112"/>
        <v>11610.216</v>
      </c>
      <c r="P109" s="35">
        <v>0.23799999999999999</v>
      </c>
      <c r="Q109" s="24">
        <f t="shared" si="1113"/>
        <v>3744.2159999999999</v>
      </c>
      <c r="R109" s="38">
        <v>2.4E-2</v>
      </c>
      <c r="S109" s="105"/>
      <c r="T109" s="24">
        <f t="shared" si="1114"/>
        <v>377.56799999999998</v>
      </c>
      <c r="U109" s="27">
        <v>0.23799999999999999</v>
      </c>
      <c r="V109" s="24">
        <f t="shared" si="1115"/>
        <v>3744.2159999999999</v>
      </c>
      <c r="W109" s="38">
        <v>0.48099999999999998</v>
      </c>
      <c r="X109" s="24">
        <f t="shared" si="1116"/>
        <v>7567.0919999999996</v>
      </c>
      <c r="Y109" s="38">
        <v>0.43</v>
      </c>
      <c r="Z109" s="24">
        <f t="shared" si="1117"/>
        <v>6764.76</v>
      </c>
      <c r="AA109" s="117">
        <v>2.49E-3</v>
      </c>
      <c r="AB109" s="18">
        <f t="shared" si="766"/>
        <v>39.17268</v>
      </c>
      <c r="AC109" s="39">
        <v>2.5000000000000001E-3</v>
      </c>
      <c r="AD109" s="17">
        <f t="shared" si="1119"/>
        <v>39.33</v>
      </c>
      <c r="AE109" s="26">
        <f>IF(M109&gt;0,(AG109+AP109)/M109,0)</f>
        <v>2.4676796338672772E-3</v>
      </c>
      <c r="AF109" s="39">
        <v>1.9000000000000001E-4</v>
      </c>
      <c r="AG109" s="36">
        <f t="shared" si="1120"/>
        <v>2.98908</v>
      </c>
      <c r="AH109" s="27">
        <v>0.21510000000000001</v>
      </c>
      <c r="AI109" s="40">
        <f t="shared" si="1121"/>
        <v>35.388252000000001</v>
      </c>
      <c r="AJ109" s="27">
        <f t="shared" si="1122"/>
        <v>0.92481690009771533</v>
      </c>
      <c r="AK109" s="28">
        <f t="shared" si="682"/>
        <v>0.92381048737316085</v>
      </c>
      <c r="AL109" s="33">
        <v>180</v>
      </c>
      <c r="AM109" s="35">
        <v>8.5999999999999993E-2</v>
      </c>
      <c r="AN109" s="37">
        <v>0.21779999999999999</v>
      </c>
      <c r="AO109" s="103">
        <v>0.2167</v>
      </c>
      <c r="AP109" s="40">
        <f>AL109*(1-AM109)*AN109</f>
        <v>35.832456000000001</v>
      </c>
      <c r="AQ109" s="104">
        <f t="shared" si="727"/>
        <v>35.651484000000004</v>
      </c>
      <c r="AR109" s="41">
        <v>1.55</v>
      </c>
      <c r="AS109" s="41"/>
      <c r="AT109" s="129">
        <f>AT108+AL109-AS109</f>
        <v>1497.1800000000003</v>
      </c>
      <c r="AU109" s="82"/>
      <c r="AV109" s="42"/>
      <c r="AW109" s="43"/>
      <c r="AX109" s="44"/>
      <c r="AY109" s="44"/>
      <c r="AZ109" s="44"/>
      <c r="BA109" s="44"/>
      <c r="BB109" s="31"/>
    </row>
    <row r="110" spans="1:54">
      <c r="A110" s="147"/>
      <c r="B110" s="32">
        <v>3</v>
      </c>
      <c r="C110" s="143" t="s">
        <v>58</v>
      </c>
      <c r="D110" s="42">
        <v>15400</v>
      </c>
      <c r="E110" s="42">
        <v>6</v>
      </c>
      <c r="F110" s="42">
        <v>15725</v>
      </c>
      <c r="G110" s="36">
        <v>0.4</v>
      </c>
      <c r="H110" s="36">
        <v>5.9</v>
      </c>
      <c r="I110" s="42">
        <v>16026</v>
      </c>
      <c r="J110" s="36">
        <v>3.7</v>
      </c>
      <c r="K110" s="42">
        <v>16790</v>
      </c>
      <c r="L110" s="38">
        <v>6.6000000000000003E-2</v>
      </c>
      <c r="M110" s="36">
        <f>ROUND(K110*(1-L110),0)</f>
        <v>15682</v>
      </c>
      <c r="N110" s="27">
        <v>0.74099999999999999</v>
      </c>
      <c r="O110" s="24">
        <f t="shared" si="1112"/>
        <v>11620.361999999999</v>
      </c>
      <c r="P110" s="38">
        <v>0.18</v>
      </c>
      <c r="Q110" s="24">
        <f t="shared" si="1113"/>
        <v>2822.7599999999998</v>
      </c>
      <c r="R110" s="38">
        <v>7.9000000000000001E-2</v>
      </c>
      <c r="S110" s="105"/>
      <c r="T110" s="24">
        <f t="shared" si="1114"/>
        <v>1238.8779999999999</v>
      </c>
      <c r="U110" s="27">
        <v>0.247</v>
      </c>
      <c r="V110" s="24">
        <f t="shared" si="1115"/>
        <v>3873.4540000000002</v>
      </c>
      <c r="W110" s="38">
        <v>0.47399999999999998</v>
      </c>
      <c r="X110" s="24">
        <f t="shared" si="1116"/>
        <v>7433.268</v>
      </c>
      <c r="Y110" s="38">
        <v>0.43</v>
      </c>
      <c r="Z110" s="24">
        <f t="shared" si="1117"/>
        <v>6743.26</v>
      </c>
      <c r="AA110" s="118">
        <v>2.3700000000000001E-3</v>
      </c>
      <c r="AB110" s="121">
        <f t="shared" si="766"/>
        <v>37.166340000000005</v>
      </c>
      <c r="AC110" s="45">
        <v>2.4099999999999998E-3</v>
      </c>
      <c r="AD110" s="17">
        <f t="shared" si="1119"/>
        <v>37.793619999999997</v>
      </c>
      <c r="AE110" s="26">
        <f>IF(M110&gt;0,(AG110+AP110)/M110,0)</f>
        <v>2.3758894018620072E-3</v>
      </c>
      <c r="AF110" s="45">
        <v>2.0000000000000001E-4</v>
      </c>
      <c r="AG110" s="36">
        <f t="shared" si="1120"/>
        <v>3.1364000000000001</v>
      </c>
      <c r="AH110" s="27">
        <v>0.20380000000000001</v>
      </c>
      <c r="AI110" s="40">
        <f t="shared" si="1121"/>
        <v>31.783017600000001</v>
      </c>
      <c r="AJ110" s="27">
        <f t="shared" si="1122"/>
        <v>0.91791324621542514</v>
      </c>
      <c r="AK110" s="28">
        <f t="shared" si="682"/>
        <v>0.91665889407001255</v>
      </c>
      <c r="AL110" s="42">
        <v>171</v>
      </c>
      <c r="AM110" s="38">
        <v>8.7999999999999995E-2</v>
      </c>
      <c r="AN110" s="27">
        <v>0.21879999999999999</v>
      </c>
      <c r="AO110" s="105">
        <v>0.219</v>
      </c>
      <c r="AP110" s="40">
        <f>AL110*(1-AM110)*AN110</f>
        <v>34.122297599999996</v>
      </c>
      <c r="AQ110" s="106">
        <f t="shared" si="727"/>
        <v>34.153488000000003</v>
      </c>
      <c r="AR110" s="17">
        <v>1.55</v>
      </c>
      <c r="AS110" s="17"/>
      <c r="AT110" s="129">
        <f>AT109+AL110-AS110</f>
        <v>1668.1800000000003</v>
      </c>
      <c r="AU110" s="82"/>
      <c r="AV110" s="42"/>
      <c r="AW110" s="46"/>
      <c r="AX110" s="40"/>
      <c r="AY110" s="40"/>
      <c r="AZ110" s="40"/>
      <c r="BA110" s="40"/>
      <c r="BB110" s="31"/>
    </row>
    <row r="111" spans="1:54">
      <c r="A111" s="148"/>
      <c r="B111" s="47" t="s">
        <v>56</v>
      </c>
      <c r="C111" s="48"/>
      <c r="D111" s="49">
        <f t="shared" ref="D111" si="1124">SUM(D108:D110)</f>
        <v>40373</v>
      </c>
      <c r="E111" s="49"/>
      <c r="F111" s="49">
        <f t="shared" ref="F111" si="1125">SUM(F108:F110)</f>
        <v>43692</v>
      </c>
      <c r="G111" s="50"/>
      <c r="H111" s="50"/>
      <c r="I111" s="49">
        <f t="shared" ref="I111:K111" si="1126">SUM(I108:I110)</f>
        <v>44984</v>
      </c>
      <c r="J111" s="50"/>
      <c r="K111" s="49">
        <f t="shared" si="1126"/>
        <v>50668</v>
      </c>
      <c r="L111" s="20">
        <f t="shared" ref="L111" si="1127">IF(K111&gt;0,(K108*L108+K109*L109+K110*L110)/K111,0)</f>
        <v>6.7670206047209303E-2</v>
      </c>
      <c r="M111" s="50">
        <f t="shared" ref="M111" si="1128">M108+M109+M110</f>
        <v>47240</v>
      </c>
      <c r="N111" s="51">
        <f t="shared" ref="N111" si="1129">IF(M111&gt;0,O111/M111,0)</f>
        <v>0.73263065198983912</v>
      </c>
      <c r="O111" s="52">
        <f t="shared" ref="O111" si="1130">O108+O109+O110</f>
        <v>34609.472000000002</v>
      </c>
      <c r="P111" s="20">
        <f t="shared" ref="P111" si="1131">IF(M111&gt;0,Q111/M111,0)</f>
        <v>0.21573094834885689</v>
      </c>
      <c r="Q111" s="52">
        <f t="shared" ref="Q111" si="1132">Q108+Q109+Q110</f>
        <v>10191.129999999999</v>
      </c>
      <c r="R111" s="20">
        <f t="shared" ref="R111" si="1133">IF(M111&gt;0,T111/M111,0)</f>
        <v>5.1638399661303985E-2</v>
      </c>
      <c r="S111" s="107"/>
      <c r="T111" s="52">
        <f t="shared" ref="T111" si="1134">T108+T109+T110</f>
        <v>2439.3980000000001</v>
      </c>
      <c r="U111" s="20">
        <f t="shared" ref="U111" si="1135">IF(M111&gt;0,V111/M111,0)</f>
        <v>0.24065266723116002</v>
      </c>
      <c r="V111" s="52">
        <f t="shared" ref="V111" si="1136">V108+V109+V110</f>
        <v>11368.431999999999</v>
      </c>
      <c r="W111" s="20">
        <f t="shared" ref="W111" si="1137">IF(M111&gt;0,X111/M111,0)</f>
        <v>0.47968128704487722</v>
      </c>
      <c r="X111" s="52">
        <f t="shared" ref="X111" si="1138">X108+X109+X110</f>
        <v>22660.144</v>
      </c>
      <c r="Y111" s="20">
        <f t="shared" ref="Y111" si="1139">IF(M111&gt;0,Z111/M111,0)</f>
        <v>0.43335012701100761</v>
      </c>
      <c r="Z111" s="52">
        <f t="shared" ref="Z111" si="1140">Z108+Z109+Z110</f>
        <v>20471.46</v>
      </c>
      <c r="AA111" s="119">
        <f t="shared" ref="AA111" si="1141">IF(M111&gt;0,AB111/M111,0)</f>
        <v>2.5037662997459782E-3</v>
      </c>
      <c r="AB111" s="54">
        <f t="shared" ref="AB111" si="1142">SUM(AB108:AB110)</f>
        <v>118.27792000000001</v>
      </c>
      <c r="AC111" s="53">
        <f t="shared" ref="AC111" si="1143">IF(M111&gt;0,AD111/M111,0)</f>
        <v>2.5136748518204913E-3</v>
      </c>
      <c r="AD111" s="54">
        <f t="shared" ref="AD111" si="1144">SUM(AD108:AD110)</f>
        <v>118.74600000000001</v>
      </c>
      <c r="AE111" s="53">
        <f t="shared" ref="AE111" si="1145">IF(M111&gt;0,(AE108*M108+AE109*M109+AE110*M110)/M111,0)</f>
        <v>2.4862840812870444E-3</v>
      </c>
      <c r="AF111" s="53">
        <f t="shared" ref="AF111" si="1146">IF(K111&gt;0,(K108*AF108+K109*AF109+K110*AF110)/K111,0)</f>
        <v>2.0000907870845503E-4</v>
      </c>
      <c r="AG111" s="50">
        <f t="shared" ref="AG111" si="1147">SUM(AG108:AG110)</f>
        <v>9.4489400000000003</v>
      </c>
      <c r="AH111" s="51">
        <f t="shared" ref="AH111" si="1148">IF(K111&gt;0,(K108*AH108+K109*AH109+K110*AH110)/K111,0)</f>
        <v>0.21011684692508092</v>
      </c>
      <c r="AI111" s="56">
        <f t="shared" ref="AI111" si="1149">SUM(AI108:AI110)</f>
        <v>103.2242712</v>
      </c>
      <c r="AJ111" s="51">
        <f t="shared" ref="AJ111" si="1150">IF(AND(AD111&gt;0),((AD108*AJ108+AD109*AJ109+AD110*AJ110)/AD111),0)</f>
        <v>0.92130527526782513</v>
      </c>
      <c r="AK111" s="55">
        <f t="shared" si="682"/>
        <v>0.920392134930901</v>
      </c>
      <c r="AL111" s="49">
        <f t="shared" ref="AL111" si="1151">SUM(AL108:AL110)</f>
        <v>538</v>
      </c>
      <c r="AM111" s="20"/>
      <c r="AN111" s="51">
        <f>IF(K111&gt;0,(AN108*K108+AN109*K109+AN110*K110)/K111,0)</f>
        <v>0.21990564064103577</v>
      </c>
      <c r="AO111" s="107">
        <f>IF(L111&gt;0,(AO108*K108+AO109*K109+AO110*K110)/K111,0)</f>
        <v>0.2207094023841478</v>
      </c>
      <c r="AP111" s="56">
        <f t="shared" ref="AP111" si="1152">SUM(AP108:AP110)</f>
        <v>108.00312</v>
      </c>
      <c r="AQ111" s="108">
        <f t="shared" si="1109"/>
        <v>108.41613360000002</v>
      </c>
      <c r="AR111" s="54"/>
      <c r="AS111" s="54">
        <f t="shared" ref="AS111" si="1153">SUM(AS108:AS110)</f>
        <v>0</v>
      </c>
      <c r="AT111" s="83"/>
      <c r="AU111" s="84">
        <f>AT110</f>
        <v>1668.1800000000003</v>
      </c>
      <c r="AV111" s="49">
        <f t="shared" ref="AV111" si="1154">SUM(AV108:AV110)</f>
        <v>0</v>
      </c>
      <c r="AW111" s="57"/>
      <c r="AX111" s="56"/>
      <c r="AY111" s="56"/>
      <c r="AZ111" s="56"/>
      <c r="BA111" s="56"/>
      <c r="BB111" s="21"/>
    </row>
    <row r="112" spans="1:54">
      <c r="A112" s="146">
        <v>28</v>
      </c>
      <c r="B112" s="22">
        <v>1</v>
      </c>
      <c r="C112" s="10" t="s">
        <v>57</v>
      </c>
      <c r="D112" s="11">
        <v>4970</v>
      </c>
      <c r="E112" s="11">
        <v>7</v>
      </c>
      <c r="F112" s="11">
        <v>13152</v>
      </c>
      <c r="G112" s="12">
        <v>0.8</v>
      </c>
      <c r="H112" s="12">
        <v>5.8</v>
      </c>
      <c r="I112" s="11">
        <v>13112</v>
      </c>
      <c r="J112" s="12">
        <v>4.7</v>
      </c>
      <c r="K112" s="11">
        <v>16625</v>
      </c>
      <c r="L112" s="13">
        <v>6.9000000000000006E-2</v>
      </c>
      <c r="M112" s="23">
        <f>ROUND(K112*(1-L112),0)</f>
        <v>15478</v>
      </c>
      <c r="N112" s="14">
        <v>0.66300000000000003</v>
      </c>
      <c r="O112" s="24">
        <f t="shared" ref="O112:O114" si="1155">M112*N112</f>
        <v>10261.914000000001</v>
      </c>
      <c r="P112" s="13">
        <v>0.30499999999999999</v>
      </c>
      <c r="Q112" s="24">
        <f t="shared" ref="Q112:Q114" si="1156">M112*P112</f>
        <v>4720.79</v>
      </c>
      <c r="R112" s="15">
        <v>3.2000000000000001E-2</v>
      </c>
      <c r="S112" s="112"/>
      <c r="T112" s="24">
        <f t="shared" ref="T112:T114" si="1157">M112*R112</f>
        <v>495.29599999999999</v>
      </c>
      <c r="U112" s="25">
        <v>0.23799999999999999</v>
      </c>
      <c r="V112" s="24">
        <f t="shared" ref="V112:V114" si="1158">M112*U112</f>
        <v>3683.7639999999997</v>
      </c>
      <c r="W112" s="15">
        <v>0.48</v>
      </c>
      <c r="X112" s="24">
        <f t="shared" ref="X112:X114" si="1159">M112*W112</f>
        <v>7429.44</v>
      </c>
      <c r="Y112" s="15">
        <v>0.42</v>
      </c>
      <c r="Z112" s="24">
        <f t="shared" ref="Z112:Z114" si="1160">Y112*M112</f>
        <v>6500.7599999999993</v>
      </c>
      <c r="AA112" s="116">
        <v>2.5999999999999999E-3</v>
      </c>
      <c r="AB112" s="18">
        <f t="shared" ref="AB112" si="1161">M112*AA112</f>
        <v>40.242799999999995</v>
      </c>
      <c r="AC112" s="16">
        <v>2.5699999999999998E-3</v>
      </c>
      <c r="AD112" s="17">
        <f t="shared" ref="AD112:AD114" si="1162">M112*AC112</f>
        <v>39.778459999999995</v>
      </c>
      <c r="AE112" s="26">
        <f>IF(M112&gt;0,(AG112+AP112)/M112,0)</f>
        <v>2.5004967050006456E-3</v>
      </c>
      <c r="AF112" s="16">
        <v>2.4000000000000001E-4</v>
      </c>
      <c r="AG112" s="23">
        <f t="shared" ref="AG112:AG114" si="1163">AF112*M112</f>
        <v>3.7147200000000002</v>
      </c>
      <c r="AH112" s="92">
        <v>0.2112</v>
      </c>
      <c r="AI112" s="29">
        <f t="shared" ref="AI112:AI114" si="1164">AL112*(1-AM112)*AH112</f>
        <v>35.441049599999999</v>
      </c>
      <c r="AJ112" s="27">
        <f t="shared" ref="AJ112:AJ114" si="1165">IF(AND(AH112&gt;0,AF112&gt;0,AC112&gt;0),((AC112-AF112)*AH112)/((AH112-AF112)*AC112),0)</f>
        <v>0.90764620213100311</v>
      </c>
      <c r="AK112" s="58">
        <f t="shared" si="682"/>
        <v>0.90506086636392857</v>
      </c>
      <c r="AL112" s="11">
        <v>184</v>
      </c>
      <c r="AM112" s="13">
        <v>8.7999999999999995E-2</v>
      </c>
      <c r="AN112" s="14">
        <v>0.20849999999999999</v>
      </c>
      <c r="AO112" s="101">
        <v>0.20749999999999999</v>
      </c>
      <c r="AP112" s="29">
        <f>AL112*(1-AM112)*AN112</f>
        <v>34.987967999999995</v>
      </c>
      <c r="AQ112" s="102">
        <f>AL112*(1-AM112)*AO112</f>
        <v>34.820159999999994</v>
      </c>
      <c r="AR112" s="18">
        <v>1.55</v>
      </c>
      <c r="AS112" s="18">
        <v>900.82</v>
      </c>
      <c r="AT112" s="79">
        <f>AT110+AL112-AS112</f>
        <v>951.36000000000024</v>
      </c>
      <c r="AU112" s="80"/>
      <c r="AV112" s="11"/>
      <c r="AW112" s="30"/>
      <c r="AX112" s="19"/>
      <c r="AY112" s="19"/>
      <c r="AZ112" s="19"/>
      <c r="BA112" s="19"/>
      <c r="BB112" s="31"/>
    </row>
    <row r="113" spans="1:54">
      <c r="A113" s="147"/>
      <c r="B113" s="32">
        <v>2</v>
      </c>
      <c r="C113" s="143" t="s">
        <v>54</v>
      </c>
      <c r="D113" s="33">
        <v>20037</v>
      </c>
      <c r="E113" s="33">
        <v>11</v>
      </c>
      <c r="F113" s="33">
        <v>16086</v>
      </c>
      <c r="G113" s="34">
        <v>0.6</v>
      </c>
      <c r="H113" s="34">
        <v>4.5</v>
      </c>
      <c r="I113" s="33">
        <v>16146</v>
      </c>
      <c r="J113" s="34">
        <v>5</v>
      </c>
      <c r="K113" s="33">
        <v>16764</v>
      </c>
      <c r="L113" s="35">
        <v>7.2999999999999995E-2</v>
      </c>
      <c r="M113" s="36">
        <f>ROUND(K113*(1-L113),0)</f>
        <v>15540</v>
      </c>
      <c r="N113" s="37">
        <v>0.55800000000000005</v>
      </c>
      <c r="O113" s="24">
        <f t="shared" si="1155"/>
        <v>8671.3200000000015</v>
      </c>
      <c r="P113" s="35">
        <v>0.38400000000000001</v>
      </c>
      <c r="Q113" s="24">
        <f t="shared" si="1156"/>
        <v>5967.36</v>
      </c>
      <c r="R113" s="38">
        <v>5.8000000000000003E-2</v>
      </c>
      <c r="S113" s="105"/>
      <c r="T113" s="24">
        <f t="shared" si="1157"/>
        <v>901.32</v>
      </c>
      <c r="U113" s="27">
        <v>0.24199999999999999</v>
      </c>
      <c r="V113" s="24">
        <f t="shared" si="1158"/>
        <v>3760.68</v>
      </c>
      <c r="W113" s="38">
        <v>0.48099999999999998</v>
      </c>
      <c r="X113" s="24">
        <f t="shared" si="1159"/>
        <v>7474.74</v>
      </c>
      <c r="Y113" s="38">
        <v>0.42</v>
      </c>
      <c r="Z113" s="24">
        <f t="shared" si="1160"/>
        <v>6526.8</v>
      </c>
      <c r="AA113" s="117">
        <v>2.5799999999999998E-3</v>
      </c>
      <c r="AB113" s="18">
        <f t="shared" si="766"/>
        <v>40.093199999999996</v>
      </c>
      <c r="AC113" s="39">
        <v>2.5899999999999999E-3</v>
      </c>
      <c r="AD113" s="17">
        <f t="shared" si="1162"/>
        <v>40.248599999999996</v>
      </c>
      <c r="AE113" s="26">
        <f>IF(M113&gt;0,(AG113+AP113)/M113,0)</f>
        <v>3.0100123552123555E-3</v>
      </c>
      <c r="AF113" s="39">
        <v>2.4000000000000001E-4</v>
      </c>
      <c r="AG113" s="36">
        <f t="shared" si="1163"/>
        <v>3.7296</v>
      </c>
      <c r="AH113" s="27">
        <v>0.20480000000000001</v>
      </c>
      <c r="AI113" s="40">
        <f t="shared" si="1164"/>
        <v>40.476672000000008</v>
      </c>
      <c r="AJ113" s="27">
        <f t="shared" si="1165"/>
        <v>0.90840043910047796</v>
      </c>
      <c r="AK113" s="28">
        <f t="shared" si="682"/>
        <v>0.92128129401524939</v>
      </c>
      <c r="AL113" s="33">
        <v>216</v>
      </c>
      <c r="AM113" s="35">
        <v>8.5000000000000006E-2</v>
      </c>
      <c r="AN113" s="37">
        <v>0.21779999999999999</v>
      </c>
      <c r="AO113" s="103">
        <v>0.2112</v>
      </c>
      <c r="AP113" s="40">
        <f>AL113*(1-AM113)*AN113</f>
        <v>43.045992000000005</v>
      </c>
      <c r="AQ113" s="104">
        <f>AL113*(1-AM113)*AO113</f>
        <v>41.741568000000001</v>
      </c>
      <c r="AR113" s="41">
        <v>1.55</v>
      </c>
      <c r="AS113" s="41"/>
      <c r="AT113" s="129">
        <f>AT112+AL113-AS113</f>
        <v>1167.3600000000001</v>
      </c>
      <c r="AU113" s="82"/>
      <c r="AV113" s="42"/>
      <c r="AW113" s="43"/>
      <c r="AX113" s="44"/>
      <c r="AY113" s="44"/>
      <c r="AZ113" s="44"/>
      <c r="BA113" s="44"/>
      <c r="BB113" s="31"/>
    </row>
    <row r="114" spans="1:54">
      <c r="A114" s="147"/>
      <c r="B114" s="32">
        <v>3</v>
      </c>
      <c r="C114" s="143" t="s">
        <v>55</v>
      </c>
      <c r="D114" s="42">
        <v>16000</v>
      </c>
      <c r="E114" s="42">
        <v>8</v>
      </c>
      <c r="F114" s="42">
        <v>15927</v>
      </c>
      <c r="G114" s="36">
        <v>0.9</v>
      </c>
      <c r="H114" s="36">
        <v>4.5</v>
      </c>
      <c r="I114" s="42">
        <v>16292</v>
      </c>
      <c r="J114" s="36">
        <v>5.2</v>
      </c>
      <c r="K114" s="42">
        <v>16872</v>
      </c>
      <c r="L114" s="38">
        <v>7.3999999999999996E-2</v>
      </c>
      <c r="M114" s="36">
        <f>ROUND(K114*(1-L114),0)</f>
        <v>15623</v>
      </c>
      <c r="N114" s="27">
        <v>0.74299999999999999</v>
      </c>
      <c r="O114" s="24">
        <f t="shared" si="1155"/>
        <v>11607.888999999999</v>
      </c>
      <c r="P114" s="38">
        <v>0.23400000000000001</v>
      </c>
      <c r="Q114" s="24">
        <f t="shared" si="1156"/>
        <v>3655.7820000000002</v>
      </c>
      <c r="R114" s="38">
        <v>2.3E-2</v>
      </c>
      <c r="S114" s="105"/>
      <c r="T114" s="24">
        <f t="shared" si="1157"/>
        <v>359.32900000000001</v>
      </c>
      <c r="U114" s="27">
        <v>0.254</v>
      </c>
      <c r="V114" s="24">
        <f t="shared" si="1158"/>
        <v>3968.2420000000002</v>
      </c>
      <c r="W114" s="38">
        <v>0.47599999999999998</v>
      </c>
      <c r="X114" s="24">
        <f t="shared" si="1159"/>
        <v>7436.5479999999998</v>
      </c>
      <c r="Y114" s="38">
        <v>0.42</v>
      </c>
      <c r="Z114" s="24">
        <f t="shared" si="1160"/>
        <v>6561.66</v>
      </c>
      <c r="AA114" s="118">
        <v>2.4299999999999999E-3</v>
      </c>
      <c r="AB114" s="121">
        <f t="shared" si="766"/>
        <v>37.963889999999999</v>
      </c>
      <c r="AC114" s="45">
        <v>2.2599999999999999E-3</v>
      </c>
      <c r="AD114" s="17">
        <f t="shared" si="1162"/>
        <v>35.307980000000001</v>
      </c>
      <c r="AE114" s="26">
        <f>IF(M114&gt;0,(AG114+AP114)/M114,0)</f>
        <v>2.4401529411764706E-3</v>
      </c>
      <c r="AF114" s="45">
        <v>2.4000000000000001E-4</v>
      </c>
      <c r="AG114" s="36">
        <f t="shared" si="1163"/>
        <v>3.74952</v>
      </c>
      <c r="AH114" s="27">
        <v>0.2099</v>
      </c>
      <c r="AI114" s="40">
        <f t="shared" si="1164"/>
        <v>33.3713713</v>
      </c>
      <c r="AJ114" s="27">
        <f t="shared" si="1165"/>
        <v>0.89482845804289946</v>
      </c>
      <c r="AK114" s="28">
        <f t="shared" si="682"/>
        <v>0.90264752310313523</v>
      </c>
      <c r="AL114" s="42">
        <v>173</v>
      </c>
      <c r="AM114" s="38">
        <v>8.1000000000000003E-2</v>
      </c>
      <c r="AN114" s="27">
        <v>0.2162</v>
      </c>
      <c r="AO114" s="105">
        <v>0.2147</v>
      </c>
      <c r="AP114" s="40">
        <f>AL114*(1-AM114)*AN114</f>
        <v>34.372989400000002</v>
      </c>
      <c r="AQ114" s="106">
        <f t="shared" si="727"/>
        <v>34.1345089</v>
      </c>
      <c r="AR114" s="17">
        <v>1.55</v>
      </c>
      <c r="AS114" s="17"/>
      <c r="AT114" s="129">
        <f>AT113+AL114-AS114</f>
        <v>1340.3600000000001</v>
      </c>
      <c r="AU114" s="82"/>
      <c r="AV114" s="42"/>
      <c r="AW114" s="46"/>
      <c r="AX114" s="40"/>
      <c r="AY114" s="40"/>
      <c r="AZ114" s="40"/>
      <c r="BA114" s="40"/>
      <c r="BB114" s="31"/>
    </row>
    <row r="115" spans="1:54">
      <c r="A115" s="148"/>
      <c r="B115" s="47" t="s">
        <v>56</v>
      </c>
      <c r="C115" s="48"/>
      <c r="D115" s="49">
        <f t="shared" ref="D115" si="1166">SUM(D112:D114)</f>
        <v>41007</v>
      </c>
      <c r="E115" s="49"/>
      <c r="F115" s="49">
        <f t="shared" ref="F115" si="1167">SUM(F112:F114)</f>
        <v>45165</v>
      </c>
      <c r="G115" s="50"/>
      <c r="H115" s="50"/>
      <c r="I115" s="49">
        <f t="shared" ref="I115:K115" si="1168">SUM(I112:I114)</f>
        <v>45550</v>
      </c>
      <c r="J115" s="50"/>
      <c r="K115" s="49">
        <f t="shared" si="1168"/>
        <v>50261</v>
      </c>
      <c r="L115" s="20">
        <f t="shared" ref="L115" si="1169">IF(K115&gt;0,(K112*L112+K113*L113+K114*L114)/K115,0)</f>
        <v>7.2012594257973378E-2</v>
      </c>
      <c r="M115" s="50">
        <f t="shared" ref="M115" si="1170">M112+M113+M114</f>
        <v>46641</v>
      </c>
      <c r="N115" s="51">
        <f t="shared" ref="N115" si="1171">IF(M115&gt;0,O115/M115,0)</f>
        <v>0.65481278274479537</v>
      </c>
      <c r="O115" s="52">
        <f t="shared" ref="O115" si="1172">O112+O113+O114</f>
        <v>30541.123000000003</v>
      </c>
      <c r="P115" s="20">
        <f t="shared" ref="P115" si="1173">IF(M115&gt;0,Q115/M115,0)</f>
        <v>0.30753911794344035</v>
      </c>
      <c r="Q115" s="52">
        <f t="shared" ref="Q115" si="1174">Q112+Q113+Q114</f>
        <v>14343.932000000001</v>
      </c>
      <c r="R115" s="20">
        <f t="shared" ref="R115" si="1175">IF(M115&gt;0,T115/M115,0)</f>
        <v>3.7648099311764327E-2</v>
      </c>
      <c r="S115" s="107"/>
      <c r="T115" s="52">
        <f t="shared" ref="T115" si="1176">T112+T113+T114</f>
        <v>1755.9449999999999</v>
      </c>
      <c r="U115" s="20">
        <f t="shared" ref="U115" si="1177">IF(M115&gt;0,V115/M115,0)</f>
        <v>0.2446921378186574</v>
      </c>
      <c r="V115" s="52">
        <f t="shared" ref="V115" si="1178">V112+V113+V114</f>
        <v>11412.686</v>
      </c>
      <c r="W115" s="20">
        <f t="shared" ref="W115" si="1179">IF(M115&gt;0,X115/M115,0)</f>
        <v>0.47899333204691152</v>
      </c>
      <c r="X115" s="52">
        <f t="shared" ref="X115" si="1180">X112+X113+X114</f>
        <v>22340.727999999999</v>
      </c>
      <c r="Y115" s="20">
        <f t="shared" ref="Y115" si="1181">IF(M115&gt;0,Z115/M115,0)</f>
        <v>0.42000000000000004</v>
      </c>
      <c r="Z115" s="52">
        <f t="shared" ref="Z115" si="1182">Z112+Z113+Z114</f>
        <v>19589.22</v>
      </c>
      <c r="AA115" s="119">
        <f t="shared" ref="AA115" si="1183">IF(M115&gt;0,AB115/M115,0)</f>
        <v>2.536392658819493E-3</v>
      </c>
      <c r="AB115" s="54">
        <f t="shared" ref="AB115" si="1184">SUM(AB112:AB114)</f>
        <v>118.29988999999998</v>
      </c>
      <c r="AC115" s="53">
        <f t="shared" ref="AC115" si="1185">IF(M115&gt;0,AD115/M115,0)</f>
        <v>2.472825196715336E-3</v>
      </c>
      <c r="AD115" s="54">
        <f t="shared" ref="AD115" si="1186">SUM(AD112:AD114)</f>
        <v>115.33503999999999</v>
      </c>
      <c r="AE115" s="53">
        <f t="shared" ref="AE115" si="1187">IF(M115&gt;0,(AE112*M112+AE113*M113+AE114*M114)/M115,0)</f>
        <v>2.6500458695139467E-3</v>
      </c>
      <c r="AF115" s="53">
        <f t="shared" ref="AF115" si="1188">IF(K115&gt;0,(K112*AF112+K113*AF113+K114*AF114)/K115,0)</f>
        <v>2.4000000000000003E-4</v>
      </c>
      <c r="AG115" s="50">
        <f t="shared" ref="AG115" si="1189">SUM(AG112:AG114)</f>
        <v>11.19384</v>
      </c>
      <c r="AH115" s="51">
        <f t="shared" ref="AH115" si="1190">IF(K115&gt;0,(K112*AH112+K113*AH113+K114*AH114)/K115,0)</f>
        <v>0.20862895684526769</v>
      </c>
      <c r="AI115" s="56">
        <f t="shared" ref="AI115" si="1191">SUM(AI112:AI114)</f>
        <v>109.28909290000001</v>
      </c>
      <c r="AJ115" s="51">
        <f t="shared" ref="AJ115" si="1192">IF(AND(AD115&gt;0),((AD112*AJ112+AD113*AJ113+AD114*AJ114)/AD115),0)</f>
        <v>0.90398546147648673</v>
      </c>
      <c r="AK115" s="55">
        <f t="shared" si="682"/>
        <v>0.91045571162108241</v>
      </c>
      <c r="AL115" s="49">
        <f t="shared" ref="AL115" si="1193">SUM(AL112:AL114)</f>
        <v>573</v>
      </c>
      <c r="AM115" s="20">
        <f t="shared" ref="AM115" si="1194">IF(AL115&gt;0,(AM112*AL112+AM113*AL113+AM114*AL114)/AL115,0)</f>
        <v>8.4755671902268764E-2</v>
      </c>
      <c r="AN115" s="51">
        <f>IF(K115&gt;0,(AN112*K112+AN113*K113+AN114*K114)/K115,0)</f>
        <v>0.21418670738743759</v>
      </c>
      <c r="AO115" s="107">
        <f>IF(L115&gt;0,(AO112*K112+AO113*K113+AO114*K114)/K115,0)</f>
        <v>0.21115104554226938</v>
      </c>
      <c r="AP115" s="56">
        <f t="shared" ref="AP115" si="1195">SUM(AP112:AP114)</f>
        <v>112.4069494</v>
      </c>
      <c r="AQ115" s="108">
        <f t="shared" si="1109"/>
        <v>110.69623689999999</v>
      </c>
      <c r="AR115" s="54"/>
      <c r="AS115" s="54">
        <f t="shared" ref="AS115" si="1196">SUM(AS112:AS114)</f>
        <v>900.82</v>
      </c>
      <c r="AT115" s="83"/>
      <c r="AU115" s="84">
        <f>AT114</f>
        <v>1340.3600000000001</v>
      </c>
      <c r="AV115" s="49">
        <f t="shared" ref="AV115" si="1197">SUM(AV112:AV114)</f>
        <v>0</v>
      </c>
      <c r="AW115" s="57"/>
      <c r="AX115" s="56"/>
      <c r="AY115" s="56"/>
      <c r="AZ115" s="56"/>
      <c r="BA115" s="56"/>
      <c r="BB115" s="21"/>
    </row>
    <row r="116" spans="1:54">
      <c r="A116" s="147">
        <v>29</v>
      </c>
      <c r="B116" s="32">
        <v>1</v>
      </c>
      <c r="C116" s="10" t="s">
        <v>57</v>
      </c>
      <c r="D116" s="11">
        <v>1600</v>
      </c>
      <c r="E116" s="11">
        <v>12</v>
      </c>
      <c r="F116" s="11">
        <v>14825</v>
      </c>
      <c r="G116" s="12">
        <v>0.4</v>
      </c>
      <c r="H116" s="12">
        <v>4</v>
      </c>
      <c r="I116" s="11">
        <v>15501</v>
      </c>
      <c r="J116" s="12">
        <v>5.4</v>
      </c>
      <c r="K116" s="11">
        <v>16761</v>
      </c>
      <c r="L116" s="13">
        <v>7.6999999999999999E-2</v>
      </c>
      <c r="M116" s="23">
        <f>ROUND(K116*(1-L116),0)</f>
        <v>15470</v>
      </c>
      <c r="N116" s="14">
        <v>0.60499999999999998</v>
      </c>
      <c r="O116" s="24">
        <f t="shared" ref="O116:O118" si="1198">M116*N116</f>
        <v>9359.35</v>
      </c>
      <c r="P116" s="13">
        <v>0.32800000000000001</v>
      </c>
      <c r="Q116" s="24">
        <f t="shared" ref="Q116:Q118" si="1199">M116*P116</f>
        <v>5074.16</v>
      </c>
      <c r="R116" s="15">
        <v>6.7000000000000004E-2</v>
      </c>
      <c r="S116" s="112"/>
      <c r="T116" s="24">
        <f t="shared" ref="T116:T118" si="1200">M116*R116</f>
        <v>1036.49</v>
      </c>
      <c r="U116" s="25">
        <v>0.25</v>
      </c>
      <c r="V116" s="24">
        <f t="shared" ref="V116:V118" si="1201">M116*U116</f>
        <v>3867.5</v>
      </c>
      <c r="W116" s="15">
        <v>0.48199999999999998</v>
      </c>
      <c r="X116" s="24">
        <f t="shared" ref="X116:X118" si="1202">M116*W116</f>
        <v>7456.54</v>
      </c>
      <c r="Y116" s="15">
        <v>0.44</v>
      </c>
      <c r="Z116" s="24">
        <f t="shared" ref="Z116:Z118" si="1203">Y116*M116</f>
        <v>6806.8</v>
      </c>
      <c r="AA116" s="116">
        <v>2.4299999999999999E-3</v>
      </c>
      <c r="AB116" s="18">
        <f t="shared" ref="AB116" si="1204">M116*AA116</f>
        <v>37.592099999999995</v>
      </c>
      <c r="AC116" s="16">
        <v>2.1299999999999999E-3</v>
      </c>
      <c r="AD116" s="17">
        <f t="shared" ref="AD116:AD118" si="1205">M116*AC116</f>
        <v>32.951099999999997</v>
      </c>
      <c r="AE116" s="26">
        <f>IF(M116&gt;0,(AG116+AP116)/M116,0)</f>
        <v>2.2246110407239819E-3</v>
      </c>
      <c r="AF116" s="16">
        <v>2.4000000000000001E-4</v>
      </c>
      <c r="AG116" s="23">
        <f t="shared" ref="AG116:AG118" si="1206">AF116*M116</f>
        <v>3.7128000000000001</v>
      </c>
      <c r="AH116" s="92">
        <v>0.21290000000000001</v>
      </c>
      <c r="AI116" s="29">
        <f t="shared" ref="AI116:AI118" si="1207">AL116*(1-AM116)*AH116</f>
        <v>29.901379200000001</v>
      </c>
      <c r="AJ116" s="27">
        <f t="shared" ref="AJ116:AJ118" si="1208">IF(AND(AH116&gt;0,AF116&gt;0,AC116&gt;0),((AC116-AF116)*AH116)/((AH116-AF116)*AC116),0)</f>
        <v>0.88832534376767514</v>
      </c>
      <c r="AK116" s="58">
        <f t="shared" si="682"/>
        <v>0.89309649871859864</v>
      </c>
      <c r="AL116" s="11">
        <v>154</v>
      </c>
      <c r="AM116" s="13">
        <v>8.7999999999999995E-2</v>
      </c>
      <c r="AN116" s="14">
        <v>0.21859999999999999</v>
      </c>
      <c r="AO116" s="101">
        <v>0.21629999999999999</v>
      </c>
      <c r="AP116" s="29">
        <f>AL116*(1-AM116)*AN116</f>
        <v>30.701932800000002</v>
      </c>
      <c r="AQ116" s="102">
        <f t="shared" ref="AQ116" si="1209">AL116*(1-AM116)*AO116</f>
        <v>30.378902400000001</v>
      </c>
      <c r="AR116" s="18">
        <v>1.55</v>
      </c>
      <c r="AS116" s="18">
        <v>451.74</v>
      </c>
      <c r="AT116" s="79">
        <f>AT114+AL116-AS116</f>
        <v>1042.6200000000001</v>
      </c>
      <c r="AU116" s="134"/>
      <c r="AV116" s="11"/>
      <c r="AW116" s="30"/>
      <c r="AX116" s="19"/>
      <c r="AY116" s="19"/>
      <c r="AZ116" s="19"/>
      <c r="BA116" s="19"/>
      <c r="BB116" s="31"/>
    </row>
    <row r="117" spans="1:54">
      <c r="A117" s="147"/>
      <c r="B117" s="32">
        <v>2</v>
      </c>
      <c r="C117" s="10" t="s">
        <v>54</v>
      </c>
      <c r="D117" s="33">
        <v>19072</v>
      </c>
      <c r="E117" s="33">
        <v>12</v>
      </c>
      <c r="F117" s="33">
        <v>16062</v>
      </c>
      <c r="G117" s="34">
        <v>2.2000000000000002</v>
      </c>
      <c r="H117" s="34">
        <v>8.1</v>
      </c>
      <c r="I117" s="33">
        <v>15771</v>
      </c>
      <c r="J117" s="34">
        <v>5</v>
      </c>
      <c r="K117" s="33">
        <v>16668</v>
      </c>
      <c r="L117" s="35">
        <v>7.0999999999999994E-2</v>
      </c>
      <c r="M117" s="36">
        <f>ROUND(K117*(1-L117),0)</f>
        <v>15485</v>
      </c>
      <c r="N117" s="37">
        <v>0.73699999999999999</v>
      </c>
      <c r="O117" s="24">
        <f t="shared" si="1198"/>
        <v>11412.445</v>
      </c>
      <c r="P117" s="35">
        <v>0.221</v>
      </c>
      <c r="Q117" s="24">
        <f t="shared" si="1199"/>
        <v>3422.1849999999999</v>
      </c>
      <c r="R117" s="38">
        <v>4.2000000000000003E-2</v>
      </c>
      <c r="S117" s="105"/>
      <c r="T117" s="24">
        <f t="shared" si="1200"/>
        <v>650.37</v>
      </c>
      <c r="U117" s="27">
        <v>0.251</v>
      </c>
      <c r="V117" s="24">
        <f t="shared" si="1201"/>
        <v>3886.7350000000001</v>
      </c>
      <c r="W117" s="38">
        <v>0.47699999999999998</v>
      </c>
      <c r="X117" s="24">
        <f t="shared" si="1202"/>
        <v>7386.3449999999993</v>
      </c>
      <c r="Y117" s="38">
        <v>0.44</v>
      </c>
      <c r="Z117" s="24">
        <f t="shared" si="1203"/>
        <v>6813.4</v>
      </c>
      <c r="AA117" s="117">
        <v>2.2300000000000002E-3</v>
      </c>
      <c r="AB117" s="18">
        <f t="shared" si="766"/>
        <v>34.531550000000003</v>
      </c>
      <c r="AC117" s="39">
        <v>2.1700000000000001E-3</v>
      </c>
      <c r="AD117" s="17">
        <f t="shared" si="1205"/>
        <v>33.602449999999997</v>
      </c>
      <c r="AE117" s="26">
        <f>IF(M117&gt;0,(AG117+AP117)/M117,0)</f>
        <v>2.2976181465934778E-3</v>
      </c>
      <c r="AF117" s="39">
        <v>2.1000000000000001E-4</v>
      </c>
      <c r="AG117" s="36">
        <f t="shared" si="1206"/>
        <v>3.2518500000000001</v>
      </c>
      <c r="AH117" s="27">
        <v>0.2082</v>
      </c>
      <c r="AI117" s="40">
        <f t="shared" si="1207"/>
        <v>30.289977000000004</v>
      </c>
      <c r="AJ117" s="27">
        <f t="shared" si="1208"/>
        <v>0.90413776096555509</v>
      </c>
      <c r="AK117" s="28">
        <f t="shared" si="682"/>
        <v>0.90946052657697529</v>
      </c>
      <c r="AL117" s="33">
        <v>159</v>
      </c>
      <c r="AM117" s="35">
        <v>8.5000000000000006E-2</v>
      </c>
      <c r="AN117" s="37">
        <v>0.22220000000000001</v>
      </c>
      <c r="AO117" s="103">
        <v>0.22040000000000001</v>
      </c>
      <c r="AP117" s="40">
        <f>AL117*(1-AM117)*AN117</f>
        <v>32.326767000000004</v>
      </c>
      <c r="AQ117" s="104">
        <f t="shared" si="727"/>
        <v>32.064894000000002</v>
      </c>
      <c r="AR117" s="41">
        <v>1.56</v>
      </c>
      <c r="AS117" s="41"/>
      <c r="AT117" s="129">
        <f>AT116+AL117-AS117</f>
        <v>1201.6200000000001</v>
      </c>
      <c r="AU117" s="82"/>
      <c r="AV117" s="42"/>
      <c r="AW117" s="43"/>
      <c r="AX117" s="44"/>
      <c r="AY117" s="44"/>
      <c r="AZ117" s="44"/>
      <c r="BA117" s="44"/>
      <c r="BB117" s="31"/>
    </row>
    <row r="118" spans="1:54">
      <c r="A118" s="147"/>
      <c r="B118" s="32">
        <v>3</v>
      </c>
      <c r="C118" s="143" t="s">
        <v>55</v>
      </c>
      <c r="D118" s="42">
        <v>21300</v>
      </c>
      <c r="E118" s="42">
        <v>7</v>
      </c>
      <c r="F118" s="42">
        <v>17536</v>
      </c>
      <c r="G118" s="36">
        <v>1.8</v>
      </c>
      <c r="H118" s="36">
        <v>6.5</v>
      </c>
      <c r="I118" s="42">
        <v>18111</v>
      </c>
      <c r="J118" s="36">
        <v>4.0999999999999996</v>
      </c>
      <c r="K118" s="42">
        <v>16849</v>
      </c>
      <c r="L118" s="38">
        <v>7.1999999999999995E-2</v>
      </c>
      <c r="M118" s="36">
        <f>ROUND(K118*(1-L118),0)</f>
        <v>15636</v>
      </c>
      <c r="N118" s="27">
        <v>0.60699999999999998</v>
      </c>
      <c r="O118" s="24">
        <f t="shared" si="1198"/>
        <v>9491.0519999999997</v>
      </c>
      <c r="P118" s="38">
        <v>0.33</v>
      </c>
      <c r="Q118" s="24">
        <f t="shared" si="1199"/>
        <v>5159.88</v>
      </c>
      <c r="R118" s="38">
        <v>6.3E-2</v>
      </c>
      <c r="S118" s="105"/>
      <c r="T118" s="24">
        <f t="shared" si="1200"/>
        <v>985.06799999999998</v>
      </c>
      <c r="U118" s="27">
        <v>0.247</v>
      </c>
      <c r="V118" s="24">
        <f t="shared" si="1201"/>
        <v>3862.0920000000001</v>
      </c>
      <c r="W118" s="38">
        <v>0.48499999999999999</v>
      </c>
      <c r="X118" s="24">
        <f t="shared" si="1202"/>
        <v>7583.46</v>
      </c>
      <c r="Y118" s="38">
        <v>0.43</v>
      </c>
      <c r="Z118" s="24">
        <f t="shared" si="1203"/>
        <v>6723.48</v>
      </c>
      <c r="AA118" s="118">
        <v>2.5200000000000001E-3</v>
      </c>
      <c r="AB118" s="121">
        <f t="shared" si="766"/>
        <v>39.402720000000002</v>
      </c>
      <c r="AC118" s="45">
        <v>2.5400000000000002E-3</v>
      </c>
      <c r="AD118" s="17">
        <f t="shared" si="1205"/>
        <v>39.715440000000001</v>
      </c>
      <c r="AE118" s="26">
        <f>IF(M118&gt;0,(AG118+AP118)/M118,0)</f>
        <v>2.4159453376822715E-3</v>
      </c>
      <c r="AF118" s="45">
        <v>1.8000000000000001E-4</v>
      </c>
      <c r="AG118" s="36">
        <f t="shared" si="1206"/>
        <v>2.8144800000000001</v>
      </c>
      <c r="AH118" s="27">
        <v>0.2102</v>
      </c>
      <c r="AI118" s="40">
        <f t="shared" si="1207"/>
        <v>33.419067399999996</v>
      </c>
      <c r="AJ118" s="27">
        <f t="shared" si="1208"/>
        <v>0.9299301828772214</v>
      </c>
      <c r="AK118" s="28">
        <f t="shared" si="682"/>
        <v>0.92625319120742455</v>
      </c>
      <c r="AL118" s="42">
        <v>173</v>
      </c>
      <c r="AM118" s="38">
        <v>8.1000000000000003E-2</v>
      </c>
      <c r="AN118" s="27">
        <v>0.21990000000000001</v>
      </c>
      <c r="AO118" s="105">
        <v>0.22040000000000001</v>
      </c>
      <c r="AP118" s="40">
        <f>AL118*(1-AM118)*AN118</f>
        <v>34.961241299999998</v>
      </c>
      <c r="AQ118" s="106">
        <f t="shared" si="727"/>
        <v>35.040734800000003</v>
      </c>
      <c r="AR118" s="17">
        <v>1.6</v>
      </c>
      <c r="AS118" s="17"/>
      <c r="AT118" s="129">
        <f>AT117+AL118-AS118</f>
        <v>1374.6200000000001</v>
      </c>
      <c r="AU118" s="82"/>
      <c r="AV118" s="42"/>
      <c r="AW118" s="46"/>
      <c r="AX118" s="40"/>
      <c r="AY118" s="40"/>
      <c r="AZ118" s="40"/>
      <c r="BA118" s="40"/>
      <c r="BB118" s="31"/>
    </row>
    <row r="119" spans="1:54">
      <c r="A119" s="148"/>
      <c r="B119" s="47" t="s">
        <v>56</v>
      </c>
      <c r="C119" s="48"/>
      <c r="D119" s="49">
        <f t="shared" ref="D119" si="1210">SUM(D116:D118)</f>
        <v>41972</v>
      </c>
      <c r="E119" s="49"/>
      <c r="F119" s="49">
        <f t="shared" ref="F119" si="1211">SUM(F116:F118)</f>
        <v>48423</v>
      </c>
      <c r="G119" s="50"/>
      <c r="H119" s="50"/>
      <c r="I119" s="49">
        <f t="shared" ref="I119:K119" si="1212">SUM(I116:I118)</f>
        <v>49383</v>
      </c>
      <c r="J119" s="50"/>
      <c r="K119" s="49">
        <f t="shared" si="1212"/>
        <v>50278</v>
      </c>
      <c r="L119" s="20">
        <f t="shared" ref="L119" si="1213">IF(K119&gt;0,(K116*L116+K117*L117+K118*L118)/K119,0)</f>
        <v>7.3335315645013707E-2</v>
      </c>
      <c r="M119" s="50">
        <f t="shared" ref="M119" si="1214">M116+M117+M118</f>
        <v>46591</v>
      </c>
      <c r="N119" s="51">
        <f t="shared" ref="N119" si="1215">IF(M119&gt;0,O119/M119,0)</f>
        <v>0.64954276577021308</v>
      </c>
      <c r="O119" s="52">
        <f t="shared" ref="O119" si="1216">O116+O117+O118</f>
        <v>30262.846999999998</v>
      </c>
      <c r="P119" s="20">
        <f t="shared" ref="P119" si="1217">IF(M119&gt;0,Q119/M119,0)</f>
        <v>0.29310864759288269</v>
      </c>
      <c r="Q119" s="52">
        <f t="shared" ref="Q119" si="1218">Q116+Q117+Q118</f>
        <v>13656.224999999999</v>
      </c>
      <c r="R119" s="20">
        <f t="shared" ref="R119" si="1219">IF(M119&gt;0,T119/M119,0)</f>
        <v>5.734858663690412E-2</v>
      </c>
      <c r="S119" s="107"/>
      <c r="T119" s="52">
        <f t="shared" ref="T119" si="1220">T116+T117+T118</f>
        <v>2671.9279999999999</v>
      </c>
      <c r="U119" s="20">
        <f t="shared" ref="U119" si="1221">IF(M119&gt;0,V119/M119,0)</f>
        <v>0.24932555643793869</v>
      </c>
      <c r="V119" s="52">
        <f t="shared" ref="V119" si="1222">V116+V117+V118</f>
        <v>11616.327000000001</v>
      </c>
      <c r="W119" s="20">
        <f t="shared" ref="W119" si="1223">IF(M119&gt;0,X119/M119,0)</f>
        <v>0.48134500225365406</v>
      </c>
      <c r="X119" s="52">
        <f t="shared" ref="X119" si="1224">X116+X117+X118</f>
        <v>22426.344999999998</v>
      </c>
      <c r="Y119" s="20">
        <f t="shared" ref="Y119" si="1225">IF(M119&gt;0,Z119/M119,0)</f>
        <v>0.43664398703612284</v>
      </c>
      <c r="Z119" s="52">
        <f t="shared" ref="Z119" si="1226">Z116+Z117+Z118</f>
        <v>20343.68</v>
      </c>
      <c r="AA119" s="119">
        <f t="shared" ref="AA119" si="1227">IF(M119&gt;0,AB119/M119,0)</f>
        <v>2.393732051254534E-3</v>
      </c>
      <c r="AB119" s="54">
        <f t="shared" ref="AB119" si="1228">SUM(AB116:AB118)</f>
        <v>111.52637</v>
      </c>
      <c r="AC119" s="53">
        <f t="shared" ref="AC119" si="1229">IF(M119&gt;0,AD119/M119,0)</f>
        <v>2.2808909446030349E-3</v>
      </c>
      <c r="AD119" s="54">
        <f t="shared" ref="AD119" si="1230">SUM(AD116:AD118)</f>
        <v>106.26899</v>
      </c>
      <c r="AE119" s="53">
        <f t="shared" ref="AE119" si="1231">IF(M119&gt;0,(AE116*M116+AE117*M117+AE118*M118)/M119,0)</f>
        <v>2.3130877444141572E-3</v>
      </c>
      <c r="AF119" s="53">
        <f t="shared" ref="AF119" si="1232">IF(K119&gt;0,(K116*AF116+K117*AF117+K118*AF118)/K119,0)</f>
        <v>2.0994749194478698E-4</v>
      </c>
      <c r="AG119" s="50">
        <f t="shared" ref="AG119" si="1233">SUM(AG116:AG118)</f>
        <v>9.7791300000000003</v>
      </c>
      <c r="AH119" s="51">
        <f t="shared" ref="AH119" si="1234">IF(K119&gt;0,(K116*AH116+K117*AH117+K118*AH118)/K119,0)</f>
        <v>0.21043705596881337</v>
      </c>
      <c r="AI119" s="56">
        <f t="shared" ref="AI119" si="1235">SUM(AI116:AI118)</f>
        <v>93.61042359999999</v>
      </c>
      <c r="AJ119" s="51">
        <f t="shared" ref="AJ119" si="1236">IF(AND(AD119&gt;0),((AD116*AJ116+AD117*AJ117+AD118*AJ118)/AD119),0)</f>
        <v>0.90887405181162784</v>
      </c>
      <c r="AK119" s="55">
        <f t="shared" si="682"/>
        <v>0.91010257770653524</v>
      </c>
      <c r="AL119" s="49">
        <f t="shared" ref="AL119" si="1237">SUM(AL116:AL118)</f>
        <v>486</v>
      </c>
      <c r="AM119" s="20">
        <f t="shared" ref="AM119" si="1238">IF(AL119&gt;0,(AM116*AL116+AM117*AL117+AM118*AL118)/AL119,0)</f>
        <v>8.4526748971193416E-2</v>
      </c>
      <c r="AN119" s="51">
        <f>IF(K119&gt;0,(AN116*K116+AN117*K117+AN118*K118)/K119,0)</f>
        <v>0.22022911213652094</v>
      </c>
      <c r="AO119" s="107">
        <f>IF(L119&gt;0,(AO116*K116+AO117*K117+AO118*K118)/K119,0)</f>
        <v>0.21903319742233185</v>
      </c>
      <c r="AP119" s="56">
        <f t="shared" ref="AP119" si="1239">SUM(AP116:AP118)</f>
        <v>97.98994110000001</v>
      </c>
      <c r="AQ119" s="108">
        <f t="shared" si="1109"/>
        <v>97.484531200000006</v>
      </c>
      <c r="AR119" s="54"/>
      <c r="AS119" s="54">
        <f t="shared" ref="AS119" si="1240">SUM(AS116:AS118)</f>
        <v>451.74</v>
      </c>
      <c r="AT119" s="83"/>
      <c r="AU119" s="84">
        <f>AT118</f>
        <v>1374.6200000000001</v>
      </c>
      <c r="AV119" s="49">
        <f t="shared" ref="AV119" si="1241">SUM(AV116:AV118)</f>
        <v>0</v>
      </c>
      <c r="AW119" s="57"/>
      <c r="AX119" s="56"/>
      <c r="AY119" s="56"/>
      <c r="AZ119" s="56"/>
      <c r="BA119" s="56"/>
      <c r="BB119" s="21"/>
    </row>
    <row r="120" spans="1:54">
      <c r="A120" s="146">
        <v>30</v>
      </c>
      <c r="B120" s="22">
        <v>1</v>
      </c>
      <c r="C120" s="10" t="s">
        <v>59</v>
      </c>
      <c r="D120" s="11">
        <v>6040</v>
      </c>
      <c r="E120" s="11">
        <v>10</v>
      </c>
      <c r="F120" s="11">
        <v>14474</v>
      </c>
      <c r="G120" s="12">
        <v>1.4</v>
      </c>
      <c r="H120" s="12">
        <v>6.1</v>
      </c>
      <c r="I120" s="11">
        <v>14640</v>
      </c>
      <c r="J120" s="12">
        <v>5.3</v>
      </c>
      <c r="K120" s="11">
        <v>16721</v>
      </c>
      <c r="L120" s="13">
        <v>6.7000000000000004E-2</v>
      </c>
      <c r="M120" s="36">
        <f>ROUND(K120*(1-L120),0)</f>
        <v>15601</v>
      </c>
      <c r="N120" s="14">
        <v>0.60299999999999998</v>
      </c>
      <c r="O120" s="24">
        <f t="shared" ref="O120:O122" si="1242">M120*N120</f>
        <v>9407.4030000000002</v>
      </c>
      <c r="P120" s="13">
        <v>0.35599999999999998</v>
      </c>
      <c r="Q120" s="24">
        <f t="shared" ref="Q120:Q122" si="1243">M120*P120</f>
        <v>5553.9560000000001</v>
      </c>
      <c r="R120" s="15">
        <v>4.1000000000000002E-2</v>
      </c>
      <c r="S120" s="112"/>
      <c r="T120" s="24">
        <f t="shared" ref="T120:T122" si="1244">M120*R120</f>
        <v>639.64100000000008</v>
      </c>
      <c r="U120" s="25">
        <v>0.24299999999999999</v>
      </c>
      <c r="V120" s="24">
        <f t="shared" ref="V120:V122" si="1245">M120*U120</f>
        <v>3791.0430000000001</v>
      </c>
      <c r="W120" s="15">
        <v>0.47</v>
      </c>
      <c r="X120" s="24">
        <f t="shared" ref="X120:X122" si="1246">M120*W120</f>
        <v>7332.4699999999993</v>
      </c>
      <c r="Y120" s="15">
        <v>0.45</v>
      </c>
      <c r="Z120" s="24">
        <f t="shared" ref="Z120:Z122" si="1247">Y120*M120</f>
        <v>7020.45</v>
      </c>
      <c r="AA120" s="116">
        <v>2.5799999999999998E-3</v>
      </c>
      <c r="AB120" s="18">
        <f t="shared" ref="AB120" si="1248">M120*AA120</f>
        <v>40.250579999999999</v>
      </c>
      <c r="AC120" s="16">
        <v>2.63E-3</v>
      </c>
      <c r="AD120" s="17">
        <f t="shared" ref="AD120:AD122" si="1249">M120*AC120</f>
        <v>41.030630000000002</v>
      </c>
      <c r="AE120" s="26">
        <f>IF(M120&gt;0,(AG120+AP120)/M120,0)</f>
        <v>2.580699724376643E-3</v>
      </c>
      <c r="AF120" s="16">
        <v>1.8000000000000001E-4</v>
      </c>
      <c r="AG120" s="23">
        <f t="shared" ref="AG120:AG122" si="1250">AF120*M120</f>
        <v>2.8081800000000001</v>
      </c>
      <c r="AH120" s="92">
        <v>0.2152</v>
      </c>
      <c r="AI120" s="29">
        <f t="shared" ref="AI120:AI122" si="1251">AL120*(1-AM120)*AH120</f>
        <v>35.679299200000003</v>
      </c>
      <c r="AJ120" s="27">
        <f t="shared" ref="AJ120:AJ122" si="1252">IF(AND(AH120&gt;0,AF120&gt;0,AC120&gt;0),((AC120-AF120)*AH120)/((AH120-AF120)*AC120),0)</f>
        <v>0.93233877262456455</v>
      </c>
      <c r="AK120" s="58">
        <f t="shared" si="682"/>
        <v>0.93099330203903963</v>
      </c>
      <c r="AL120" s="11">
        <v>181</v>
      </c>
      <c r="AM120" s="13">
        <v>8.4000000000000005E-2</v>
      </c>
      <c r="AN120" s="14">
        <v>0.22589999999999999</v>
      </c>
      <c r="AO120" s="101">
        <v>0.22800000000000001</v>
      </c>
      <c r="AP120" s="29">
        <f>AL120*(1-AM120)*AN120</f>
        <v>37.453316400000006</v>
      </c>
      <c r="AQ120" s="102">
        <f t="shared" ref="AQ120" si="1253">AL120*(1-AM120)*AO120</f>
        <v>37.801488000000006</v>
      </c>
      <c r="AR120" s="18">
        <v>1.55</v>
      </c>
      <c r="AS120" s="18">
        <v>450.74</v>
      </c>
      <c r="AT120" s="79">
        <f>AT118+AL120-AS120</f>
        <v>1104.8800000000001</v>
      </c>
      <c r="AU120" s="80"/>
      <c r="AV120" s="11"/>
      <c r="AW120" s="30"/>
      <c r="AX120" s="19"/>
      <c r="AY120" s="19"/>
      <c r="AZ120" s="19"/>
      <c r="BA120" s="19"/>
      <c r="BB120" s="31"/>
    </row>
    <row r="121" spans="1:54">
      <c r="A121" s="147"/>
      <c r="B121" s="32">
        <v>2</v>
      </c>
      <c r="C121" s="143" t="s">
        <v>58</v>
      </c>
      <c r="D121" s="33">
        <v>22255</v>
      </c>
      <c r="E121" s="33">
        <v>13</v>
      </c>
      <c r="F121" s="33">
        <v>17335</v>
      </c>
      <c r="G121" s="34">
        <v>1.7</v>
      </c>
      <c r="H121" s="34">
        <v>6</v>
      </c>
      <c r="I121" s="33">
        <v>17418</v>
      </c>
      <c r="J121" s="34">
        <v>4.5</v>
      </c>
      <c r="K121" s="33">
        <v>16822</v>
      </c>
      <c r="L121" s="35">
        <v>6.3E-2</v>
      </c>
      <c r="M121" s="36">
        <f>ROUND(K121*(1-L121),0)</f>
        <v>15762</v>
      </c>
      <c r="N121" s="37">
        <v>0.69599999999999995</v>
      </c>
      <c r="O121" s="24">
        <f t="shared" si="1242"/>
        <v>10970.351999999999</v>
      </c>
      <c r="P121" s="35">
        <v>0.252</v>
      </c>
      <c r="Q121" s="24">
        <f t="shared" si="1243"/>
        <v>3972.0239999999999</v>
      </c>
      <c r="R121" s="38">
        <v>5.1999999999999998E-2</v>
      </c>
      <c r="S121" s="105"/>
      <c r="T121" s="24">
        <f t="shared" si="1244"/>
        <v>819.62399999999991</v>
      </c>
      <c r="U121" s="27">
        <v>0.246</v>
      </c>
      <c r="V121" s="24">
        <f t="shared" si="1245"/>
        <v>3877.4519999999998</v>
      </c>
      <c r="W121" s="38">
        <v>0.47899999999999998</v>
      </c>
      <c r="X121" s="24">
        <f t="shared" si="1246"/>
        <v>7549.9979999999996</v>
      </c>
      <c r="Y121" s="38">
        <v>0.45</v>
      </c>
      <c r="Z121" s="24">
        <f t="shared" si="1247"/>
        <v>7092.9000000000005</v>
      </c>
      <c r="AA121" s="117">
        <v>2.63E-3</v>
      </c>
      <c r="AB121" s="18">
        <f t="shared" si="766"/>
        <v>41.454059999999998</v>
      </c>
      <c r="AC121" s="39">
        <v>2.5699999999999998E-3</v>
      </c>
      <c r="AD121" s="17">
        <f t="shared" si="1249"/>
        <v>40.508339999999997</v>
      </c>
      <c r="AE121" s="26">
        <f>IF(M121&gt;0,(AG121+AP121)/M121,0)</f>
        <v>2.5664515607156449E-3</v>
      </c>
      <c r="AF121" s="39">
        <v>1.9000000000000001E-4</v>
      </c>
      <c r="AG121" s="36">
        <f t="shared" si="1250"/>
        <v>2.99478</v>
      </c>
      <c r="AH121" s="27">
        <v>0.21379999999999999</v>
      </c>
      <c r="AI121" s="40">
        <f t="shared" si="1251"/>
        <v>35.017232999999997</v>
      </c>
      <c r="AJ121" s="27">
        <f t="shared" si="1252"/>
        <v>0.92689375178627464</v>
      </c>
      <c r="AK121" s="28">
        <f t="shared" si="682"/>
        <v>0.92673773918824964</v>
      </c>
      <c r="AL121" s="33">
        <v>179</v>
      </c>
      <c r="AM121" s="35">
        <v>8.5000000000000006E-2</v>
      </c>
      <c r="AN121" s="37">
        <v>0.22869999999999999</v>
      </c>
      <c r="AO121" s="103">
        <v>0.23139999999999999</v>
      </c>
      <c r="AP121" s="40">
        <f>AL121*(1-AM121)*AN121</f>
        <v>37.457629499999996</v>
      </c>
      <c r="AQ121" s="104">
        <f t="shared" si="727"/>
        <v>37.899848999999996</v>
      </c>
      <c r="AR121" s="41">
        <v>1.55</v>
      </c>
      <c r="AS121" s="41"/>
      <c r="AT121" s="129">
        <f>AT120+AL121-AS121</f>
        <v>1283.8800000000001</v>
      </c>
      <c r="AU121" s="82"/>
      <c r="AV121" s="42"/>
      <c r="AW121" s="43"/>
      <c r="AX121" s="44"/>
      <c r="AY121" s="44"/>
      <c r="AZ121" s="44"/>
      <c r="BA121" s="44"/>
      <c r="BB121" s="31"/>
    </row>
    <row r="122" spans="1:54">
      <c r="A122" s="147"/>
      <c r="B122" s="32">
        <v>3</v>
      </c>
      <c r="C122" s="143" t="s">
        <v>55</v>
      </c>
      <c r="D122" s="42">
        <v>22045</v>
      </c>
      <c r="E122" s="42">
        <v>11</v>
      </c>
      <c r="F122" s="42">
        <v>18952</v>
      </c>
      <c r="G122" s="36">
        <v>1.1000000000000001</v>
      </c>
      <c r="H122" s="36">
        <v>5.5</v>
      </c>
      <c r="I122" s="42">
        <v>19047</v>
      </c>
      <c r="J122" s="36">
        <v>3.7</v>
      </c>
      <c r="K122" s="42">
        <v>16846</v>
      </c>
      <c r="L122" s="38">
        <v>7.3999999999999996E-2</v>
      </c>
      <c r="M122" s="36">
        <f>ROUND(K122*(1-L122),0)</f>
        <v>15599</v>
      </c>
      <c r="N122" s="27">
        <v>0.58899999999999997</v>
      </c>
      <c r="O122" s="24">
        <f t="shared" si="1242"/>
        <v>9187.8109999999997</v>
      </c>
      <c r="P122" s="38">
        <v>0.37</v>
      </c>
      <c r="Q122" s="24">
        <f t="shared" si="1243"/>
        <v>5771.63</v>
      </c>
      <c r="R122" s="38">
        <v>4.1000000000000002E-2</v>
      </c>
      <c r="S122" s="105"/>
      <c r="T122" s="24">
        <f t="shared" si="1244"/>
        <v>639.55900000000008</v>
      </c>
      <c r="U122" s="27">
        <v>0.22</v>
      </c>
      <c r="V122" s="24">
        <f t="shared" si="1245"/>
        <v>3431.78</v>
      </c>
      <c r="W122" s="38">
        <v>0.49</v>
      </c>
      <c r="X122" s="24">
        <f t="shared" si="1246"/>
        <v>7643.51</v>
      </c>
      <c r="Y122" s="38">
        <v>0.44</v>
      </c>
      <c r="Z122" s="24">
        <f t="shared" si="1247"/>
        <v>6863.56</v>
      </c>
      <c r="AA122" s="118">
        <v>2.47E-3</v>
      </c>
      <c r="AB122" s="121">
        <f t="shared" si="766"/>
        <v>38.529530000000001</v>
      </c>
      <c r="AC122" s="45">
        <v>2.3700000000000001E-3</v>
      </c>
      <c r="AD122" s="17">
        <f t="shared" si="1249"/>
        <v>36.969630000000002</v>
      </c>
      <c r="AE122" s="26">
        <f>IF(M122&gt;0,(AG122+AP122)/M122,0)</f>
        <v>2.2912248477466508E-3</v>
      </c>
      <c r="AF122" s="45">
        <v>1.9000000000000001E-4</v>
      </c>
      <c r="AG122" s="36">
        <f t="shared" si="1250"/>
        <v>2.9638100000000001</v>
      </c>
      <c r="AH122" s="27">
        <v>0.20710000000000001</v>
      </c>
      <c r="AI122" s="40">
        <f t="shared" si="1251"/>
        <v>30.799083600000003</v>
      </c>
      <c r="AJ122" s="27">
        <f t="shared" si="1252"/>
        <v>0.92067588039970083</v>
      </c>
      <c r="AK122" s="28">
        <f t="shared" si="682"/>
        <v>0.91786618561046995</v>
      </c>
      <c r="AL122" s="42">
        <v>162</v>
      </c>
      <c r="AM122" s="38">
        <v>8.2000000000000003E-2</v>
      </c>
      <c r="AN122" s="27">
        <v>0.22040000000000001</v>
      </c>
      <c r="AO122" s="105">
        <v>0.2238</v>
      </c>
      <c r="AP122" s="40">
        <f>AL122*(1-AM122)*AN122</f>
        <v>32.777006400000005</v>
      </c>
      <c r="AQ122" s="106">
        <f t="shared" si="727"/>
        <v>33.282640800000003</v>
      </c>
      <c r="AR122" s="17">
        <v>1.55</v>
      </c>
      <c r="AS122" s="17"/>
      <c r="AT122" s="129">
        <f>AT121+AL122-AS122</f>
        <v>1445.88</v>
      </c>
      <c r="AU122" s="82"/>
      <c r="AV122" s="42"/>
      <c r="AW122" s="46"/>
      <c r="AX122" s="40"/>
      <c r="AY122" s="40"/>
      <c r="AZ122" s="40"/>
      <c r="BA122" s="40"/>
      <c r="BB122" s="31"/>
    </row>
    <row r="123" spans="1:54">
      <c r="A123" s="148"/>
      <c r="B123" s="47" t="s">
        <v>56</v>
      </c>
      <c r="C123" s="48"/>
      <c r="D123" s="49">
        <f t="shared" ref="D123" si="1254">SUM(D120:D122)</f>
        <v>50340</v>
      </c>
      <c r="E123" s="49"/>
      <c r="F123" s="49">
        <f t="shared" ref="F123" si="1255">SUM(F120:F122)</f>
        <v>50761</v>
      </c>
      <c r="G123" s="50"/>
      <c r="H123" s="50"/>
      <c r="I123" s="49">
        <f t="shared" ref="I123:K123" si="1256">SUM(I120:I122)</f>
        <v>51105</v>
      </c>
      <c r="J123" s="50"/>
      <c r="K123" s="49">
        <f t="shared" si="1256"/>
        <v>50389</v>
      </c>
      <c r="L123" s="20">
        <f t="shared" ref="L123" si="1257">IF(K123&gt;0,(K120*L120+K121*L121+K122*L122)/K123,0)</f>
        <v>6.8004862172299507E-2</v>
      </c>
      <c r="M123" s="50">
        <f t="shared" ref="M123" si="1258">M120+M121+M122</f>
        <v>46962</v>
      </c>
      <c r="N123" s="51">
        <f t="shared" ref="N123" si="1259">IF(M123&gt;0,O123/M123,0)</f>
        <v>0.62956360461649841</v>
      </c>
      <c r="O123" s="52">
        <f t="shared" ref="O123" si="1260">O120+O121+O122</f>
        <v>29565.565999999999</v>
      </c>
      <c r="P123" s="20">
        <f t="shared" ref="P123" si="1261">IF(M123&gt;0,Q123/M123,0)</f>
        <v>0.32574443166815725</v>
      </c>
      <c r="Q123" s="52">
        <f t="shared" ref="Q123" si="1262">Q120+Q121+Q122</f>
        <v>15297.61</v>
      </c>
      <c r="R123" s="20">
        <f t="shared" ref="R123" si="1263">IF(M123&gt;0,T123/M123,0)</f>
        <v>4.469196371534432E-2</v>
      </c>
      <c r="S123" s="107"/>
      <c r="T123" s="52">
        <f t="shared" ref="T123" si="1264">T120+T121+T122</f>
        <v>2098.8240000000001</v>
      </c>
      <c r="U123" s="20">
        <f t="shared" ref="U123" si="1265">IF(M123&gt;0,V123/M123,0)</f>
        <v>0.23636716920063028</v>
      </c>
      <c r="V123" s="52">
        <f t="shared" ref="V123" si="1266">V120+V121+V122</f>
        <v>11100.275</v>
      </c>
      <c r="W123" s="20">
        <f t="shared" ref="W123" si="1267">IF(M123&gt;0,X123/M123,0)</f>
        <v>0.47966394105872834</v>
      </c>
      <c r="X123" s="52">
        <f t="shared" ref="X123" si="1268">X120+X121+X122</f>
        <v>22525.977999999999</v>
      </c>
      <c r="Y123" s="20">
        <f t="shared" ref="Y123" si="1269">IF(M123&gt;0,Z123/M123,0)</f>
        <v>0.44667837826327667</v>
      </c>
      <c r="Z123" s="52">
        <f t="shared" ref="Z123" si="1270">Z120+Z121+Z122</f>
        <v>20976.91</v>
      </c>
      <c r="AA123" s="119">
        <f t="shared" ref="AA123" si="1271">IF(M123&gt;0,AB123/M123,0)</f>
        <v>2.5602438141476089E-3</v>
      </c>
      <c r="AB123" s="54">
        <f t="shared" ref="AB123" si="1272">SUM(AB120:AB122)</f>
        <v>120.23417000000001</v>
      </c>
      <c r="AC123" s="53">
        <f t="shared" ref="AC123" si="1273">IF(M123&gt;0,AD123/M123,0)</f>
        <v>2.523499850943316E-3</v>
      </c>
      <c r="AD123" s="54">
        <f t="shared" ref="AD123" si="1274">SUM(AD120:AD122)</f>
        <v>118.5086</v>
      </c>
      <c r="AE123" s="53">
        <f t="shared" ref="AE123" si="1275">IF(M123&gt;0,(AE120*M120+AE121*M121+AE122*M122)/M123,0)</f>
        <v>2.4797649652910868E-3</v>
      </c>
      <c r="AF123" s="53">
        <f t="shared" ref="AF123" si="1276">IF(K123&gt;0,(K120*AF120+K121*AF121+K122*AF122)/K123,0)</f>
        <v>1.8668161701958761E-4</v>
      </c>
      <c r="AG123" s="50">
        <f t="shared" ref="AG123" si="1277">SUM(AG120:AG122)</f>
        <v>8.7667700000000011</v>
      </c>
      <c r="AH123" s="51">
        <f t="shared" ref="AH123" si="1278">IF(K123&gt;0,(K120*AH120+K121*AH121+K122*AH122)/K123,0)</f>
        <v>0.21202463632935759</v>
      </c>
      <c r="AI123" s="56">
        <f t="shared" ref="AI123" si="1279">SUM(AI120:AI122)</f>
        <v>101.49561580000001</v>
      </c>
      <c r="AJ123" s="51">
        <f t="shared" ref="AJ123" si="1280">IF(AND(AD123&gt;0),((AD120*AJ120+AD121*AJ121+AD122*AJ122)/AD123),0)</f>
        <v>0.92683924292201436</v>
      </c>
      <c r="AK123" s="55">
        <f t="shared" si="682"/>
        <v>0.92548590545701981</v>
      </c>
      <c r="AL123" s="49">
        <f t="shared" ref="AL123" si="1281">SUM(AL120:AL122)</f>
        <v>522</v>
      </c>
      <c r="AM123" s="20">
        <f t="shared" ref="AM123" si="1282">IF(AL123&gt;0,(AM120*AL120+AM121*AL121+AM122*AL122)/AL123,0)</f>
        <v>8.3722222222222226E-2</v>
      </c>
      <c r="AN123" s="51">
        <f>IF(K123&gt;0,(AN120*K120+AN121*K121+AN122*K122)/K123,0)</f>
        <v>0.22499600508047393</v>
      </c>
      <c r="AO123" s="107">
        <f>IF(L123&gt;0,(AO120*K120+AO121*K121+AO122*K122)/K123,0)</f>
        <v>0.22773092540038498</v>
      </c>
      <c r="AP123" s="56">
        <f t="shared" ref="AP123:AQ123" si="1283">SUM(AP120:AP122)</f>
        <v>107.68795230000001</v>
      </c>
      <c r="AQ123" s="108">
        <f t="shared" si="1283"/>
        <v>108.98397779999999</v>
      </c>
      <c r="AR123" s="54"/>
      <c r="AS123" s="54">
        <f t="shared" ref="AS123" si="1284">SUM(AS120:AS122)</f>
        <v>450.74</v>
      </c>
      <c r="AT123" s="83"/>
      <c r="AU123" s="84">
        <f>AT122</f>
        <v>1445.88</v>
      </c>
      <c r="AV123" s="49">
        <f t="shared" ref="AV123" si="1285">SUM(AV120:AV122)</f>
        <v>0</v>
      </c>
      <c r="AW123" s="57"/>
      <c r="AX123" s="56"/>
      <c r="AY123" s="56"/>
      <c r="AZ123" s="56"/>
      <c r="BA123" s="56"/>
      <c r="BB123" s="21"/>
    </row>
  </sheetData>
  <protectedRanges>
    <protectedRange sqref="AE96:AE98" name="Range1_1_1_1_1_2_1_23_1_1_1"/>
    <protectedRange sqref="AE100:AE102" name="Range1_1_1_1_1_2_1_24_1_1_1"/>
    <protectedRange sqref="AE104:AE106" name="Range1_1_1_1_1_2_1_25_1_1_1"/>
    <protectedRange sqref="AE108:AE110" name="Range1_1_1_1_1_2_1_26_1_1_1"/>
    <protectedRange sqref="AE112:AE114" name="Range1_1_1_1_1_2_1_27_1_1_1"/>
    <protectedRange sqref="AE116:AE118" name="Range1_1_1_1_1_2_1_28_1_1_1"/>
    <protectedRange sqref="AE120:AE122" name="Range1_1_1_1_1_2_1_29_1_1_1"/>
    <protectedRange sqref="AB4:AB123" name="Range1_1_1_1_1_2_2_1_1_1_1"/>
  </protectedRanges>
  <mergeCells count="32">
    <mergeCell ref="A116:A119"/>
    <mergeCell ref="A120:A123"/>
    <mergeCell ref="A92:A95"/>
    <mergeCell ref="A96:A99"/>
    <mergeCell ref="A100:A103"/>
    <mergeCell ref="A104:A107"/>
    <mergeCell ref="A108:A111"/>
    <mergeCell ref="A112:A115"/>
    <mergeCell ref="A68:A71"/>
    <mergeCell ref="A72:A75"/>
    <mergeCell ref="A76:A79"/>
    <mergeCell ref="A80:A83"/>
    <mergeCell ref="A84:A87"/>
    <mergeCell ref="A88:A91"/>
    <mergeCell ref="A44:A47"/>
    <mergeCell ref="A48:A51"/>
    <mergeCell ref="A52:A55"/>
    <mergeCell ref="A56:A59"/>
    <mergeCell ref="A60:A63"/>
    <mergeCell ref="A64:A67"/>
    <mergeCell ref="A20:A23"/>
    <mergeCell ref="A24:A27"/>
    <mergeCell ref="A28:A31"/>
    <mergeCell ref="A32:A35"/>
    <mergeCell ref="A36:A39"/>
    <mergeCell ref="A40:A43"/>
    <mergeCell ref="AX1:AY1"/>
    <mergeCell ref="AZ1:BA1"/>
    <mergeCell ref="A4:A7"/>
    <mergeCell ref="A8:A11"/>
    <mergeCell ref="A12:A15"/>
    <mergeCell ref="A16:A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42F0-06B9-42C7-8777-D96169A69256}">
  <dimension ref="A1:BB91"/>
  <sheetViews>
    <sheetView workbookViewId="0">
      <selection sqref="A1:BB3"/>
    </sheetView>
  </sheetViews>
  <sheetFormatPr defaultRowHeight="15"/>
  <sheetData>
    <row r="1" spans="1:54" ht="89.25">
      <c r="A1" s="122" t="s">
        <v>0</v>
      </c>
      <c r="B1" s="124" t="s">
        <v>1</v>
      </c>
      <c r="C1" s="126" t="s">
        <v>2</v>
      </c>
      <c r="D1" s="97" t="s">
        <v>3</v>
      </c>
      <c r="E1" s="97" t="s">
        <v>4</v>
      </c>
      <c r="F1" s="97" t="s">
        <v>5</v>
      </c>
      <c r="G1" s="2" t="s">
        <v>6</v>
      </c>
      <c r="H1" s="97" t="s">
        <v>7</v>
      </c>
      <c r="I1" s="97" t="s">
        <v>8</v>
      </c>
      <c r="J1" s="95" t="s">
        <v>9</v>
      </c>
      <c r="K1" s="97" t="s">
        <v>10</v>
      </c>
      <c r="L1" s="97" t="s">
        <v>11</v>
      </c>
      <c r="M1" s="97" t="s">
        <v>12</v>
      </c>
      <c r="N1" s="97" t="s">
        <v>13</v>
      </c>
      <c r="O1" s="97"/>
      <c r="P1" s="1" t="s">
        <v>14</v>
      </c>
      <c r="Q1" s="1"/>
      <c r="R1" s="1" t="s">
        <v>15</v>
      </c>
      <c r="S1" s="99" t="s">
        <v>16</v>
      </c>
      <c r="T1" s="1"/>
      <c r="U1" s="97" t="s">
        <v>17</v>
      </c>
      <c r="V1" s="97"/>
      <c r="W1" s="97" t="s">
        <v>18</v>
      </c>
      <c r="X1" s="97"/>
      <c r="Y1" s="97" t="s">
        <v>19</v>
      </c>
      <c r="Z1" s="97"/>
      <c r="AA1" s="113" t="s">
        <v>20</v>
      </c>
      <c r="AB1" s="99" t="s">
        <v>21</v>
      </c>
      <c r="AC1" s="97" t="s">
        <v>22</v>
      </c>
      <c r="AD1" s="97" t="s">
        <v>23</v>
      </c>
      <c r="AE1" s="97" t="s">
        <v>24</v>
      </c>
      <c r="AF1" s="97" t="s">
        <v>25</v>
      </c>
      <c r="AG1" s="97" t="s">
        <v>26</v>
      </c>
      <c r="AH1" s="89" t="s">
        <v>27</v>
      </c>
      <c r="AI1" s="3" t="s">
        <v>28</v>
      </c>
      <c r="AJ1" s="97" t="s">
        <v>29</v>
      </c>
      <c r="AK1" s="97" t="s">
        <v>30</v>
      </c>
      <c r="AL1" s="97" t="s">
        <v>31</v>
      </c>
      <c r="AM1" s="2" t="s">
        <v>32</v>
      </c>
      <c r="AN1" s="3" t="s">
        <v>33</v>
      </c>
      <c r="AO1" s="98" t="s">
        <v>34</v>
      </c>
      <c r="AP1" s="97" t="s">
        <v>35</v>
      </c>
      <c r="AQ1" s="99" t="s">
        <v>36</v>
      </c>
      <c r="AR1" s="97" t="s">
        <v>37</v>
      </c>
      <c r="AS1" s="71" t="s">
        <v>38</v>
      </c>
      <c r="AT1" s="72" t="s">
        <v>39</v>
      </c>
      <c r="AU1" s="73" t="s">
        <v>39</v>
      </c>
      <c r="AV1" s="4" t="s">
        <v>40</v>
      </c>
      <c r="AW1" s="97" t="s">
        <v>41</v>
      </c>
      <c r="AX1" s="149" t="s">
        <v>42</v>
      </c>
      <c r="AY1" s="149"/>
      <c r="AZ1" s="149" t="s">
        <v>43</v>
      </c>
      <c r="BA1" s="149"/>
    </row>
    <row r="2" spans="1:54">
      <c r="A2" s="123"/>
      <c r="B2" s="125"/>
      <c r="C2" s="127"/>
      <c r="D2" s="5" t="s">
        <v>44</v>
      </c>
      <c r="E2" s="5" t="s">
        <v>45</v>
      </c>
      <c r="F2" s="5" t="s">
        <v>44</v>
      </c>
      <c r="G2" s="7" t="s">
        <v>46</v>
      </c>
      <c r="H2" s="5" t="s">
        <v>46</v>
      </c>
      <c r="I2" s="5" t="s">
        <v>44</v>
      </c>
      <c r="J2" s="7"/>
      <c r="K2" s="5" t="s">
        <v>44</v>
      </c>
      <c r="L2" s="5" t="s">
        <v>46</v>
      </c>
      <c r="M2" s="5" t="s">
        <v>44</v>
      </c>
      <c r="N2" s="5" t="s">
        <v>46</v>
      </c>
      <c r="O2" s="6"/>
      <c r="P2" s="5" t="s">
        <v>46</v>
      </c>
      <c r="Q2" s="5"/>
      <c r="R2" s="5" t="s">
        <v>46</v>
      </c>
      <c r="S2" s="5"/>
      <c r="T2" s="5"/>
      <c r="U2" s="5" t="s">
        <v>46</v>
      </c>
      <c r="V2" s="5"/>
      <c r="W2" s="5" t="s">
        <v>47</v>
      </c>
      <c r="X2" s="5"/>
      <c r="Y2" s="5" t="s">
        <v>47</v>
      </c>
      <c r="Z2" s="5"/>
      <c r="AA2" s="114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44</v>
      </c>
      <c r="AH2" s="90" t="s">
        <v>46</v>
      </c>
      <c r="AI2" s="8" t="s">
        <v>44</v>
      </c>
      <c r="AJ2" s="5" t="s">
        <v>46</v>
      </c>
      <c r="AK2" s="5" t="s">
        <v>46</v>
      </c>
      <c r="AL2" s="5" t="s">
        <v>44</v>
      </c>
      <c r="AM2" s="7" t="s">
        <v>46</v>
      </c>
      <c r="AN2" s="8" t="s">
        <v>46</v>
      </c>
      <c r="AO2" s="8"/>
      <c r="AP2" s="5" t="s">
        <v>44</v>
      </c>
      <c r="AQ2" s="142"/>
      <c r="AR2" s="5" t="s">
        <v>48</v>
      </c>
      <c r="AS2" s="74" t="s">
        <v>49</v>
      </c>
      <c r="AT2" s="75" t="s">
        <v>49</v>
      </c>
      <c r="AU2" s="76" t="s">
        <v>49</v>
      </c>
      <c r="AV2" s="9" t="s">
        <v>50</v>
      </c>
      <c r="AW2" s="5" t="s">
        <v>46</v>
      </c>
      <c r="AX2" s="5" t="s">
        <v>51</v>
      </c>
      <c r="AY2" s="5" t="s">
        <v>52</v>
      </c>
      <c r="AZ2" s="5" t="s">
        <v>51</v>
      </c>
      <c r="BA2" s="5" t="s">
        <v>52</v>
      </c>
      <c r="BB2" s="21"/>
    </row>
    <row r="3" spans="1:54">
      <c r="A3" s="64"/>
      <c r="B3" s="65"/>
      <c r="C3" s="70"/>
      <c r="D3" s="66"/>
      <c r="E3" s="66"/>
      <c r="F3" s="66"/>
      <c r="G3" s="67"/>
      <c r="H3" s="66"/>
      <c r="I3" s="66"/>
      <c r="J3" s="67"/>
      <c r="K3" s="66"/>
      <c r="L3" s="66"/>
      <c r="M3" s="66"/>
      <c r="N3" s="66"/>
      <c r="O3" s="6"/>
      <c r="P3" s="66"/>
      <c r="Q3" s="6"/>
      <c r="R3" s="66"/>
      <c r="S3" s="110"/>
      <c r="T3" s="6"/>
      <c r="U3" s="70"/>
      <c r="V3" s="6"/>
      <c r="W3" s="66"/>
      <c r="X3" s="6"/>
      <c r="Y3" s="66"/>
      <c r="Z3" s="70"/>
      <c r="AA3" s="115"/>
      <c r="AB3" s="66"/>
      <c r="AC3" s="66"/>
      <c r="AD3" s="6"/>
      <c r="AE3" s="70"/>
      <c r="AF3" s="66"/>
      <c r="AG3" s="66"/>
      <c r="AH3" s="91"/>
      <c r="AI3" s="93"/>
      <c r="AJ3" s="70"/>
      <c r="AK3" s="70"/>
      <c r="AL3" s="66"/>
      <c r="AM3" s="67"/>
      <c r="AN3" s="68"/>
      <c r="AO3" s="68"/>
      <c r="AP3" s="66"/>
      <c r="AQ3" s="100"/>
      <c r="AR3" s="66"/>
      <c r="AS3" s="77"/>
      <c r="AT3" s="94">
        <v>1446.4599999999994</v>
      </c>
      <c r="AU3" s="78"/>
      <c r="AV3" s="69"/>
      <c r="AW3" s="66"/>
      <c r="AX3" s="66"/>
      <c r="AY3" s="66"/>
      <c r="AZ3" s="66"/>
      <c r="BA3" s="66"/>
      <c r="BB3" s="21"/>
    </row>
    <row r="4" spans="1:54">
      <c r="A4" s="146">
        <v>1</v>
      </c>
      <c r="B4" s="22">
        <v>1</v>
      </c>
      <c r="C4" s="10" t="s">
        <v>57</v>
      </c>
      <c r="D4" s="11">
        <v>3000</v>
      </c>
      <c r="E4" s="11">
        <v>15</v>
      </c>
      <c r="F4" s="11">
        <v>13868</v>
      </c>
      <c r="G4" s="12">
        <v>0.9</v>
      </c>
      <c r="H4" s="12">
        <v>6.1</v>
      </c>
      <c r="I4" s="11">
        <v>14360</v>
      </c>
      <c r="J4" s="12">
        <v>4.5999999999999996</v>
      </c>
      <c r="K4" s="11">
        <v>16916</v>
      </c>
      <c r="L4" s="13">
        <v>7.3999999999999996E-2</v>
      </c>
      <c r="M4" s="23">
        <f>ROUND(K4*(1-L4),0)</f>
        <v>15664</v>
      </c>
      <c r="N4" s="14">
        <v>0.61499999999999999</v>
      </c>
      <c r="O4" s="24">
        <f t="shared" ref="O4:O6" si="0">M4*N4</f>
        <v>9633.36</v>
      </c>
      <c r="P4" s="13">
        <v>0.35499999999999998</v>
      </c>
      <c r="Q4" s="24">
        <f t="shared" ref="Q4:Q6" si="1">M4*P4</f>
        <v>5560.7199999999993</v>
      </c>
      <c r="R4" s="15">
        <v>0.03</v>
      </c>
      <c r="S4" s="111"/>
      <c r="T4" s="24">
        <f t="shared" ref="T4:T6" si="2">M4*R4</f>
        <v>469.91999999999996</v>
      </c>
      <c r="U4" s="25">
        <v>0.26</v>
      </c>
      <c r="V4" s="24">
        <f t="shared" ref="V4:V6" si="3">M4*U4</f>
        <v>4072.6400000000003</v>
      </c>
      <c r="W4" s="15">
        <v>0.46</v>
      </c>
      <c r="X4" s="24">
        <f>M4*W4</f>
        <v>7205.4400000000005</v>
      </c>
      <c r="Y4" s="15">
        <v>0.45</v>
      </c>
      <c r="Z4" s="96">
        <f t="shared" ref="Z4:Z6" si="4">Y4*M4</f>
        <v>7048.8</v>
      </c>
      <c r="AA4" s="116">
        <v>2.2200000000000002E-3</v>
      </c>
      <c r="AB4" s="18">
        <f>M4*AA4</f>
        <v>34.774080000000005</v>
      </c>
      <c r="AC4" s="16">
        <v>2.1700000000000001E-3</v>
      </c>
      <c r="AD4" s="18">
        <f>M4*AC4</f>
        <v>33.990880000000004</v>
      </c>
      <c r="AE4" s="26">
        <f>IF(M4&gt;0,(AG4+AP4)/M4,0)</f>
        <v>2.1782771067415732E-3</v>
      </c>
      <c r="AF4" s="16">
        <v>2.0000000000000001E-4</v>
      </c>
      <c r="AG4" s="23">
        <f t="shared" ref="AG4:AG6" si="5">AF4*M4</f>
        <v>3.1328</v>
      </c>
      <c r="AH4" s="92">
        <v>0.20899999999999999</v>
      </c>
      <c r="AI4" s="29">
        <f>AL4*(1-AM4)*AH4</f>
        <v>30.506058000000003</v>
      </c>
      <c r="AJ4" s="27">
        <f>IF(AND(AH4&gt;0,AF4&gt;0,AC4&gt;0),((AC4-AF4)*AH4)/((AH4-AF4)*AC4),0)</f>
        <v>0.90870367427653298</v>
      </c>
      <c r="AK4" s="58">
        <f t="shared" ref="AK4:AK67" si="6">IF(AND(AE4&gt;0,AN4&gt;0,AF4&gt;0),((AN4*(AE4-AF4))/(AE4*(AN4-AF4))),0)</f>
        <v>0.9090406908541504</v>
      </c>
      <c r="AL4" s="11">
        <v>159</v>
      </c>
      <c r="AM4" s="13">
        <v>8.2000000000000003E-2</v>
      </c>
      <c r="AN4" s="14">
        <v>0.21229999999999999</v>
      </c>
      <c r="AO4" s="101">
        <v>0.21829999999999999</v>
      </c>
      <c r="AP4" s="29">
        <f>AL4*(1-AM4)*AN4</f>
        <v>30.987732600000001</v>
      </c>
      <c r="AQ4" s="102">
        <f>AL4*(1-AM4)*AO4</f>
        <v>31.863504600000002</v>
      </c>
      <c r="AR4" s="18">
        <v>1.55</v>
      </c>
      <c r="AS4" s="18"/>
      <c r="AT4" s="88">
        <f>AT3+AL4-AS4</f>
        <v>1605.4599999999994</v>
      </c>
      <c r="AU4" s="80"/>
      <c r="AV4" s="11"/>
      <c r="AW4" s="30"/>
      <c r="AX4" s="19"/>
      <c r="AY4" s="19"/>
      <c r="AZ4" s="19"/>
      <c r="BA4" s="19"/>
      <c r="BB4" s="31"/>
    </row>
    <row r="5" spans="1:54">
      <c r="A5" s="147"/>
      <c r="B5" s="32">
        <v>2</v>
      </c>
      <c r="C5" s="10" t="s">
        <v>58</v>
      </c>
      <c r="D5" s="33">
        <v>20400</v>
      </c>
      <c r="E5" s="33">
        <v>9</v>
      </c>
      <c r="F5" s="33">
        <v>16928</v>
      </c>
      <c r="G5" s="34">
        <v>1.7</v>
      </c>
      <c r="H5" s="34">
        <v>5.4</v>
      </c>
      <c r="I5" s="33">
        <v>16831</v>
      </c>
      <c r="J5" s="34">
        <v>4.0999999999999996</v>
      </c>
      <c r="K5" s="33">
        <v>16924</v>
      </c>
      <c r="L5" s="35">
        <v>7.6999999999999999E-2</v>
      </c>
      <c r="M5" s="36">
        <f>ROUND(K5*(1-L5),0)</f>
        <v>15621</v>
      </c>
      <c r="N5" s="37">
        <v>0.63500000000000001</v>
      </c>
      <c r="O5" s="24">
        <f t="shared" si="0"/>
        <v>9919.3350000000009</v>
      </c>
      <c r="P5" s="35">
        <v>0.27100000000000002</v>
      </c>
      <c r="Q5" s="24">
        <f t="shared" si="1"/>
        <v>4233.2910000000002</v>
      </c>
      <c r="R5" s="38">
        <v>9.4E-2</v>
      </c>
      <c r="S5" s="105"/>
      <c r="T5" s="24">
        <f t="shared" si="2"/>
        <v>1468.374</v>
      </c>
      <c r="U5" s="27">
        <v>0.254</v>
      </c>
      <c r="V5" s="24">
        <f t="shared" si="3"/>
        <v>3967.7339999999999</v>
      </c>
      <c r="W5" s="38">
        <v>0.46899999999999997</v>
      </c>
      <c r="X5" s="24">
        <f>M5*W5</f>
        <v>7326.2489999999998</v>
      </c>
      <c r="Y5" s="38">
        <v>0.44</v>
      </c>
      <c r="Z5" s="24">
        <f t="shared" si="4"/>
        <v>6873.24</v>
      </c>
      <c r="AA5" s="117">
        <v>2.2000000000000001E-3</v>
      </c>
      <c r="AB5" s="18">
        <f t="shared" ref="AB5:AB6" si="7">M5*AA5</f>
        <v>34.366199999999999</v>
      </c>
      <c r="AC5" s="39">
        <v>2.2300000000000002E-3</v>
      </c>
      <c r="AD5" s="17">
        <f>M5*AC5</f>
        <v>34.834830000000004</v>
      </c>
      <c r="AE5" s="26">
        <f>IF(M5&gt;0,(AG5+AP5)/M5,0)</f>
        <v>2.2008352218167849E-3</v>
      </c>
      <c r="AF5" s="39">
        <v>2.1000000000000001E-4</v>
      </c>
      <c r="AG5" s="36">
        <f t="shared" si="5"/>
        <v>3.2804100000000003</v>
      </c>
      <c r="AH5" s="27">
        <v>0.2102</v>
      </c>
      <c r="AI5" s="40">
        <f>AL5*(1-AM5)*AH5</f>
        <v>29.619281999999998</v>
      </c>
      <c r="AJ5" s="27">
        <f>IF(AND(AH5&gt;0,AF5&gt;0,AC5&gt;0),((AC5-AF5)*AH5)/((AH5-AF5)*AC5),0)</f>
        <v>0.9067354691457653</v>
      </c>
      <c r="AK5" s="28">
        <f t="shared" si="6"/>
        <v>0.90544322518984055</v>
      </c>
      <c r="AL5" s="33">
        <v>154</v>
      </c>
      <c r="AM5" s="35">
        <v>8.5000000000000006E-2</v>
      </c>
      <c r="AN5" s="37">
        <v>0.22070000000000001</v>
      </c>
      <c r="AO5" s="103">
        <v>0.2291</v>
      </c>
      <c r="AP5" s="40">
        <f>AL5*(1-AM5)*AN5</f>
        <v>31.098837</v>
      </c>
      <c r="AQ5" s="104">
        <f t="shared" ref="AQ5:AQ6" si="8">AL5*(1-AM5)*AO5</f>
        <v>32.282480999999997</v>
      </c>
      <c r="AR5" s="41">
        <v>1.55</v>
      </c>
      <c r="AS5" s="41"/>
      <c r="AT5" s="88">
        <f>AT4+AL5-AS5</f>
        <v>1759.4599999999994</v>
      </c>
      <c r="AU5" s="81"/>
      <c r="AV5" s="42"/>
      <c r="AW5" s="43"/>
      <c r="AX5" s="44"/>
      <c r="AY5" s="44"/>
      <c r="AZ5" s="44"/>
      <c r="BA5" s="44"/>
      <c r="BB5" s="31"/>
    </row>
    <row r="6" spans="1:54">
      <c r="A6" s="147"/>
      <c r="B6" s="32">
        <v>3</v>
      </c>
      <c r="C6" s="10" t="s">
        <v>59</v>
      </c>
      <c r="D6" s="42">
        <v>15000</v>
      </c>
      <c r="E6" s="42">
        <v>10</v>
      </c>
      <c r="F6" s="42">
        <v>18571</v>
      </c>
      <c r="G6" s="36">
        <v>1.8</v>
      </c>
      <c r="H6" s="36">
        <v>5.8</v>
      </c>
      <c r="I6" s="42">
        <v>18733</v>
      </c>
      <c r="J6" s="36">
        <v>3.6</v>
      </c>
      <c r="K6" s="42">
        <v>16877</v>
      </c>
      <c r="L6" s="38">
        <v>6.5000000000000002E-2</v>
      </c>
      <c r="M6" s="36">
        <f>ROUND(K6*(1-L6),0)</f>
        <v>15780</v>
      </c>
      <c r="N6" s="27">
        <v>0.627</v>
      </c>
      <c r="O6" s="24">
        <f t="shared" si="0"/>
        <v>9894.06</v>
      </c>
      <c r="P6" s="38">
        <v>0.28699999999999998</v>
      </c>
      <c r="Q6" s="24">
        <f t="shared" si="1"/>
        <v>4528.8599999999997</v>
      </c>
      <c r="R6" s="38">
        <v>8.5999999999999993E-2</v>
      </c>
      <c r="S6" s="105"/>
      <c r="T6" s="24">
        <f t="shared" si="2"/>
        <v>1357.08</v>
      </c>
      <c r="U6" s="27">
        <v>0.254</v>
      </c>
      <c r="V6" s="24">
        <f t="shared" si="3"/>
        <v>4008.12</v>
      </c>
      <c r="W6" s="38">
        <v>0.46800000000000003</v>
      </c>
      <c r="X6" s="24">
        <f>M6*W6</f>
        <v>7385.0400000000009</v>
      </c>
      <c r="Y6" s="38">
        <v>0.44</v>
      </c>
      <c r="Z6" s="24">
        <f t="shared" si="4"/>
        <v>6943.2</v>
      </c>
      <c r="AA6" s="118">
        <v>2.4599999999999999E-3</v>
      </c>
      <c r="AB6" s="121">
        <f t="shared" si="7"/>
        <v>38.818799999999996</v>
      </c>
      <c r="AC6" s="45">
        <v>2.48E-3</v>
      </c>
      <c r="AD6" s="17">
        <f>M6*AC6</f>
        <v>39.134399999999999</v>
      </c>
      <c r="AE6" s="26">
        <f>IF(M6&gt;0,(AG6+AP6)/M6,0)</f>
        <v>2.3971840304182509E-3</v>
      </c>
      <c r="AF6" s="45">
        <v>2.3000000000000001E-4</v>
      </c>
      <c r="AG6" s="36">
        <f t="shared" si="5"/>
        <v>3.6294</v>
      </c>
      <c r="AH6" s="27">
        <v>0.20230000000000001</v>
      </c>
      <c r="AI6" s="40">
        <f>AL6*(1-AM6)*AH6</f>
        <v>28.718508000000003</v>
      </c>
      <c r="AJ6" s="27">
        <f>IF(AND(AH6&gt;0,AF6&gt;0,AC6&gt;0),((AC6-AF6)*AH6)/((AH6-AF6)*AC6),0)</f>
        <v>0.9082907232721974</v>
      </c>
      <c r="AK6" s="28">
        <f t="shared" si="6"/>
        <v>0.90491806459546142</v>
      </c>
      <c r="AL6" s="42">
        <v>156</v>
      </c>
      <c r="AM6" s="38">
        <v>0.09</v>
      </c>
      <c r="AN6" s="27">
        <v>0.2409</v>
      </c>
      <c r="AO6" s="105">
        <v>0.24540000000000001</v>
      </c>
      <c r="AP6" s="40">
        <f>AL6*(1-AM6)*AN6</f>
        <v>34.198164000000006</v>
      </c>
      <c r="AQ6" s="106">
        <f t="shared" si="8"/>
        <v>34.836984000000001</v>
      </c>
      <c r="AR6" s="17">
        <v>1.54</v>
      </c>
      <c r="AS6" s="17"/>
      <c r="AT6" s="88">
        <f>AT5+AL6-AS6</f>
        <v>1915.4599999999994</v>
      </c>
      <c r="AU6" s="82"/>
      <c r="AV6" s="42"/>
      <c r="AW6" s="46"/>
      <c r="AX6" s="40"/>
      <c r="AY6" s="40"/>
      <c r="AZ6" s="40"/>
      <c r="BA6" s="40"/>
      <c r="BB6" s="31"/>
    </row>
    <row r="7" spans="1:54">
      <c r="A7" s="148"/>
      <c r="B7" s="47" t="s">
        <v>56</v>
      </c>
      <c r="C7" s="48"/>
      <c r="D7" s="49">
        <f>SUM(D4:D6)</f>
        <v>38400</v>
      </c>
      <c r="E7" s="49"/>
      <c r="F7" s="49">
        <f>SUM(F4:F6)</f>
        <v>49367</v>
      </c>
      <c r="G7" s="50"/>
      <c r="H7" s="50"/>
      <c r="I7" s="49">
        <f>SUM(I4:I6)</f>
        <v>49924</v>
      </c>
      <c r="J7" s="50"/>
      <c r="K7" s="49">
        <f>SUM(K4:K6)</f>
        <v>50717</v>
      </c>
      <c r="L7" s="20">
        <f>IF(K7&gt;0,(K4*L4+K5*L5+K6*L6)/K7,0)</f>
        <v>7.2006171500680241E-2</v>
      </c>
      <c r="M7" s="50">
        <f>M4+M5+M6</f>
        <v>47065</v>
      </c>
      <c r="N7" s="51">
        <f>IF(M7&gt;0,O7/M7,0)</f>
        <v>0.62566142568787841</v>
      </c>
      <c r="O7" s="52">
        <f>O4+O5+O6</f>
        <v>29446.754999999997</v>
      </c>
      <c r="P7" s="20">
        <f>IF(M7&gt;0,Q7/M7,0)</f>
        <v>0.30432106661000741</v>
      </c>
      <c r="Q7" s="52">
        <f>Q4+Q5+Q6</f>
        <v>14322.870999999999</v>
      </c>
      <c r="R7" s="20">
        <f>IF(M7&gt;0,T7/M7,0)</f>
        <v>7.0017507702114096E-2</v>
      </c>
      <c r="S7" s="107"/>
      <c r="T7" s="52">
        <f>T4+T5+T6</f>
        <v>3295.3739999999998</v>
      </c>
      <c r="U7" s="20">
        <f>IF(M7&gt;0,V7/M7,0)</f>
        <v>0.25599689790714963</v>
      </c>
      <c r="V7" s="52">
        <f>V4+V5+V6</f>
        <v>12048.493999999999</v>
      </c>
      <c r="W7" s="20">
        <f>IF(M7&gt;0,X7/M7,0)</f>
        <v>0.46566937214490595</v>
      </c>
      <c r="X7" s="52">
        <f>X4+X5+X6</f>
        <v>21916.728999999999</v>
      </c>
      <c r="Y7" s="20">
        <f>IF(M7&gt;0,Z7/M7,0)</f>
        <v>0.44332816317858287</v>
      </c>
      <c r="Z7" s="52">
        <f>Z4+Z5+Z6</f>
        <v>20865.240000000002</v>
      </c>
      <c r="AA7" s="119">
        <f>IF(M7&gt;0,AB7/M7,0)</f>
        <v>2.2938293848932326E-3</v>
      </c>
      <c r="AB7" s="54">
        <f t="shared" ref="AB7" si="9">SUM(AB4:AB6)</f>
        <v>107.95908</v>
      </c>
      <c r="AC7" s="53">
        <f>IF(M7&gt;0,AD7/M7,0)</f>
        <v>2.2938512695208756E-3</v>
      </c>
      <c r="AD7" s="54">
        <f>SUM(AD4:AD6)</f>
        <v>107.96011000000001</v>
      </c>
      <c r="AE7" s="53">
        <f>IF(M7&gt;0,(AE4*M4+AE5*M5+AE6*M6)/M7,0)</f>
        <v>2.2591595368107939E-3</v>
      </c>
      <c r="AF7" s="53">
        <f>IF(K7&gt;0,(K4*AF4+K5*AF5+K6*AF6)/K7,0)</f>
        <v>2.1331999132440801E-4</v>
      </c>
      <c r="AG7" s="50">
        <f>SUM(AG4:AG6)</f>
        <v>10.04261</v>
      </c>
      <c r="AH7" s="51">
        <f>IF(K7&gt;0,(K4*AH4+K5*AH5+K6*AH6)/K7,0)</f>
        <v>0.20717088747362816</v>
      </c>
      <c r="AI7" s="56">
        <f>SUM(AI4:AI6)</f>
        <v>88.843848000000008</v>
      </c>
      <c r="AJ7" s="51">
        <f>IF(AND(AD7&gt;0),((AD4*AJ4+AD5*AJ5+AD6*AJ6)/AD7),0)</f>
        <v>0.90791891515652556</v>
      </c>
      <c r="AK7" s="55">
        <f t="shared" si="6"/>
        <v>0.90643634339084422</v>
      </c>
      <c r="AL7" s="49">
        <f>SUM(AL4:AL6)</f>
        <v>469</v>
      </c>
      <c r="AM7" s="20">
        <f>IF(AL7&gt;0,(AM4*AL4+AM5*AL5+AM6*AL6)/AL7,0)</f>
        <v>8.5646055437100216E-2</v>
      </c>
      <c r="AN7" s="51">
        <f>IF(K7&gt;0,(AN4*K4+AN5*K5+AN6*K6)/K7,0)</f>
        <v>0.22462020427075732</v>
      </c>
      <c r="AO7" s="107">
        <f>IF(K7&gt;0,(AO4*K4+AO5*K5+AO6*K6)/K7,0)</f>
        <v>0.2309219196719049</v>
      </c>
      <c r="AP7" s="56">
        <f>SUM(AP4:AP6)</f>
        <v>96.28473360000001</v>
      </c>
      <c r="AQ7" s="108">
        <f t="shared" ref="AQ7" si="10">SUM(AQ4:AQ6)</f>
        <v>98.982969600000004</v>
      </c>
      <c r="AR7" s="54"/>
      <c r="AS7" s="54">
        <f>SUM(AS4:AS6)</f>
        <v>0</v>
      </c>
      <c r="AT7" s="83"/>
      <c r="AU7" s="84">
        <f>AT6</f>
        <v>1915.4599999999994</v>
      </c>
      <c r="AV7" s="49">
        <f>SUM(AV4:AV6)</f>
        <v>0</v>
      </c>
      <c r="AW7" s="57"/>
      <c r="AX7" s="56"/>
      <c r="AY7" s="56"/>
      <c r="AZ7" s="56"/>
      <c r="BA7" s="56"/>
      <c r="BB7" s="21"/>
    </row>
    <row r="8" spans="1:54">
      <c r="A8" s="146">
        <v>2</v>
      </c>
      <c r="B8" s="22">
        <v>1</v>
      </c>
      <c r="C8" s="143" t="s">
        <v>54</v>
      </c>
      <c r="D8" s="11">
        <v>6529</v>
      </c>
      <c r="E8" s="11">
        <v>8</v>
      </c>
      <c r="F8" s="11">
        <v>10081</v>
      </c>
      <c r="G8" s="12">
        <v>1.5</v>
      </c>
      <c r="H8" s="12">
        <v>5.6</v>
      </c>
      <c r="I8" s="11">
        <v>10770</v>
      </c>
      <c r="J8" s="12">
        <v>5.4</v>
      </c>
      <c r="K8" s="11">
        <v>15812</v>
      </c>
      <c r="L8" s="13">
        <v>6.9000000000000006E-2</v>
      </c>
      <c r="M8" s="23">
        <f>ROUND(K8*(1-L8),0)</f>
        <v>14721</v>
      </c>
      <c r="N8" s="14">
        <v>0.63600000000000001</v>
      </c>
      <c r="O8" s="24">
        <f t="shared" ref="O8:O10" si="11">M8*N8</f>
        <v>9362.5560000000005</v>
      </c>
      <c r="P8" s="13">
        <v>0.32700000000000001</v>
      </c>
      <c r="Q8" s="24">
        <f t="shared" ref="Q8:Q10" si="12">M8*P8</f>
        <v>4813.7669999999998</v>
      </c>
      <c r="R8" s="15">
        <v>3.6999999999999998E-2</v>
      </c>
      <c r="S8" s="112"/>
      <c r="T8" s="24">
        <f t="shared" ref="T8:T10" si="13">M8*R8</f>
        <v>544.67700000000002</v>
      </c>
      <c r="U8" s="25">
        <v>0.23100000000000001</v>
      </c>
      <c r="V8" s="24">
        <f t="shared" ref="V8:V10" si="14">M8*U8</f>
        <v>3400.5510000000004</v>
      </c>
      <c r="W8" s="15">
        <v>0.48899999999999999</v>
      </c>
      <c r="X8" s="24">
        <f t="shared" ref="X8:X10" si="15">M8*W8</f>
        <v>7198.5689999999995</v>
      </c>
      <c r="Y8" s="15">
        <v>0.42</v>
      </c>
      <c r="Z8" s="24">
        <f t="shared" ref="Z8:Z10" si="16">Y8*M8</f>
        <v>6182.82</v>
      </c>
      <c r="AA8" s="116">
        <v>2.7599999999999999E-3</v>
      </c>
      <c r="AB8" s="18">
        <f>M8*AA8</f>
        <v>40.629959999999997</v>
      </c>
      <c r="AC8" s="16">
        <v>2.6199999999999999E-3</v>
      </c>
      <c r="AD8" s="17">
        <f t="shared" ref="AD8:AD10" si="17">M8*AC8</f>
        <v>38.569020000000002</v>
      </c>
      <c r="AE8" s="26">
        <f>IF(M8&gt;0,(AG8+AP8)/M8,0)</f>
        <v>2.6530213436587193E-3</v>
      </c>
      <c r="AF8" s="16">
        <v>2.1000000000000001E-4</v>
      </c>
      <c r="AG8" s="23">
        <f t="shared" ref="AG8:AG10" si="18">AF8*M8</f>
        <v>3.0914100000000002</v>
      </c>
      <c r="AH8" s="92">
        <v>0.20880000000000001</v>
      </c>
      <c r="AI8" s="29">
        <f t="shared" ref="AI8:AI10" si="19">AL8*(1-AM8)*AH8</f>
        <v>31.940553600000005</v>
      </c>
      <c r="AJ8" s="27">
        <f t="shared" ref="AJ8:AJ10" si="20">IF(AND(AH8&gt;0,AF8&gt;0,AC8&gt;0),((AC8-AF8)*AH8)/((AH8-AF8)*AC8),0)</f>
        <v>0.92077339343882525</v>
      </c>
      <c r="AK8" s="58">
        <f t="shared" si="6"/>
        <v>0.92166823208052118</v>
      </c>
      <c r="AL8" s="11">
        <v>167</v>
      </c>
      <c r="AM8" s="13">
        <v>8.4000000000000005E-2</v>
      </c>
      <c r="AN8" s="14">
        <v>0.2351</v>
      </c>
      <c r="AO8" s="101">
        <v>0.23380000000000001</v>
      </c>
      <c r="AP8" s="29">
        <f>AL8*(1-AM8)*AN8</f>
        <v>35.963717200000005</v>
      </c>
      <c r="AQ8" s="102">
        <f t="shared" ref="AQ8:AQ70" si="21">AL8*(1-AM8)*AO8</f>
        <v>35.764853600000002</v>
      </c>
      <c r="AR8" s="18">
        <v>1.55</v>
      </c>
      <c r="AS8" s="18"/>
      <c r="AT8" s="79">
        <f>AT6+AL8-AS8</f>
        <v>2082.4599999999991</v>
      </c>
      <c r="AU8" s="80"/>
      <c r="AV8" s="11"/>
      <c r="AW8" s="30"/>
      <c r="AX8" s="19"/>
      <c r="AY8" s="19"/>
      <c r="AZ8" s="19"/>
      <c r="BA8" s="19"/>
      <c r="BB8" s="31"/>
    </row>
    <row r="9" spans="1:54">
      <c r="A9" s="147"/>
      <c r="B9" s="32">
        <v>2</v>
      </c>
      <c r="C9" s="10" t="s">
        <v>58</v>
      </c>
      <c r="D9" s="33">
        <v>24000</v>
      </c>
      <c r="E9" s="33">
        <v>8</v>
      </c>
      <c r="F9" s="33">
        <v>15989</v>
      </c>
      <c r="G9" s="34">
        <v>2</v>
      </c>
      <c r="H9" s="34">
        <v>6.2</v>
      </c>
      <c r="I9" s="33">
        <v>15492</v>
      </c>
      <c r="J9" s="34">
        <v>4.9000000000000004</v>
      </c>
      <c r="K9" s="33">
        <v>15445</v>
      </c>
      <c r="L9" s="35">
        <v>7.0000000000000007E-2</v>
      </c>
      <c r="M9" s="36">
        <f>ROUND(K9*(1-L9),0)</f>
        <v>14364</v>
      </c>
      <c r="N9" s="37">
        <v>0.76100000000000001</v>
      </c>
      <c r="O9" s="24">
        <f t="shared" si="11"/>
        <v>10931.004000000001</v>
      </c>
      <c r="P9" s="35">
        <v>0.20499999999999999</v>
      </c>
      <c r="Q9" s="24">
        <f t="shared" si="12"/>
        <v>2944.62</v>
      </c>
      <c r="R9" s="38">
        <v>3.4000000000000002E-2</v>
      </c>
      <c r="S9" s="105"/>
      <c r="T9" s="24">
        <f t="shared" si="13"/>
        <v>488.37600000000003</v>
      </c>
      <c r="U9" s="27">
        <v>0.19900000000000001</v>
      </c>
      <c r="V9" s="24">
        <f t="shared" si="14"/>
        <v>2858.4360000000001</v>
      </c>
      <c r="W9" s="38">
        <v>0.504</v>
      </c>
      <c r="X9" s="24">
        <f t="shared" si="15"/>
        <v>7239.4560000000001</v>
      </c>
      <c r="Y9" s="38">
        <v>0.42</v>
      </c>
      <c r="Z9" s="24">
        <f t="shared" si="16"/>
        <v>6032.88</v>
      </c>
      <c r="AA9" s="117">
        <v>2.49E-3</v>
      </c>
      <c r="AB9" s="18">
        <f t="shared" ref="AB9:AB10" si="22">M9*AA9</f>
        <v>35.766359999999999</v>
      </c>
      <c r="AC9" s="39">
        <v>2.3999999999999998E-3</v>
      </c>
      <c r="AD9" s="17">
        <f t="shared" si="17"/>
        <v>34.473599999999998</v>
      </c>
      <c r="AE9" s="26">
        <f>IF(M9&gt;0,(AG9+AP9)/M9,0)</f>
        <v>2.8955039264828742E-3</v>
      </c>
      <c r="AF9" s="39">
        <v>1.8000000000000001E-4</v>
      </c>
      <c r="AG9" s="36">
        <f t="shared" si="18"/>
        <v>2.5855200000000003</v>
      </c>
      <c r="AH9" s="27">
        <v>0.2077</v>
      </c>
      <c r="AI9" s="40">
        <f t="shared" si="19"/>
        <v>34.740317400000002</v>
      </c>
      <c r="AJ9" s="27">
        <f t="shared" si="20"/>
        <v>0.92580233230531994</v>
      </c>
      <c r="AK9" s="28">
        <f t="shared" si="6"/>
        <v>0.93855910046083246</v>
      </c>
      <c r="AL9" s="33">
        <v>183</v>
      </c>
      <c r="AM9" s="35">
        <v>8.5999999999999993E-2</v>
      </c>
      <c r="AN9" s="37">
        <v>0.23319999999999999</v>
      </c>
      <c r="AO9" s="103">
        <v>0.2349</v>
      </c>
      <c r="AP9" s="40">
        <f>AL9*(1-AM9)*AN9</f>
        <v>39.0054984</v>
      </c>
      <c r="AQ9" s="104">
        <f t="shared" si="21"/>
        <v>39.2898438</v>
      </c>
      <c r="AR9" s="41">
        <v>1.6</v>
      </c>
      <c r="AS9" s="41"/>
      <c r="AT9" s="88">
        <f>AT8+AL9-AS9</f>
        <v>2265.4599999999991</v>
      </c>
      <c r="AU9" s="82"/>
      <c r="AV9" s="42"/>
      <c r="AW9" s="43"/>
      <c r="AX9" s="44"/>
      <c r="AY9" s="44"/>
      <c r="AZ9" s="44"/>
      <c r="BA9" s="44"/>
      <c r="BB9" s="31"/>
    </row>
    <row r="10" spans="1:54">
      <c r="A10" s="147"/>
      <c r="B10" s="32">
        <v>3</v>
      </c>
      <c r="C10" s="10" t="s">
        <v>59</v>
      </c>
      <c r="D10" s="42">
        <v>17000</v>
      </c>
      <c r="E10" s="42">
        <v>9</v>
      </c>
      <c r="F10" s="42">
        <v>16744</v>
      </c>
      <c r="G10" s="36">
        <v>0.7</v>
      </c>
      <c r="H10" s="36">
        <v>4.0999999999999996</v>
      </c>
      <c r="I10" s="42">
        <v>17343</v>
      </c>
      <c r="J10" s="36">
        <v>4.2</v>
      </c>
      <c r="K10" s="42">
        <v>15485</v>
      </c>
      <c r="L10" s="38">
        <v>7.0999999999999994E-2</v>
      </c>
      <c r="M10" s="36">
        <f>ROUND(K10*(1-L10),0)</f>
        <v>14386</v>
      </c>
      <c r="N10" s="27">
        <v>0.65900000000000003</v>
      </c>
      <c r="O10" s="24">
        <f t="shared" si="11"/>
        <v>9480.3739999999998</v>
      </c>
      <c r="P10" s="38">
        <v>0.314</v>
      </c>
      <c r="Q10" s="24">
        <f t="shared" si="12"/>
        <v>4517.2039999999997</v>
      </c>
      <c r="R10" s="38">
        <v>2.7E-2</v>
      </c>
      <c r="S10" s="105"/>
      <c r="T10" s="24">
        <f t="shared" si="13"/>
        <v>388.42199999999997</v>
      </c>
      <c r="U10" s="27">
        <v>0.21</v>
      </c>
      <c r="V10" s="24">
        <f t="shared" si="14"/>
        <v>3021.06</v>
      </c>
      <c r="W10" s="38">
        <v>0.499</v>
      </c>
      <c r="X10" s="24">
        <f t="shared" si="15"/>
        <v>7178.6139999999996</v>
      </c>
      <c r="Y10" s="38">
        <v>0.41</v>
      </c>
      <c r="Z10" s="24">
        <f t="shared" si="16"/>
        <v>5898.2599999999993</v>
      </c>
      <c r="AA10" s="118">
        <v>2.3400000000000001E-3</v>
      </c>
      <c r="AB10" s="121">
        <f t="shared" si="22"/>
        <v>33.663240000000002</v>
      </c>
      <c r="AC10" s="45">
        <v>2.2799999999999999E-3</v>
      </c>
      <c r="AD10" s="17">
        <f t="shared" si="17"/>
        <v>32.800080000000001</v>
      </c>
      <c r="AE10" s="26">
        <f>IF(M10&gt;0,(AG10+AP10)/M10,0)</f>
        <v>2.0833704990963434E-3</v>
      </c>
      <c r="AF10" s="45">
        <v>1.8000000000000001E-4</v>
      </c>
      <c r="AG10" s="36">
        <f t="shared" si="18"/>
        <v>2.58948</v>
      </c>
      <c r="AH10" s="27">
        <v>0.21290000000000001</v>
      </c>
      <c r="AI10" s="40">
        <f t="shared" si="19"/>
        <v>26.212248000000002</v>
      </c>
      <c r="AJ10" s="27">
        <f t="shared" si="20"/>
        <v>0.92183201045109953</v>
      </c>
      <c r="AK10" s="28">
        <f t="shared" si="6"/>
        <v>0.9143415659597357</v>
      </c>
      <c r="AL10" s="42">
        <v>135</v>
      </c>
      <c r="AM10" s="38">
        <v>8.7999999999999995E-2</v>
      </c>
      <c r="AN10" s="27">
        <v>0.22239999999999999</v>
      </c>
      <c r="AO10" s="105">
        <v>0.22270000000000001</v>
      </c>
      <c r="AP10" s="40">
        <f>AL10*(1-AM10)*AN10</f>
        <v>27.381888</v>
      </c>
      <c r="AQ10" s="106">
        <f t="shared" si="21"/>
        <v>27.418824000000001</v>
      </c>
      <c r="AR10" s="17">
        <v>1.5</v>
      </c>
      <c r="AS10" s="17"/>
      <c r="AT10" s="88">
        <f>AT9+AL10-AS10</f>
        <v>2400.4599999999991</v>
      </c>
      <c r="AU10" s="82"/>
      <c r="AV10" s="42"/>
      <c r="AW10" s="46"/>
      <c r="AX10" s="40"/>
      <c r="AY10" s="40"/>
      <c r="AZ10" s="40"/>
      <c r="BA10" s="40"/>
      <c r="BB10" s="31"/>
    </row>
    <row r="11" spans="1:54">
      <c r="A11" s="148"/>
      <c r="B11" s="47" t="s">
        <v>56</v>
      </c>
      <c r="C11" s="48"/>
      <c r="D11" s="49">
        <f t="shared" ref="D11" si="23">SUM(D8:D10)</f>
        <v>47529</v>
      </c>
      <c r="E11" s="49"/>
      <c r="F11" s="49">
        <f t="shared" ref="F11" si="24">SUM(F8:F10)</f>
        <v>42814</v>
      </c>
      <c r="G11" s="50"/>
      <c r="H11" s="50"/>
      <c r="I11" s="49">
        <f t="shared" ref="I11:K11" si="25">SUM(I8:I10)</f>
        <v>43605</v>
      </c>
      <c r="J11" s="50"/>
      <c r="K11" s="49">
        <f t="shared" si="25"/>
        <v>46742</v>
      </c>
      <c r="L11" s="20">
        <f t="shared" ref="L11" si="26">IF(K11&gt;0,(K8*L8+K9*L9+K10*L10)/K11,0)</f>
        <v>6.999300415044285E-2</v>
      </c>
      <c r="M11" s="50">
        <f t="shared" ref="M11" si="27">M8+M9+M10</f>
        <v>43471</v>
      </c>
      <c r="N11" s="51">
        <f t="shared" ref="N11" si="28">IF(M11&gt;0,O11/M11,0)</f>
        <v>0.68491486278208469</v>
      </c>
      <c r="O11" s="52">
        <f t="shared" ref="O11" si="29">O8+O9+O10</f>
        <v>29773.934000000001</v>
      </c>
      <c r="P11" s="20">
        <f t="shared" ref="P11" si="30">IF(M11&gt;0,Q11/M11,0)</f>
        <v>0.28238575142048722</v>
      </c>
      <c r="Q11" s="52">
        <f t="shared" ref="Q11" si="31">Q8+Q9+Q10</f>
        <v>12275.591</v>
      </c>
      <c r="R11" s="20">
        <f t="shared" ref="R11" si="32">IF(M11&gt;0,T11/M11,0)</f>
        <v>3.2699385797428177E-2</v>
      </c>
      <c r="S11" s="107"/>
      <c r="T11" s="52">
        <f t="shared" ref="T11" si="33">T8+T9+T10</f>
        <v>1421.4750000000001</v>
      </c>
      <c r="U11" s="20">
        <f t="shared" ref="U11" si="34">IF(M11&gt;0,V11/M11,0)</f>
        <v>0.21347673161417957</v>
      </c>
      <c r="V11" s="52">
        <f t="shared" ref="V11" si="35">V8+V9+V10</f>
        <v>9280.0470000000005</v>
      </c>
      <c r="W11" s="20">
        <f t="shared" ref="W11" si="36">IF(M11&gt;0,X11/M11,0)</f>
        <v>0.49726574037864324</v>
      </c>
      <c r="X11" s="52">
        <f t="shared" ref="X11" si="37">X8+X9+X10</f>
        <v>21616.638999999999</v>
      </c>
      <c r="Y11" s="20">
        <f t="shared" ref="Y11" si="38">IF(M11&gt;0,Z11/M11,0)</f>
        <v>0.416690667341446</v>
      </c>
      <c r="Z11" s="52">
        <f t="shared" ref="Z11" si="39">Z8+Z9+Z10</f>
        <v>18113.96</v>
      </c>
      <c r="AA11" s="119">
        <f t="shared" ref="AA11" si="40">IF(M11&gt;0,AB11/M11,0)</f>
        <v>2.5317926893791264E-3</v>
      </c>
      <c r="AB11" s="54">
        <f t="shared" ref="AB11" si="41">SUM(AB8:AB10)</f>
        <v>110.05956</v>
      </c>
      <c r="AC11" s="53">
        <f t="shared" ref="AC11" si="42">IF(M11&gt;0,AD11/M11,0)</f>
        <v>2.4347887097145226E-3</v>
      </c>
      <c r="AD11" s="54">
        <f t="shared" ref="AD11" si="43">SUM(AD8:AD10)</f>
        <v>105.84270000000001</v>
      </c>
      <c r="AE11" s="53">
        <f t="shared" ref="AE11" si="44">IF(M11&gt;0,(AE8*M8+AE9*M9+AE10*M10)/M11,0)</f>
        <v>2.5446277656368615E-3</v>
      </c>
      <c r="AF11" s="53">
        <f t="shared" ref="AF11" si="45">IF(K11&gt;0,(K8*AF8+K9*AF9+K10*AF10)/K11,0)</f>
        <v>1.9014847460528008E-4</v>
      </c>
      <c r="AG11" s="50">
        <f t="shared" ref="AG11" si="46">SUM(AG8:AG10)</f>
        <v>8.2664100000000005</v>
      </c>
      <c r="AH11" s="51">
        <f t="shared" ref="AH11" si="47">IF(K11&gt;0,(K8*AH8+K9*AH9+K10*AH10)/K11,0)</f>
        <v>0.20979480124941166</v>
      </c>
      <c r="AI11" s="56">
        <f t="shared" ref="AI11" si="48">SUM(AI8:AI10)</f>
        <v>92.893119000000013</v>
      </c>
      <c r="AJ11" s="51">
        <f t="shared" ref="AJ11" si="49">IF(AND(AD11&gt;0),((AD8*AJ8+AD9*AJ9+AD10*AJ10)/AD11),0)</f>
        <v>0.92273940856882419</v>
      </c>
      <c r="AK11" s="55">
        <f t="shared" si="6"/>
        <v>0.92603924843956664</v>
      </c>
      <c r="AL11" s="49">
        <f t="shared" ref="AL11" si="50">SUM(AL8:AL10)</f>
        <v>485</v>
      </c>
      <c r="AM11" s="20">
        <f t="shared" ref="AM11" si="51">IF(AL11&gt;0,(AM8*AL8+AM9*AL9+AM10*AL10)/AL11,0)</f>
        <v>8.5868041237113404E-2</v>
      </c>
      <c r="AN11" s="51">
        <f>IF(K11&gt;0,(AN8*K8+AN9*K9+AN10*K10)/K11,0)</f>
        <v>0.2302648410423174</v>
      </c>
      <c r="AO11" s="107">
        <f>IF(K11&gt;0,(AO8*K8+AO9*K9+AO10*K10)/K11,0)</f>
        <v>0.23048619228958966</v>
      </c>
      <c r="AP11" s="56">
        <f t="shared" ref="AP11:AQ23" si="52">SUM(AP8:AP10)</f>
        <v>102.35110360000002</v>
      </c>
      <c r="AQ11" s="108">
        <f t="shared" si="52"/>
        <v>102.47352140000001</v>
      </c>
      <c r="AR11" s="54"/>
      <c r="AS11" s="54">
        <f t="shared" ref="AS11" si="53">SUM(AS8:AS10)</f>
        <v>0</v>
      </c>
      <c r="AT11" s="83"/>
      <c r="AU11" s="84">
        <f>AT10</f>
        <v>2400.4599999999991</v>
      </c>
      <c r="AV11" s="49">
        <f t="shared" ref="AV11" si="54">SUM(AV8:AV10)</f>
        <v>0</v>
      </c>
      <c r="AW11" s="57"/>
      <c r="AX11" s="56"/>
      <c r="AY11" s="56"/>
      <c r="AZ11" s="56"/>
      <c r="BA11" s="56"/>
      <c r="BB11" s="21"/>
    </row>
    <row r="12" spans="1:54">
      <c r="A12" s="146">
        <v>3</v>
      </c>
      <c r="B12" s="22">
        <v>1</v>
      </c>
      <c r="C12" s="10" t="s">
        <v>54</v>
      </c>
      <c r="D12" s="11">
        <v>17491</v>
      </c>
      <c r="E12" s="11">
        <v>10</v>
      </c>
      <c r="F12" s="11">
        <v>17453</v>
      </c>
      <c r="G12" s="12">
        <v>0.6</v>
      </c>
      <c r="H12" s="12">
        <v>4.5</v>
      </c>
      <c r="I12" s="11">
        <v>16932</v>
      </c>
      <c r="J12" s="12">
        <v>3.5</v>
      </c>
      <c r="K12" s="11">
        <v>15484</v>
      </c>
      <c r="L12" s="13">
        <v>7.0000000000000007E-2</v>
      </c>
      <c r="M12" s="23">
        <f>ROUND(K12*(1-L12),0)</f>
        <v>14400</v>
      </c>
      <c r="N12" s="14">
        <v>0.621</v>
      </c>
      <c r="O12" s="24">
        <f t="shared" ref="O12:O14" si="55">M12*N12</f>
        <v>8942.4</v>
      </c>
      <c r="P12" s="13">
        <v>0.33600000000000002</v>
      </c>
      <c r="Q12" s="24">
        <f t="shared" ref="Q12:Q14" si="56">M12*P12</f>
        <v>4838.4000000000005</v>
      </c>
      <c r="R12" s="15">
        <v>4.2999999999999997E-2</v>
      </c>
      <c r="S12" s="112"/>
      <c r="T12" s="24">
        <f t="shared" ref="T12:T14" si="57">M12*R12</f>
        <v>619.19999999999993</v>
      </c>
      <c r="U12" s="25">
        <v>0.19</v>
      </c>
      <c r="V12" s="24">
        <f t="shared" ref="V12:V14" si="58">M12*U12</f>
        <v>2736</v>
      </c>
      <c r="W12" s="15">
        <v>0.52700000000000002</v>
      </c>
      <c r="X12" s="24">
        <f t="shared" ref="X12:X14" si="59">M12*W12</f>
        <v>7588.8</v>
      </c>
      <c r="Y12" s="15">
        <v>0.42</v>
      </c>
      <c r="Z12" s="24">
        <f t="shared" ref="Z12:Z14" si="60">Y12*M12</f>
        <v>6048</v>
      </c>
      <c r="AA12" s="116">
        <v>2.5300000000000001E-3</v>
      </c>
      <c r="AB12" s="18">
        <f t="shared" ref="AB12:AB74" si="61">M12*AA12</f>
        <v>36.432000000000002</v>
      </c>
      <c r="AC12" s="16">
        <v>2.5000000000000001E-3</v>
      </c>
      <c r="AD12" s="17">
        <f t="shared" ref="AD12:AD14" si="62">M12*AC12</f>
        <v>36</v>
      </c>
      <c r="AE12" s="26">
        <f>IF(M12&gt;0,(AG12+AP12)/M12,0)</f>
        <v>2.8518240000000002E-3</v>
      </c>
      <c r="AF12" s="16">
        <v>1.9000000000000001E-4</v>
      </c>
      <c r="AG12" s="23">
        <f t="shared" ref="AG12:AG14" si="63">AF12*M12</f>
        <v>2.7360000000000002</v>
      </c>
      <c r="AH12" s="92">
        <v>0.20930000000000001</v>
      </c>
      <c r="AI12" s="29">
        <f t="shared" ref="AI12:AI14" si="64">AL12*(1-AM12)*AH12</f>
        <v>33.595161600000004</v>
      </c>
      <c r="AJ12" s="27">
        <f t="shared" ref="AJ12:AJ14" si="65">IF(AND(AH12&gt;0,AF12&gt;0,AC12&gt;0),((AC12-AF12)*AH12)/((AH12-AF12)*AC12),0)</f>
        <v>0.92483955812730145</v>
      </c>
      <c r="AK12" s="58">
        <f t="shared" si="6"/>
        <v>0.9341191998798819</v>
      </c>
      <c r="AL12" s="11">
        <v>176</v>
      </c>
      <c r="AM12" s="13">
        <v>8.7999999999999995E-2</v>
      </c>
      <c r="AN12" s="14">
        <v>0.23880000000000001</v>
      </c>
      <c r="AO12" s="101">
        <v>0.23230000000000001</v>
      </c>
      <c r="AP12" s="29">
        <f>AL12*(1-AM12)*AN12</f>
        <v>38.330265600000004</v>
      </c>
      <c r="AQ12" s="102">
        <f t="shared" ref="AQ12" si="66">AL12*(1-AM12)*AO12</f>
        <v>37.286937600000002</v>
      </c>
      <c r="AR12" s="18">
        <v>1.52</v>
      </c>
      <c r="AS12" s="18"/>
      <c r="AT12" s="79">
        <f>AT10+AL12-AS12</f>
        <v>2576.4599999999991</v>
      </c>
      <c r="AU12" s="80"/>
      <c r="AV12" s="11"/>
      <c r="AW12" s="30"/>
      <c r="AX12" s="19"/>
      <c r="AY12" s="19"/>
      <c r="AZ12" s="19"/>
      <c r="BA12" s="19"/>
      <c r="BB12" s="31"/>
    </row>
    <row r="13" spans="1:54">
      <c r="A13" s="147"/>
      <c r="B13" s="32">
        <v>2</v>
      </c>
      <c r="C13" s="10" t="s">
        <v>55</v>
      </c>
      <c r="D13" s="33">
        <v>21000</v>
      </c>
      <c r="E13" s="33">
        <v>6</v>
      </c>
      <c r="F13" s="33">
        <v>14937</v>
      </c>
      <c r="G13" s="34">
        <v>0.7</v>
      </c>
      <c r="H13" s="34">
        <v>4.3</v>
      </c>
      <c r="I13" s="33">
        <v>15656</v>
      </c>
      <c r="J13" s="34">
        <v>2.6</v>
      </c>
      <c r="K13" s="33">
        <v>15232</v>
      </c>
      <c r="L13" s="35">
        <v>6.7000000000000004E-2</v>
      </c>
      <c r="M13" s="36">
        <f>ROUND(K13*(1-L13),0)</f>
        <v>14211</v>
      </c>
      <c r="N13" s="37">
        <v>0.69399999999999995</v>
      </c>
      <c r="O13" s="24">
        <f t="shared" si="55"/>
        <v>9862.4339999999993</v>
      </c>
      <c r="P13" s="35">
        <v>0.28000000000000003</v>
      </c>
      <c r="Q13" s="24">
        <f t="shared" si="56"/>
        <v>3979.0800000000004</v>
      </c>
      <c r="R13" s="38">
        <v>2.5999999999999999E-2</v>
      </c>
      <c r="S13" s="105"/>
      <c r="T13" s="24">
        <f t="shared" si="57"/>
        <v>369.48599999999999</v>
      </c>
      <c r="U13" s="27">
        <v>0.19</v>
      </c>
      <c r="V13" s="24">
        <f t="shared" si="58"/>
        <v>2700.09</v>
      </c>
      <c r="W13" s="38">
        <v>0.51700000000000002</v>
      </c>
      <c r="X13" s="24">
        <f t="shared" si="59"/>
        <v>7347.0870000000004</v>
      </c>
      <c r="Y13" s="38">
        <v>0.42</v>
      </c>
      <c r="Z13" s="24">
        <f t="shared" si="60"/>
        <v>5968.62</v>
      </c>
      <c r="AA13" s="117">
        <v>2.63E-3</v>
      </c>
      <c r="AB13" s="18">
        <f t="shared" si="61"/>
        <v>37.374929999999999</v>
      </c>
      <c r="AC13" s="39">
        <v>2.5500000000000002E-3</v>
      </c>
      <c r="AD13" s="17">
        <f t="shared" si="62"/>
        <v>36.238050000000001</v>
      </c>
      <c r="AE13" s="26">
        <f>IF(M13&gt;0,(AG13+AP13)/M13,0)</f>
        <v>2.7527899514460633E-3</v>
      </c>
      <c r="AF13" s="39">
        <v>1.9000000000000001E-4</v>
      </c>
      <c r="AG13" s="36">
        <f t="shared" si="63"/>
        <v>2.7000900000000003</v>
      </c>
      <c r="AH13" s="27">
        <v>0.21079999999999999</v>
      </c>
      <c r="AI13" s="40">
        <f t="shared" si="64"/>
        <v>31.528934400000001</v>
      </c>
      <c r="AJ13" s="27">
        <f t="shared" si="65"/>
        <v>0.9263251190984918</v>
      </c>
      <c r="AK13" s="28">
        <f t="shared" si="6"/>
        <v>0.93170611312592744</v>
      </c>
      <c r="AL13" s="33">
        <v>164</v>
      </c>
      <c r="AM13" s="35">
        <v>8.7999999999999995E-2</v>
      </c>
      <c r="AN13" s="37">
        <v>0.24349999999999999</v>
      </c>
      <c r="AO13" s="103">
        <v>0.2298</v>
      </c>
      <c r="AP13" s="40">
        <f>AL13*(1-AM13)*AN13</f>
        <v>36.419808000000003</v>
      </c>
      <c r="AQ13" s="104">
        <f t="shared" si="21"/>
        <v>34.370726400000002</v>
      </c>
      <c r="AR13" s="41">
        <v>1.55</v>
      </c>
      <c r="AS13" s="41"/>
      <c r="AT13" s="88">
        <f>AT12+AL13-AS13</f>
        <v>2740.4599999999991</v>
      </c>
      <c r="AU13" s="82"/>
      <c r="AV13" s="42"/>
      <c r="AW13" s="43"/>
      <c r="AX13" s="44"/>
      <c r="AY13" s="44"/>
      <c r="AZ13" s="44"/>
      <c r="BA13" s="44"/>
      <c r="BB13" s="31"/>
    </row>
    <row r="14" spans="1:54">
      <c r="A14" s="147"/>
      <c r="B14" s="32">
        <v>3</v>
      </c>
      <c r="C14" s="10" t="s">
        <v>59</v>
      </c>
      <c r="D14" s="42">
        <v>20100</v>
      </c>
      <c r="E14" s="42">
        <v>6</v>
      </c>
      <c r="F14" s="42">
        <v>18241</v>
      </c>
      <c r="G14" s="36">
        <v>0.6</v>
      </c>
      <c r="H14" s="36">
        <v>5.3</v>
      </c>
      <c r="I14" s="42">
        <v>18380</v>
      </c>
      <c r="J14" s="36">
        <v>1.5</v>
      </c>
      <c r="K14" s="42">
        <v>15473</v>
      </c>
      <c r="L14" s="38">
        <v>6.9000000000000006E-2</v>
      </c>
      <c r="M14" s="36">
        <f>ROUND(K14*(1-L14),0)</f>
        <v>14405</v>
      </c>
      <c r="N14" s="27">
        <v>0.67300000000000004</v>
      </c>
      <c r="O14" s="24">
        <f t="shared" si="55"/>
        <v>9694.5650000000005</v>
      </c>
      <c r="P14" s="38">
        <v>0.28100000000000003</v>
      </c>
      <c r="Q14" s="24">
        <f t="shared" si="56"/>
        <v>4047.8050000000003</v>
      </c>
      <c r="R14" s="38">
        <v>4.5999999999999999E-2</v>
      </c>
      <c r="S14" s="105"/>
      <c r="T14" s="24">
        <f t="shared" si="57"/>
        <v>662.63</v>
      </c>
      <c r="U14" s="27">
        <v>0.20599999999999999</v>
      </c>
      <c r="V14" s="24">
        <f t="shared" si="58"/>
        <v>2967.43</v>
      </c>
      <c r="W14" s="38">
        <v>0.502</v>
      </c>
      <c r="X14" s="24">
        <f t="shared" si="59"/>
        <v>7231.31</v>
      </c>
      <c r="Y14" s="38">
        <v>0.42</v>
      </c>
      <c r="Z14" s="24">
        <f t="shared" si="60"/>
        <v>6050.0999999999995</v>
      </c>
      <c r="AA14" s="118">
        <v>2.49E-3</v>
      </c>
      <c r="AB14" s="121">
        <f t="shared" si="61"/>
        <v>35.868450000000003</v>
      </c>
      <c r="AC14" s="45">
        <v>2.5200000000000001E-3</v>
      </c>
      <c r="AD14" s="17">
        <f t="shared" si="62"/>
        <v>36.300600000000003</v>
      </c>
      <c r="AE14" s="26">
        <f>IF(M14&gt;0,(AG14+AP14)/M14,0)</f>
        <v>2.6016524817771614E-3</v>
      </c>
      <c r="AF14" s="45">
        <v>1.8000000000000001E-4</v>
      </c>
      <c r="AG14" s="36">
        <f t="shared" si="63"/>
        <v>2.5929000000000002</v>
      </c>
      <c r="AH14" s="27">
        <v>0.20369999999999999</v>
      </c>
      <c r="AI14" s="40">
        <f t="shared" si="64"/>
        <v>29.756496000000002</v>
      </c>
      <c r="AJ14" s="27">
        <f t="shared" si="65"/>
        <v>0.9293926886792454</v>
      </c>
      <c r="AK14" s="28">
        <f t="shared" si="6"/>
        <v>0.93151535106489858</v>
      </c>
      <c r="AL14" s="42">
        <v>160</v>
      </c>
      <c r="AM14" s="38">
        <v>8.6999999999999994E-2</v>
      </c>
      <c r="AN14" s="27">
        <v>0.23880000000000001</v>
      </c>
      <c r="AO14" s="105">
        <v>0.2324</v>
      </c>
      <c r="AP14" s="40">
        <f>AL14*(1-AM14)*AN14</f>
        <v>34.883904000000008</v>
      </c>
      <c r="AQ14" s="106">
        <f t="shared" si="21"/>
        <v>33.948992000000004</v>
      </c>
      <c r="AR14" s="17">
        <v>1.6</v>
      </c>
      <c r="AS14" s="17"/>
      <c r="AT14" s="88">
        <f>AT13+AL14-AS14</f>
        <v>2900.4599999999991</v>
      </c>
      <c r="AU14" s="82"/>
      <c r="AV14" s="42"/>
      <c r="AW14" s="46"/>
      <c r="AX14" s="40"/>
      <c r="AY14" s="40"/>
      <c r="AZ14" s="40"/>
      <c r="BA14" s="40"/>
      <c r="BB14" s="31"/>
    </row>
    <row r="15" spans="1:54">
      <c r="A15" s="148"/>
      <c r="B15" s="47" t="s">
        <v>56</v>
      </c>
      <c r="C15" s="48"/>
      <c r="D15" s="49">
        <f t="shared" ref="D15" si="67">SUM(D12:D14)</f>
        <v>58591</v>
      </c>
      <c r="E15" s="49"/>
      <c r="F15" s="49">
        <f t="shared" ref="F15" si="68">SUM(F12:F14)</f>
        <v>50631</v>
      </c>
      <c r="G15" s="50"/>
      <c r="H15" s="50"/>
      <c r="I15" s="49">
        <f t="shared" ref="I15:K15" si="69">SUM(I12:I14)</f>
        <v>50968</v>
      </c>
      <c r="J15" s="50"/>
      <c r="K15" s="49">
        <f t="shared" si="69"/>
        <v>46189</v>
      </c>
      <c r="L15" s="20">
        <f t="shared" ref="L15" si="70">IF(K15&gt;0,(K12*L12+K13*L13+K14*L14)/K15,0)</f>
        <v>6.8675680356794916E-2</v>
      </c>
      <c r="M15" s="50">
        <f t="shared" ref="M15" si="71">M12+M13+M14</f>
        <v>43016</v>
      </c>
      <c r="N15" s="51">
        <f t="shared" ref="N15" si="72">IF(M15&gt;0,O15/M15,0)</f>
        <v>0.66253019806583591</v>
      </c>
      <c r="O15" s="52">
        <f t="shared" ref="O15" si="73">O12+O13+O14</f>
        <v>28499.398999999998</v>
      </c>
      <c r="P15" s="20">
        <f t="shared" ref="P15" si="74">IF(M15&gt;0,Q15/M15,0)</f>
        <v>0.29908138832062492</v>
      </c>
      <c r="Q15" s="52">
        <f t="shared" ref="Q15" si="75">Q12+Q13+Q14</f>
        <v>12865.285000000002</v>
      </c>
      <c r="R15" s="20">
        <f t="shared" ref="R15" si="76">IF(M15&gt;0,T15/M15,0)</f>
        <v>3.8388413613539146E-2</v>
      </c>
      <c r="S15" s="107"/>
      <c r="T15" s="52">
        <f t="shared" ref="T15" si="77">T12+T13+T14</f>
        <v>1651.3159999999998</v>
      </c>
      <c r="U15" s="20">
        <f t="shared" ref="U15" si="78">IF(M15&gt;0,V15/M15,0)</f>
        <v>0.19535800632322858</v>
      </c>
      <c r="V15" s="52">
        <f t="shared" ref="V15" si="79">V12+V13+V14</f>
        <v>8403.52</v>
      </c>
      <c r="W15" s="20">
        <f t="shared" ref="W15" si="80">IF(M15&gt;0,X15/M15,0)</f>
        <v>0.51532446066579873</v>
      </c>
      <c r="X15" s="52">
        <f t="shared" ref="X15" si="81">X12+X13+X14</f>
        <v>22167.197</v>
      </c>
      <c r="Y15" s="20">
        <f t="shared" ref="Y15" si="82">IF(M15&gt;0,Z15/M15,0)</f>
        <v>0.41999999999999993</v>
      </c>
      <c r="Z15" s="52">
        <f t="shared" ref="Z15" si="83">Z12+Z13+Z14</f>
        <v>18066.719999999998</v>
      </c>
      <c r="AA15" s="119">
        <f t="shared" ref="AA15" si="84">IF(M15&gt;0,AB15/M15,0)</f>
        <v>2.5496415287334941E-3</v>
      </c>
      <c r="AB15" s="54">
        <f t="shared" ref="AB15" si="85">SUM(AB12:AB14)</f>
        <v>109.67537999999999</v>
      </c>
      <c r="AC15" s="53">
        <f t="shared" ref="AC15" si="86">IF(M15&gt;0,AD15/M15,0)</f>
        <v>2.5232157801748189E-3</v>
      </c>
      <c r="AD15" s="54">
        <f t="shared" ref="AD15" si="87">SUM(AD12:AD14)</f>
        <v>108.53865</v>
      </c>
      <c r="AE15" s="53">
        <f t="shared" ref="AE15" si="88">IF(M15&gt;0,(AE12*M12+AE13*M13+AE14*M14)/M15,0)</f>
        <v>2.7353302864050592E-3</v>
      </c>
      <c r="AF15" s="53">
        <f t="shared" ref="AF15" si="89">IF(K15&gt;0,(K12*AF12+K13*AF13+K14*AF14)/K15,0)</f>
        <v>1.8665006819805583E-4</v>
      </c>
      <c r="AG15" s="50">
        <f t="shared" ref="AG15" si="90">SUM(AG12:AG14)</f>
        <v>8.0289900000000003</v>
      </c>
      <c r="AH15" s="51">
        <f t="shared" ref="AH15" si="91">IF(K15&gt;0,(K12*AH12+K13*AH13+K14*AH14)/K15,0)</f>
        <v>0.20791870142241659</v>
      </c>
      <c r="AI15" s="56">
        <f t="shared" ref="AI15" si="92">SUM(AI12:AI14)</f>
        <v>94.880592000000007</v>
      </c>
      <c r="AJ15" s="51">
        <f t="shared" ref="AJ15" si="93">IF(AND(AD15&gt;0),((AD12*AJ12+AD13*AJ13+AD14*AJ14)/AD15),0)</f>
        <v>0.92685833396121819</v>
      </c>
      <c r="AK15" s="55">
        <f t="shared" si="6"/>
        <v>0.93248739054984453</v>
      </c>
      <c r="AL15" s="49">
        <f t="shared" ref="AL15" si="94">SUM(AL12:AL14)</f>
        <v>500</v>
      </c>
      <c r="AM15" s="20">
        <f t="shared" ref="AM15" si="95">IF(AL15&gt;0,(AM12*AL12+AM13*AL13+AM14*AL14)/AL15,0)</f>
        <v>8.7679999999999994E-2</v>
      </c>
      <c r="AN15" s="51">
        <f>IF(K15&gt;0,(AN12*K12+AN13*K13+AN14*K14)/K15,0)</f>
        <v>0.24034994479205007</v>
      </c>
      <c r="AO15" s="107">
        <f>IF(K15&gt;0,(AO12*K12+AO13*K13+AO14*K14)/K15,0)</f>
        <v>0.23150906059884388</v>
      </c>
      <c r="AP15" s="56">
        <f t="shared" ref="AP15" si="96">SUM(AP12:AP14)</f>
        <v>109.63397760000001</v>
      </c>
      <c r="AQ15" s="108">
        <f t="shared" si="52"/>
        <v>105.60665600000002</v>
      </c>
      <c r="AR15" s="54"/>
      <c r="AS15" s="54">
        <f t="shared" ref="AS15" si="97">SUM(AS12:AS14)</f>
        <v>0</v>
      </c>
      <c r="AT15" s="83"/>
      <c r="AU15" s="84">
        <f>AT14</f>
        <v>2900.4599999999991</v>
      </c>
      <c r="AV15" s="49">
        <f t="shared" ref="AV15" si="98">SUM(AV12:AV14)</f>
        <v>0</v>
      </c>
      <c r="AW15" s="57"/>
      <c r="AX15" s="56"/>
      <c r="AY15" s="56"/>
      <c r="AZ15" s="56"/>
      <c r="BA15" s="56"/>
      <c r="BB15" s="21"/>
    </row>
    <row r="16" spans="1:54">
      <c r="A16" s="146">
        <v>4</v>
      </c>
      <c r="B16" s="22">
        <v>1</v>
      </c>
      <c r="C16" s="143" t="s">
        <v>54</v>
      </c>
      <c r="D16" s="11">
        <v>14652</v>
      </c>
      <c r="E16" s="11">
        <v>4</v>
      </c>
      <c r="F16" s="11">
        <v>12716</v>
      </c>
      <c r="G16" s="12">
        <v>0.5</v>
      </c>
      <c r="H16" s="12">
        <v>5.7</v>
      </c>
      <c r="I16" s="11">
        <v>12493</v>
      </c>
      <c r="J16" s="12">
        <v>3</v>
      </c>
      <c r="K16" s="11">
        <v>15394</v>
      </c>
      <c r="L16" s="13">
        <v>7.0999999999999994E-2</v>
      </c>
      <c r="M16" s="23">
        <f>ROUND(K16*(1-L16),0)</f>
        <v>14301</v>
      </c>
      <c r="N16" s="14">
        <v>0.76800000000000002</v>
      </c>
      <c r="O16" s="24">
        <f t="shared" ref="O16:O18" si="99">M16*N16</f>
        <v>10983.168</v>
      </c>
      <c r="P16" s="13">
        <v>0.20799999999999999</v>
      </c>
      <c r="Q16" s="24">
        <f t="shared" ref="Q16:Q18" si="100">M16*P16</f>
        <v>2974.6079999999997</v>
      </c>
      <c r="R16" s="15">
        <v>2.4E-2</v>
      </c>
      <c r="S16" s="112"/>
      <c r="T16" s="24">
        <f t="shared" ref="T16:T18" si="101">M16*R16</f>
        <v>343.22399999999999</v>
      </c>
      <c r="U16" s="25">
        <v>0.20300000000000001</v>
      </c>
      <c r="V16" s="24">
        <f t="shared" ref="V16:V18" si="102">M16*U16</f>
        <v>2903.1030000000001</v>
      </c>
      <c r="W16" s="15">
        <v>0.51300000000000001</v>
      </c>
      <c r="X16" s="24">
        <f t="shared" ref="X16:X18" si="103">M16*W16</f>
        <v>7336.4130000000005</v>
      </c>
      <c r="Y16" s="15">
        <v>0.41</v>
      </c>
      <c r="Z16" s="24">
        <f t="shared" ref="Z16:Z18" si="104">Y16*M16</f>
        <v>5863.41</v>
      </c>
      <c r="AA16" s="116">
        <v>2.7100000000000002E-3</v>
      </c>
      <c r="AB16" s="18">
        <f t="shared" ref="AB16" si="105">M16*AA16</f>
        <v>38.755710000000001</v>
      </c>
      <c r="AC16" s="16">
        <v>2.66E-3</v>
      </c>
      <c r="AD16" s="17">
        <f t="shared" ref="AD16:AD18" si="106">M16*AC16</f>
        <v>38.040660000000003</v>
      </c>
      <c r="AE16" s="26">
        <f>IF(M16&gt;0,(AG16+AP16)/M16,0)</f>
        <v>2.970359751066359E-3</v>
      </c>
      <c r="AF16" s="16">
        <v>1.9000000000000001E-4</v>
      </c>
      <c r="AG16" s="23">
        <f t="shared" ref="AG16:AG18" si="107">AF16*M16</f>
        <v>2.71719</v>
      </c>
      <c r="AH16" s="92">
        <v>0.21870000000000001</v>
      </c>
      <c r="AI16" s="29">
        <f t="shared" ref="AI16:AI18" si="108">AL16*(1-AM16)*AH16</f>
        <v>37.5796584</v>
      </c>
      <c r="AJ16" s="27">
        <f t="shared" ref="AJ16:AJ18" si="109">IF(AND(AH16&gt;0,AF16&gt;0,AC16&gt;0),((AC16-AF16)*AH16)/((AH16-AF16)*AC16),0)</f>
        <v>0.92937884503487911</v>
      </c>
      <c r="AK16" s="58">
        <f t="shared" si="6"/>
        <v>0.93680388342294552</v>
      </c>
      <c r="AL16" s="11">
        <v>188</v>
      </c>
      <c r="AM16" s="13">
        <v>8.5999999999999993E-2</v>
      </c>
      <c r="AN16" s="14">
        <v>0.23139999999999999</v>
      </c>
      <c r="AO16" s="101">
        <v>0.2223</v>
      </c>
      <c r="AP16" s="29">
        <f>AL16*(1-AM16)*AN16</f>
        <v>39.761924799999996</v>
      </c>
      <c r="AQ16" s="102">
        <f t="shared" ref="AQ16" si="110">AL16*(1-AM16)*AO16</f>
        <v>38.198253600000001</v>
      </c>
      <c r="AR16" s="18">
        <v>1.55</v>
      </c>
      <c r="AS16" s="18"/>
      <c r="AT16" s="79">
        <f>AT14+AL16-AS16</f>
        <v>3088.4599999999991</v>
      </c>
      <c r="AU16" s="80"/>
      <c r="AV16" s="11"/>
      <c r="AW16" s="30"/>
      <c r="AX16" s="19"/>
      <c r="AY16" s="19"/>
      <c r="AZ16" s="19"/>
      <c r="BA16" s="19"/>
      <c r="BB16" s="31"/>
    </row>
    <row r="17" spans="1:54">
      <c r="A17" s="147"/>
      <c r="B17" s="32">
        <v>2</v>
      </c>
      <c r="C17" s="10" t="s">
        <v>55</v>
      </c>
      <c r="D17" s="33">
        <v>20600</v>
      </c>
      <c r="E17" s="33">
        <v>3</v>
      </c>
      <c r="F17" s="33">
        <v>15633</v>
      </c>
      <c r="G17" s="34">
        <v>0.6</v>
      </c>
      <c r="H17" s="34">
        <v>4.9000000000000004</v>
      </c>
      <c r="I17" s="33">
        <v>15822</v>
      </c>
      <c r="J17" s="34">
        <v>2.2000000000000002</v>
      </c>
      <c r="K17" s="33">
        <v>15514</v>
      </c>
      <c r="L17" s="35">
        <v>7.5999999999999998E-2</v>
      </c>
      <c r="M17" s="36">
        <f>ROUND(K17*(1-L17),0)</f>
        <v>14335</v>
      </c>
      <c r="N17" s="37">
        <v>0.71299999999999997</v>
      </c>
      <c r="O17" s="24">
        <f t="shared" si="99"/>
        <v>10220.855</v>
      </c>
      <c r="P17" s="35">
        <v>0.26800000000000002</v>
      </c>
      <c r="Q17" s="24">
        <f t="shared" si="100"/>
        <v>3841.78</v>
      </c>
      <c r="R17" s="38">
        <v>1.9E-2</v>
      </c>
      <c r="S17" s="105"/>
      <c r="T17" s="24">
        <f t="shared" si="101"/>
        <v>272.36500000000001</v>
      </c>
      <c r="U17" s="27">
        <v>0.192</v>
      </c>
      <c r="V17" s="24">
        <f t="shared" si="102"/>
        <v>2752.32</v>
      </c>
      <c r="W17" s="38">
        <v>0.51100000000000001</v>
      </c>
      <c r="X17" s="24">
        <f t="shared" si="103"/>
        <v>7325.1850000000004</v>
      </c>
      <c r="Y17" s="38">
        <v>0.41</v>
      </c>
      <c r="Z17" s="24">
        <f t="shared" si="104"/>
        <v>5877.3499999999995</v>
      </c>
      <c r="AA17" s="117">
        <v>2.5600000000000002E-3</v>
      </c>
      <c r="AB17" s="18">
        <f t="shared" si="61"/>
        <v>36.697600000000001</v>
      </c>
      <c r="AC17" s="39">
        <v>2.5300000000000001E-3</v>
      </c>
      <c r="AD17" s="17">
        <f t="shared" si="106"/>
        <v>36.26755</v>
      </c>
      <c r="AE17" s="26">
        <f>IF(M17&gt;0,(AG17+AP17)/M17,0)</f>
        <v>2.8868387303801883E-3</v>
      </c>
      <c r="AF17" s="39">
        <v>1.9000000000000001E-4</v>
      </c>
      <c r="AG17" s="36">
        <f t="shared" si="107"/>
        <v>2.7236500000000001</v>
      </c>
      <c r="AH17" s="27">
        <v>0.22009999999999999</v>
      </c>
      <c r="AI17" s="40">
        <f t="shared" si="108"/>
        <v>37.783686599999996</v>
      </c>
      <c r="AJ17" s="27">
        <f t="shared" si="109"/>
        <v>0.92570029097422712</v>
      </c>
      <c r="AK17" s="28">
        <f t="shared" si="6"/>
        <v>0.93497289309886888</v>
      </c>
      <c r="AL17" s="33">
        <v>187</v>
      </c>
      <c r="AM17" s="35">
        <v>8.2000000000000003E-2</v>
      </c>
      <c r="AN17" s="37">
        <v>0.22520000000000001</v>
      </c>
      <c r="AO17" s="103">
        <v>0.21210000000000001</v>
      </c>
      <c r="AP17" s="40">
        <f>AL17*(1-AM17)*AN17</f>
        <v>38.659183200000001</v>
      </c>
      <c r="AQ17" s="104">
        <f t="shared" si="21"/>
        <v>36.410358600000002</v>
      </c>
      <c r="AR17" s="41">
        <v>1.55</v>
      </c>
      <c r="AS17" s="41"/>
      <c r="AT17" s="88">
        <f>AT16+AL17-AS17</f>
        <v>3275.4599999999991</v>
      </c>
      <c r="AU17" s="82"/>
      <c r="AV17" s="42"/>
      <c r="AW17" s="43"/>
      <c r="AX17" s="44"/>
      <c r="AY17" s="44"/>
      <c r="AZ17" s="44"/>
      <c r="BA17" s="44"/>
      <c r="BB17" s="31"/>
    </row>
    <row r="18" spans="1:54">
      <c r="A18" s="147"/>
      <c r="B18" s="32">
        <v>3</v>
      </c>
      <c r="C18" s="10" t="s">
        <v>57</v>
      </c>
      <c r="D18" s="42">
        <v>18200</v>
      </c>
      <c r="E18" s="42">
        <v>2</v>
      </c>
      <c r="F18" s="42">
        <v>15779</v>
      </c>
      <c r="G18" s="36">
        <v>0.8</v>
      </c>
      <c r="H18" s="36">
        <v>5</v>
      </c>
      <c r="I18" s="42">
        <v>15996</v>
      </c>
      <c r="J18" s="36">
        <v>1.8</v>
      </c>
      <c r="K18" s="42">
        <v>15473</v>
      </c>
      <c r="L18" s="38">
        <v>7.5999999999999998E-2</v>
      </c>
      <c r="M18" s="36">
        <f>ROUND(K18*(1-L18),0)</f>
        <v>14297</v>
      </c>
      <c r="N18" s="27">
        <v>0.65100000000000002</v>
      </c>
      <c r="O18" s="24">
        <f t="shared" si="99"/>
        <v>9307.3469999999998</v>
      </c>
      <c r="P18" s="38">
        <v>0.29799999999999999</v>
      </c>
      <c r="Q18" s="24">
        <f t="shared" si="100"/>
        <v>4260.5059999999994</v>
      </c>
      <c r="R18" s="38">
        <v>5.0999999999999997E-2</v>
      </c>
      <c r="S18" s="105"/>
      <c r="T18" s="24">
        <f t="shared" si="101"/>
        <v>729.14699999999993</v>
      </c>
      <c r="U18" s="27">
        <v>0.21199999999999999</v>
      </c>
      <c r="V18" s="24">
        <f t="shared" si="102"/>
        <v>3030.9639999999999</v>
      </c>
      <c r="W18" s="38">
        <v>0.495</v>
      </c>
      <c r="X18" s="24">
        <f t="shared" si="103"/>
        <v>7077.0150000000003</v>
      </c>
      <c r="Y18" s="38">
        <v>0.42</v>
      </c>
      <c r="Z18" s="24">
        <f t="shared" si="104"/>
        <v>6004.74</v>
      </c>
      <c r="AA18" s="118">
        <v>2.49E-3</v>
      </c>
      <c r="AB18" s="121">
        <f t="shared" si="61"/>
        <v>35.599530000000001</v>
      </c>
      <c r="AC18" s="45">
        <v>2.4599999999999999E-3</v>
      </c>
      <c r="AD18" s="17">
        <f t="shared" si="106"/>
        <v>35.17062</v>
      </c>
      <c r="AE18" s="26">
        <f>IF(M18&gt;0,(AG18+AP18)/M18,0)</f>
        <v>2.5584865356368469E-3</v>
      </c>
      <c r="AF18" s="45">
        <v>1.7000000000000001E-4</v>
      </c>
      <c r="AG18" s="36">
        <f t="shared" si="107"/>
        <v>2.4304900000000003</v>
      </c>
      <c r="AH18" s="27">
        <v>0.2225</v>
      </c>
      <c r="AI18" s="40">
        <f t="shared" si="108"/>
        <v>33.980200000000004</v>
      </c>
      <c r="AJ18" s="27">
        <f t="shared" si="109"/>
        <v>0.93160609787180049</v>
      </c>
      <c r="AK18" s="28">
        <f t="shared" si="6"/>
        <v>0.93426477623971516</v>
      </c>
      <c r="AL18" s="42">
        <v>166</v>
      </c>
      <c r="AM18" s="38">
        <v>0.08</v>
      </c>
      <c r="AN18" s="27">
        <v>0.22359999999999999</v>
      </c>
      <c r="AO18" s="105">
        <v>0.2195</v>
      </c>
      <c r="AP18" s="40">
        <f>AL18*(1-AM18)*AN18</f>
        <v>34.148192000000002</v>
      </c>
      <c r="AQ18" s="106">
        <f t="shared" si="21"/>
        <v>33.522039999999997</v>
      </c>
      <c r="AR18" s="17">
        <v>1.55</v>
      </c>
      <c r="AS18" s="17"/>
      <c r="AT18" s="88">
        <f>AT17+AL18-AS18</f>
        <v>3441.4599999999991</v>
      </c>
      <c r="AU18" s="82"/>
      <c r="AV18" s="42"/>
      <c r="AW18" s="46"/>
      <c r="AX18" s="40"/>
      <c r="AY18" s="40"/>
      <c r="AZ18" s="40"/>
      <c r="BA18" s="40"/>
      <c r="BB18" s="31"/>
    </row>
    <row r="19" spans="1:54">
      <c r="A19" s="148"/>
      <c r="B19" s="47" t="s">
        <v>56</v>
      </c>
      <c r="C19" s="48"/>
      <c r="D19" s="49">
        <f t="shared" ref="D19" si="111">SUM(D16:D18)</f>
        <v>53452</v>
      </c>
      <c r="E19" s="49"/>
      <c r="F19" s="49">
        <f t="shared" ref="F19" si="112">SUM(F16:F18)</f>
        <v>44128</v>
      </c>
      <c r="G19" s="50"/>
      <c r="H19" s="50"/>
      <c r="I19" s="49">
        <f t="shared" ref="I19:K19" si="113">SUM(I16:I18)</f>
        <v>44311</v>
      </c>
      <c r="J19" s="50"/>
      <c r="K19" s="49">
        <f t="shared" si="113"/>
        <v>46381</v>
      </c>
      <c r="L19" s="20">
        <f t="shared" ref="L19" si="114">IF(K19&gt;0,(K16*L16+K17*L17+K18*L18)/K19,0)</f>
        <v>7.4340484250016173E-2</v>
      </c>
      <c r="M19" s="50">
        <f t="shared" ref="M19" si="115">M16+M17+M18</f>
        <v>42933</v>
      </c>
      <c r="N19" s="51">
        <f t="shared" ref="N19" si="116">IF(M19&gt;0,O19/M19,0)</f>
        <v>0.71067407355647172</v>
      </c>
      <c r="O19" s="52">
        <f t="shared" ref="O19" si="117">O16+O17+O18</f>
        <v>30511.370000000003</v>
      </c>
      <c r="P19" s="20">
        <f t="shared" ref="P19" si="118">IF(M19&gt;0,Q19/M19,0)</f>
        <v>0.25800419257913493</v>
      </c>
      <c r="Q19" s="52">
        <f t="shared" ref="Q19" si="119">Q16+Q17+Q18</f>
        <v>11076.894</v>
      </c>
      <c r="R19" s="20">
        <f t="shared" ref="R19" si="120">IF(M19&gt;0,T19/M19,0)</f>
        <v>3.1321733864393353E-2</v>
      </c>
      <c r="S19" s="107"/>
      <c r="T19" s="52">
        <f t="shared" ref="T19" si="121">T16+T17+T18</f>
        <v>1344.7359999999999</v>
      </c>
      <c r="U19" s="20">
        <f t="shared" ref="U19" si="122">IF(M19&gt;0,V19/M19,0)</f>
        <v>0.20232424941187432</v>
      </c>
      <c r="V19" s="52">
        <f t="shared" ref="V19" si="123">V16+V17+V18</f>
        <v>8686.3870000000006</v>
      </c>
      <c r="W19" s="20">
        <f t="shared" ref="W19" si="124">IF(M19&gt;0,X19/M19,0)</f>
        <v>0.50633808492301957</v>
      </c>
      <c r="X19" s="52">
        <f t="shared" ref="X19" si="125">X16+X17+X18</f>
        <v>21738.613000000001</v>
      </c>
      <c r="Y19" s="20">
        <f t="shared" ref="Y19" si="126">IF(M19&gt;0,Z19/M19,0)</f>
        <v>0.4133300724384506</v>
      </c>
      <c r="Z19" s="52">
        <f t="shared" ref="Z19" si="127">Z16+Z17+Z18</f>
        <v>17745.5</v>
      </c>
      <c r="AA19" s="119">
        <f t="shared" ref="AA19" si="128">IF(M19&gt;0,AB19/M19,0)</f>
        <v>2.586654554771388E-3</v>
      </c>
      <c r="AB19" s="54">
        <f t="shared" ref="AB19" si="129">SUM(AB16:AB18)</f>
        <v>111.05284</v>
      </c>
      <c r="AC19" s="53">
        <f t="shared" ref="AC19" si="130">IF(M19&gt;0,AD19/M19,0)</f>
        <v>2.5499925465259825E-3</v>
      </c>
      <c r="AD19" s="54">
        <f t="shared" ref="AD19" si="131">SUM(AD16:AD18)</f>
        <v>109.47883</v>
      </c>
      <c r="AE19" s="53">
        <f t="shared" ref="AE19" si="132">IF(M19&gt;0,(AE16*M16+AE17*M17+AE18*M18)/M19,0)</f>
        <v>2.8053159574220297E-3</v>
      </c>
      <c r="AF19" s="53">
        <f t="shared" ref="AF19" si="133">IF(K19&gt;0,(K16*AF16+K17*AF17+K18*AF18)/K19,0)</f>
        <v>1.833278713266208E-4</v>
      </c>
      <c r="AG19" s="50">
        <f t="shared" ref="AG19" si="134">SUM(AG16:AG18)</f>
        <v>7.8713300000000004</v>
      </c>
      <c r="AH19" s="51">
        <f t="shared" ref="AH19" si="135">IF(K19&gt;0,(K16*AH16+K17*AH17+K18*AH18)/K19,0)</f>
        <v>0.22043599103081002</v>
      </c>
      <c r="AI19" s="56">
        <f t="shared" ref="AI19" si="136">SUM(AI16:AI18)</f>
        <v>109.34354500000001</v>
      </c>
      <c r="AJ19" s="51">
        <f t="shared" ref="AJ19" si="137">IF(AND(AD19&gt;0),((AD16*AJ16+AD17*AJ17+AD18*AJ18)/AD19),0)</f>
        <v>0.92887574977754828</v>
      </c>
      <c r="AK19" s="55">
        <f t="shared" si="6"/>
        <v>0.93540619579691331</v>
      </c>
      <c r="AL19" s="49">
        <f t="shared" ref="AL19" si="138">SUM(AL16:AL18)</f>
        <v>541</v>
      </c>
      <c r="AM19" s="20">
        <f t="shared" ref="AM19" si="139">IF(AL19&gt;0,(AM16*AL16+AM17*AL17+AM18*AL18)/AL19,0)</f>
        <v>8.2776340110905733E-2</v>
      </c>
      <c r="AN19" s="51">
        <f>IF(K19&gt;0,(AN16*K16+AN17*K17+AN18*K18)/K19,0)</f>
        <v>0.22672402923610963</v>
      </c>
      <c r="AO19" s="107">
        <f>IF(K19&gt;0,(AO16*K16+AO17*K17+AO18*K18)/K19,0)</f>
        <v>0.21795409973911734</v>
      </c>
      <c r="AP19" s="56">
        <f t="shared" ref="AP19" si="140">SUM(AP16:AP18)</f>
        <v>112.5693</v>
      </c>
      <c r="AQ19" s="108">
        <f t="shared" si="52"/>
        <v>108.13065220000001</v>
      </c>
      <c r="AR19" s="54"/>
      <c r="AS19" s="54">
        <f t="shared" ref="AS19" si="141">SUM(AS16:AS18)</f>
        <v>0</v>
      </c>
      <c r="AT19" s="83"/>
      <c r="AU19" s="84">
        <f>AT18</f>
        <v>3441.4599999999991</v>
      </c>
      <c r="AV19" s="49">
        <f t="shared" ref="AV19" si="142">SUM(AV16:AV18)</f>
        <v>0</v>
      </c>
      <c r="AW19" s="57"/>
      <c r="AX19" s="56"/>
      <c r="AY19" s="56"/>
      <c r="AZ19" s="56"/>
      <c r="BA19" s="56"/>
      <c r="BB19" s="21"/>
    </row>
    <row r="20" spans="1:54">
      <c r="A20" s="146">
        <v>5</v>
      </c>
      <c r="B20" s="22">
        <v>1</v>
      </c>
      <c r="C20" s="10" t="s">
        <v>58</v>
      </c>
      <c r="D20" s="11">
        <v>1200</v>
      </c>
      <c r="E20" s="11">
        <v>4</v>
      </c>
      <c r="F20" s="11">
        <v>11520</v>
      </c>
      <c r="G20" s="12">
        <v>0.3</v>
      </c>
      <c r="H20" s="12">
        <v>4.3</v>
      </c>
      <c r="I20" s="11">
        <v>11607</v>
      </c>
      <c r="J20" s="12">
        <v>3.5</v>
      </c>
      <c r="K20" s="11">
        <v>15453</v>
      </c>
      <c r="L20" s="13">
        <v>7.8E-2</v>
      </c>
      <c r="M20" s="23">
        <f>ROUND(K20*(1-L20),0)</f>
        <v>14248</v>
      </c>
      <c r="N20" s="14">
        <v>0.77700000000000002</v>
      </c>
      <c r="O20" s="24">
        <f t="shared" ref="O20:O22" si="143">M20*N20</f>
        <v>11070.696</v>
      </c>
      <c r="P20" s="13">
        <v>0.17899999999999999</v>
      </c>
      <c r="Q20" s="24">
        <f t="shared" ref="Q20:Q22" si="144">M20*P20</f>
        <v>2550.3919999999998</v>
      </c>
      <c r="R20" s="15">
        <v>4.3999999999999997E-2</v>
      </c>
      <c r="S20" s="112"/>
      <c r="T20" s="24">
        <f t="shared" ref="T20:T22" si="145">M20*R20</f>
        <v>626.91199999999992</v>
      </c>
      <c r="U20" s="25">
        <v>0.20899999999999999</v>
      </c>
      <c r="V20" s="24">
        <f t="shared" ref="V20:V22" si="146">M20*U20</f>
        <v>2977.8319999999999</v>
      </c>
      <c r="W20" s="15">
        <v>0.50900000000000001</v>
      </c>
      <c r="X20" s="24">
        <f t="shared" ref="X20:X22" si="147">M20*W20</f>
        <v>7252.232</v>
      </c>
      <c r="Y20" s="15">
        <v>0.42</v>
      </c>
      <c r="Z20" s="24">
        <f t="shared" ref="Z20:Z22" si="148">Y20*M20</f>
        <v>5984.16</v>
      </c>
      <c r="AA20" s="116">
        <v>2.4499999999999999E-3</v>
      </c>
      <c r="AB20" s="18">
        <f t="shared" ref="AB20" si="149">M20*AA20</f>
        <v>34.907600000000002</v>
      </c>
      <c r="AC20" s="16">
        <v>2.4199999999999998E-3</v>
      </c>
      <c r="AD20" s="17">
        <f t="shared" ref="AD20:AD22" si="150">M20*AC20</f>
        <v>34.480159999999998</v>
      </c>
      <c r="AE20" s="26">
        <f>IF(M20&gt;0,(AG20+AP20)/M20,0)</f>
        <v>2.643954800673779E-3</v>
      </c>
      <c r="AF20" s="16">
        <v>1.8000000000000001E-4</v>
      </c>
      <c r="AG20" s="23">
        <f t="shared" ref="AG20:AG22" si="151">AF20*M20</f>
        <v>2.5646400000000003</v>
      </c>
      <c r="AH20" s="92">
        <v>0.21440000000000001</v>
      </c>
      <c r="AI20" s="29">
        <f t="shared" ref="AI20:AI22" si="152">AL20*(1-AM20)*AH20</f>
        <v>33.422816000000005</v>
      </c>
      <c r="AJ20" s="27">
        <f t="shared" ref="AJ20:AJ22" si="153">IF(AND(AH20&gt;0,AF20&gt;0,AC20&gt;0),((AC20-AF20)*AH20)/((AH20-AF20)*AC20),0)</f>
        <v>0.92639759388471432</v>
      </c>
      <c r="AK20" s="58">
        <f t="shared" si="6"/>
        <v>0.93266563735768759</v>
      </c>
      <c r="AL20" s="11">
        <v>170</v>
      </c>
      <c r="AM20" s="13">
        <v>8.3000000000000004E-2</v>
      </c>
      <c r="AN20" s="14">
        <v>0.22520000000000001</v>
      </c>
      <c r="AO20" s="101">
        <v>0.22409999999999999</v>
      </c>
      <c r="AP20" s="29">
        <f>AL20*(1-AM20)*AN20</f>
        <v>35.106428000000008</v>
      </c>
      <c r="AQ20" s="102">
        <f t="shared" ref="AQ20" si="154">AL20*(1-AM20)*AO20</f>
        <v>34.934949000000003</v>
      </c>
      <c r="AR20" s="18">
        <v>1.55</v>
      </c>
      <c r="AS20" s="18">
        <v>1113.3800000000001</v>
      </c>
      <c r="AT20" s="79">
        <f>AT18+AL20-AS20</f>
        <v>2498.079999999999</v>
      </c>
      <c r="AU20" s="80"/>
      <c r="AV20" s="11"/>
      <c r="AW20" s="30"/>
      <c r="AX20" s="19"/>
      <c r="AY20" s="19"/>
      <c r="AZ20" s="19"/>
      <c r="BA20" s="19"/>
      <c r="BB20" s="31"/>
    </row>
    <row r="21" spans="1:54">
      <c r="A21" s="147"/>
      <c r="B21" s="32">
        <v>2</v>
      </c>
      <c r="C21" s="10" t="s">
        <v>55</v>
      </c>
      <c r="D21" s="33">
        <v>18548</v>
      </c>
      <c r="E21" s="33">
        <v>9</v>
      </c>
      <c r="F21" s="33">
        <v>15478</v>
      </c>
      <c r="G21" s="34">
        <v>0.4</v>
      </c>
      <c r="H21" s="34">
        <v>5.2</v>
      </c>
      <c r="I21" s="33">
        <v>15556</v>
      </c>
      <c r="J21" s="34">
        <v>3.5</v>
      </c>
      <c r="K21" s="33">
        <v>15523</v>
      </c>
      <c r="L21" s="35">
        <v>7.5999999999999998E-2</v>
      </c>
      <c r="M21" s="36">
        <f>ROUND(K21*(1-L21),0)</f>
        <v>14343</v>
      </c>
      <c r="N21" s="37">
        <v>0.64200000000000002</v>
      </c>
      <c r="O21" s="24">
        <f t="shared" si="143"/>
        <v>9208.2060000000001</v>
      </c>
      <c r="P21" s="35">
        <v>0.33700000000000002</v>
      </c>
      <c r="Q21" s="24">
        <f t="shared" si="144"/>
        <v>4833.5910000000003</v>
      </c>
      <c r="R21" s="38">
        <v>2.1000000000000001E-2</v>
      </c>
      <c r="S21" s="105"/>
      <c r="T21" s="24">
        <f t="shared" si="145"/>
        <v>301.20300000000003</v>
      </c>
      <c r="U21" s="27">
        <v>0.20100000000000001</v>
      </c>
      <c r="V21" s="24">
        <f t="shared" si="146"/>
        <v>2882.9430000000002</v>
      </c>
      <c r="W21" s="38">
        <v>0.52</v>
      </c>
      <c r="X21" s="24">
        <f t="shared" si="147"/>
        <v>7458.3600000000006</v>
      </c>
      <c r="Y21" s="38">
        <v>0.41</v>
      </c>
      <c r="Z21" s="24">
        <f t="shared" si="148"/>
        <v>5880.6299999999992</v>
      </c>
      <c r="AA21" s="117">
        <v>2.48E-3</v>
      </c>
      <c r="AB21" s="18">
        <f t="shared" si="61"/>
        <v>35.570639999999997</v>
      </c>
      <c r="AC21" s="39">
        <v>2.47E-3</v>
      </c>
      <c r="AD21" s="17">
        <f t="shared" si="150"/>
        <v>35.427210000000002</v>
      </c>
      <c r="AE21" s="26">
        <f>IF(M21&gt;0,(AG21+AP21)/M21,0)</f>
        <v>2.4192620790629577E-3</v>
      </c>
      <c r="AF21" s="39">
        <v>1.9000000000000001E-4</v>
      </c>
      <c r="AG21" s="36">
        <f t="shared" si="151"/>
        <v>2.7251700000000003</v>
      </c>
      <c r="AH21" s="27">
        <v>0.2248</v>
      </c>
      <c r="AI21" s="40">
        <f t="shared" si="152"/>
        <v>32.117176000000001</v>
      </c>
      <c r="AJ21" s="27">
        <f t="shared" si="153"/>
        <v>0.92385776371351369</v>
      </c>
      <c r="AK21" s="28">
        <f t="shared" si="6"/>
        <v>0.92224661736071722</v>
      </c>
      <c r="AL21" s="33">
        <v>157</v>
      </c>
      <c r="AM21" s="35">
        <v>0.09</v>
      </c>
      <c r="AN21" s="37">
        <v>0.2238</v>
      </c>
      <c r="AO21" s="103">
        <v>0.22320000000000001</v>
      </c>
      <c r="AP21" s="40">
        <f>AL21*(1-AM21)*AN21</f>
        <v>31.974306000000002</v>
      </c>
      <c r="AQ21" s="104">
        <f t="shared" si="21"/>
        <v>31.888584000000002</v>
      </c>
      <c r="AR21" s="41">
        <v>1.55</v>
      </c>
      <c r="AS21" s="41"/>
      <c r="AT21" s="129">
        <f>AT20+AL21-AS21</f>
        <v>2655.079999999999</v>
      </c>
      <c r="AU21" s="82"/>
      <c r="AV21" s="42"/>
      <c r="AW21" s="43"/>
      <c r="AX21" s="44"/>
      <c r="AY21" s="44"/>
      <c r="AZ21" s="44"/>
      <c r="BA21" s="44"/>
      <c r="BB21" s="31"/>
    </row>
    <row r="22" spans="1:54">
      <c r="A22" s="147"/>
      <c r="B22" s="32">
        <v>3</v>
      </c>
      <c r="C22" s="10" t="s">
        <v>57</v>
      </c>
      <c r="D22" s="42">
        <v>23200</v>
      </c>
      <c r="E22" s="42">
        <v>3</v>
      </c>
      <c r="F22" s="42">
        <v>16741</v>
      </c>
      <c r="G22" s="36">
        <v>0.8</v>
      </c>
      <c r="H22" s="36">
        <v>5.8</v>
      </c>
      <c r="I22" s="42">
        <v>17077</v>
      </c>
      <c r="J22" s="36">
        <v>1.7</v>
      </c>
      <c r="K22" s="42">
        <v>15507</v>
      </c>
      <c r="L22" s="38">
        <v>6.9000000000000006E-2</v>
      </c>
      <c r="M22" s="36">
        <f>ROUND(K22*(1-L22),0)</f>
        <v>14437</v>
      </c>
      <c r="N22" s="27">
        <v>0.623</v>
      </c>
      <c r="O22" s="24">
        <f t="shared" si="143"/>
        <v>8994.2510000000002</v>
      </c>
      <c r="P22" s="38">
        <v>0.35199999999999998</v>
      </c>
      <c r="Q22" s="24">
        <f t="shared" si="144"/>
        <v>5081.8239999999996</v>
      </c>
      <c r="R22" s="38">
        <v>2.5000000000000001E-2</v>
      </c>
      <c r="S22" s="105"/>
      <c r="T22" s="24">
        <f t="shared" si="145"/>
        <v>360.92500000000001</v>
      </c>
      <c r="U22" s="27">
        <v>0.20699999999999999</v>
      </c>
      <c r="V22" s="24">
        <f t="shared" si="146"/>
        <v>2988.4589999999998</v>
      </c>
      <c r="W22" s="38">
        <v>0.498</v>
      </c>
      <c r="X22" s="24">
        <f t="shared" si="147"/>
        <v>7189.6260000000002</v>
      </c>
      <c r="Y22" s="38">
        <v>0.42</v>
      </c>
      <c r="Z22" s="24">
        <f t="shared" si="148"/>
        <v>6063.54</v>
      </c>
      <c r="AA22" s="118">
        <v>2.3700000000000001E-3</v>
      </c>
      <c r="AB22" s="121">
        <f t="shared" si="61"/>
        <v>34.215690000000002</v>
      </c>
      <c r="AC22" s="45">
        <v>2.4099999999999998E-3</v>
      </c>
      <c r="AD22" s="17">
        <f t="shared" si="150"/>
        <v>34.793169999999996</v>
      </c>
      <c r="AE22" s="26">
        <f>IF(M22&gt;0,(AG22+AP22)/M22,0)</f>
        <v>2.3334110272217224E-3</v>
      </c>
      <c r="AF22" s="45">
        <v>2.0000000000000001E-4</v>
      </c>
      <c r="AG22" s="36">
        <f t="shared" si="151"/>
        <v>2.8874</v>
      </c>
      <c r="AH22" s="27">
        <v>0.22090000000000001</v>
      </c>
      <c r="AI22" s="40">
        <f t="shared" si="152"/>
        <v>30.252255000000005</v>
      </c>
      <c r="AJ22" s="27">
        <f t="shared" si="153"/>
        <v>0.91784345171060766</v>
      </c>
      <c r="AK22" s="28">
        <f t="shared" si="6"/>
        <v>0.91510235424944475</v>
      </c>
      <c r="AL22" s="42">
        <v>150</v>
      </c>
      <c r="AM22" s="38">
        <v>8.6999999999999994E-2</v>
      </c>
      <c r="AN22" s="27">
        <v>0.22489999999999999</v>
      </c>
      <c r="AO22" s="105">
        <v>0.22589999999999999</v>
      </c>
      <c r="AP22" s="40">
        <f>AL22*(1-AM22)*AN22</f>
        <v>30.800055000000004</v>
      </c>
      <c r="AQ22" s="106">
        <f t="shared" si="21"/>
        <v>30.937005000000003</v>
      </c>
      <c r="AR22" s="17">
        <v>1.55</v>
      </c>
      <c r="AS22" s="17"/>
      <c r="AT22" s="129">
        <f>AT21+AL22-AS22</f>
        <v>2805.079999999999</v>
      </c>
      <c r="AU22" s="82"/>
      <c r="AV22" s="42"/>
      <c r="AW22" s="46"/>
      <c r="AX22" s="40"/>
      <c r="AY22" s="40"/>
      <c r="AZ22" s="40"/>
      <c r="BA22" s="40"/>
      <c r="BB22" s="31"/>
    </row>
    <row r="23" spans="1:54">
      <c r="A23" s="148"/>
      <c r="B23" s="47" t="s">
        <v>56</v>
      </c>
      <c r="C23" s="48"/>
      <c r="D23" s="49">
        <f t="shared" ref="D23" si="155">SUM(D20:D22)</f>
        <v>42948</v>
      </c>
      <c r="E23" s="49"/>
      <c r="F23" s="49">
        <f t="shared" ref="F23" si="156">SUM(F20:F22)</f>
        <v>43739</v>
      </c>
      <c r="G23" s="50"/>
      <c r="H23" s="50"/>
      <c r="I23" s="49">
        <f t="shared" ref="I23:K23" si="157">SUM(I20:I22)</f>
        <v>44240</v>
      </c>
      <c r="J23" s="50"/>
      <c r="K23" s="49">
        <f t="shared" si="157"/>
        <v>46483</v>
      </c>
      <c r="L23" s="20">
        <f t="shared" ref="L23" si="158">IF(K23&gt;0,(K20*L20+K21*L21+K22*L22)/K23,0)</f>
        <v>7.4329647397973458E-2</v>
      </c>
      <c r="M23" s="50">
        <f t="shared" ref="M23" si="159">M20+M21+M22</f>
        <v>43028</v>
      </c>
      <c r="N23" s="51">
        <f t="shared" ref="N23" si="160">IF(M23&gt;0,O23/M23,0)</f>
        <v>0.68032799572371483</v>
      </c>
      <c r="O23" s="52">
        <f t="shared" ref="O23" si="161">O20+O21+O22</f>
        <v>29273.153000000002</v>
      </c>
      <c r="P23" s="20">
        <f t="shared" ref="P23" si="162">IF(M23&gt;0,Q23/M23,0)</f>
        <v>0.28971383750116203</v>
      </c>
      <c r="Q23" s="52">
        <f t="shared" ref="Q23" si="163">Q20+Q21+Q22</f>
        <v>12465.807000000001</v>
      </c>
      <c r="R23" s="20">
        <f t="shared" ref="R23" si="164">IF(M23&gt;0,T23/M23,0)</f>
        <v>2.9958166775123175E-2</v>
      </c>
      <c r="S23" s="107"/>
      <c r="T23" s="52">
        <f t="shared" ref="T23" si="165">T20+T21+T22</f>
        <v>1289.04</v>
      </c>
      <c r="U23" s="20">
        <f t="shared" ref="U23" si="166">IF(M23&gt;0,V23/M23,0)</f>
        <v>0.20566221994980013</v>
      </c>
      <c r="V23" s="52">
        <f t="shared" ref="V23" si="167">V20+V21+V22</f>
        <v>8849.2340000000004</v>
      </c>
      <c r="W23" s="20">
        <f t="shared" ref="W23" si="168">IF(M23&gt;0,X23/M23,0)</f>
        <v>0.50897596913637633</v>
      </c>
      <c r="X23" s="52">
        <f t="shared" ref="X23" si="169">X20+X21+X22</f>
        <v>21900.218000000001</v>
      </c>
      <c r="Y23" s="20">
        <f t="shared" ref="Y23" si="170">IF(M23&gt;0,Z23/M23,0)</f>
        <v>0.41666658919773164</v>
      </c>
      <c r="Z23" s="52">
        <f t="shared" ref="Z23" si="171">Z20+Z21+Z22</f>
        <v>17928.329999999998</v>
      </c>
      <c r="AA23" s="119">
        <f t="shared" ref="AA23" si="172">IF(M23&gt;0,AB23/M23,0)</f>
        <v>2.4331581760713952E-3</v>
      </c>
      <c r="AB23" s="54">
        <f t="shared" ref="AB23" si="173">SUM(AB20:AB22)</f>
        <v>104.69392999999999</v>
      </c>
      <c r="AC23" s="53">
        <f t="shared" ref="AC23" si="174">IF(M23&gt;0,AD23/M23,0)</f>
        <v>2.433311796969415E-3</v>
      </c>
      <c r="AD23" s="54">
        <f t="shared" ref="AD23" si="175">SUM(AD20:AD22)</f>
        <v>104.70053999999999</v>
      </c>
      <c r="AE23" s="53">
        <f t="shared" ref="AE23" si="176">IF(M23&gt;0,(AE20*M20+AE21*M21+AE22*M22)/M23,0)</f>
        <v>2.4648600678627876E-3</v>
      </c>
      <c r="AF23" s="53">
        <f t="shared" ref="AF23" si="177">IF(K23&gt;0,(K20*AF20+K21*AF21+K22*AF22)/K23,0)</f>
        <v>1.9001161715035604E-4</v>
      </c>
      <c r="AG23" s="50">
        <f t="shared" ref="AG23" si="178">SUM(AG20:AG22)</f>
        <v>8.1772100000000005</v>
      </c>
      <c r="AH23" s="51">
        <f t="shared" ref="AH23" si="179">IF(K23&gt;0,(K20*AH20+K21*AH21+K22*AH22)/K23,0)</f>
        <v>0.22004151840457806</v>
      </c>
      <c r="AI23" s="56">
        <f t="shared" ref="AI23" si="180">SUM(AI20:AI22)</f>
        <v>95.792247000000017</v>
      </c>
      <c r="AJ23" s="51">
        <f t="shared" ref="AJ23" si="181">IF(AND(AD23&gt;0),((AD20*AJ20+AD21*AJ21+AD22*AJ22)/AD23),0)</f>
        <v>0.92269556121413476</v>
      </c>
      <c r="AK23" s="55">
        <f t="shared" si="6"/>
        <v>0.9236931353349993</v>
      </c>
      <c r="AL23" s="49">
        <f t="shared" ref="AL23" si="182">SUM(AL20:AL22)</f>
        <v>477</v>
      </c>
      <c r="AM23" s="20">
        <f t="shared" ref="AM23" si="183">IF(AL23&gt;0,(AM20*AL20+AM21*AL21+AM22*AL22)/AL23,0)</f>
        <v>8.6561844863731655E-2</v>
      </c>
      <c r="AN23" s="51">
        <f>IF(K23&gt;0,(AN20*K20+AN21*K21+AN22*K22)/K23,0)</f>
        <v>0.22463238818492781</v>
      </c>
      <c r="AO23" s="107">
        <f>IF(K23&gt;0,(AO20*K20+AO21*K21+AO22*K22)/K23,0)</f>
        <v>0.22439993546027578</v>
      </c>
      <c r="AP23" s="56">
        <f t="shared" ref="AP23" si="184">SUM(AP20:AP22)</f>
        <v>97.880789000000007</v>
      </c>
      <c r="AQ23" s="108">
        <f t="shared" si="52"/>
        <v>97.760537999999997</v>
      </c>
      <c r="AR23" s="54"/>
      <c r="AS23" s="54">
        <f t="shared" ref="AS23" si="185">SUM(AS20:AS22)</f>
        <v>1113.3800000000001</v>
      </c>
      <c r="AT23" s="83"/>
      <c r="AU23" s="84">
        <f>AT22</f>
        <v>2805.079999999999</v>
      </c>
      <c r="AV23" s="49">
        <f t="shared" ref="AV23" si="186">SUM(AV20:AV22)</f>
        <v>0</v>
      </c>
      <c r="AW23" s="57"/>
      <c r="AX23" s="56"/>
      <c r="AY23" s="56"/>
      <c r="AZ23" s="56"/>
      <c r="BA23" s="56"/>
      <c r="BB23" s="21"/>
    </row>
    <row r="24" spans="1:54">
      <c r="A24" s="146">
        <v>6</v>
      </c>
      <c r="B24" s="22">
        <v>1</v>
      </c>
      <c r="C24" s="10" t="s">
        <v>58</v>
      </c>
      <c r="D24" s="11">
        <v>6200</v>
      </c>
      <c r="E24" s="11">
        <v>2</v>
      </c>
      <c r="F24" s="11">
        <v>12150</v>
      </c>
      <c r="G24" s="12">
        <v>0.5</v>
      </c>
      <c r="H24" s="12">
        <v>4.5</v>
      </c>
      <c r="I24" s="11">
        <v>12363</v>
      </c>
      <c r="J24" s="12">
        <v>3.6</v>
      </c>
      <c r="K24" s="11">
        <v>15421</v>
      </c>
      <c r="L24" s="13">
        <v>6.3E-2</v>
      </c>
      <c r="M24" s="23">
        <f>ROUND(K24*(1-L24),0)</f>
        <v>14449</v>
      </c>
      <c r="N24" s="14">
        <v>0.69199999999999995</v>
      </c>
      <c r="O24" s="24">
        <f t="shared" ref="O24:O26" si="187">M24*N24</f>
        <v>9998.7079999999987</v>
      </c>
      <c r="P24" s="13">
        <v>0.28699999999999998</v>
      </c>
      <c r="Q24" s="24">
        <f t="shared" ref="Q24:Q26" si="188">M24*P24</f>
        <v>4146.8629999999994</v>
      </c>
      <c r="R24" s="15">
        <v>2.1000000000000001E-2</v>
      </c>
      <c r="S24" s="112"/>
      <c r="T24" s="24">
        <f t="shared" ref="T24:T26" si="189">M24*R24</f>
        <v>303.42900000000003</v>
      </c>
      <c r="U24" s="25">
        <v>0.20100000000000001</v>
      </c>
      <c r="V24" s="24">
        <f t="shared" ref="V24:V26" si="190">M24*U24</f>
        <v>2904.2490000000003</v>
      </c>
      <c r="W24" s="15">
        <v>0.503</v>
      </c>
      <c r="X24" s="24">
        <f t="shared" ref="X24:X26" si="191">M24*W24</f>
        <v>7267.8469999999998</v>
      </c>
      <c r="Y24" s="15">
        <v>0.41</v>
      </c>
      <c r="Z24" s="24">
        <f t="shared" ref="Z24:Z26" si="192">Y24*M24</f>
        <v>5924.0899999999992</v>
      </c>
      <c r="AA24" s="116">
        <v>2.5999999999999999E-3</v>
      </c>
      <c r="AB24" s="18">
        <f t="shared" ref="AB24" si="193">M24*AA24</f>
        <v>37.567399999999999</v>
      </c>
      <c r="AC24" s="16">
        <v>2.5500000000000002E-3</v>
      </c>
      <c r="AD24" s="17">
        <f t="shared" ref="AD24:AD26" si="194">M24*AC24</f>
        <v>36.844950000000004</v>
      </c>
      <c r="AE24" s="26">
        <f>IF(M24&gt;0,(AG24+AP24)/M24,0)</f>
        <v>2.8929310817357601E-3</v>
      </c>
      <c r="AF24" s="16">
        <v>2.1000000000000001E-4</v>
      </c>
      <c r="AG24" s="23">
        <f t="shared" ref="AG24:AG26" si="195">AF24*M24</f>
        <v>3.0342899999999999</v>
      </c>
      <c r="AH24" s="92">
        <v>0.21529999999999999</v>
      </c>
      <c r="AI24" s="29">
        <f t="shared" ref="AI24:AI26" si="196">AL24*(1-AM24)*AH24</f>
        <v>38.145562200000001</v>
      </c>
      <c r="AJ24" s="27">
        <f t="shared" ref="AJ24:AJ26" si="197">IF(AND(AH24&gt;0,AF24&gt;0,AC24&gt;0),((AC24-AF24)*AH24)/((AH24-AF24)*AC24),0)</f>
        <v>0.91854299021203167</v>
      </c>
      <c r="AK24" s="58">
        <f t="shared" si="6"/>
        <v>0.92830022733185902</v>
      </c>
      <c r="AL24" s="11">
        <v>193</v>
      </c>
      <c r="AM24" s="13">
        <v>8.2000000000000003E-2</v>
      </c>
      <c r="AN24" s="14">
        <v>0.21879999999999999</v>
      </c>
      <c r="AO24" s="101">
        <v>0.2117</v>
      </c>
      <c r="AP24" s="29">
        <f>AL24*(1-AM24)*AN24</f>
        <v>38.7656712</v>
      </c>
      <c r="AQ24" s="102">
        <f t="shared" ref="AQ24" si="198">AL24*(1-AM24)*AO24</f>
        <v>37.507735799999999</v>
      </c>
      <c r="AR24" s="18">
        <v>1.5</v>
      </c>
      <c r="AS24" s="18"/>
      <c r="AT24" s="79">
        <f>AT22+AL24-AS24</f>
        <v>2998.079999999999</v>
      </c>
      <c r="AU24" s="80"/>
      <c r="AV24" s="11"/>
      <c r="AW24" s="30"/>
      <c r="AX24" s="19"/>
      <c r="AY24" s="19"/>
      <c r="AZ24" s="19"/>
      <c r="BA24" s="19"/>
      <c r="BB24" s="31"/>
    </row>
    <row r="25" spans="1:54">
      <c r="A25" s="147"/>
      <c r="B25" s="32">
        <v>2</v>
      </c>
      <c r="C25" s="10" t="s">
        <v>53</v>
      </c>
      <c r="D25" s="33">
        <v>19500</v>
      </c>
      <c r="E25" s="33">
        <v>5</v>
      </c>
      <c r="F25" s="33">
        <v>16533</v>
      </c>
      <c r="G25" s="34">
        <v>0.1</v>
      </c>
      <c r="H25" s="34">
        <v>4.8</v>
      </c>
      <c r="I25" s="33">
        <v>16434</v>
      </c>
      <c r="J25" s="34">
        <v>2.1</v>
      </c>
      <c r="K25" s="33">
        <v>15532</v>
      </c>
      <c r="L25" s="35">
        <v>6.9000000000000006E-2</v>
      </c>
      <c r="M25" s="36">
        <f>ROUND(K25*(1-L25),0)</f>
        <v>14460</v>
      </c>
      <c r="N25" s="37">
        <v>0.78500000000000003</v>
      </c>
      <c r="O25" s="24">
        <f t="shared" si="187"/>
        <v>11351.1</v>
      </c>
      <c r="P25" s="35">
        <v>0.2</v>
      </c>
      <c r="Q25" s="24">
        <f t="shared" si="188"/>
        <v>2892</v>
      </c>
      <c r="R25" s="38">
        <v>1.4999999999999999E-2</v>
      </c>
      <c r="S25" s="105"/>
      <c r="T25" s="24">
        <f t="shared" si="189"/>
        <v>216.9</v>
      </c>
      <c r="U25" s="27">
        <v>0.19600000000000001</v>
      </c>
      <c r="V25" s="24">
        <f t="shared" si="190"/>
        <v>2834.1600000000003</v>
      </c>
      <c r="W25" s="38">
        <v>0.51100000000000001</v>
      </c>
      <c r="X25" s="24">
        <f t="shared" si="191"/>
        <v>7389.06</v>
      </c>
      <c r="Y25" s="38">
        <v>0.41</v>
      </c>
      <c r="Z25" s="24">
        <f t="shared" si="192"/>
        <v>5928.5999999999995</v>
      </c>
      <c r="AA25" s="117">
        <v>2.65E-3</v>
      </c>
      <c r="AB25" s="18">
        <f t="shared" si="61"/>
        <v>38.319000000000003</v>
      </c>
      <c r="AC25" s="39">
        <v>2.7000000000000001E-3</v>
      </c>
      <c r="AD25" s="17">
        <f t="shared" si="194"/>
        <v>39.042000000000002</v>
      </c>
      <c r="AE25" s="26">
        <f>IF(M25&gt;0,(AG25+AP25)/M25,0)</f>
        <v>2.6629052420470262E-3</v>
      </c>
      <c r="AF25" s="39">
        <v>2.1000000000000001E-4</v>
      </c>
      <c r="AG25" s="36">
        <f t="shared" si="195"/>
        <v>3.0366</v>
      </c>
      <c r="AH25" s="27">
        <v>0.22</v>
      </c>
      <c r="AI25" s="40">
        <f t="shared" si="196"/>
        <v>35.90972</v>
      </c>
      <c r="AJ25" s="27">
        <f t="shared" si="197"/>
        <v>0.92310336634464196</v>
      </c>
      <c r="AK25" s="28">
        <f t="shared" si="6"/>
        <v>0.92202981857421007</v>
      </c>
      <c r="AL25" s="33">
        <v>178</v>
      </c>
      <c r="AM25" s="35">
        <v>8.3000000000000004E-2</v>
      </c>
      <c r="AN25" s="37">
        <v>0.21729999999999999</v>
      </c>
      <c r="AO25" s="103">
        <v>0.2092</v>
      </c>
      <c r="AP25" s="40">
        <f>AL25*(1-AM25)*AN25</f>
        <v>35.469009800000002</v>
      </c>
      <c r="AQ25" s="104">
        <f t="shared" si="21"/>
        <v>34.146879200000001</v>
      </c>
      <c r="AR25" s="41">
        <v>1.55</v>
      </c>
      <c r="AS25" s="41"/>
      <c r="AT25" s="129">
        <f>AT24+AL25-AS25</f>
        <v>3176.079999999999</v>
      </c>
      <c r="AU25" s="82"/>
      <c r="AV25" s="42"/>
      <c r="AW25" s="43"/>
      <c r="AX25" s="44"/>
      <c r="AY25" s="44"/>
      <c r="AZ25" s="44"/>
      <c r="BA25" s="44"/>
      <c r="BB25" s="31"/>
    </row>
    <row r="26" spans="1:54">
      <c r="A26" s="147"/>
      <c r="B26" s="32">
        <v>3</v>
      </c>
      <c r="C26" s="10" t="s">
        <v>57</v>
      </c>
      <c r="D26" s="42">
        <v>22200</v>
      </c>
      <c r="E26" s="42">
        <v>1</v>
      </c>
      <c r="F26" s="42">
        <v>17231</v>
      </c>
      <c r="G26" s="36">
        <v>0.5</v>
      </c>
      <c r="H26" s="36">
        <v>4.4000000000000004</v>
      </c>
      <c r="I26" s="42">
        <v>16903</v>
      </c>
      <c r="J26" s="36">
        <v>1.6</v>
      </c>
      <c r="K26" s="42">
        <v>15525</v>
      </c>
      <c r="L26" s="38">
        <v>7.9000000000000001E-2</v>
      </c>
      <c r="M26" s="36">
        <f>ROUND(K26*(1-L26),0)</f>
        <v>14299</v>
      </c>
      <c r="N26" s="27">
        <v>0.71699999999999997</v>
      </c>
      <c r="O26" s="24">
        <f t="shared" si="187"/>
        <v>10252.383</v>
      </c>
      <c r="P26" s="38">
        <v>0.25</v>
      </c>
      <c r="Q26" s="24">
        <f t="shared" si="188"/>
        <v>3574.75</v>
      </c>
      <c r="R26" s="38">
        <v>3.3000000000000002E-2</v>
      </c>
      <c r="S26" s="105"/>
      <c r="T26" s="24">
        <f t="shared" si="189"/>
        <v>471.86700000000002</v>
      </c>
      <c r="U26" s="27">
        <v>0.19900000000000001</v>
      </c>
      <c r="V26" s="24">
        <f t="shared" si="190"/>
        <v>2845.5010000000002</v>
      </c>
      <c r="W26" s="38">
        <v>0.51300000000000001</v>
      </c>
      <c r="X26" s="24">
        <f t="shared" si="191"/>
        <v>7335.3869999999997</v>
      </c>
      <c r="Y26" s="38">
        <v>0.41</v>
      </c>
      <c r="Z26" s="24">
        <f t="shared" si="192"/>
        <v>5862.5899999999992</v>
      </c>
      <c r="AA26" s="118">
        <v>2.8E-3</v>
      </c>
      <c r="AB26" s="121">
        <f t="shared" si="61"/>
        <v>40.037199999999999</v>
      </c>
      <c r="AC26" s="45">
        <v>2.7899999999999999E-3</v>
      </c>
      <c r="AD26" s="17">
        <f t="shared" si="194"/>
        <v>39.894210000000001</v>
      </c>
      <c r="AE26" s="26">
        <f>IF(M26&gt;0,(AG26+AP26)/M26,0)</f>
        <v>2.0493492272186864E-3</v>
      </c>
      <c r="AF26" s="45">
        <v>2.2000000000000001E-4</v>
      </c>
      <c r="AG26" s="36">
        <f t="shared" si="195"/>
        <v>3.1457800000000002</v>
      </c>
      <c r="AH26" s="27">
        <v>0.22739999999999999</v>
      </c>
      <c r="AI26" s="40">
        <f t="shared" si="196"/>
        <v>26.331555600000002</v>
      </c>
      <c r="AJ26" s="27">
        <f t="shared" si="197"/>
        <v>0.922038987605868</v>
      </c>
      <c r="AK26" s="28">
        <f t="shared" si="6"/>
        <v>0.89351903051416259</v>
      </c>
      <c r="AL26" s="42">
        <v>126</v>
      </c>
      <c r="AM26" s="38">
        <v>8.1000000000000003E-2</v>
      </c>
      <c r="AN26" s="27">
        <v>0.22589999999999999</v>
      </c>
      <c r="AO26" s="105">
        <v>0.222</v>
      </c>
      <c r="AP26" s="40">
        <f>AL26*(1-AM26)*AN26</f>
        <v>26.1578646</v>
      </c>
      <c r="AQ26" s="106">
        <f t="shared" si="21"/>
        <v>25.706268000000001</v>
      </c>
      <c r="AR26" s="17">
        <v>1.55</v>
      </c>
      <c r="AS26" s="17"/>
      <c r="AT26" s="129">
        <f>AT25+AL26-AS26</f>
        <v>3302.079999999999</v>
      </c>
      <c r="AU26" s="82"/>
      <c r="AV26" s="42"/>
      <c r="AW26" s="46"/>
      <c r="AX26" s="40"/>
      <c r="AY26" s="40"/>
      <c r="AZ26" s="40"/>
      <c r="BA26" s="40"/>
      <c r="BB26" s="31"/>
    </row>
    <row r="27" spans="1:54">
      <c r="A27" s="148"/>
      <c r="B27" s="47" t="s">
        <v>56</v>
      </c>
      <c r="C27" s="48"/>
      <c r="D27" s="49">
        <f t="shared" ref="D27" si="199">SUM(D24:D26)</f>
        <v>47900</v>
      </c>
      <c r="E27" s="49"/>
      <c r="F27" s="49">
        <f t="shared" ref="F27" si="200">SUM(F24:F26)</f>
        <v>45914</v>
      </c>
      <c r="G27" s="50"/>
      <c r="H27" s="50"/>
      <c r="I27" s="49">
        <f t="shared" ref="I27:K27" si="201">SUM(I24:I26)</f>
        <v>45700</v>
      </c>
      <c r="J27" s="50"/>
      <c r="K27" s="49">
        <f t="shared" si="201"/>
        <v>46478</v>
      </c>
      <c r="L27" s="20">
        <f t="shared" ref="L27" si="202">IF(K27&gt;0,(K24*L24+K25*L25+K26*L26)/K27,0)</f>
        <v>7.0349541718662589E-2</v>
      </c>
      <c r="M27" s="50">
        <f t="shared" ref="M27" si="203">M24+M25+M26</f>
        <v>43208</v>
      </c>
      <c r="N27" s="51">
        <f t="shared" ref="N27" si="204">IF(M27&gt;0,O27/M27,0)</f>
        <v>0.73139675523051284</v>
      </c>
      <c r="O27" s="52">
        <f t="shared" ref="O27" si="205">O24+O25+O26</f>
        <v>31602.190999999999</v>
      </c>
      <c r="P27" s="20">
        <f t="shared" ref="P27" si="206">IF(M27&gt;0,Q27/M27,0)</f>
        <v>0.24563999722273652</v>
      </c>
      <c r="Q27" s="52">
        <f t="shared" ref="Q27" si="207">Q24+Q25+Q26</f>
        <v>10613.612999999999</v>
      </c>
      <c r="R27" s="20">
        <f t="shared" ref="R27" si="208">IF(M27&gt;0,T27/M27,0)</f>
        <v>2.2963247546750606E-2</v>
      </c>
      <c r="S27" s="107"/>
      <c r="T27" s="52">
        <f t="shared" ref="T27" si="209">T24+T25+T26</f>
        <v>992.19600000000014</v>
      </c>
      <c r="U27" s="20">
        <f t="shared" ref="U27" si="210">IF(M27&gt;0,V27/M27,0)</f>
        <v>0.19866483058692835</v>
      </c>
      <c r="V27" s="52">
        <f t="shared" ref="V27" si="211">V24+V25+V26</f>
        <v>8583.91</v>
      </c>
      <c r="W27" s="20">
        <f t="shared" ref="W27" si="212">IF(M27&gt;0,X27/M27,0)</f>
        <v>0.50898662284762075</v>
      </c>
      <c r="X27" s="52">
        <f t="shared" ref="X27" si="213">X24+X25+X26</f>
        <v>21992.293999999998</v>
      </c>
      <c r="Y27" s="20">
        <f t="shared" ref="Y27" si="214">IF(M27&gt;0,Z27/M27,0)</f>
        <v>0.41</v>
      </c>
      <c r="Z27" s="52">
        <f t="shared" ref="Z27" si="215">Z24+Z25+Z26</f>
        <v>17715.28</v>
      </c>
      <c r="AA27" s="119">
        <f t="shared" ref="AA27" si="216">IF(M27&gt;0,AB27/M27,0)</f>
        <v>2.6829198296611742E-3</v>
      </c>
      <c r="AB27" s="54">
        <f t="shared" ref="AB27" si="217">SUM(AB24:AB26)</f>
        <v>115.92360000000001</v>
      </c>
      <c r="AC27" s="53">
        <f t="shared" ref="AC27" si="218">IF(M27&gt;0,AD27/M27,0)</f>
        <v>2.6796232179226074E-3</v>
      </c>
      <c r="AD27" s="54">
        <f t="shared" ref="AD27" si="219">SUM(AD24:AD26)</f>
        <v>115.78116000000001</v>
      </c>
      <c r="AE27" s="53">
        <f t="shared" ref="AE27" si="220">IF(M27&gt;0,(AE24*M24+AE25*M25+AE26*M26)/M27,0)</f>
        <v>2.5367805869283464E-3</v>
      </c>
      <c r="AF27" s="53">
        <f t="shared" ref="AF27" si="221">IF(K27&gt;0,(K24*AF24+K25*AF25+K26*AF26)/K27,0)</f>
        <v>2.1334029002969147E-4</v>
      </c>
      <c r="AG27" s="50">
        <f t="shared" ref="AG27" si="222">SUM(AG24:AG26)</f>
        <v>9.2166700000000006</v>
      </c>
      <c r="AH27" s="51">
        <f t="shared" ref="AH27" si="223">IF(K27&gt;0,(K24*AH24+K25*AH25+K26*AH26)/K27,0)</f>
        <v>0.22091239511166574</v>
      </c>
      <c r="AI27" s="56">
        <f t="shared" ref="AI27" si="224">SUM(AI24:AI26)</f>
        <v>100.3868378</v>
      </c>
      <c r="AJ27" s="51">
        <f t="shared" ref="AJ27" si="225">IF(AND(AD27&gt;0),((AD24*AJ24+AD25*AJ25+AD26*AJ26)/AD27),0)</f>
        <v>0.92128537298966595</v>
      </c>
      <c r="AK27" s="55">
        <f t="shared" si="6"/>
        <v>0.91678750018514688</v>
      </c>
      <c r="AL27" s="49">
        <f t="shared" ref="AL27" si="226">SUM(AL24:AL26)</f>
        <v>497</v>
      </c>
      <c r="AM27" s="20">
        <f t="shared" ref="AM27" si="227">IF(AL27&gt;0,(AM24*AL24+AM25*AL25+AM26*AL26)/AL27,0)</f>
        <v>8.2104627766599589E-2</v>
      </c>
      <c r="AN27" s="51">
        <f>IF(K27&gt;0,(AN24*K24+AN25*K25+AN26*K26)/K27,0)</f>
        <v>0.22067033650329188</v>
      </c>
      <c r="AO27" s="107">
        <f>IF(K27&gt;0,(AO24*K24+AO25*K25+AO26*K26)/K27,0)</f>
        <v>0.21430504970093375</v>
      </c>
      <c r="AP27" s="56">
        <f t="shared" ref="AP27:AQ39" si="228">SUM(AP24:AP26)</f>
        <v>100.39254559999999</v>
      </c>
      <c r="AQ27" s="108">
        <f t="shared" si="228"/>
        <v>97.360883000000001</v>
      </c>
      <c r="AR27" s="54"/>
      <c r="AS27" s="54">
        <f t="shared" ref="AS27" si="229">SUM(AS24:AS26)</f>
        <v>0</v>
      </c>
      <c r="AT27" s="83"/>
      <c r="AU27" s="84">
        <f>AT26</f>
        <v>3302.079999999999</v>
      </c>
      <c r="AV27" s="49">
        <f t="shared" ref="AV27" si="230">SUM(AV24:AV26)</f>
        <v>0</v>
      </c>
      <c r="AW27" s="57"/>
      <c r="AX27" s="56"/>
      <c r="AY27" s="56"/>
      <c r="AZ27" s="56"/>
      <c r="BA27" s="56"/>
      <c r="BB27" s="21"/>
    </row>
    <row r="28" spans="1:54">
      <c r="A28" s="146">
        <v>7</v>
      </c>
      <c r="B28" s="22">
        <v>1</v>
      </c>
      <c r="C28" s="10" t="s">
        <v>58</v>
      </c>
      <c r="D28" s="11">
        <v>5200</v>
      </c>
      <c r="E28" s="11">
        <v>1</v>
      </c>
      <c r="F28" s="11">
        <v>11109</v>
      </c>
      <c r="G28" s="12">
        <v>0.7</v>
      </c>
      <c r="H28" s="12">
        <v>5</v>
      </c>
      <c r="I28" s="11">
        <v>11129</v>
      </c>
      <c r="J28" s="12">
        <v>3.2</v>
      </c>
      <c r="K28" s="11">
        <v>15539</v>
      </c>
      <c r="L28" s="13">
        <v>6.8000000000000005E-2</v>
      </c>
      <c r="M28" s="23">
        <f>ROUND(K28*(1-L28),0)</f>
        <v>14482</v>
      </c>
      <c r="N28" s="14">
        <v>0.81899999999999995</v>
      </c>
      <c r="O28" s="24">
        <f t="shared" ref="O28:O30" si="231">M28*N28</f>
        <v>11860.758</v>
      </c>
      <c r="P28" s="13">
        <v>0.161</v>
      </c>
      <c r="Q28" s="24">
        <f t="shared" ref="Q28:Q30" si="232">M28*P28</f>
        <v>2331.6019999999999</v>
      </c>
      <c r="R28" s="15">
        <v>0.02</v>
      </c>
      <c r="S28" s="112"/>
      <c r="T28" s="24">
        <f t="shared" ref="T28:T30" si="233">M28*R28</f>
        <v>289.64</v>
      </c>
      <c r="U28" s="25">
        <v>0.187</v>
      </c>
      <c r="V28" s="24">
        <f t="shared" ref="V28:V30" si="234">M28*U28</f>
        <v>2708.134</v>
      </c>
      <c r="W28" s="15">
        <v>0.47899999999999998</v>
      </c>
      <c r="X28" s="24">
        <f t="shared" ref="X28:X30" si="235">M28*W28</f>
        <v>6936.8779999999997</v>
      </c>
      <c r="Y28" s="15">
        <v>0.41</v>
      </c>
      <c r="Z28" s="24">
        <f t="shared" ref="Z28:Z30" si="236">Y28*M28</f>
        <v>5937.62</v>
      </c>
      <c r="AA28" s="116">
        <v>3.0200000000000001E-3</v>
      </c>
      <c r="AB28" s="18">
        <f t="shared" ref="AB28" si="237">M28*AA28</f>
        <v>43.735640000000004</v>
      </c>
      <c r="AC28" s="16">
        <v>2.9499999999999999E-3</v>
      </c>
      <c r="AD28" s="17">
        <f t="shared" ref="AD28:AD30" si="238">M28*AC28</f>
        <v>42.721899999999998</v>
      </c>
      <c r="AE28" s="26">
        <f>IF(M28&gt;0,(AG28+AP28)/M28,0)</f>
        <v>3.9677389863278555E-3</v>
      </c>
      <c r="AF28" s="16">
        <v>2.3000000000000001E-4</v>
      </c>
      <c r="AG28" s="23">
        <f t="shared" ref="AG28:AG30" si="239">AF28*M28</f>
        <v>3.3308599999999999</v>
      </c>
      <c r="AH28" s="92">
        <v>0.21299999999999999</v>
      </c>
      <c r="AI28" s="29">
        <f t="shared" ref="AI28:AI30" si="240">AL28*(1-AM28)*AH28</f>
        <v>51.84207</v>
      </c>
      <c r="AJ28" s="27">
        <f t="shared" ref="AJ28:AJ30" si="241">IF(AND(AH28&gt;0,AF28&gt;0,AC28&gt;0),((AC28-AF28)*AH28)/((AH28-AF28)*AC28),0)</f>
        <v>0.92303059801185805</v>
      </c>
      <c r="AK28" s="58">
        <f t="shared" si="6"/>
        <v>0.94300771003256489</v>
      </c>
      <c r="AL28" s="11">
        <v>266</v>
      </c>
      <c r="AM28" s="13">
        <v>8.5000000000000006E-2</v>
      </c>
      <c r="AN28" s="14">
        <v>0.22239999999999999</v>
      </c>
      <c r="AO28" s="101">
        <v>0.21579999999999999</v>
      </c>
      <c r="AP28" s="29">
        <f>AL28*(1-AM28)*AN28</f>
        <v>54.129936000000001</v>
      </c>
      <c r="AQ28" s="102">
        <f t="shared" ref="AQ28" si="242">AL28*(1-AM28)*AO28</f>
        <v>52.523561999999998</v>
      </c>
      <c r="AR28" s="18">
        <v>1.5</v>
      </c>
      <c r="AS28" s="18">
        <v>1081.74</v>
      </c>
      <c r="AT28" s="79">
        <f>AT26+AL28-AS28</f>
        <v>2486.3399999999992</v>
      </c>
      <c r="AU28" s="80"/>
      <c r="AV28" s="11"/>
      <c r="AW28" s="30"/>
      <c r="AX28" s="19"/>
      <c r="AY28" s="19"/>
      <c r="AZ28" s="19"/>
      <c r="BA28" s="19"/>
      <c r="BB28" s="31"/>
    </row>
    <row r="29" spans="1:54">
      <c r="A29" s="147"/>
      <c r="B29" s="32">
        <v>2</v>
      </c>
      <c r="C29" s="10" t="s">
        <v>53</v>
      </c>
      <c r="D29" s="33">
        <v>21200</v>
      </c>
      <c r="E29" s="33">
        <v>2</v>
      </c>
      <c r="F29" s="33">
        <v>16687</v>
      </c>
      <c r="G29" s="34">
        <v>0.5</v>
      </c>
      <c r="H29" s="34">
        <v>4.0999999999999996</v>
      </c>
      <c r="I29" s="33">
        <v>16518</v>
      </c>
      <c r="J29" s="34">
        <v>2</v>
      </c>
      <c r="K29" s="33">
        <v>15534</v>
      </c>
      <c r="L29" s="35">
        <v>7.2999999999999995E-2</v>
      </c>
      <c r="M29" s="36">
        <f>ROUND(K29*(1-L29),0)</f>
        <v>14400</v>
      </c>
      <c r="N29" s="37">
        <v>0.621</v>
      </c>
      <c r="O29" s="24">
        <f t="shared" si="231"/>
        <v>8942.4</v>
      </c>
      <c r="P29" s="35">
        <v>0.35099999999999998</v>
      </c>
      <c r="Q29" s="24">
        <f t="shared" si="232"/>
        <v>5054.3999999999996</v>
      </c>
      <c r="R29" s="38">
        <v>2.8000000000000001E-2</v>
      </c>
      <c r="S29" s="105"/>
      <c r="T29" s="24">
        <f t="shared" si="233"/>
        <v>403.2</v>
      </c>
      <c r="U29" s="27">
        <v>0.19700000000000001</v>
      </c>
      <c r="V29" s="24">
        <f t="shared" si="234"/>
        <v>2836.8</v>
      </c>
      <c r="W29" s="38">
        <v>0.47799999999999998</v>
      </c>
      <c r="X29" s="24">
        <f t="shared" si="235"/>
        <v>6883.2</v>
      </c>
      <c r="Y29" s="38">
        <v>0.4</v>
      </c>
      <c r="Z29" s="24">
        <f t="shared" si="236"/>
        <v>5760</v>
      </c>
      <c r="AA29" s="117">
        <v>2.7899999999999999E-3</v>
      </c>
      <c r="AB29" s="18">
        <f t="shared" si="61"/>
        <v>40.176000000000002</v>
      </c>
      <c r="AC29" s="39">
        <v>2.82E-3</v>
      </c>
      <c r="AD29" s="17">
        <f t="shared" si="238"/>
        <v>40.607999999999997</v>
      </c>
      <c r="AE29" s="26">
        <f>IF(M29&gt;0,(AG29+AP29)/M29,0)</f>
        <v>2.8062807291666667E-3</v>
      </c>
      <c r="AF29" s="39">
        <v>2.1000000000000001E-4</v>
      </c>
      <c r="AG29" s="36">
        <f t="shared" si="239"/>
        <v>3.024</v>
      </c>
      <c r="AH29" s="27">
        <v>0.2203</v>
      </c>
      <c r="AI29" s="40">
        <f t="shared" si="240"/>
        <v>37.6944315</v>
      </c>
      <c r="AJ29" s="27">
        <f t="shared" si="241"/>
        <v>0.92641501590741882</v>
      </c>
      <c r="AK29" s="28">
        <f t="shared" si="6"/>
        <v>0.92605789004805938</v>
      </c>
      <c r="AL29" s="33">
        <v>187</v>
      </c>
      <c r="AM29" s="35">
        <v>8.5000000000000006E-2</v>
      </c>
      <c r="AN29" s="37">
        <v>0.2185</v>
      </c>
      <c r="AO29" s="103">
        <v>0.21579999999999999</v>
      </c>
      <c r="AP29" s="40">
        <f>AL29*(1-AM29)*AN29</f>
        <v>37.386442500000001</v>
      </c>
      <c r="AQ29" s="104">
        <f t="shared" si="21"/>
        <v>36.924459000000006</v>
      </c>
      <c r="AR29" s="41">
        <v>1.6</v>
      </c>
      <c r="AS29" s="41"/>
      <c r="AT29" s="129">
        <f>AT28+AL29-AS29</f>
        <v>2673.3399999999992</v>
      </c>
      <c r="AU29" s="82"/>
      <c r="AV29" s="42"/>
      <c r="AW29" s="43"/>
      <c r="AX29" s="44"/>
      <c r="AY29" s="44"/>
      <c r="AZ29" s="44"/>
      <c r="BA29" s="44"/>
      <c r="BB29" s="31"/>
    </row>
    <row r="30" spans="1:54">
      <c r="A30" s="147"/>
      <c r="B30" s="32">
        <v>3</v>
      </c>
      <c r="C30" s="143" t="s">
        <v>54</v>
      </c>
      <c r="D30" s="42">
        <v>16900</v>
      </c>
      <c r="E30" s="42">
        <v>3</v>
      </c>
      <c r="F30" s="42">
        <v>16854</v>
      </c>
      <c r="G30" s="36">
        <v>0.5</v>
      </c>
      <c r="H30" s="36">
        <v>6.6</v>
      </c>
      <c r="I30" s="42">
        <v>16652</v>
      </c>
      <c r="J30" s="36">
        <v>1.5</v>
      </c>
      <c r="K30" s="42">
        <v>15524</v>
      </c>
      <c r="L30" s="38">
        <v>6.5000000000000002E-2</v>
      </c>
      <c r="M30" s="36">
        <f>ROUND(K30*(1-L30),0)</f>
        <v>14515</v>
      </c>
      <c r="N30" s="27">
        <v>0.64700000000000002</v>
      </c>
      <c r="O30" s="24">
        <f t="shared" si="231"/>
        <v>9391.2049999999999</v>
      </c>
      <c r="P30" s="38">
        <v>0.33500000000000002</v>
      </c>
      <c r="Q30" s="24">
        <f t="shared" si="232"/>
        <v>4862.5250000000005</v>
      </c>
      <c r="R30" s="38">
        <v>1.7999999999999999E-2</v>
      </c>
      <c r="S30" s="105"/>
      <c r="T30" s="24">
        <f t="shared" si="233"/>
        <v>261.27</v>
      </c>
      <c r="U30" s="27">
        <v>0.20200000000000001</v>
      </c>
      <c r="V30" s="24">
        <f t="shared" si="234"/>
        <v>2932.03</v>
      </c>
      <c r="W30" s="38">
        <v>0.504</v>
      </c>
      <c r="X30" s="24">
        <f t="shared" si="235"/>
        <v>7315.56</v>
      </c>
      <c r="Y30" s="38">
        <v>0.4</v>
      </c>
      <c r="Z30" s="24">
        <f t="shared" si="236"/>
        <v>5806</v>
      </c>
      <c r="AA30" s="118">
        <v>2.6900000000000001E-3</v>
      </c>
      <c r="AB30" s="121">
        <f t="shared" si="61"/>
        <v>39.045349999999999</v>
      </c>
      <c r="AC30" s="45">
        <v>2.7200000000000002E-3</v>
      </c>
      <c r="AD30" s="17">
        <f t="shared" si="238"/>
        <v>39.480800000000002</v>
      </c>
      <c r="AE30" s="26">
        <f>IF(M30&gt;0,(AG30+AP30)/M30,0)</f>
        <v>2.9048347227006548E-3</v>
      </c>
      <c r="AF30" s="45">
        <v>2.0000000000000001E-4</v>
      </c>
      <c r="AG30" s="36">
        <f t="shared" si="239"/>
        <v>2.903</v>
      </c>
      <c r="AH30" s="27">
        <v>0.2152</v>
      </c>
      <c r="AI30" s="40">
        <f t="shared" si="240"/>
        <v>38.439024000000003</v>
      </c>
      <c r="AJ30" s="27">
        <f t="shared" si="241"/>
        <v>0.92733242134062943</v>
      </c>
      <c r="AK30" s="28">
        <f t="shared" si="6"/>
        <v>0.93199730819293669</v>
      </c>
      <c r="AL30" s="42">
        <v>195</v>
      </c>
      <c r="AM30" s="38">
        <v>8.4000000000000005E-2</v>
      </c>
      <c r="AN30" s="27">
        <v>0.2198</v>
      </c>
      <c r="AO30" s="105">
        <v>0.21049999999999999</v>
      </c>
      <c r="AP30" s="40">
        <f>AL30*(1-AM30)*AN30</f>
        <v>39.260676000000004</v>
      </c>
      <c r="AQ30" s="106">
        <f t="shared" si="21"/>
        <v>37.599510000000002</v>
      </c>
      <c r="AR30" s="17">
        <v>1.58</v>
      </c>
      <c r="AS30" s="17"/>
      <c r="AT30" s="129">
        <f>AT29+AL30-AS30</f>
        <v>2868.3399999999992</v>
      </c>
      <c r="AU30" s="82"/>
      <c r="AV30" s="42"/>
      <c r="AW30" s="46"/>
      <c r="AX30" s="40"/>
      <c r="AY30" s="40"/>
      <c r="AZ30" s="40"/>
      <c r="BA30" s="40"/>
      <c r="BB30" s="31"/>
    </row>
    <row r="31" spans="1:54">
      <c r="A31" s="148"/>
      <c r="B31" s="47" t="s">
        <v>56</v>
      </c>
      <c r="C31" s="48"/>
      <c r="D31" s="49">
        <f t="shared" ref="D31" si="243">SUM(D28:D30)</f>
        <v>43300</v>
      </c>
      <c r="E31" s="49"/>
      <c r="F31" s="49">
        <f t="shared" ref="F31" si="244">SUM(F28:F30)</f>
        <v>44650</v>
      </c>
      <c r="G31" s="50"/>
      <c r="H31" s="50"/>
      <c r="I31" s="49">
        <f t="shared" ref="I31:K31" si="245">SUM(I28:I30)</f>
        <v>44299</v>
      </c>
      <c r="J31" s="50"/>
      <c r="K31" s="49">
        <f t="shared" si="245"/>
        <v>46597</v>
      </c>
      <c r="L31" s="20">
        <f t="shared" ref="L31" si="246">IF(K31&gt;0,(K28*L28+K29*L29+K30*L30)/K31,0)</f>
        <v>6.8667382020301732E-2</v>
      </c>
      <c r="M31" s="50">
        <f t="shared" ref="M31" si="247">M28+M29+M30</f>
        <v>43397</v>
      </c>
      <c r="N31" s="51">
        <f t="shared" ref="N31" si="248">IF(M31&gt;0,O31/M31,0)</f>
        <v>0.69577074452151066</v>
      </c>
      <c r="O31" s="52">
        <f t="shared" ref="O31" si="249">O28+O29+O30</f>
        <v>30194.362999999998</v>
      </c>
      <c r="P31" s="20">
        <f t="shared" ref="P31" si="250">IF(M31&gt;0,Q31/M31,0)</f>
        <v>0.28224363435260502</v>
      </c>
      <c r="Q31" s="52">
        <f t="shared" ref="Q31" si="251">Q28+Q29+Q30</f>
        <v>12248.527</v>
      </c>
      <c r="R31" s="20">
        <f t="shared" ref="R31" si="252">IF(M31&gt;0,T31/M31,0)</f>
        <v>2.1985621125884276E-2</v>
      </c>
      <c r="S31" s="107"/>
      <c r="T31" s="52">
        <f t="shared" ref="T31" si="253">T28+T29+T30</f>
        <v>954.1099999999999</v>
      </c>
      <c r="U31" s="20">
        <f t="shared" ref="U31" si="254">IF(M31&gt;0,V31/M31,0)</f>
        <v>0.19533525358895776</v>
      </c>
      <c r="V31" s="52">
        <f t="shared" ref="V31" si="255">V28+V29+V30</f>
        <v>8476.9639999999999</v>
      </c>
      <c r="W31" s="20">
        <f t="shared" ref="W31" si="256">IF(M31&gt;0,X31/M31,0)</f>
        <v>0.48702993294467356</v>
      </c>
      <c r="X31" s="52">
        <f t="shared" ref="X31" si="257">X28+X29+X30</f>
        <v>21135.637999999999</v>
      </c>
      <c r="Y31" s="20">
        <f t="shared" ref="Y31" si="258">IF(M31&gt;0,Z31/M31,0)</f>
        <v>0.40333709703435722</v>
      </c>
      <c r="Z31" s="52">
        <f t="shared" ref="Z31" si="259">Z28+Z29+Z30</f>
        <v>17503.62</v>
      </c>
      <c r="AA31" s="119">
        <f t="shared" ref="AA31" si="260">IF(M31&gt;0,AB31/M31,0)</f>
        <v>2.8333062193239165E-3</v>
      </c>
      <c r="AB31" s="54">
        <f t="shared" ref="AB31" si="261">SUM(AB28:AB30)</f>
        <v>122.95699</v>
      </c>
      <c r="AC31" s="53">
        <f t="shared" ref="AC31" si="262">IF(M31&gt;0,AD31/M31,0)</f>
        <v>2.8299352489803442E-3</v>
      </c>
      <c r="AD31" s="54">
        <f t="shared" ref="AD31" si="263">SUM(AD28:AD30)</f>
        <v>122.8107</v>
      </c>
      <c r="AE31" s="53">
        <f t="shared" ref="AE31" si="264">IF(M31&gt;0,(AE28*M28+AE29*M29+AE30*M30)/M31,0)</f>
        <v>3.2268339862202458E-3</v>
      </c>
      <c r="AF31" s="53">
        <f t="shared" ref="AF31" si="265">IF(K31&gt;0,(K28*AF28+K29*AF29+K30*AF30)/K31,0)</f>
        <v>2.1333798313196125E-4</v>
      </c>
      <c r="AG31" s="50">
        <f t="shared" ref="AG31" si="266">SUM(AG28:AG30)</f>
        <v>9.2578600000000009</v>
      </c>
      <c r="AH31" s="51">
        <f t="shared" ref="AH31" si="267">IF(K31&gt;0,(K28*AH28+K29*AH29+K30*AH30)/K31,0)</f>
        <v>0.21616653432624416</v>
      </c>
      <c r="AI31" s="56">
        <f t="shared" ref="AI31" si="268">SUM(AI28:AI30)</f>
        <v>127.9755255</v>
      </c>
      <c r="AJ31" s="51">
        <f t="shared" ref="AJ31" si="269">IF(AND(AD31&gt;0),((AD28*AJ28+AD29*AJ29+AD30*AJ30)/AD31),0)</f>
        <v>0.92553261020119892</v>
      </c>
      <c r="AK31" s="55">
        <f t="shared" si="6"/>
        <v>0.93479180760721614</v>
      </c>
      <c r="AL31" s="49">
        <f t="shared" ref="AL31" si="270">SUM(AL28:AL30)</f>
        <v>648</v>
      </c>
      <c r="AM31" s="20">
        <f t="shared" ref="AM31" si="271">IF(AL31&gt;0,(AM28*AL28+AM29*AL29+AM30*AL30)/AL31,0)</f>
        <v>8.4699074074074079E-2</v>
      </c>
      <c r="AN31" s="51">
        <f>IF(K31&gt;0,(AN28*K28+AN29*K29+AN30*K30)/K31,0)</f>
        <v>0.22023365881923732</v>
      </c>
      <c r="AO31" s="107">
        <f>IF(L31&gt;0,(AO28*K28+AO29*K29+AO30*K30)/K31,0)</f>
        <v>0.21403428117689982</v>
      </c>
      <c r="AP31" s="56">
        <f t="shared" ref="AP31" si="272">SUM(AP28:AP30)</f>
        <v>130.77705450000002</v>
      </c>
      <c r="AQ31" s="108">
        <f t="shared" si="228"/>
        <v>127.04753100000002</v>
      </c>
      <c r="AR31" s="54"/>
      <c r="AS31" s="54">
        <f t="shared" ref="AS31" si="273">SUM(AS28:AS30)</f>
        <v>1081.74</v>
      </c>
      <c r="AT31" s="83"/>
      <c r="AU31" s="84">
        <f>AT30</f>
        <v>2868.3399999999992</v>
      </c>
      <c r="AV31" s="49">
        <f t="shared" ref="AV31" si="274">SUM(AV28:AV30)</f>
        <v>0</v>
      </c>
      <c r="AW31" s="57"/>
      <c r="AX31" s="56"/>
      <c r="AY31" s="56"/>
      <c r="AZ31" s="56"/>
      <c r="BA31" s="56"/>
      <c r="BB31" s="21"/>
    </row>
    <row r="32" spans="1:54">
      <c r="A32" s="146">
        <v>8</v>
      </c>
      <c r="B32" s="22">
        <v>1</v>
      </c>
      <c r="C32" s="10" t="s">
        <v>55</v>
      </c>
      <c r="D32" s="11">
        <v>6600</v>
      </c>
      <c r="E32" s="11">
        <v>1</v>
      </c>
      <c r="F32" s="11">
        <v>12037</v>
      </c>
      <c r="G32" s="12">
        <v>0.7</v>
      </c>
      <c r="H32" s="12">
        <v>4.8</v>
      </c>
      <c r="I32" s="11">
        <v>12012</v>
      </c>
      <c r="J32" s="12">
        <v>2.6</v>
      </c>
      <c r="K32" s="11">
        <v>15275</v>
      </c>
      <c r="L32" s="13">
        <v>7.3999999999999996E-2</v>
      </c>
      <c r="M32" s="23">
        <f>ROUND(K32*(1-L32),0)</f>
        <v>14145</v>
      </c>
      <c r="N32" s="14">
        <v>0.753</v>
      </c>
      <c r="O32" s="24">
        <f t="shared" ref="O32:O34" si="275">M32*N32</f>
        <v>10651.184999999999</v>
      </c>
      <c r="P32" s="13">
        <v>0.217</v>
      </c>
      <c r="Q32" s="24">
        <f t="shared" ref="Q32:Q34" si="276">M32*P32</f>
        <v>3069.4650000000001</v>
      </c>
      <c r="R32" s="15">
        <v>0.03</v>
      </c>
      <c r="S32" s="112"/>
      <c r="T32" s="24">
        <f t="shared" ref="T32:T34" si="277">M32*R32</f>
        <v>424.34999999999997</v>
      </c>
      <c r="U32" s="25">
        <v>0.20100000000000001</v>
      </c>
      <c r="V32" s="24">
        <f t="shared" ref="V32:V34" si="278">M32*U32</f>
        <v>2843.145</v>
      </c>
      <c r="W32" s="15">
        <v>0.496</v>
      </c>
      <c r="X32" s="24">
        <f t="shared" ref="X32:X34" si="279">M32*W32</f>
        <v>7015.92</v>
      </c>
      <c r="Y32" s="15">
        <v>0.4</v>
      </c>
      <c r="Z32" s="24">
        <f t="shared" ref="Z32:Z34" si="280">Y32*M32</f>
        <v>5658</v>
      </c>
      <c r="AA32" s="116">
        <v>2.64E-3</v>
      </c>
      <c r="AB32" s="18">
        <f t="shared" ref="AB32" si="281">M32*AA32</f>
        <v>37.342799999999997</v>
      </c>
      <c r="AC32" s="16">
        <v>2.63E-3</v>
      </c>
      <c r="AD32" s="17">
        <f t="shared" ref="AD32:AD34" si="282">M32*AC32</f>
        <v>37.201349999999998</v>
      </c>
      <c r="AE32" s="26">
        <f>IF(M32&gt;0,(AG32+AP32)/M32,0)</f>
        <v>2.8532244326617178E-3</v>
      </c>
      <c r="AF32" s="16">
        <v>2.0000000000000001E-4</v>
      </c>
      <c r="AG32" s="23">
        <f t="shared" ref="AG32:AG34" si="283">AF32*M32</f>
        <v>2.8290000000000002</v>
      </c>
      <c r="AH32" s="92">
        <v>0.2208</v>
      </c>
      <c r="AI32" s="29">
        <f t="shared" ref="AI32:AI34" si="284">AL32*(1-AM32)*AH32</f>
        <v>37.093075200000001</v>
      </c>
      <c r="AJ32" s="27">
        <f t="shared" ref="AJ32:AJ34" si="285">IF(AND(AH32&gt;0,AF32&gt;0,AC32&gt;0),((AC32-AF32)*AH32)/((AH32-AF32)*AC32),0)</f>
        <v>0.92479204657880842</v>
      </c>
      <c r="AK32" s="58">
        <f t="shared" si="6"/>
        <v>0.93073711395085135</v>
      </c>
      <c r="AL32" s="11">
        <v>183</v>
      </c>
      <c r="AM32" s="13">
        <v>8.2000000000000003E-2</v>
      </c>
      <c r="AN32" s="14">
        <v>0.22339999999999999</v>
      </c>
      <c r="AO32" s="101">
        <v>0.21579999999999999</v>
      </c>
      <c r="AP32" s="29">
        <f>AL32*(1-AM32)*AN32</f>
        <v>37.529859599999995</v>
      </c>
      <c r="AQ32" s="102">
        <f t="shared" ref="AQ32" si="286">AL32*(1-AM32)*AO32</f>
        <v>36.2531052</v>
      </c>
      <c r="AR32" s="18">
        <v>1.56</v>
      </c>
      <c r="AS32" s="18">
        <v>1099.02</v>
      </c>
      <c r="AT32" s="79">
        <f>AT30+AL32-AS32</f>
        <v>1952.3199999999993</v>
      </c>
      <c r="AU32" s="80"/>
      <c r="AV32" s="11"/>
      <c r="AW32" s="30"/>
      <c r="AX32" s="19"/>
      <c r="AY32" s="19"/>
      <c r="AZ32" s="19"/>
      <c r="BA32" s="19"/>
      <c r="BB32" s="31"/>
    </row>
    <row r="33" spans="1:54">
      <c r="A33" s="147"/>
      <c r="B33" s="32">
        <v>2</v>
      </c>
      <c r="C33" s="10" t="s">
        <v>53</v>
      </c>
      <c r="D33" s="33">
        <v>19500</v>
      </c>
      <c r="E33" s="33">
        <v>4</v>
      </c>
      <c r="F33" s="33">
        <v>17513</v>
      </c>
      <c r="G33" s="34">
        <v>0.3</v>
      </c>
      <c r="H33" s="34">
        <v>3.8</v>
      </c>
      <c r="I33" s="33">
        <v>17331</v>
      </c>
      <c r="J33" s="34">
        <v>1.6</v>
      </c>
      <c r="K33" s="33">
        <v>15540</v>
      </c>
      <c r="L33" s="35">
        <v>6.5000000000000002E-2</v>
      </c>
      <c r="M33" s="36">
        <f>ROUND(K33*(1-L33),0)</f>
        <v>14530</v>
      </c>
      <c r="N33" s="37">
        <v>0.80100000000000005</v>
      </c>
      <c r="O33" s="24">
        <f t="shared" si="275"/>
        <v>11638.53</v>
      </c>
      <c r="P33" s="35">
        <v>0.19</v>
      </c>
      <c r="Q33" s="24">
        <f t="shared" si="276"/>
        <v>2760.7</v>
      </c>
      <c r="R33" s="38">
        <v>8.9999999999999993E-3</v>
      </c>
      <c r="S33" s="105"/>
      <c r="T33" s="24">
        <f t="shared" si="277"/>
        <v>130.76999999999998</v>
      </c>
      <c r="U33" s="27">
        <v>0.19700000000000001</v>
      </c>
      <c r="V33" s="24">
        <f t="shared" si="278"/>
        <v>2862.4100000000003</v>
      </c>
      <c r="W33" s="38">
        <v>0.497</v>
      </c>
      <c r="X33" s="24">
        <f t="shared" si="279"/>
        <v>7221.41</v>
      </c>
      <c r="Y33" s="38">
        <v>0.4</v>
      </c>
      <c r="Z33" s="24">
        <f t="shared" si="280"/>
        <v>5812</v>
      </c>
      <c r="AA33" s="117">
        <v>2.5699999999999998E-3</v>
      </c>
      <c r="AB33" s="18">
        <f t="shared" si="61"/>
        <v>37.342099999999995</v>
      </c>
      <c r="AC33" s="39">
        <v>2.6900000000000001E-3</v>
      </c>
      <c r="AD33" s="17">
        <f t="shared" si="282"/>
        <v>39.085700000000003</v>
      </c>
      <c r="AE33" s="26">
        <f>IF(M33&gt;0,(AG33+AP33)/M33,0)</f>
        <v>2.7361992360633168E-3</v>
      </c>
      <c r="AF33" s="39">
        <v>1.9000000000000001E-4</v>
      </c>
      <c r="AG33" s="36">
        <f t="shared" si="283"/>
        <v>2.7606999999999999</v>
      </c>
      <c r="AH33" s="27">
        <v>0.22309999999999999</v>
      </c>
      <c r="AI33" s="40">
        <f t="shared" si="284"/>
        <v>36.700173100000001</v>
      </c>
      <c r="AJ33" s="27">
        <f t="shared" si="285"/>
        <v>0.93016018767639053</v>
      </c>
      <c r="AK33" s="28">
        <f t="shared" si="6"/>
        <v>0.93134743300938239</v>
      </c>
      <c r="AL33" s="33">
        <v>179</v>
      </c>
      <c r="AM33" s="35">
        <v>8.1000000000000003E-2</v>
      </c>
      <c r="AN33" s="37">
        <v>0.22489999999999999</v>
      </c>
      <c r="AO33" s="103">
        <v>0.21809999999999999</v>
      </c>
      <c r="AP33" s="40">
        <f>AL33*(1-AM33)*AN33</f>
        <v>36.996274899999996</v>
      </c>
      <c r="AQ33" s="104">
        <f t="shared" si="21"/>
        <v>35.877668100000001</v>
      </c>
      <c r="AR33" s="41">
        <v>1.6</v>
      </c>
      <c r="AS33" s="41"/>
      <c r="AT33" s="129">
        <f>AT32+AL33-AS33</f>
        <v>2131.3199999999993</v>
      </c>
      <c r="AU33" s="82"/>
      <c r="AV33" s="42"/>
      <c r="AW33" s="43"/>
      <c r="AX33" s="44"/>
      <c r="AY33" s="44"/>
      <c r="AZ33" s="44"/>
      <c r="BA33" s="44"/>
      <c r="BB33" s="31"/>
    </row>
    <row r="34" spans="1:54">
      <c r="A34" s="147"/>
      <c r="B34" s="32">
        <v>3</v>
      </c>
      <c r="C34" s="143" t="s">
        <v>54</v>
      </c>
      <c r="D34" s="42">
        <v>21760</v>
      </c>
      <c r="E34" s="42">
        <v>1</v>
      </c>
      <c r="F34" s="42">
        <v>14373</v>
      </c>
      <c r="G34" s="36">
        <v>0.2</v>
      </c>
      <c r="H34" s="36">
        <v>4.8</v>
      </c>
      <c r="I34" s="42">
        <v>13958</v>
      </c>
      <c r="J34" s="36">
        <v>1.5</v>
      </c>
      <c r="K34" s="42">
        <v>15535</v>
      </c>
      <c r="L34" s="38">
        <v>6.9000000000000006E-2</v>
      </c>
      <c r="M34" s="36">
        <f>ROUND(K34*(1-L34),0)</f>
        <v>14463</v>
      </c>
      <c r="N34" s="27">
        <v>0.66500000000000004</v>
      </c>
      <c r="O34" s="24">
        <f t="shared" si="275"/>
        <v>9617.8950000000004</v>
      </c>
      <c r="P34" s="38">
        <v>0.307</v>
      </c>
      <c r="Q34" s="24">
        <f t="shared" si="276"/>
        <v>4440.1409999999996</v>
      </c>
      <c r="R34" s="38">
        <v>2.8000000000000001E-2</v>
      </c>
      <c r="S34" s="105"/>
      <c r="T34" s="24">
        <f t="shared" si="277"/>
        <v>404.964</v>
      </c>
      <c r="U34" s="27">
        <v>0.19900000000000001</v>
      </c>
      <c r="V34" s="24">
        <f t="shared" si="278"/>
        <v>2878.1370000000002</v>
      </c>
      <c r="W34" s="38">
        <v>0.50700000000000001</v>
      </c>
      <c r="X34" s="24">
        <f t="shared" si="279"/>
        <v>7332.741</v>
      </c>
      <c r="Y34" s="38">
        <v>0.41</v>
      </c>
      <c r="Z34" s="24">
        <f t="shared" si="280"/>
        <v>5929.83</v>
      </c>
      <c r="AA34" s="118">
        <v>2.5500000000000002E-3</v>
      </c>
      <c r="AB34" s="121">
        <f t="shared" si="61"/>
        <v>36.880650000000003</v>
      </c>
      <c r="AC34" s="45">
        <v>2.6199999999999999E-3</v>
      </c>
      <c r="AD34" s="17">
        <f t="shared" si="282"/>
        <v>37.893059999999998</v>
      </c>
      <c r="AE34" s="26">
        <f>IF(M34&gt;0,(AG34+AP34)/M34,0)</f>
        <v>2.6899875406208953E-3</v>
      </c>
      <c r="AF34" s="45">
        <v>1.9000000000000001E-4</v>
      </c>
      <c r="AG34" s="36">
        <f t="shared" si="283"/>
        <v>2.74797</v>
      </c>
      <c r="AH34" s="27">
        <v>0.2243</v>
      </c>
      <c r="AI34" s="40">
        <f t="shared" si="284"/>
        <v>36.897574300000002</v>
      </c>
      <c r="AJ34" s="27">
        <f t="shared" si="285"/>
        <v>0.92826723245570852</v>
      </c>
      <c r="AK34" s="28">
        <f t="shared" si="6"/>
        <v>0.93017176371360821</v>
      </c>
      <c r="AL34" s="42">
        <v>179</v>
      </c>
      <c r="AM34" s="38">
        <v>8.1000000000000003E-2</v>
      </c>
      <c r="AN34" s="27">
        <v>0.2198</v>
      </c>
      <c r="AO34" s="105">
        <v>0.21490000000000001</v>
      </c>
      <c r="AP34" s="40">
        <f>AL34*(1-AM34)*AN34</f>
        <v>36.157319800000003</v>
      </c>
      <c r="AQ34" s="106">
        <f t="shared" si="21"/>
        <v>35.351264900000004</v>
      </c>
      <c r="AR34" s="17">
        <v>1.54</v>
      </c>
      <c r="AS34" s="17"/>
      <c r="AT34" s="129">
        <f>AT33+AL34-AS34</f>
        <v>2310.3199999999993</v>
      </c>
      <c r="AU34" s="82"/>
      <c r="AV34" s="42"/>
      <c r="AW34" s="46"/>
      <c r="AX34" s="40"/>
      <c r="AY34" s="40"/>
      <c r="AZ34" s="40"/>
      <c r="BA34" s="40"/>
      <c r="BB34" s="31"/>
    </row>
    <row r="35" spans="1:54">
      <c r="A35" s="148"/>
      <c r="B35" s="47" t="s">
        <v>56</v>
      </c>
      <c r="C35" s="48"/>
      <c r="D35" s="49">
        <f t="shared" ref="D35" si="287">SUM(D32:D34)</f>
        <v>47860</v>
      </c>
      <c r="E35" s="49"/>
      <c r="F35" s="49">
        <f t="shared" ref="F35" si="288">SUM(F32:F34)</f>
        <v>43923</v>
      </c>
      <c r="G35" s="50"/>
      <c r="H35" s="50"/>
      <c r="I35" s="49">
        <f t="shared" ref="I35:K35" si="289">SUM(I32:I34)</f>
        <v>43301</v>
      </c>
      <c r="J35" s="50"/>
      <c r="K35" s="49">
        <f t="shared" si="289"/>
        <v>46350</v>
      </c>
      <c r="L35" s="20">
        <f t="shared" ref="L35" si="290">IF(K35&gt;0,(K32*L32+K33*L33+K34*L34)/K35,0)</f>
        <v>6.93066882416397E-2</v>
      </c>
      <c r="M35" s="50">
        <f t="shared" ref="M35" si="291">M32+M33+M34</f>
        <v>43138</v>
      </c>
      <c r="N35" s="51">
        <f t="shared" ref="N35" si="292">IF(M35&gt;0,O35/M35,0)</f>
        <v>0.7396636376280773</v>
      </c>
      <c r="O35" s="52">
        <f t="shared" ref="O35" si="293">O32+O33+O34</f>
        <v>31907.61</v>
      </c>
      <c r="P35" s="20">
        <f t="shared" ref="P35" si="294">IF(M35&gt;0,Q35/M35,0)</f>
        <v>0.23808025406833883</v>
      </c>
      <c r="Q35" s="52">
        <f t="shared" ref="Q35" si="295">Q32+Q33+Q34</f>
        <v>10270.306</v>
      </c>
      <c r="R35" s="20">
        <f t="shared" ref="R35" si="296">IF(M35&gt;0,T35/M35,0)</f>
        <v>2.2256108303583842E-2</v>
      </c>
      <c r="S35" s="107"/>
      <c r="T35" s="52">
        <f t="shared" ref="T35" si="297">T32+T33+T34</f>
        <v>960.08399999999983</v>
      </c>
      <c r="U35" s="20">
        <f t="shared" ref="U35" si="298">IF(M35&gt;0,V35/M35,0)</f>
        <v>0.19898215030831287</v>
      </c>
      <c r="V35" s="52">
        <f t="shared" ref="V35" si="299">V32+V33+V34</f>
        <v>8583.6920000000009</v>
      </c>
      <c r="W35" s="20">
        <f t="shared" ref="W35" si="300">IF(M35&gt;0,X35/M35,0)</f>
        <v>0.50002482729843756</v>
      </c>
      <c r="X35" s="52">
        <f t="shared" ref="X35" si="301">X32+X33+X34</f>
        <v>21570.071</v>
      </c>
      <c r="Y35" s="20">
        <f t="shared" ref="Y35" si="302">IF(M35&gt;0,Z35/M35,0)</f>
        <v>0.40335272845287223</v>
      </c>
      <c r="Z35" s="52">
        <f t="shared" ref="Z35" si="303">Z32+Z33+Z34</f>
        <v>17399.830000000002</v>
      </c>
      <c r="AA35" s="119">
        <f t="shared" ref="AA35" si="304">IF(M35&gt;0,AB35/M35,0)</f>
        <v>2.5862476239046782E-3</v>
      </c>
      <c r="AB35" s="54">
        <f t="shared" ref="AB35" si="305">SUM(AB32:AB34)</f>
        <v>111.56555</v>
      </c>
      <c r="AC35" s="53">
        <f t="shared" ref="AC35" si="306">IF(M35&gt;0,AD35/M35,0)</f>
        <v>2.6468568315638182E-3</v>
      </c>
      <c r="AD35" s="54">
        <f t="shared" ref="AD35" si="307">SUM(AD32:AD34)</f>
        <v>114.18010999999998</v>
      </c>
      <c r="AE35" s="53">
        <f t="shared" ref="AE35" si="308">IF(M35&gt;0,(AE32*M32+AE33*M33+AE34*M34)/M35,0)</f>
        <v>2.7590784065093421E-3</v>
      </c>
      <c r="AF35" s="53">
        <f t="shared" ref="AF35" si="309">IF(K35&gt;0,(K32*AF32+K33*AF33+K34*AF34)/K35,0)</f>
        <v>1.932955771305286E-4</v>
      </c>
      <c r="AG35" s="50">
        <f t="shared" ref="AG35" si="310">SUM(AG32:AG34)</f>
        <v>8.337670000000001</v>
      </c>
      <c r="AH35" s="51">
        <f t="shared" ref="AH35" si="311">IF(K35&gt;0,(K32*AH32+K33*AH33+K34*AH34)/K35,0)</f>
        <v>0.22274421790722762</v>
      </c>
      <c r="AI35" s="56">
        <f t="shared" ref="AI35" si="312">SUM(AI32:AI34)</f>
        <v>110.6908226</v>
      </c>
      <c r="AJ35" s="51">
        <f t="shared" ref="AJ35" si="313">IF(AND(AD35&gt;0),((AD32*AJ32+AD33*AJ33+AD34*AJ34)/AD35),0)</f>
        <v>0.92778296136635141</v>
      </c>
      <c r="AK35" s="55">
        <f t="shared" si="6"/>
        <v>0.93074984820359041</v>
      </c>
      <c r="AL35" s="49">
        <f t="shared" ref="AL35" si="314">SUM(AL32:AL34)</f>
        <v>541</v>
      </c>
      <c r="AM35" s="20">
        <f t="shared" ref="AM35" si="315">IF(AL35&gt;0,(AM32*AL32+AM33*AL33+AM34*AL34)/AL35,0)</f>
        <v>8.1338262476894643E-2</v>
      </c>
      <c r="AN35" s="51">
        <f>IF(K35&gt;0,(AN32*K32+AN33*K33+AN34*K34)/K35,0)</f>
        <v>0.22269631067961163</v>
      </c>
      <c r="AO35" s="107">
        <f>IF(L35&gt;0,(AO32*K32+AO33*K33+AO34*K34)/K35,0)</f>
        <v>0.21626948220064726</v>
      </c>
      <c r="AP35" s="56">
        <f t="shared" ref="AP35" si="316">SUM(AP32:AP34)</f>
        <v>110.68345429999999</v>
      </c>
      <c r="AQ35" s="108">
        <f t="shared" si="228"/>
        <v>107.48203820000001</v>
      </c>
      <c r="AR35" s="54"/>
      <c r="AS35" s="54">
        <f t="shared" ref="AS35" si="317">SUM(AS32:AS34)</f>
        <v>1099.02</v>
      </c>
      <c r="AT35" s="83"/>
      <c r="AU35" s="84">
        <f>AT34</f>
        <v>2310.3199999999993</v>
      </c>
      <c r="AV35" s="49">
        <f t="shared" ref="AV35" si="318">SUM(AV32:AV34)</f>
        <v>0</v>
      </c>
      <c r="AW35" s="57"/>
      <c r="AX35" s="56"/>
      <c r="AY35" s="56"/>
      <c r="AZ35" s="56"/>
      <c r="BA35" s="56"/>
      <c r="BB35" s="21"/>
    </row>
    <row r="36" spans="1:54">
      <c r="A36" s="146">
        <v>9</v>
      </c>
      <c r="B36" s="22">
        <v>1</v>
      </c>
      <c r="C36" s="10" t="s">
        <v>55</v>
      </c>
      <c r="D36" s="11">
        <v>5200</v>
      </c>
      <c r="E36" s="11">
        <v>0</v>
      </c>
      <c r="F36" s="11">
        <v>9104</v>
      </c>
      <c r="G36" s="12">
        <v>0.5</v>
      </c>
      <c r="H36" s="12">
        <v>4.9000000000000004</v>
      </c>
      <c r="I36" s="11">
        <v>9712</v>
      </c>
      <c r="J36" s="12">
        <v>4.4000000000000004</v>
      </c>
      <c r="K36" s="11">
        <v>15558</v>
      </c>
      <c r="L36" s="13">
        <v>7.4999999999999997E-2</v>
      </c>
      <c r="M36" s="23">
        <f>ROUND(K36*(1-L36),0)</f>
        <v>14391</v>
      </c>
      <c r="N36" s="14">
        <v>0.75900000000000001</v>
      </c>
      <c r="O36" s="24">
        <f t="shared" ref="O36:O38" si="319">M36*N36</f>
        <v>10922.769</v>
      </c>
      <c r="P36" s="13">
        <v>0.217</v>
      </c>
      <c r="Q36" s="24">
        <f t="shared" ref="Q36:Q38" si="320">M36*P36</f>
        <v>3122.8469999999998</v>
      </c>
      <c r="R36" s="15">
        <v>2.4E-2</v>
      </c>
      <c r="S36" s="112"/>
      <c r="T36" s="24">
        <f t="shared" ref="T36:T38" si="321">M36*R36</f>
        <v>345.38400000000001</v>
      </c>
      <c r="U36" s="25">
        <v>0.19</v>
      </c>
      <c r="V36" s="24">
        <f t="shared" ref="V36:V38" si="322">M36*U36</f>
        <v>2734.29</v>
      </c>
      <c r="W36" s="15">
        <v>0.51400000000000001</v>
      </c>
      <c r="X36" s="24">
        <f t="shared" ref="X36:X38" si="323">M36*W36</f>
        <v>7396.9740000000002</v>
      </c>
      <c r="Y36" s="15">
        <v>0.4</v>
      </c>
      <c r="Z36" s="24">
        <f t="shared" ref="Z36:Z38" si="324">Y36*M36</f>
        <v>5756.4000000000005</v>
      </c>
      <c r="AA36" s="116">
        <v>2.5699999999999998E-3</v>
      </c>
      <c r="AB36" s="18">
        <f t="shared" ref="AB36" si="325">M36*AA36</f>
        <v>36.984869999999994</v>
      </c>
      <c r="AC36" s="16">
        <v>2.5300000000000001E-3</v>
      </c>
      <c r="AD36" s="17">
        <f t="shared" ref="AD36:AD38" si="326">M36*AC36</f>
        <v>36.409230000000001</v>
      </c>
      <c r="AE36" s="26">
        <f>IF(M36&gt;0,(AG36+AP36)/M36,0)</f>
        <v>2.7273553679382947E-3</v>
      </c>
      <c r="AF36" s="16">
        <v>2.0000000000000001E-4</v>
      </c>
      <c r="AG36" s="23">
        <f t="shared" ref="AG36:AG38" si="327">AF36*M36</f>
        <v>2.8782000000000001</v>
      </c>
      <c r="AH36" s="92">
        <v>0.21909999999999999</v>
      </c>
      <c r="AI36" s="29">
        <f t="shared" ref="AI36:AI38" si="328">AL36*(1-AM36)*AH36</f>
        <v>36.042169100000002</v>
      </c>
      <c r="AJ36" s="27">
        <f t="shared" ref="AJ36:AJ38" si="329">IF(AND(AH36&gt;0,AF36&gt;0,AC36&gt;0),((AC36-AF36)*AH36)/((AH36-AF36)*AC36),0)</f>
        <v>0.92179004978178702</v>
      </c>
      <c r="AK36" s="58">
        <f t="shared" si="6"/>
        <v>0.92750788272923734</v>
      </c>
      <c r="AL36" s="11">
        <v>179</v>
      </c>
      <c r="AM36" s="13">
        <v>8.1000000000000003E-2</v>
      </c>
      <c r="AN36" s="14">
        <v>0.22109999999999999</v>
      </c>
      <c r="AO36" s="101">
        <v>0.21329999999999999</v>
      </c>
      <c r="AP36" s="29">
        <f>AL36*(1-AM36)*AN36</f>
        <v>36.371171099999998</v>
      </c>
      <c r="AQ36" s="102">
        <f t="shared" ref="AQ36" si="330">AL36*(1-AM36)*AO36</f>
        <v>35.088063300000002</v>
      </c>
      <c r="AR36" s="18">
        <v>1.56</v>
      </c>
      <c r="AS36" s="18">
        <v>1110.04</v>
      </c>
      <c r="AT36" s="79">
        <f>AT34+AL36-AS36</f>
        <v>1379.2799999999993</v>
      </c>
      <c r="AU36" s="80"/>
      <c r="AV36" s="11"/>
      <c r="AW36" s="30"/>
      <c r="AX36" s="19"/>
      <c r="AY36" s="19"/>
      <c r="AZ36" s="19"/>
      <c r="BA36" s="19"/>
      <c r="BB36" s="31"/>
    </row>
    <row r="37" spans="1:54">
      <c r="A37" s="147"/>
      <c r="B37" s="32">
        <v>2</v>
      </c>
      <c r="C37" s="10" t="s">
        <v>57</v>
      </c>
      <c r="D37" s="33">
        <v>18400</v>
      </c>
      <c r="E37" s="33">
        <v>2</v>
      </c>
      <c r="F37" s="33">
        <v>16095</v>
      </c>
      <c r="G37" s="34">
        <v>0.6</v>
      </c>
      <c r="H37" s="34">
        <v>4</v>
      </c>
      <c r="I37" s="33">
        <v>16086</v>
      </c>
      <c r="J37" s="34">
        <v>3.7</v>
      </c>
      <c r="K37" s="33">
        <v>16127</v>
      </c>
      <c r="L37" s="35">
        <v>7.2999999999999995E-2</v>
      </c>
      <c r="M37" s="36">
        <f>ROUND(K37*(1-L37),0)</f>
        <v>14950</v>
      </c>
      <c r="N37" s="37">
        <v>0.71499999999999997</v>
      </c>
      <c r="O37" s="24">
        <f t="shared" si="319"/>
        <v>10689.25</v>
      </c>
      <c r="P37" s="35">
        <v>0.252</v>
      </c>
      <c r="Q37" s="24">
        <f t="shared" si="320"/>
        <v>3767.4</v>
      </c>
      <c r="R37" s="38">
        <v>3.3000000000000002E-2</v>
      </c>
      <c r="S37" s="105"/>
      <c r="T37" s="24">
        <f t="shared" si="321"/>
        <v>493.35</v>
      </c>
      <c r="U37" s="27">
        <v>0.21299999999999999</v>
      </c>
      <c r="V37" s="24">
        <f t="shared" si="322"/>
        <v>3184.35</v>
      </c>
      <c r="W37" s="38">
        <v>0.495</v>
      </c>
      <c r="X37" s="24">
        <f t="shared" si="323"/>
        <v>7400.25</v>
      </c>
      <c r="Y37" s="38">
        <v>0.41</v>
      </c>
      <c r="Z37" s="24">
        <f t="shared" si="324"/>
        <v>6129.5</v>
      </c>
      <c r="AA37" s="117">
        <v>2.65E-3</v>
      </c>
      <c r="AB37" s="18">
        <f t="shared" si="61"/>
        <v>39.6175</v>
      </c>
      <c r="AC37" s="39">
        <v>2.6900000000000001E-3</v>
      </c>
      <c r="AD37" s="17">
        <f t="shared" si="326"/>
        <v>40.215499999999999</v>
      </c>
      <c r="AE37" s="26">
        <f>IF(M37&gt;0,(AG37+AP37)/M37,0)</f>
        <v>2.5889375384615383E-3</v>
      </c>
      <c r="AF37" s="39">
        <v>2.1000000000000001E-4</v>
      </c>
      <c r="AG37" s="36">
        <f t="shared" si="327"/>
        <v>3.1395</v>
      </c>
      <c r="AH37" s="27">
        <v>0.2248</v>
      </c>
      <c r="AI37" s="40">
        <f t="shared" si="328"/>
        <v>36.979824800000003</v>
      </c>
      <c r="AJ37" s="27">
        <f t="shared" si="329"/>
        <v>0.92279512721322343</v>
      </c>
      <c r="AK37" s="28">
        <f t="shared" si="6"/>
        <v>0.91977904685115552</v>
      </c>
      <c r="AL37" s="33">
        <v>179</v>
      </c>
      <c r="AM37" s="35">
        <v>8.1000000000000003E-2</v>
      </c>
      <c r="AN37" s="37">
        <v>0.2162</v>
      </c>
      <c r="AO37" s="103">
        <v>0.20960000000000001</v>
      </c>
      <c r="AP37" s="40">
        <f>AL37*(1-AM37)*AN37</f>
        <v>35.565116199999999</v>
      </c>
      <c r="AQ37" s="104">
        <f t="shared" si="21"/>
        <v>34.479409600000004</v>
      </c>
      <c r="AR37" s="41">
        <v>1.55</v>
      </c>
      <c r="AS37" s="41"/>
      <c r="AT37" s="129">
        <f>AT36+AL37-AS37</f>
        <v>1558.2799999999993</v>
      </c>
      <c r="AU37" s="82"/>
      <c r="AV37" s="42"/>
      <c r="AW37" s="43"/>
      <c r="AX37" s="44"/>
      <c r="AY37" s="44"/>
      <c r="AZ37" s="44"/>
      <c r="BA37" s="44"/>
      <c r="BB37" s="31"/>
    </row>
    <row r="38" spans="1:54">
      <c r="A38" s="147"/>
      <c r="B38" s="32">
        <v>3</v>
      </c>
      <c r="C38" s="143" t="s">
        <v>54</v>
      </c>
      <c r="D38" s="42">
        <v>14473</v>
      </c>
      <c r="E38" s="42">
        <v>0</v>
      </c>
      <c r="F38" s="42">
        <v>13522</v>
      </c>
      <c r="G38" s="36">
        <v>0.2</v>
      </c>
      <c r="H38" s="36">
        <v>5.3</v>
      </c>
      <c r="I38" s="42">
        <v>13554</v>
      </c>
      <c r="J38" s="36">
        <v>4</v>
      </c>
      <c r="K38" s="42">
        <v>16133</v>
      </c>
      <c r="L38" s="38">
        <v>6.9000000000000006E-2</v>
      </c>
      <c r="M38" s="36">
        <f>ROUND(K38*(1-L38),0)</f>
        <v>15020</v>
      </c>
      <c r="N38" s="27">
        <v>0.63300000000000001</v>
      </c>
      <c r="O38" s="24">
        <f t="shared" si="319"/>
        <v>9507.66</v>
      </c>
      <c r="P38" s="38">
        <v>0.32600000000000001</v>
      </c>
      <c r="Q38" s="24">
        <f t="shared" si="320"/>
        <v>4896.5200000000004</v>
      </c>
      <c r="R38" s="38">
        <v>4.1000000000000002E-2</v>
      </c>
      <c r="S38" s="105"/>
      <c r="T38" s="24">
        <f t="shared" si="321"/>
        <v>615.82000000000005</v>
      </c>
      <c r="U38" s="27">
        <v>0.20699999999999999</v>
      </c>
      <c r="V38" s="24">
        <f t="shared" si="322"/>
        <v>3109.14</v>
      </c>
      <c r="W38" s="38">
        <v>0.501</v>
      </c>
      <c r="X38" s="24">
        <f t="shared" si="323"/>
        <v>7525.02</v>
      </c>
      <c r="Y38" s="38">
        <v>0.41</v>
      </c>
      <c r="Z38" s="24">
        <f t="shared" si="324"/>
        <v>6158.2</v>
      </c>
      <c r="AA38" s="118">
        <v>2.8400000000000001E-3</v>
      </c>
      <c r="AB38" s="121">
        <f t="shared" si="61"/>
        <v>42.656800000000004</v>
      </c>
      <c r="AC38" s="45">
        <v>2.8999999999999998E-3</v>
      </c>
      <c r="AD38" s="17">
        <f t="shared" si="326"/>
        <v>43.558</v>
      </c>
      <c r="AE38" s="26">
        <f>IF(M38&gt;0,(AG38+AP38)/M38,0)</f>
        <v>3.0193654327563255E-3</v>
      </c>
      <c r="AF38" s="45">
        <v>2.1000000000000001E-4</v>
      </c>
      <c r="AG38" s="36">
        <f t="shared" si="327"/>
        <v>3.1542000000000003</v>
      </c>
      <c r="AH38" s="27">
        <v>0.22500000000000001</v>
      </c>
      <c r="AI38" s="40">
        <f t="shared" si="328"/>
        <v>41.495850000000004</v>
      </c>
      <c r="AJ38" s="27">
        <f t="shared" si="329"/>
        <v>0.9284527628085063</v>
      </c>
      <c r="AK38" s="28">
        <f t="shared" si="6"/>
        <v>0.93130374251618564</v>
      </c>
      <c r="AL38" s="42">
        <v>202</v>
      </c>
      <c r="AM38" s="38">
        <v>8.6999999999999994E-2</v>
      </c>
      <c r="AN38" s="27">
        <v>0.2288</v>
      </c>
      <c r="AO38" s="105">
        <v>0.2215</v>
      </c>
      <c r="AP38" s="40">
        <f>AL38*(1-AM38)*AN38</f>
        <v>42.196668800000005</v>
      </c>
      <c r="AQ38" s="106">
        <f t="shared" si="21"/>
        <v>40.850359000000005</v>
      </c>
      <c r="AR38" s="17">
        <v>1.58</v>
      </c>
      <c r="AS38" s="17"/>
      <c r="AT38" s="129">
        <f>AT37+AL38-AS38</f>
        <v>1760.2799999999993</v>
      </c>
      <c r="AU38" s="82"/>
      <c r="AV38" s="42"/>
      <c r="AW38" s="46"/>
      <c r="AX38" s="40"/>
      <c r="AY38" s="40"/>
      <c r="AZ38" s="40"/>
      <c r="BA38" s="40"/>
      <c r="BB38" s="31"/>
    </row>
    <row r="39" spans="1:54">
      <c r="A39" s="148"/>
      <c r="B39" s="47" t="s">
        <v>56</v>
      </c>
      <c r="C39" s="48"/>
      <c r="D39" s="49">
        <f t="shared" ref="D39" si="331">SUM(D36:D38)</f>
        <v>38073</v>
      </c>
      <c r="E39" s="49"/>
      <c r="F39" s="49">
        <f t="shared" ref="F39" si="332">SUM(F36:F38)</f>
        <v>38721</v>
      </c>
      <c r="G39" s="50"/>
      <c r="H39" s="50"/>
      <c r="I39" s="49">
        <f t="shared" ref="I39:K39" si="333">SUM(I36:I38)</f>
        <v>39352</v>
      </c>
      <c r="J39" s="50"/>
      <c r="K39" s="49">
        <f t="shared" si="333"/>
        <v>47818</v>
      </c>
      <c r="L39" s="20">
        <f t="shared" ref="L39" si="334">IF(K39&gt;0,(K36*L36+K37*L37+K38*L38)/K39,0)</f>
        <v>7.2301183654690709E-2</v>
      </c>
      <c r="M39" s="50">
        <f t="shared" ref="M39" si="335">M36+M37+M38</f>
        <v>44361</v>
      </c>
      <c r="N39" s="51">
        <f t="shared" ref="N39" si="336">IF(M39&gt;0,O39/M39,0)</f>
        <v>0.70150986226640522</v>
      </c>
      <c r="O39" s="52">
        <f t="shared" ref="O39" si="337">O36+O37+O38</f>
        <v>31119.679</v>
      </c>
      <c r="P39" s="20">
        <f t="shared" ref="P39" si="338">IF(M39&gt;0,Q39/M39,0)</f>
        <v>0.26570111133653435</v>
      </c>
      <c r="Q39" s="52">
        <f t="shared" ref="Q39" si="339">Q36+Q37+Q38</f>
        <v>11786.767</v>
      </c>
      <c r="R39" s="20">
        <f t="shared" ref="R39" si="340">IF(M39&gt;0,T39/M39,0)</f>
        <v>3.2789026397060481E-2</v>
      </c>
      <c r="S39" s="107"/>
      <c r="T39" s="52">
        <f t="shared" ref="T39" si="341">T36+T37+T38</f>
        <v>1454.5540000000001</v>
      </c>
      <c r="U39" s="20">
        <f t="shared" ref="U39" si="342">IF(M39&gt;0,V39/M39,0)</f>
        <v>0.20350713464529652</v>
      </c>
      <c r="V39" s="52">
        <f t="shared" ref="V39" si="343">V36+V37+V38</f>
        <v>9027.7799999999988</v>
      </c>
      <c r="W39" s="20">
        <f t="shared" ref="W39" si="344">IF(M39&gt;0,X39/M39,0)</f>
        <v>0.50319523906133767</v>
      </c>
      <c r="X39" s="52">
        <f t="shared" ref="X39" si="345">X36+X37+X38</f>
        <v>22322.243999999999</v>
      </c>
      <c r="Y39" s="20">
        <f t="shared" ref="Y39" si="346">IF(M39&gt;0,Z39/M39,0)</f>
        <v>0.40675593426658557</v>
      </c>
      <c r="Z39" s="52">
        <f t="shared" ref="Z39" si="347">Z36+Z37+Z38</f>
        <v>18044.100000000002</v>
      </c>
      <c r="AA39" s="119">
        <f t="shared" ref="AA39" si="348">IF(M39&gt;0,AB39/M39,0)</f>
        <v>2.6883787561146049E-3</v>
      </c>
      <c r="AB39" s="54">
        <f t="shared" ref="AB39" si="349">SUM(AB36:AB38)</f>
        <v>119.25917</v>
      </c>
      <c r="AC39" s="53">
        <f t="shared" ref="AC39" si="350">IF(M39&gt;0,AD39/M39,0)</f>
        <v>2.7091979441401228E-3</v>
      </c>
      <c r="AD39" s="54">
        <f t="shared" ref="AD39" si="351">SUM(AD36:AD38)</f>
        <v>120.18272999999999</v>
      </c>
      <c r="AE39" s="53">
        <f t="shared" ref="AE39" si="352">IF(M39&gt;0,(AE36*M36+AE37*M37+AE38*M38)/M39,0)</f>
        <v>2.7795779197944139E-3</v>
      </c>
      <c r="AF39" s="53">
        <f t="shared" ref="AF39" si="353">IF(K39&gt;0,(K36*AF36+K37*AF37+K38*AF38)/K39,0)</f>
        <v>2.0674641348446192E-4</v>
      </c>
      <c r="AG39" s="50">
        <f t="shared" ref="AG39" si="354">SUM(AG36:AG38)</f>
        <v>9.1719000000000008</v>
      </c>
      <c r="AH39" s="51">
        <f t="shared" ref="AH39" si="355">IF(K39&gt;0,(K36*AH36+K37*AH37+K38*AH38)/K39,0)</f>
        <v>0.22301293236856415</v>
      </c>
      <c r="AI39" s="56">
        <f t="shared" ref="AI39" si="356">SUM(AI36:AI38)</f>
        <v>114.51784390000002</v>
      </c>
      <c r="AJ39" s="51">
        <f t="shared" ref="AJ39" si="357">IF(AND(AD39&gt;0),((AD36*AJ36+AD37*AJ37+AD38*AJ38)/AD39),0)</f>
        <v>0.92454114509691077</v>
      </c>
      <c r="AK39" s="55">
        <f t="shared" si="6"/>
        <v>0.92648214122798866</v>
      </c>
      <c r="AL39" s="49">
        <f t="shared" ref="AL39" si="358">SUM(AL36:AL38)</f>
        <v>560</v>
      </c>
      <c r="AM39" s="20">
        <f t="shared" ref="AM39" si="359">IF(AL39&gt;0,(AM36*AL36+AM37*AL37+AM38*AL38)/AL39,0)</f>
        <v>8.3164285714285718E-2</v>
      </c>
      <c r="AN39" s="51">
        <f>IF(K39&gt;0,(AN36*K36+AN37*K37+AN38*K38)/K39,0)</f>
        <v>0.22204528838512694</v>
      </c>
      <c r="AO39" s="107">
        <f>IF(L39&gt;0,(AO36*K36+AO37*K37+AO38*K38)/K39,0)</f>
        <v>0.21481868961478937</v>
      </c>
      <c r="AP39" s="56">
        <f t="shared" ref="AP39" si="360">SUM(AP36:AP38)</f>
        <v>114.1329561</v>
      </c>
      <c r="AQ39" s="108">
        <f t="shared" si="228"/>
        <v>110.41783190000001</v>
      </c>
      <c r="AR39" s="54"/>
      <c r="AS39" s="54">
        <f t="shared" ref="AS39" si="361">SUM(AS36:AS38)</f>
        <v>1110.04</v>
      </c>
      <c r="AT39" s="83"/>
      <c r="AU39" s="84">
        <f>AT38</f>
        <v>1760.2799999999993</v>
      </c>
      <c r="AV39" s="49">
        <f t="shared" ref="AV39" si="362">SUM(AV36:AV38)</f>
        <v>0</v>
      </c>
      <c r="AW39" s="57"/>
      <c r="AX39" s="56"/>
      <c r="AY39" s="56"/>
      <c r="AZ39" s="56"/>
      <c r="BA39" s="56"/>
      <c r="BB39" s="21"/>
    </row>
    <row r="40" spans="1:54">
      <c r="A40" s="146">
        <v>10</v>
      </c>
      <c r="B40" s="22">
        <v>1</v>
      </c>
      <c r="C40" s="10" t="s">
        <v>55</v>
      </c>
      <c r="D40" s="11">
        <v>12400</v>
      </c>
      <c r="E40" s="11">
        <v>0</v>
      </c>
      <c r="F40" s="11">
        <v>14135</v>
      </c>
      <c r="G40" s="12">
        <v>0.5</v>
      </c>
      <c r="H40" s="12">
        <v>5.6</v>
      </c>
      <c r="I40" s="11">
        <v>14308</v>
      </c>
      <c r="J40" s="12">
        <v>5</v>
      </c>
      <c r="K40" s="11">
        <v>16156</v>
      </c>
      <c r="L40" s="13">
        <v>6.7000000000000004E-2</v>
      </c>
      <c r="M40" s="23">
        <f>ROUND(K40*(1-L40),0)</f>
        <v>15074</v>
      </c>
      <c r="N40" s="14">
        <v>0.61399999999999999</v>
      </c>
      <c r="O40" s="24">
        <f t="shared" ref="O40:O42" si="363">M40*N40</f>
        <v>9255.4359999999997</v>
      </c>
      <c r="P40" s="13">
        <v>0.32600000000000001</v>
      </c>
      <c r="Q40" s="24">
        <f t="shared" ref="Q40:Q42" si="364">M40*P40</f>
        <v>4914.1239999999998</v>
      </c>
      <c r="R40" s="15">
        <v>0.06</v>
      </c>
      <c r="S40" s="112"/>
      <c r="T40" s="24">
        <f t="shared" ref="T40:T42" si="365">M40*R40</f>
        <v>904.43999999999994</v>
      </c>
      <c r="U40" s="25">
        <v>0.20799999999999999</v>
      </c>
      <c r="V40" s="24">
        <f t="shared" ref="V40:V42" si="366">M40*U40</f>
        <v>3135.3919999999998</v>
      </c>
      <c r="W40" s="15">
        <v>0.50900000000000001</v>
      </c>
      <c r="X40" s="24">
        <f t="shared" ref="X40:X42" si="367">M40*W40</f>
        <v>7672.6660000000002</v>
      </c>
      <c r="Y40" s="15">
        <v>0.4</v>
      </c>
      <c r="Z40" s="24">
        <f t="shared" ref="Z40:Z42" si="368">Y40*M40</f>
        <v>6029.6</v>
      </c>
      <c r="AA40" s="116">
        <v>2.7699999999999999E-3</v>
      </c>
      <c r="AB40" s="18">
        <f t="shared" ref="AB40" si="369">M40*AA40</f>
        <v>41.754979999999996</v>
      </c>
      <c r="AC40" s="16">
        <v>2.81E-3</v>
      </c>
      <c r="AD40" s="17">
        <f t="shared" ref="AD40:AD42" si="370">M40*AC40</f>
        <v>42.357939999999999</v>
      </c>
      <c r="AE40" s="26">
        <f>IF(M40&gt;0,(AG40+AP40)/M40,0)</f>
        <v>3.0324940294546902E-3</v>
      </c>
      <c r="AF40" s="16">
        <v>2.2000000000000001E-4</v>
      </c>
      <c r="AG40" s="23">
        <f t="shared" ref="AG40:AG42" si="371">AF40*M40</f>
        <v>3.3162800000000003</v>
      </c>
      <c r="AH40" s="92">
        <v>0.2291</v>
      </c>
      <c r="AI40" s="29">
        <f t="shared" ref="AI40:AI42" si="372">AL40*(1-AM40)*AH40</f>
        <v>42.693701400000002</v>
      </c>
      <c r="AJ40" s="27">
        <f t="shared" ref="AJ40:AJ42" si="373">IF(AND(AH40&gt;0,AF40&gt;0,AC40&gt;0),((AC40-AF40)*AH40)/((AH40-AF40)*AC40),0)</f>
        <v>0.92259413315156202</v>
      </c>
      <c r="AK40" s="58">
        <f t="shared" si="6"/>
        <v>0.92835019927950646</v>
      </c>
      <c r="AL40" s="11">
        <v>203</v>
      </c>
      <c r="AM40" s="13">
        <v>8.2000000000000003E-2</v>
      </c>
      <c r="AN40" s="14">
        <v>0.22750000000000001</v>
      </c>
      <c r="AO40" s="101">
        <v>0.21859999999999999</v>
      </c>
      <c r="AP40" s="29">
        <f>AL40*(1-AM40)*AN40</f>
        <v>42.395535000000002</v>
      </c>
      <c r="AQ40" s="102">
        <f t="shared" ref="AQ40" si="374">AL40*(1-AM40)*AO40</f>
        <v>40.736984400000004</v>
      </c>
      <c r="AR40" s="18">
        <v>1.59</v>
      </c>
      <c r="AS40" s="18"/>
      <c r="AT40" s="79">
        <f>AT38+AL40-AS40</f>
        <v>1963.2799999999993</v>
      </c>
      <c r="AU40" s="80"/>
      <c r="AV40" s="11"/>
      <c r="AW40" s="30"/>
      <c r="AX40" s="19"/>
      <c r="AY40" s="19"/>
      <c r="AZ40" s="19"/>
      <c r="BA40" s="19"/>
      <c r="BB40" s="31"/>
    </row>
    <row r="41" spans="1:54">
      <c r="A41" s="147"/>
      <c r="B41" s="32">
        <v>2</v>
      </c>
      <c r="C41" s="10" t="s">
        <v>57</v>
      </c>
      <c r="D41" s="33">
        <v>16247</v>
      </c>
      <c r="E41" s="33">
        <v>0</v>
      </c>
      <c r="F41" s="33">
        <v>14335</v>
      </c>
      <c r="G41" s="34">
        <v>0.5</v>
      </c>
      <c r="H41" s="34">
        <v>5.8</v>
      </c>
      <c r="I41" s="33">
        <v>14728</v>
      </c>
      <c r="J41" s="34">
        <v>4.5999999999999996</v>
      </c>
      <c r="K41" s="33">
        <v>16158</v>
      </c>
      <c r="L41" s="35">
        <v>6.2E-2</v>
      </c>
      <c r="M41" s="36">
        <f>ROUND(K41*(1-L41),0)</f>
        <v>15156</v>
      </c>
      <c r="N41" s="37">
        <v>0.60899999999999999</v>
      </c>
      <c r="O41" s="24">
        <f t="shared" si="363"/>
        <v>9230.003999999999</v>
      </c>
      <c r="P41" s="35">
        <v>0.33500000000000002</v>
      </c>
      <c r="Q41" s="24">
        <f t="shared" si="364"/>
        <v>5077.26</v>
      </c>
      <c r="R41" s="38">
        <v>5.6000000000000001E-2</v>
      </c>
      <c r="S41" s="105"/>
      <c r="T41" s="24">
        <f t="shared" si="365"/>
        <v>848.73599999999999</v>
      </c>
      <c r="U41" s="27">
        <v>0.22600000000000001</v>
      </c>
      <c r="V41" s="24">
        <f t="shared" si="366"/>
        <v>3425.2560000000003</v>
      </c>
      <c r="W41" s="38">
        <v>0.48199999999999998</v>
      </c>
      <c r="X41" s="24">
        <f t="shared" si="367"/>
        <v>7305.192</v>
      </c>
      <c r="Y41" s="38">
        <v>0.42</v>
      </c>
      <c r="Z41" s="24">
        <f t="shared" si="368"/>
        <v>6365.5199999999995</v>
      </c>
      <c r="AA41" s="117">
        <v>2.5600000000000002E-3</v>
      </c>
      <c r="AB41" s="18">
        <f t="shared" si="61"/>
        <v>38.79936</v>
      </c>
      <c r="AC41" s="39">
        <v>2.5699999999999998E-3</v>
      </c>
      <c r="AD41" s="17">
        <f t="shared" si="370"/>
        <v>38.950919999999996</v>
      </c>
      <c r="AE41" s="26">
        <f>IF(M41&gt;0,(AG41+AP41)/M41,0)</f>
        <v>2.7995402480865666E-3</v>
      </c>
      <c r="AF41" s="39">
        <v>2.0000000000000001E-4</v>
      </c>
      <c r="AG41" s="36">
        <f t="shared" si="371"/>
        <v>3.0312000000000001</v>
      </c>
      <c r="AH41" s="27">
        <v>0.22689999999999999</v>
      </c>
      <c r="AI41" s="40">
        <f t="shared" si="372"/>
        <v>37.783388000000002</v>
      </c>
      <c r="AJ41" s="27">
        <f t="shared" si="373"/>
        <v>0.92299255602718056</v>
      </c>
      <c r="AK41" s="28">
        <f t="shared" si="6"/>
        <v>0.92934528178129305</v>
      </c>
      <c r="AL41" s="33">
        <v>181</v>
      </c>
      <c r="AM41" s="35">
        <v>0.08</v>
      </c>
      <c r="AN41" s="37">
        <v>0.2366</v>
      </c>
      <c r="AO41" s="103">
        <v>0.2296</v>
      </c>
      <c r="AP41" s="40">
        <f>AL41*(1-AM41)*AN41</f>
        <v>39.398632000000006</v>
      </c>
      <c r="AQ41" s="104">
        <f t="shared" si="21"/>
        <v>38.232992000000003</v>
      </c>
      <c r="AR41" s="41">
        <v>1.55</v>
      </c>
      <c r="AS41" s="41"/>
      <c r="AT41" s="129">
        <f>AT40+AL41-AS41</f>
        <v>2144.2799999999993</v>
      </c>
      <c r="AU41" s="82"/>
      <c r="AV41" s="42"/>
      <c r="AW41" s="43"/>
      <c r="AX41" s="44"/>
      <c r="AY41" s="44"/>
      <c r="AZ41" s="44"/>
      <c r="BA41" s="44"/>
      <c r="BB41" s="31"/>
    </row>
    <row r="42" spans="1:54">
      <c r="A42" s="147"/>
      <c r="B42" s="32">
        <v>3</v>
      </c>
      <c r="C42" s="10" t="s">
        <v>58</v>
      </c>
      <c r="D42" s="42">
        <v>14220</v>
      </c>
      <c r="E42" s="42">
        <v>2</v>
      </c>
      <c r="F42" s="42">
        <v>15745</v>
      </c>
      <c r="G42" s="36">
        <v>1.3</v>
      </c>
      <c r="H42" s="36">
        <v>5.4</v>
      </c>
      <c r="I42" s="42">
        <v>16201</v>
      </c>
      <c r="J42" s="36">
        <v>4.0999999999999996</v>
      </c>
      <c r="K42" s="42">
        <v>16157</v>
      </c>
      <c r="L42" s="38">
        <v>7.0999999999999994E-2</v>
      </c>
      <c r="M42" s="36">
        <f>ROUND(K42*(1-L42),0)</f>
        <v>15010</v>
      </c>
      <c r="N42" s="27">
        <v>0.69</v>
      </c>
      <c r="O42" s="24">
        <f t="shared" si="363"/>
        <v>10356.9</v>
      </c>
      <c r="P42" s="38">
        <v>0.26200000000000001</v>
      </c>
      <c r="Q42" s="24">
        <f t="shared" si="364"/>
        <v>3932.6200000000003</v>
      </c>
      <c r="R42" s="38">
        <v>4.8000000000000001E-2</v>
      </c>
      <c r="S42" s="105"/>
      <c r="T42" s="24">
        <f t="shared" si="365"/>
        <v>720.48</v>
      </c>
      <c r="U42" s="27">
        <v>0.20599999999999999</v>
      </c>
      <c r="V42" s="24">
        <f t="shared" si="366"/>
        <v>3092.06</v>
      </c>
      <c r="W42" s="38">
        <v>0.49199999999999999</v>
      </c>
      <c r="X42" s="24">
        <f t="shared" si="367"/>
        <v>7384.92</v>
      </c>
      <c r="Y42" s="38">
        <v>0.42</v>
      </c>
      <c r="Z42" s="24">
        <f t="shared" si="368"/>
        <v>6304.2</v>
      </c>
      <c r="AA42" s="118">
        <v>2.6099999999999999E-3</v>
      </c>
      <c r="AB42" s="121">
        <f t="shared" si="61"/>
        <v>39.176099999999998</v>
      </c>
      <c r="AC42" s="45">
        <v>2.6099999999999999E-3</v>
      </c>
      <c r="AD42" s="17">
        <f t="shared" si="370"/>
        <v>39.176099999999998</v>
      </c>
      <c r="AE42" s="26">
        <f>IF(M42&gt;0,(AG42+AP42)/M42,0)</f>
        <v>3.0573585609593602E-3</v>
      </c>
      <c r="AF42" s="45">
        <v>2.0000000000000001E-4</v>
      </c>
      <c r="AG42" s="36">
        <f t="shared" si="371"/>
        <v>3.0020000000000002</v>
      </c>
      <c r="AH42" s="27">
        <v>0.2228</v>
      </c>
      <c r="AI42" s="40">
        <f t="shared" si="372"/>
        <v>41.837384</v>
      </c>
      <c r="AJ42" s="27">
        <f t="shared" si="373"/>
        <v>0.92420127163133026</v>
      </c>
      <c r="AK42" s="28">
        <f t="shared" si="6"/>
        <v>0.93540314689891058</v>
      </c>
      <c r="AL42" s="42">
        <v>205</v>
      </c>
      <c r="AM42" s="38">
        <v>8.4000000000000005E-2</v>
      </c>
      <c r="AN42" s="27">
        <v>0.22839999999999999</v>
      </c>
      <c r="AO42" s="105">
        <v>0.21929999999999999</v>
      </c>
      <c r="AP42" s="40">
        <f>AL42*(1-AM42)*AN42</f>
        <v>42.888951999999996</v>
      </c>
      <c r="AQ42" s="106">
        <f t="shared" si="21"/>
        <v>41.180154000000002</v>
      </c>
      <c r="AR42" s="17">
        <v>1.55</v>
      </c>
      <c r="AS42" s="17"/>
      <c r="AT42" s="129">
        <f>AT41+AL42-AS42</f>
        <v>2349.2799999999993</v>
      </c>
      <c r="AU42" s="82"/>
      <c r="AV42" s="42"/>
      <c r="AW42" s="46"/>
      <c r="AX42" s="40"/>
      <c r="AY42" s="40"/>
      <c r="AZ42" s="40"/>
      <c r="BA42" s="40"/>
      <c r="BB42" s="31"/>
    </row>
    <row r="43" spans="1:54">
      <c r="A43" s="148"/>
      <c r="B43" s="47" t="s">
        <v>56</v>
      </c>
      <c r="C43" s="48"/>
      <c r="D43" s="49">
        <f t="shared" ref="D43" si="375">SUM(D40:D42)</f>
        <v>42867</v>
      </c>
      <c r="E43" s="49"/>
      <c r="F43" s="49">
        <f t="shared" ref="F43" si="376">SUM(F40:F42)</f>
        <v>44215</v>
      </c>
      <c r="G43" s="50"/>
      <c r="H43" s="50"/>
      <c r="I43" s="49">
        <f t="shared" ref="I43:K43" si="377">SUM(I40:I42)</f>
        <v>45237</v>
      </c>
      <c r="J43" s="50"/>
      <c r="K43" s="49">
        <f t="shared" si="377"/>
        <v>48471</v>
      </c>
      <c r="L43" s="20">
        <f t="shared" ref="L43" si="378">IF(K43&gt;0,(K40*L40+K41*L41+K42*L42)/K43,0)</f>
        <v>6.6666563512203167E-2</v>
      </c>
      <c r="M43" s="50">
        <f t="shared" ref="M43" si="379">M40+M41+M42</f>
        <v>45240</v>
      </c>
      <c r="N43" s="51">
        <f t="shared" ref="N43" si="380">IF(M43&gt;0,O43/M43,0)</f>
        <v>0.63754067197170639</v>
      </c>
      <c r="O43" s="52">
        <f t="shared" ref="O43" si="381">O40+O41+O42</f>
        <v>28842.339999999997</v>
      </c>
      <c r="P43" s="20">
        <f t="shared" ref="P43" si="382">IF(M43&gt;0,Q43/M43,0)</f>
        <v>0.30778081343943414</v>
      </c>
      <c r="Q43" s="52">
        <f t="shared" ref="Q43" si="383">Q40+Q41+Q42</f>
        <v>13924.004000000001</v>
      </c>
      <c r="R43" s="20">
        <f t="shared" ref="R43" si="384">IF(M43&gt;0,T43/M43,0)</f>
        <v>5.4678514588859417E-2</v>
      </c>
      <c r="S43" s="107"/>
      <c r="T43" s="52">
        <f t="shared" ref="T43" si="385">T40+T41+T42</f>
        <v>2473.6559999999999</v>
      </c>
      <c r="U43" s="20">
        <f t="shared" ref="U43" si="386">IF(M43&gt;0,V43/M43,0)</f>
        <v>0.21336666666666668</v>
      </c>
      <c r="V43" s="52">
        <f t="shared" ref="V43" si="387">V40+V41+V42</f>
        <v>9652.7080000000005</v>
      </c>
      <c r="W43" s="20">
        <f t="shared" ref="W43" si="388">IF(M43&gt;0,X43/M43,0)</f>
        <v>0.4943142793987621</v>
      </c>
      <c r="X43" s="52">
        <f t="shared" ref="X43" si="389">X40+X41+X42</f>
        <v>22362.777999999998</v>
      </c>
      <c r="Y43" s="20">
        <f t="shared" ref="Y43" si="390">IF(M43&gt;0,Z43/M43,0)</f>
        <v>0.41333598585322723</v>
      </c>
      <c r="Z43" s="52">
        <f t="shared" ref="Z43" si="391">Z40+Z41+Z42</f>
        <v>18699.32</v>
      </c>
      <c r="AA43" s="119">
        <f t="shared" ref="AA43" si="392">IF(M43&gt;0,AB43/M43,0)</f>
        <v>2.6465614500442085E-3</v>
      </c>
      <c r="AB43" s="54">
        <f t="shared" ref="AB43" si="393">SUM(AB40:AB42)</f>
        <v>119.73043999999999</v>
      </c>
      <c r="AC43" s="53">
        <f t="shared" ref="AC43" si="394">IF(M43&gt;0,AD43/M43,0)</f>
        <v>2.6632396109637487E-3</v>
      </c>
      <c r="AD43" s="54">
        <f t="shared" ref="AD43" si="395">SUM(AD40:AD42)</f>
        <v>120.48496</v>
      </c>
      <c r="AE43" s="53">
        <f t="shared" ref="AE43" si="396">IF(M43&gt;0,(AE40*M40+AE41*M41+AE42*M42)/M43,0)</f>
        <v>2.9627011273209549E-3</v>
      </c>
      <c r="AF43" s="53">
        <f t="shared" ref="AF43" si="397">IF(K43&gt;0,(K40*AF40+K41*AF41+K42*AF42)/K43,0)</f>
        <v>2.0666625404881271E-4</v>
      </c>
      <c r="AG43" s="50">
        <f t="shared" ref="AG43" si="398">SUM(AG40:AG42)</f>
        <v>9.3494800000000016</v>
      </c>
      <c r="AH43" s="51">
        <f t="shared" ref="AH43" si="399">IF(K43&gt;0,(K40*AH40+K41*AH41+K42*AH42)/K43,0)</f>
        <v>0.22626662127870273</v>
      </c>
      <c r="AI43" s="56">
        <f t="shared" ref="AI43" si="400">SUM(AI40:AI42)</f>
        <v>122.31447340000001</v>
      </c>
      <c r="AJ43" s="51">
        <f t="shared" ref="AJ43" si="401">IF(AND(AD43&gt;0),((AD40*AJ40+AD41*AJ41+AD42*AJ42)/AD43),0)</f>
        <v>0.92324550370728642</v>
      </c>
      <c r="AK43" s="55">
        <f t="shared" si="6"/>
        <v>0.93107757274647218</v>
      </c>
      <c r="AL43" s="49">
        <f t="shared" ref="AL43" si="402">SUM(AL40:AL42)</f>
        <v>589</v>
      </c>
      <c r="AM43" s="20">
        <f t="shared" ref="AM43" si="403">IF(AL43&gt;0,(AM40*AL40+AM41*AL41+AM42*AL42)/AL43,0)</f>
        <v>8.2081494057724969E-2</v>
      </c>
      <c r="AN43" s="51">
        <f>IF(K43&gt;0,(AN40*K40+AN41*K41+AN42*K42)/K43,0)</f>
        <v>0.2308335210744569</v>
      </c>
      <c r="AO43" s="107">
        <f>IF(L43&gt;0,(AO40*K40+AO41*K41+AO42*K42)/K43,0)</f>
        <v>0.22250022693981966</v>
      </c>
      <c r="AP43" s="56">
        <f t="shared" ref="AP43:AQ55" si="404">SUM(AP40:AP42)</f>
        <v>124.683119</v>
      </c>
      <c r="AQ43" s="108">
        <f t="shared" si="404"/>
        <v>120.15013040000001</v>
      </c>
      <c r="AR43" s="54"/>
      <c r="AS43" s="54">
        <f t="shared" ref="AS43" si="405">SUM(AS40:AS42)</f>
        <v>0</v>
      </c>
      <c r="AT43" s="83"/>
      <c r="AU43" s="84">
        <f>AT42</f>
        <v>2349.2799999999993</v>
      </c>
      <c r="AV43" s="49">
        <f t="shared" ref="AV43" si="406">SUM(AV40:AV42)</f>
        <v>0</v>
      </c>
      <c r="AW43" s="57"/>
      <c r="AX43" s="56"/>
      <c r="AY43" s="56"/>
      <c r="AZ43" s="56"/>
      <c r="BA43" s="56"/>
      <c r="BB43" s="21"/>
    </row>
    <row r="44" spans="1:54">
      <c r="A44" s="146">
        <v>11</v>
      </c>
      <c r="B44" s="22">
        <v>1</v>
      </c>
      <c r="C44" s="10" t="s">
        <v>53</v>
      </c>
      <c r="D44" s="11">
        <v>12500</v>
      </c>
      <c r="E44" s="11">
        <v>0</v>
      </c>
      <c r="F44" s="11">
        <v>17267</v>
      </c>
      <c r="G44" s="12">
        <v>1.4</v>
      </c>
      <c r="H44" s="12">
        <v>5.7</v>
      </c>
      <c r="I44" s="11">
        <v>17216</v>
      </c>
      <c r="J44" s="12">
        <v>3</v>
      </c>
      <c r="K44" s="11">
        <v>16016</v>
      </c>
      <c r="L44" s="13">
        <v>6.9000000000000006E-2</v>
      </c>
      <c r="M44" s="23">
        <f>ROUND(K44*(1-L44),0)</f>
        <v>14911</v>
      </c>
      <c r="N44" s="14">
        <v>0.622</v>
      </c>
      <c r="O44" s="24">
        <f t="shared" ref="O44:O46" si="407">M44*N44</f>
        <v>9274.6419999999998</v>
      </c>
      <c r="P44" s="13">
        <v>0.371</v>
      </c>
      <c r="Q44" s="24">
        <f t="shared" ref="Q44:Q46" si="408">M44*P44</f>
        <v>5531.9809999999998</v>
      </c>
      <c r="R44" s="15">
        <v>7.0000000000000001E-3</v>
      </c>
      <c r="S44" s="112"/>
      <c r="T44" s="24">
        <f t="shared" ref="T44:T46" si="409">M44*R44</f>
        <v>104.377</v>
      </c>
      <c r="U44" s="25">
        <v>0.22</v>
      </c>
      <c r="V44" s="24">
        <f t="shared" ref="V44:V46" si="410">M44*U44</f>
        <v>3280.42</v>
      </c>
      <c r="W44" s="15">
        <v>0.48799999999999999</v>
      </c>
      <c r="X44" s="24">
        <f t="shared" ref="X44:X46" si="411">M44*W44</f>
        <v>7276.5680000000002</v>
      </c>
      <c r="Y44" s="15">
        <v>0.43</v>
      </c>
      <c r="Z44" s="24">
        <f t="shared" ref="Z44:Z46" si="412">Y44*M44</f>
        <v>6411.73</v>
      </c>
      <c r="AA44" s="116">
        <v>2.49E-3</v>
      </c>
      <c r="AB44" s="18">
        <f t="shared" ref="AB44" si="413">M44*AA44</f>
        <v>37.128390000000003</v>
      </c>
      <c r="AC44" s="16">
        <v>2.4199999999999998E-3</v>
      </c>
      <c r="AD44" s="17">
        <f t="shared" ref="AD44:AD46" si="414">M44*AC44</f>
        <v>36.084620000000001</v>
      </c>
      <c r="AE44" s="26">
        <f>IF(M44&gt;0,(AG44+AP44)/M44,0)</f>
        <v>2.5270161893903827E-3</v>
      </c>
      <c r="AF44" s="16">
        <v>1.8000000000000001E-4</v>
      </c>
      <c r="AG44" s="23">
        <f t="shared" ref="AG44:AG46" si="415">AF44*M44</f>
        <v>2.68398</v>
      </c>
      <c r="AH44" s="92">
        <v>0.216</v>
      </c>
      <c r="AI44" s="29">
        <f t="shared" ref="AI44:AI46" si="416">AL44*(1-AM44)*AH44</f>
        <v>33.882624</v>
      </c>
      <c r="AJ44" s="27">
        <f t="shared" ref="AJ44:AJ46" si="417">IF(AND(AH44&gt;0,AF44&gt;0,AC44&gt;0),((AC44-AF44)*AH44)/((AH44-AF44)*AC44),0)</f>
        <v>0.9263918279006611</v>
      </c>
      <c r="AK44" s="58">
        <f t="shared" si="6"/>
        <v>0.92951969664852518</v>
      </c>
      <c r="AL44" s="11">
        <v>172</v>
      </c>
      <c r="AM44" s="13">
        <v>8.7999999999999995E-2</v>
      </c>
      <c r="AN44" s="14">
        <v>0.22309999999999999</v>
      </c>
      <c r="AO44" s="101">
        <v>0.2145</v>
      </c>
      <c r="AP44" s="29">
        <f>AL44*(1-AM44)*AN44</f>
        <v>34.996358399999998</v>
      </c>
      <c r="AQ44" s="102">
        <f t="shared" ref="AQ44" si="418">AL44*(1-AM44)*AO44</f>
        <v>33.647328000000002</v>
      </c>
      <c r="AR44" s="18">
        <v>1.55</v>
      </c>
      <c r="AS44" s="18"/>
      <c r="AT44" s="79">
        <f>AT42+AL44-AS44</f>
        <v>2521.2799999999993</v>
      </c>
      <c r="AU44" s="80"/>
      <c r="AV44" s="11"/>
      <c r="AW44" s="30"/>
      <c r="AX44" s="19"/>
      <c r="AY44" s="19"/>
      <c r="AZ44" s="19"/>
      <c r="BA44" s="19"/>
      <c r="BB44" s="31"/>
    </row>
    <row r="45" spans="1:54">
      <c r="A45" s="147"/>
      <c r="B45" s="32">
        <v>2</v>
      </c>
      <c r="C45" s="10" t="s">
        <v>57</v>
      </c>
      <c r="D45" s="33">
        <v>20500</v>
      </c>
      <c r="E45" s="33">
        <v>3</v>
      </c>
      <c r="F45" s="33">
        <v>17504</v>
      </c>
      <c r="G45" s="34">
        <v>1.5</v>
      </c>
      <c r="H45" s="34">
        <v>6.1</v>
      </c>
      <c r="I45" s="33">
        <v>17024</v>
      </c>
      <c r="J45" s="34">
        <v>2.7</v>
      </c>
      <c r="K45" s="33">
        <v>16161</v>
      </c>
      <c r="L45" s="35">
        <v>7.0000000000000007E-2</v>
      </c>
      <c r="M45" s="36">
        <f>ROUND(K45*(1-L45),0)</f>
        <v>15030</v>
      </c>
      <c r="N45" s="37">
        <v>0.68899999999999995</v>
      </c>
      <c r="O45" s="24">
        <f t="shared" si="407"/>
        <v>10355.67</v>
      </c>
      <c r="P45" s="35">
        <v>0.248</v>
      </c>
      <c r="Q45" s="24">
        <f t="shared" si="408"/>
        <v>3727.44</v>
      </c>
      <c r="R45" s="38">
        <v>6.3E-2</v>
      </c>
      <c r="S45" s="105"/>
      <c r="T45" s="24">
        <f t="shared" si="409"/>
        <v>946.89</v>
      </c>
      <c r="U45" s="27">
        <v>0.23100000000000001</v>
      </c>
      <c r="V45" s="24">
        <f t="shared" si="410"/>
        <v>3471.9300000000003</v>
      </c>
      <c r="W45" s="38">
        <v>0.47499999999999998</v>
      </c>
      <c r="X45" s="24">
        <f t="shared" si="411"/>
        <v>7139.25</v>
      </c>
      <c r="Y45" s="38">
        <v>0.43</v>
      </c>
      <c r="Z45" s="24">
        <f t="shared" si="412"/>
        <v>6462.9</v>
      </c>
      <c r="AA45" s="117">
        <v>2.4199999999999998E-3</v>
      </c>
      <c r="AB45" s="18">
        <f t="shared" si="61"/>
        <v>36.372599999999998</v>
      </c>
      <c r="AC45" s="39">
        <v>2.5600000000000002E-3</v>
      </c>
      <c r="AD45" s="17">
        <f t="shared" si="414"/>
        <v>38.476800000000004</v>
      </c>
      <c r="AE45" s="26">
        <f>IF(M45&gt;0,(AG45+AP45)/M45,0)</f>
        <v>2.5207426214238185E-3</v>
      </c>
      <c r="AF45" s="39">
        <v>1.8000000000000001E-4</v>
      </c>
      <c r="AG45" s="36">
        <f t="shared" si="415"/>
        <v>2.7054</v>
      </c>
      <c r="AH45" s="27">
        <v>0.21790000000000001</v>
      </c>
      <c r="AI45" s="40">
        <f t="shared" si="416"/>
        <v>34.3305808</v>
      </c>
      <c r="AJ45" s="27">
        <f t="shared" si="417"/>
        <v>0.93045611909792403</v>
      </c>
      <c r="AK45" s="28">
        <f t="shared" si="6"/>
        <v>0.92934160513343655</v>
      </c>
      <c r="AL45" s="33">
        <v>172</v>
      </c>
      <c r="AM45" s="35">
        <v>8.4000000000000005E-2</v>
      </c>
      <c r="AN45" s="37">
        <v>0.2233</v>
      </c>
      <c r="AO45" s="103">
        <v>0.2195</v>
      </c>
      <c r="AP45" s="40">
        <f>AL45*(1-AM45)*AN45</f>
        <v>35.181361599999995</v>
      </c>
      <c r="AQ45" s="104">
        <f t="shared" si="21"/>
        <v>34.582664000000001</v>
      </c>
      <c r="AR45" s="41">
        <v>1.55</v>
      </c>
      <c r="AS45" s="41"/>
      <c r="AT45" s="129">
        <f>AT44+AL45-AS45</f>
        <v>2693.2799999999993</v>
      </c>
      <c r="AU45" s="82"/>
      <c r="AV45" s="42"/>
      <c r="AW45" s="43"/>
      <c r="AX45" s="44"/>
      <c r="AY45" s="44"/>
      <c r="AZ45" s="44"/>
      <c r="BA45" s="44"/>
      <c r="BB45" s="31"/>
    </row>
    <row r="46" spans="1:54">
      <c r="A46" s="147"/>
      <c r="B46" s="32">
        <v>3</v>
      </c>
      <c r="C46" s="10" t="s">
        <v>58</v>
      </c>
      <c r="D46" s="42">
        <v>18370</v>
      </c>
      <c r="E46" s="42">
        <v>2</v>
      </c>
      <c r="F46" s="42">
        <v>19297</v>
      </c>
      <c r="G46" s="36">
        <v>1.9</v>
      </c>
      <c r="H46" s="36">
        <v>7</v>
      </c>
      <c r="I46" s="42">
        <v>19252</v>
      </c>
      <c r="J46" s="36">
        <v>2.2999999999999998</v>
      </c>
      <c r="K46" s="42">
        <v>16146</v>
      </c>
      <c r="L46" s="38">
        <v>7.1999999999999995E-2</v>
      </c>
      <c r="M46" s="36">
        <f>ROUND(K46*(1-L46),0)</f>
        <v>14983</v>
      </c>
      <c r="N46" s="27">
        <v>0.64</v>
      </c>
      <c r="O46" s="24">
        <f t="shared" si="407"/>
        <v>9589.1200000000008</v>
      </c>
      <c r="P46" s="38">
        <v>0.312</v>
      </c>
      <c r="Q46" s="24">
        <f t="shared" si="408"/>
        <v>4674.6959999999999</v>
      </c>
      <c r="R46" s="38">
        <v>4.8000000000000001E-2</v>
      </c>
      <c r="S46" s="105"/>
      <c r="T46" s="24">
        <f t="shared" si="409"/>
        <v>719.18399999999997</v>
      </c>
      <c r="U46" s="27">
        <v>0.22500000000000001</v>
      </c>
      <c r="V46" s="24">
        <f t="shared" si="410"/>
        <v>3371.1750000000002</v>
      </c>
      <c r="W46" s="38">
        <v>0.48699999999999999</v>
      </c>
      <c r="X46" s="24">
        <f t="shared" si="411"/>
        <v>7296.7209999999995</v>
      </c>
      <c r="Y46" s="38">
        <v>0.42</v>
      </c>
      <c r="Z46" s="24">
        <f t="shared" si="412"/>
        <v>6292.86</v>
      </c>
      <c r="AA46" s="118">
        <v>2.66E-3</v>
      </c>
      <c r="AB46" s="121">
        <f t="shared" si="61"/>
        <v>39.854779999999998</v>
      </c>
      <c r="AC46" s="45">
        <v>2.8E-3</v>
      </c>
      <c r="AD46" s="17">
        <f t="shared" si="414"/>
        <v>41.952399999999997</v>
      </c>
      <c r="AE46" s="26">
        <f>IF(M46&gt;0,(AG46+AP46)/M46,0)</f>
        <v>3.1554107989054262E-3</v>
      </c>
      <c r="AF46" s="45">
        <v>1.9000000000000001E-4</v>
      </c>
      <c r="AG46" s="36">
        <f t="shared" si="415"/>
        <v>2.8467700000000002</v>
      </c>
      <c r="AH46" s="27">
        <v>0.21729999999999999</v>
      </c>
      <c r="AI46" s="40">
        <f t="shared" si="416"/>
        <v>42.910230999999996</v>
      </c>
      <c r="AJ46" s="27">
        <f t="shared" si="417"/>
        <v>0.93295860557847554</v>
      </c>
      <c r="AK46" s="28">
        <f t="shared" si="6"/>
        <v>0.94058023791733492</v>
      </c>
      <c r="AL46" s="42">
        <v>217</v>
      </c>
      <c r="AM46" s="38">
        <v>0.09</v>
      </c>
      <c r="AN46" s="27">
        <v>0.22500000000000001</v>
      </c>
      <c r="AO46" s="105">
        <v>0.2195</v>
      </c>
      <c r="AP46" s="40">
        <f>AL46*(1-AM46)*AN46</f>
        <v>44.430750000000003</v>
      </c>
      <c r="AQ46" s="106">
        <f t="shared" si="21"/>
        <v>43.344664999999999</v>
      </c>
      <c r="AR46" s="17">
        <v>1.55</v>
      </c>
      <c r="AS46" s="17"/>
      <c r="AT46" s="129">
        <f>AT45+AL46-AS46</f>
        <v>2910.2799999999993</v>
      </c>
      <c r="AU46" s="82"/>
      <c r="AV46" s="42"/>
      <c r="AW46" s="46"/>
      <c r="AX46" s="40"/>
      <c r="AY46" s="40"/>
      <c r="AZ46" s="40"/>
      <c r="BA46" s="40"/>
      <c r="BB46" s="31"/>
    </row>
    <row r="47" spans="1:54">
      <c r="A47" s="148"/>
      <c r="B47" s="47" t="s">
        <v>56</v>
      </c>
      <c r="C47" s="48"/>
      <c r="D47" s="49">
        <f t="shared" ref="D47" si="419">SUM(D44:D46)</f>
        <v>51370</v>
      </c>
      <c r="E47" s="49"/>
      <c r="F47" s="49">
        <f t="shared" ref="F47" si="420">SUM(F44:F46)</f>
        <v>54068</v>
      </c>
      <c r="G47" s="50"/>
      <c r="H47" s="50"/>
      <c r="I47" s="49">
        <f t="shared" ref="I47:K47" si="421">SUM(I44:I46)</f>
        <v>53492</v>
      </c>
      <c r="J47" s="50"/>
      <c r="K47" s="49">
        <f t="shared" si="421"/>
        <v>48323</v>
      </c>
      <c r="L47" s="20">
        <f t="shared" ref="L47" si="422">IF(K47&gt;0,(K44*L44+K45*L45+K46*L46)/K47,0)</f>
        <v>7.0336816836703023E-2</v>
      </c>
      <c r="M47" s="50">
        <f t="shared" ref="M47" si="423">M44+M45+M46</f>
        <v>44924</v>
      </c>
      <c r="N47" s="51">
        <f t="shared" ref="N47" si="424">IF(M47&gt;0,O47/M47,0)</f>
        <v>0.65041919686581784</v>
      </c>
      <c r="O47" s="52">
        <f t="shared" ref="O47" si="425">O44+O45+O46</f>
        <v>29219.432000000001</v>
      </c>
      <c r="P47" s="20">
        <f t="shared" ref="P47" si="426">IF(M47&gt;0,Q47/M47,0)</f>
        <v>0.31017088861187786</v>
      </c>
      <c r="Q47" s="52">
        <f t="shared" ref="Q47" si="427">Q44+Q45+Q46</f>
        <v>13934.117</v>
      </c>
      <c r="R47" s="20">
        <f t="shared" ref="R47" si="428">IF(M47&gt;0,T47/M47,0)</f>
        <v>3.9409914522304336E-2</v>
      </c>
      <c r="S47" s="107"/>
      <c r="T47" s="52">
        <f t="shared" ref="T47" si="429">T44+T45+T46</f>
        <v>1770.451</v>
      </c>
      <c r="U47" s="20">
        <f t="shared" ref="U47" si="430">IF(M47&gt;0,V47/M47,0)</f>
        <v>0.22534780963404866</v>
      </c>
      <c r="V47" s="52">
        <f t="shared" ref="V47" si="431">V44+V45+V46</f>
        <v>10123.525000000001</v>
      </c>
      <c r="W47" s="20">
        <f t="shared" ref="W47" si="432">IF(M47&gt;0,X47/M47,0)</f>
        <v>0.48331713560680256</v>
      </c>
      <c r="X47" s="52">
        <f t="shared" ref="X47" si="433">X44+X45+X46</f>
        <v>21712.538999999997</v>
      </c>
      <c r="Y47" s="20">
        <f t="shared" ref="Y47" si="434">IF(M47&gt;0,Z47/M47,0)</f>
        <v>0.42666481168195169</v>
      </c>
      <c r="Z47" s="52">
        <f t="shared" ref="Z47" si="435">Z44+Z45+Z46</f>
        <v>19167.489999999998</v>
      </c>
      <c r="AA47" s="119">
        <f t="shared" ref="AA47" si="436">IF(M47&gt;0,AB47/M47,0)</f>
        <v>2.5232786483839376E-3</v>
      </c>
      <c r="AB47" s="54">
        <f t="shared" ref="AB47" si="437">SUM(AB44:AB46)</f>
        <v>113.35577000000001</v>
      </c>
      <c r="AC47" s="53">
        <f t="shared" ref="AC47" si="438">IF(M47&gt;0,AD47/M47,0)</f>
        <v>2.5935762621316001E-3</v>
      </c>
      <c r="AD47" s="54">
        <f t="shared" ref="AD47" si="439">SUM(AD44:AD46)</f>
        <v>116.51382</v>
      </c>
      <c r="AE47" s="53">
        <f t="shared" ref="AE47" si="440">IF(M47&gt;0,(AE44*M44+AE45*M45+AE46*M46)/M47,0)</f>
        <v>2.7344987089306383E-3</v>
      </c>
      <c r="AF47" s="53">
        <f t="shared" ref="AF47" si="441">IF(K47&gt;0,(K44*AF44+K45*AF45+K46*AF46)/K47,0)</f>
        <v>1.8334126606377917E-4</v>
      </c>
      <c r="AG47" s="50">
        <f t="shared" ref="AG47" si="442">SUM(AG44:AG46)</f>
        <v>8.2361500000000003</v>
      </c>
      <c r="AH47" s="51">
        <f t="shared" ref="AH47" si="443">IF(K47&gt;0,(K44*AH44+K45*AH45+K46*AH46)/K47,0)</f>
        <v>0.21706979492167292</v>
      </c>
      <c r="AI47" s="56">
        <f t="shared" ref="AI47" si="444">SUM(AI44:AI46)</f>
        <v>111.1234358</v>
      </c>
      <c r="AJ47" s="51">
        <f t="shared" ref="AJ47" si="445">IF(AND(AD47&gt;0),((AD44*AJ44+AD45*AJ45+AD46*AJ46)/AD47),0)</f>
        <v>0.93009845260311785</v>
      </c>
      <c r="AK47" s="55">
        <f t="shared" si="6"/>
        <v>0.9337174265855237</v>
      </c>
      <c r="AL47" s="49">
        <f t="shared" ref="AL47" si="446">SUM(AL44:AL46)</f>
        <v>561</v>
      </c>
      <c r="AM47" s="20">
        <f t="shared" ref="AM47" si="447">IF(AL47&gt;0,(AM44*AL44+AM45*AL45+AM46*AL46)/AL47,0)</f>
        <v>8.754723707664884E-2</v>
      </c>
      <c r="AN47" s="51">
        <f>IF(K47&gt;0,(AN44*K44+AN45*K45+AN46*K46)/K47,0)</f>
        <v>0.22380172795563189</v>
      </c>
      <c r="AO47" s="107">
        <f>IF(L47&gt;0,(AO44*K44+AO45*K45+AO46*K46)/K47,0)</f>
        <v>0.21784281811973594</v>
      </c>
      <c r="AP47" s="56">
        <f t="shared" ref="AP47" si="448">SUM(AP44:AP46)</f>
        <v>114.60847</v>
      </c>
      <c r="AQ47" s="108">
        <f t="shared" si="404"/>
        <v>111.574657</v>
      </c>
      <c r="AR47" s="54"/>
      <c r="AS47" s="54">
        <f t="shared" ref="AS47" si="449">SUM(AS44:AS46)</f>
        <v>0</v>
      </c>
      <c r="AT47" s="83"/>
      <c r="AU47" s="84">
        <f>AT46</f>
        <v>2910.2799999999993</v>
      </c>
      <c r="AV47" s="49">
        <f t="shared" ref="AV47" si="450">SUM(AV44:AV46)</f>
        <v>0</v>
      </c>
      <c r="AW47" s="57"/>
      <c r="AX47" s="56"/>
      <c r="AY47" s="56"/>
      <c r="AZ47" s="56"/>
      <c r="BA47" s="56"/>
      <c r="BB47" s="21"/>
    </row>
    <row r="48" spans="1:54">
      <c r="A48" s="146">
        <v>12</v>
      </c>
      <c r="B48" s="22">
        <v>1</v>
      </c>
      <c r="C48" s="10" t="s">
        <v>53</v>
      </c>
      <c r="D48" s="11">
        <v>6000</v>
      </c>
      <c r="E48" s="11">
        <v>1</v>
      </c>
      <c r="F48" s="11">
        <v>14412</v>
      </c>
      <c r="G48" s="12">
        <v>2.7</v>
      </c>
      <c r="H48" s="12">
        <v>5.2</v>
      </c>
      <c r="I48" s="11">
        <v>14781</v>
      </c>
      <c r="J48" s="12">
        <v>2</v>
      </c>
      <c r="K48" s="11">
        <v>16136</v>
      </c>
      <c r="L48" s="13">
        <v>6.5000000000000002E-2</v>
      </c>
      <c r="M48" s="23">
        <f>ROUND(K48*(1-L48),0)</f>
        <v>15087</v>
      </c>
      <c r="N48" s="14">
        <v>0.70799999999999996</v>
      </c>
      <c r="O48" s="24">
        <f t="shared" ref="O48:O50" si="451">M48*N48</f>
        <v>10681.596</v>
      </c>
      <c r="P48" s="13">
        <v>0.26700000000000002</v>
      </c>
      <c r="Q48" s="24">
        <f t="shared" ref="Q48:Q50" si="452">M48*P48</f>
        <v>4028.2290000000003</v>
      </c>
      <c r="R48" s="15">
        <v>2.5000000000000001E-2</v>
      </c>
      <c r="S48" s="112"/>
      <c r="T48" s="24">
        <f t="shared" ref="T48:T50" si="453">M48*R48</f>
        <v>377.17500000000001</v>
      </c>
      <c r="U48" s="25">
        <v>0.22600000000000001</v>
      </c>
      <c r="V48" s="24">
        <f t="shared" ref="V48:V50" si="454">M48*U48</f>
        <v>3409.6620000000003</v>
      </c>
      <c r="W48" s="15">
        <v>0.48299999999999998</v>
      </c>
      <c r="X48" s="24">
        <f t="shared" ref="X48:X50" si="455">M48*W48</f>
        <v>7287.0209999999997</v>
      </c>
      <c r="Y48" s="15">
        <v>0.42</v>
      </c>
      <c r="Z48" s="24">
        <f t="shared" ref="Z48:Z50" si="456">Y48*M48</f>
        <v>6336.54</v>
      </c>
      <c r="AA48" s="116">
        <v>2.7100000000000002E-3</v>
      </c>
      <c r="AB48" s="18">
        <f t="shared" ref="AB48" si="457">M48*AA48</f>
        <v>40.885770000000001</v>
      </c>
      <c r="AC48" s="16">
        <v>2.7000000000000001E-3</v>
      </c>
      <c r="AD48" s="17">
        <f t="shared" ref="AD48:AD50" si="458">M48*AC48</f>
        <v>40.734900000000003</v>
      </c>
      <c r="AE48" s="26">
        <f>IF(M48&gt;0,(AG48+AP48)/M48,0)</f>
        <v>2.7131918075164047E-3</v>
      </c>
      <c r="AF48" s="16">
        <v>2.0000000000000001E-4</v>
      </c>
      <c r="AG48" s="23">
        <f t="shared" ref="AG48:AG50" si="459">AF48*M48</f>
        <v>3.0174000000000003</v>
      </c>
      <c r="AH48" s="92">
        <v>0.21099999999999999</v>
      </c>
      <c r="AI48" s="29">
        <f t="shared" ref="AI48:AI50" si="460">AL48*(1-AM48)*AH48</f>
        <v>36.987455999999995</v>
      </c>
      <c r="AJ48" s="27">
        <f t="shared" ref="AJ48:AJ50" si="461">IF(AND(AH48&gt;0,AF48&gt;0,AC48&gt;0),((AC48-AF48)*AH48)/((AH48-AF48)*AC48),0)</f>
        <v>0.92680441352168108</v>
      </c>
      <c r="AK48" s="58">
        <f t="shared" si="6"/>
        <v>0.92714335682759585</v>
      </c>
      <c r="AL48" s="11">
        <v>192</v>
      </c>
      <c r="AM48" s="13">
        <v>8.6999999999999994E-2</v>
      </c>
      <c r="AN48" s="14">
        <v>0.21629999999999999</v>
      </c>
      <c r="AO48" s="101">
        <v>0.2087</v>
      </c>
      <c r="AP48" s="29">
        <f>AL48*(1-AM48)*AN48</f>
        <v>37.916524799999998</v>
      </c>
      <c r="AQ48" s="102">
        <f t="shared" ref="AQ48" si="462">AL48*(1-AM48)*AO48</f>
        <v>36.5842752</v>
      </c>
      <c r="AR48" s="18">
        <v>1.6</v>
      </c>
      <c r="AS48" s="18">
        <v>1118.58</v>
      </c>
      <c r="AT48" s="79">
        <f>AT46+AL48-AS48+AU48</f>
        <v>1872.0399999999993</v>
      </c>
      <c r="AU48" s="130">
        <v>-111.66</v>
      </c>
      <c r="AV48" s="11"/>
      <c r="AW48" s="30"/>
      <c r="AX48" s="19"/>
      <c r="AY48" s="19"/>
      <c r="AZ48" s="19"/>
      <c r="BA48" s="19"/>
      <c r="BB48" s="31"/>
    </row>
    <row r="49" spans="1:54">
      <c r="A49" s="147"/>
      <c r="B49" s="32">
        <v>2</v>
      </c>
      <c r="C49" s="143" t="s">
        <v>54</v>
      </c>
      <c r="D49" s="33">
        <v>19400</v>
      </c>
      <c r="E49" s="33">
        <v>7</v>
      </c>
      <c r="F49" s="33">
        <v>15233</v>
      </c>
      <c r="G49" s="34">
        <v>1.6</v>
      </c>
      <c r="H49" s="34">
        <v>4.9000000000000004</v>
      </c>
      <c r="I49" s="33">
        <v>14774</v>
      </c>
      <c r="J49" s="34">
        <v>2.1</v>
      </c>
      <c r="K49" s="33">
        <v>16061</v>
      </c>
      <c r="L49" s="35">
        <v>7.1999999999999995E-2</v>
      </c>
      <c r="M49" s="36">
        <f>ROUND(K49*(1-L49),0)</f>
        <v>14905</v>
      </c>
      <c r="N49" s="37">
        <v>0.66400000000000003</v>
      </c>
      <c r="O49" s="24">
        <f t="shared" si="451"/>
        <v>9896.92</v>
      </c>
      <c r="P49" s="35">
        <v>0.30499999999999999</v>
      </c>
      <c r="Q49" s="24">
        <f t="shared" si="452"/>
        <v>4546.0249999999996</v>
      </c>
      <c r="R49" s="38">
        <v>3.1E-2</v>
      </c>
      <c r="S49" s="105"/>
      <c r="T49" s="24">
        <f t="shared" si="453"/>
        <v>462.05500000000001</v>
      </c>
      <c r="U49" s="27">
        <v>0.21299999999999999</v>
      </c>
      <c r="V49" s="24">
        <f t="shared" si="454"/>
        <v>3174.7649999999999</v>
      </c>
      <c r="W49" s="38">
        <v>0.495</v>
      </c>
      <c r="X49" s="24">
        <f t="shared" si="455"/>
        <v>7377.9750000000004</v>
      </c>
      <c r="Y49" s="38">
        <v>0.41</v>
      </c>
      <c r="Z49" s="24">
        <f t="shared" si="456"/>
        <v>6111.0499999999993</v>
      </c>
      <c r="AA49" s="117">
        <v>2.5200000000000001E-3</v>
      </c>
      <c r="AB49" s="18">
        <f t="shared" si="61"/>
        <v>37.560600000000001</v>
      </c>
      <c r="AC49" s="39">
        <v>2.5400000000000002E-3</v>
      </c>
      <c r="AD49" s="17">
        <f t="shared" si="458"/>
        <v>37.858699999999999</v>
      </c>
      <c r="AE49" s="26">
        <f>IF(M49&gt;0,(AG49+AP49)/M49,0)</f>
        <v>2.777035491445823E-3</v>
      </c>
      <c r="AF49" s="39">
        <v>1.8000000000000001E-4</v>
      </c>
      <c r="AG49" s="36">
        <f t="shared" si="459"/>
        <v>2.6829000000000001</v>
      </c>
      <c r="AH49" s="27">
        <v>0.22239999999999999</v>
      </c>
      <c r="AI49" s="40">
        <f t="shared" si="460"/>
        <v>38.621983999999998</v>
      </c>
      <c r="AJ49" s="27">
        <f t="shared" si="461"/>
        <v>0.92988646421897292</v>
      </c>
      <c r="AK49" s="28">
        <f t="shared" si="6"/>
        <v>0.93593848428308124</v>
      </c>
      <c r="AL49" s="33">
        <v>190</v>
      </c>
      <c r="AM49" s="35">
        <v>8.5999999999999993E-2</v>
      </c>
      <c r="AN49" s="37">
        <v>0.22289999999999999</v>
      </c>
      <c r="AO49" s="103">
        <v>0.2172</v>
      </c>
      <c r="AP49" s="40">
        <f>AL49*(1-AM49)*AN49</f>
        <v>38.708813999999997</v>
      </c>
      <c r="AQ49" s="104">
        <f t="shared" si="21"/>
        <v>37.718952000000002</v>
      </c>
      <c r="AR49" s="41">
        <v>1.58</v>
      </c>
      <c r="AS49" s="41"/>
      <c r="AT49" s="129">
        <f>AT48+AL49-AS49</f>
        <v>2062.0399999999991</v>
      </c>
      <c r="AU49" s="82"/>
      <c r="AV49" s="42"/>
      <c r="AW49" s="43"/>
      <c r="AX49" s="44"/>
      <c r="AY49" s="44"/>
      <c r="AZ49" s="44"/>
      <c r="BA49" s="44"/>
      <c r="BB49" s="31"/>
    </row>
    <row r="50" spans="1:54">
      <c r="A50" s="147"/>
      <c r="B50" s="32">
        <v>3</v>
      </c>
      <c r="C50" s="143" t="s">
        <v>58</v>
      </c>
      <c r="D50" s="42">
        <v>22600</v>
      </c>
      <c r="E50" s="42">
        <v>1</v>
      </c>
      <c r="F50" s="42">
        <v>17466</v>
      </c>
      <c r="G50" s="36">
        <v>1.7</v>
      </c>
      <c r="H50" s="36">
        <v>5.4</v>
      </c>
      <c r="I50" s="42">
        <v>17661</v>
      </c>
      <c r="J50" s="36">
        <v>1.3</v>
      </c>
      <c r="K50" s="42">
        <v>15964</v>
      </c>
      <c r="L50" s="38">
        <v>7.0999999999999994E-2</v>
      </c>
      <c r="M50" s="36">
        <f>ROUND(K50*(1-L50),0)</f>
        <v>14831</v>
      </c>
      <c r="N50" s="27">
        <v>0.70299999999999996</v>
      </c>
      <c r="O50" s="24">
        <f t="shared" si="451"/>
        <v>10426.192999999999</v>
      </c>
      <c r="P50" s="38">
        <v>0.25600000000000001</v>
      </c>
      <c r="Q50" s="24">
        <f t="shared" si="452"/>
        <v>3796.7359999999999</v>
      </c>
      <c r="R50" s="38">
        <v>4.1000000000000002E-2</v>
      </c>
      <c r="S50" s="105"/>
      <c r="T50" s="24">
        <f t="shared" si="453"/>
        <v>608.07100000000003</v>
      </c>
      <c r="U50" s="27">
        <v>0.216</v>
      </c>
      <c r="V50" s="24">
        <f t="shared" si="454"/>
        <v>3203.4960000000001</v>
      </c>
      <c r="W50" s="38">
        <v>0.49299999999999999</v>
      </c>
      <c r="X50" s="24">
        <f t="shared" si="455"/>
        <v>7311.683</v>
      </c>
      <c r="Y50" s="38">
        <v>0.41</v>
      </c>
      <c r="Z50" s="24">
        <f t="shared" si="456"/>
        <v>6080.71</v>
      </c>
      <c r="AA50" s="118">
        <v>2.5699999999999998E-3</v>
      </c>
      <c r="AB50" s="121">
        <f t="shared" si="61"/>
        <v>38.115669999999994</v>
      </c>
      <c r="AC50" s="45">
        <v>2.63E-3</v>
      </c>
      <c r="AD50" s="17">
        <f t="shared" si="458"/>
        <v>39.00553</v>
      </c>
      <c r="AE50" s="26">
        <f>IF(M50&gt;0,(AG50+AP50)/M50,0)</f>
        <v>3.1717433753624168E-3</v>
      </c>
      <c r="AF50" s="45">
        <v>1.8000000000000001E-4</v>
      </c>
      <c r="AG50" s="36">
        <f t="shared" si="459"/>
        <v>2.6695800000000003</v>
      </c>
      <c r="AH50" s="27">
        <v>0.21540000000000001</v>
      </c>
      <c r="AI50" s="40">
        <f t="shared" si="460"/>
        <v>42.177474000000004</v>
      </c>
      <c r="AJ50" s="27">
        <f t="shared" si="461"/>
        <v>0.93233804793609376</v>
      </c>
      <c r="AK50" s="28">
        <f t="shared" si="6"/>
        <v>0.94399874311144283</v>
      </c>
      <c r="AL50" s="42">
        <v>214</v>
      </c>
      <c r="AM50" s="38">
        <v>8.5000000000000006E-2</v>
      </c>
      <c r="AN50" s="27">
        <v>0.2266</v>
      </c>
      <c r="AO50" s="105">
        <v>0.21809999999999999</v>
      </c>
      <c r="AP50" s="40">
        <f>AL50*(1-AM50)*AN50</f>
        <v>44.370545999999997</v>
      </c>
      <c r="AQ50" s="106">
        <f t="shared" si="21"/>
        <v>42.706161000000002</v>
      </c>
      <c r="AR50" s="17">
        <v>1.55</v>
      </c>
      <c r="AS50" s="17"/>
      <c r="AT50" s="129">
        <f>AT49+AL50-AS50</f>
        <v>2276.0399999999991</v>
      </c>
      <c r="AU50" s="82"/>
      <c r="AV50" s="42"/>
      <c r="AW50" s="46"/>
      <c r="AX50" s="40"/>
      <c r="AY50" s="40"/>
      <c r="AZ50" s="40"/>
      <c r="BA50" s="40"/>
      <c r="BB50" s="31"/>
    </row>
    <row r="51" spans="1:54">
      <c r="A51" s="148"/>
      <c r="B51" s="47" t="s">
        <v>56</v>
      </c>
      <c r="C51" s="48"/>
      <c r="D51" s="49">
        <f t="shared" ref="D51" si="463">SUM(D48:D50)</f>
        <v>48000</v>
      </c>
      <c r="E51" s="49"/>
      <c r="F51" s="49">
        <f t="shared" ref="F51" si="464">SUM(F48:F50)</f>
        <v>47111</v>
      </c>
      <c r="G51" s="50"/>
      <c r="H51" s="50"/>
      <c r="I51" s="49">
        <f t="shared" ref="I51:K51" si="465">SUM(I48:I50)</f>
        <v>47216</v>
      </c>
      <c r="J51" s="50"/>
      <c r="K51" s="49">
        <f t="shared" si="465"/>
        <v>48161</v>
      </c>
      <c r="L51" s="20">
        <f t="shared" ref="L51" si="466">IF(K51&gt;0,(K48*L48+K49*L49+K50*L50)/K51,0)</f>
        <v>6.9323228338282014E-2</v>
      </c>
      <c r="M51" s="50">
        <f t="shared" ref="M51" si="467">M48+M49+M50</f>
        <v>44823</v>
      </c>
      <c r="N51" s="51">
        <f t="shared" ref="N51" si="468">IF(M51&gt;0,O51/M51,0)</f>
        <v>0.69171427615286796</v>
      </c>
      <c r="O51" s="52">
        <f t="shared" ref="O51" si="469">O48+O49+O50</f>
        <v>31004.708999999999</v>
      </c>
      <c r="P51" s="20">
        <f t="shared" ref="P51" si="470">IF(M51&gt;0,Q51/M51,0)</f>
        <v>0.27599647502398328</v>
      </c>
      <c r="Q51" s="52">
        <f t="shared" ref="Q51" si="471">Q48+Q49+Q50</f>
        <v>12370.990000000002</v>
      </c>
      <c r="R51" s="20">
        <f t="shared" ref="R51" si="472">IF(M51&gt;0,T51/M51,0)</f>
        <v>3.2289248823148826E-2</v>
      </c>
      <c r="S51" s="107"/>
      <c r="T51" s="52">
        <f t="shared" ref="T51" si="473">T48+T49+T50</f>
        <v>1447.3009999999999</v>
      </c>
      <c r="U51" s="20">
        <f t="shared" ref="U51" si="474">IF(M51&gt;0,V51/M51,0)</f>
        <v>0.21836831537380361</v>
      </c>
      <c r="V51" s="52">
        <f t="shared" ref="V51" si="475">V48+V49+V50</f>
        <v>9787.9229999999989</v>
      </c>
      <c r="W51" s="20">
        <f t="shared" ref="W51" si="476">IF(M51&gt;0,X51/M51,0)</f>
        <v>0.49029915445195549</v>
      </c>
      <c r="X51" s="52">
        <f t="shared" ref="X51" si="477">X48+X49+X50</f>
        <v>21976.679</v>
      </c>
      <c r="Y51" s="20">
        <f t="shared" ref="Y51" si="478">IF(M51&gt;0,Z51/M51,0)</f>
        <v>0.41336590589652633</v>
      </c>
      <c r="Z51" s="52">
        <f t="shared" ref="Z51" si="479">Z48+Z49+Z50</f>
        <v>18528.3</v>
      </c>
      <c r="AA51" s="119">
        <f t="shared" ref="AA51" si="480">IF(M51&gt;0,AB51/M51,0)</f>
        <v>2.6004961738393235E-3</v>
      </c>
      <c r="AB51" s="54">
        <f t="shared" ref="AB51" si="481">SUM(AB48:AB50)</f>
        <v>116.56204</v>
      </c>
      <c r="AC51" s="53">
        <f t="shared" ref="AC51" si="482">IF(M51&gt;0,AD51/M51,0)</f>
        <v>2.623633625594003E-3</v>
      </c>
      <c r="AD51" s="54">
        <f t="shared" ref="AD51" si="483">SUM(AD48:AD50)</f>
        <v>117.59913</v>
      </c>
      <c r="AE51" s="53">
        <f t="shared" ref="AE51" si="484">IF(M51&gt;0,(AE48*M48+AE49*M49+AE50*M50)/M51,0)</f>
        <v>2.8861469513419449E-3</v>
      </c>
      <c r="AF51" s="53">
        <f t="shared" ref="AF51" si="485">IF(K51&gt;0,(K48*AF48+K49*AF49+K50*AF50)/K51,0)</f>
        <v>1.8670085754033349E-4</v>
      </c>
      <c r="AG51" s="50">
        <f t="shared" ref="AG51" si="486">SUM(AG48:AG50)</f>
        <v>8.3698800000000002</v>
      </c>
      <c r="AH51" s="51">
        <f t="shared" ref="AH51" si="487">IF(K51&gt;0,(K48*AH48+K49*AH49+K50*AH50)/K51,0)</f>
        <v>0.21626021054380098</v>
      </c>
      <c r="AI51" s="56">
        <f t="shared" ref="AI51" si="488">SUM(AI48:AI50)</f>
        <v>117.786914</v>
      </c>
      <c r="AJ51" s="51">
        <f t="shared" ref="AJ51" si="489">IF(AND(AD51&gt;0),((AD48*AJ48+AD49*AJ49+AD50*AJ50)/AD51),0)</f>
        <v>0.92963202607199469</v>
      </c>
      <c r="AK51" s="55">
        <f t="shared" si="6"/>
        <v>0.93609893738710348</v>
      </c>
      <c r="AL51" s="49">
        <f t="shared" ref="AL51" si="490">SUM(AL48:AL50)</f>
        <v>596</v>
      </c>
      <c r="AM51" s="20">
        <f t="shared" ref="AM51" si="491">IF(AL51&gt;0,(AM48*AL48+AM49*AL49+AM50*AL50)/AL51,0)</f>
        <v>8.5963087248322134E-2</v>
      </c>
      <c r="AN51" s="51">
        <f>IF(K51&gt;0,(AN48*K48+AN49*K49+AN50*K50)/K51,0)</f>
        <v>0.22191516164531469</v>
      </c>
      <c r="AO51" s="107">
        <f>IF(L51&gt;0,(AO48*K48+AO49*K49+AO50*K50)/K51,0)</f>
        <v>0.21465045991569942</v>
      </c>
      <c r="AP51" s="56">
        <f t="shared" ref="AP51" si="492">SUM(AP48:AP50)</f>
        <v>120.9958848</v>
      </c>
      <c r="AQ51" s="108">
        <f t="shared" si="404"/>
        <v>117.00938820000002</v>
      </c>
      <c r="AR51" s="54"/>
      <c r="AS51" s="54">
        <f t="shared" ref="AS51" si="493">SUM(AS48:AS50)</f>
        <v>1118.58</v>
      </c>
      <c r="AT51" s="83"/>
      <c r="AU51" s="84">
        <f>AT50</f>
        <v>2276.0399999999991</v>
      </c>
      <c r="AV51" s="49">
        <f t="shared" ref="AV51" si="494">SUM(AV48:AV50)</f>
        <v>0</v>
      </c>
      <c r="AW51" s="57"/>
      <c r="AX51" s="56"/>
      <c r="AY51" s="56"/>
      <c r="AZ51" s="56"/>
      <c r="BA51" s="56"/>
      <c r="BB51" s="21"/>
    </row>
    <row r="52" spans="1:54">
      <c r="A52" s="146">
        <v>13</v>
      </c>
      <c r="B52" s="22">
        <v>1</v>
      </c>
      <c r="C52" s="10" t="s">
        <v>53</v>
      </c>
      <c r="D52" s="11">
        <v>2823</v>
      </c>
      <c r="E52" s="11">
        <v>2</v>
      </c>
      <c r="F52" s="11">
        <v>5188</v>
      </c>
      <c r="G52" s="12">
        <v>0.9</v>
      </c>
      <c r="H52" s="12">
        <v>4.9000000000000004</v>
      </c>
      <c r="I52" s="11">
        <v>5252</v>
      </c>
      <c r="J52" s="12">
        <v>6</v>
      </c>
      <c r="K52" s="11">
        <v>14589</v>
      </c>
      <c r="L52" s="13">
        <v>7.1999999999999995E-2</v>
      </c>
      <c r="M52" s="23">
        <f>ROUND(K52*(1-L52),0)</f>
        <v>13539</v>
      </c>
      <c r="N52" s="14">
        <v>0.67200000000000004</v>
      </c>
      <c r="O52" s="24">
        <f t="shared" ref="O52:O54" si="495">M52*N52</f>
        <v>9098.2080000000005</v>
      </c>
      <c r="P52" s="13">
        <v>0.313</v>
      </c>
      <c r="Q52" s="24">
        <f t="shared" ref="Q52:Q54" si="496">M52*P52</f>
        <v>4237.7070000000003</v>
      </c>
      <c r="R52" s="15">
        <v>1.4999999999999999E-2</v>
      </c>
      <c r="S52" s="112"/>
      <c r="T52" s="24">
        <f t="shared" ref="T52:T54" si="497">M52*R52</f>
        <v>203.08499999999998</v>
      </c>
      <c r="U52" s="25">
        <v>0.21199999999999999</v>
      </c>
      <c r="V52" s="24">
        <f t="shared" ref="V52:V54" si="498">M52*U52</f>
        <v>2870.268</v>
      </c>
      <c r="W52" s="15">
        <v>0.495</v>
      </c>
      <c r="X52" s="24">
        <f t="shared" ref="X52:X54" si="499">M52*W52</f>
        <v>6701.8050000000003</v>
      </c>
      <c r="Y52" s="15">
        <v>0.41</v>
      </c>
      <c r="Z52" s="24">
        <f t="shared" ref="Z52:Z54" si="500">Y52*M52</f>
        <v>5550.99</v>
      </c>
      <c r="AA52" s="116">
        <v>2.6800000000000001E-3</v>
      </c>
      <c r="AB52" s="18">
        <f t="shared" ref="AB52" si="501">M52*AA52</f>
        <v>36.284520000000001</v>
      </c>
      <c r="AC52" s="16">
        <v>2.7000000000000001E-3</v>
      </c>
      <c r="AD52" s="17">
        <f t="shared" ref="AD52:AD54" si="502">M52*AC52</f>
        <v>36.555300000000003</v>
      </c>
      <c r="AE52" s="26">
        <f>IF(M52&gt;0,(AG52+AP52)/M52,0)</f>
        <v>2.7409051628628405E-3</v>
      </c>
      <c r="AF52" s="16">
        <v>1.8000000000000001E-4</v>
      </c>
      <c r="AG52" s="23">
        <f t="shared" ref="AG52:AG54" si="503">AF52*M52</f>
        <v>2.43702</v>
      </c>
      <c r="AH52" s="92">
        <v>0.21729999999999999</v>
      </c>
      <c r="AI52" s="29">
        <f t="shared" ref="AI52:AI54" si="504">AL52*(1-AM52)*AH52</f>
        <v>33.801015</v>
      </c>
      <c r="AJ52" s="27">
        <f t="shared" ref="AJ52:AJ54" si="505">IF(AND(AH52&gt;0,AF52&gt;0,AC52&gt;0),((AC52-AF52)*AH52)/((AH52-AF52)*AC52),0)</f>
        <v>0.93410709899287647</v>
      </c>
      <c r="AK52" s="58">
        <f t="shared" si="6"/>
        <v>0.93508337853118173</v>
      </c>
      <c r="AL52" s="11">
        <v>170</v>
      </c>
      <c r="AM52" s="13">
        <v>8.5000000000000006E-2</v>
      </c>
      <c r="AN52" s="14">
        <v>0.22289999999999999</v>
      </c>
      <c r="AO52" s="101">
        <v>0.214</v>
      </c>
      <c r="AP52" s="29">
        <f>AL52*(1-AM52)*AN52</f>
        <v>34.672094999999999</v>
      </c>
      <c r="AQ52" s="102">
        <f t="shared" ref="AQ52" si="506">AL52*(1-AM52)*AO52</f>
        <v>33.287700000000001</v>
      </c>
      <c r="AR52" s="18">
        <v>1.6</v>
      </c>
      <c r="AS52" s="18"/>
      <c r="AT52" s="79">
        <f>AT50+AL52-AS52</f>
        <v>2446.0399999999991</v>
      </c>
      <c r="AU52" s="80"/>
      <c r="AV52" s="11"/>
      <c r="AW52" s="30"/>
      <c r="AX52" s="19"/>
      <c r="AY52" s="19"/>
      <c r="AZ52" s="19"/>
      <c r="BA52" s="19"/>
      <c r="BB52" s="31"/>
    </row>
    <row r="53" spans="1:54">
      <c r="A53" s="147"/>
      <c r="B53" s="32">
        <v>2</v>
      </c>
      <c r="C53" s="143" t="s">
        <v>54</v>
      </c>
      <c r="D53" s="33">
        <v>14947</v>
      </c>
      <c r="E53" s="33">
        <v>2</v>
      </c>
      <c r="F53" s="33">
        <v>6701</v>
      </c>
      <c r="G53" s="34">
        <v>1.4</v>
      </c>
      <c r="H53" s="34">
        <v>5.3</v>
      </c>
      <c r="I53" s="33">
        <v>7089</v>
      </c>
      <c r="J53" s="34">
        <v>6.5</v>
      </c>
      <c r="K53" s="33">
        <v>14440</v>
      </c>
      <c r="L53" s="35">
        <v>6.8000000000000005E-2</v>
      </c>
      <c r="M53" s="36">
        <f>ROUND(K53*(1-L53),0)</f>
        <v>13458</v>
      </c>
      <c r="N53" s="37">
        <v>0.62</v>
      </c>
      <c r="O53" s="24">
        <f t="shared" si="495"/>
        <v>8343.9599999999991</v>
      </c>
      <c r="P53" s="35">
        <v>0.33700000000000002</v>
      </c>
      <c r="Q53" s="24">
        <f t="shared" si="496"/>
        <v>4535.3460000000005</v>
      </c>
      <c r="R53" s="38">
        <v>4.2999999999999997E-2</v>
      </c>
      <c r="S53" s="105"/>
      <c r="T53" s="24">
        <f t="shared" si="497"/>
        <v>578.69399999999996</v>
      </c>
      <c r="U53" s="27">
        <v>0.219</v>
      </c>
      <c r="V53" s="24">
        <f t="shared" si="498"/>
        <v>2947.3020000000001</v>
      </c>
      <c r="W53" s="38">
        <v>0.498</v>
      </c>
      <c r="X53" s="24">
        <f t="shared" si="499"/>
        <v>6702.0839999999998</v>
      </c>
      <c r="Y53" s="38">
        <v>0.42</v>
      </c>
      <c r="Z53" s="24">
        <f t="shared" si="500"/>
        <v>5652.36</v>
      </c>
      <c r="AA53" s="117">
        <v>2.5799999999999998E-3</v>
      </c>
      <c r="AB53" s="18">
        <f t="shared" si="61"/>
        <v>34.721640000000001</v>
      </c>
      <c r="AC53" s="39">
        <v>2.5899999999999999E-3</v>
      </c>
      <c r="AD53" s="17">
        <f t="shared" si="502"/>
        <v>34.85622</v>
      </c>
      <c r="AE53" s="26">
        <f>IF(M53&gt;0,(AG53+AP53)/M53,0)</f>
        <v>2.7539710878288011E-3</v>
      </c>
      <c r="AF53" s="39">
        <v>2.3000000000000001E-4</v>
      </c>
      <c r="AG53" s="36">
        <f t="shared" si="503"/>
        <v>3.0953400000000002</v>
      </c>
      <c r="AH53" s="27">
        <v>0.21729999999999999</v>
      </c>
      <c r="AI53" s="40">
        <f t="shared" si="504"/>
        <v>31.801637700000004</v>
      </c>
      <c r="AJ53" s="27">
        <f t="shared" si="505"/>
        <v>0.91216238449849718</v>
      </c>
      <c r="AK53" s="28">
        <f t="shared" si="6"/>
        <v>0.917393328709591</v>
      </c>
      <c r="AL53" s="33">
        <v>161</v>
      </c>
      <c r="AM53" s="35">
        <v>9.0999999999999998E-2</v>
      </c>
      <c r="AN53" s="37">
        <v>0.2321</v>
      </c>
      <c r="AO53" s="103">
        <v>0.2296</v>
      </c>
      <c r="AP53" s="40">
        <f>AL53*(1-AM53)*AN53</f>
        <v>33.967602900000003</v>
      </c>
      <c r="AQ53" s="104">
        <f t="shared" si="21"/>
        <v>33.601730400000001</v>
      </c>
      <c r="AR53" s="41">
        <v>1.55</v>
      </c>
      <c r="AS53" s="41"/>
      <c r="AT53" s="129">
        <f>AT52+AL53-AS53</f>
        <v>2607.0399999999991</v>
      </c>
      <c r="AU53" s="82"/>
      <c r="AV53" s="42"/>
      <c r="AW53" s="43"/>
      <c r="AX53" s="44"/>
      <c r="AY53" s="44"/>
      <c r="AZ53" s="44"/>
      <c r="BA53" s="44"/>
      <c r="BB53" s="31"/>
    </row>
    <row r="54" spans="1:54">
      <c r="A54" s="147"/>
      <c r="B54" s="32">
        <v>3</v>
      </c>
      <c r="C54" s="143" t="s">
        <v>55</v>
      </c>
      <c r="D54" s="42">
        <v>13500</v>
      </c>
      <c r="E54" s="42">
        <v>0</v>
      </c>
      <c r="F54" s="42">
        <v>17936</v>
      </c>
      <c r="G54" s="36">
        <v>2.2999999999999998</v>
      </c>
      <c r="H54" s="36">
        <v>6</v>
      </c>
      <c r="I54" s="42">
        <v>17122</v>
      </c>
      <c r="J54" s="36">
        <v>4.4000000000000004</v>
      </c>
      <c r="K54" s="42">
        <v>14626</v>
      </c>
      <c r="L54" s="38">
        <v>7.5999999999999998E-2</v>
      </c>
      <c r="M54" s="36">
        <f>ROUND(K54*(1-L54),0)</f>
        <v>13514</v>
      </c>
      <c r="N54" s="27">
        <v>0.72899999999999998</v>
      </c>
      <c r="O54" s="24">
        <f t="shared" si="495"/>
        <v>9851.7060000000001</v>
      </c>
      <c r="P54" s="38">
        <v>0.247</v>
      </c>
      <c r="Q54" s="24">
        <f t="shared" si="496"/>
        <v>3337.9580000000001</v>
      </c>
      <c r="R54" s="38">
        <v>2.4E-2</v>
      </c>
      <c r="S54" s="105"/>
      <c r="T54" s="24">
        <f t="shared" si="497"/>
        <v>324.33600000000001</v>
      </c>
      <c r="U54" s="27">
        <v>0.214</v>
      </c>
      <c r="V54" s="24">
        <f t="shared" si="498"/>
        <v>2891.9960000000001</v>
      </c>
      <c r="W54" s="38">
        <v>0.502</v>
      </c>
      <c r="X54" s="24">
        <f t="shared" si="499"/>
        <v>6784.0280000000002</v>
      </c>
      <c r="Y54" s="38">
        <v>0.41</v>
      </c>
      <c r="Z54" s="24">
        <f t="shared" si="500"/>
        <v>5540.74</v>
      </c>
      <c r="AA54" s="118">
        <v>2.6800000000000001E-3</v>
      </c>
      <c r="AB54" s="121">
        <f t="shared" si="61"/>
        <v>36.21752</v>
      </c>
      <c r="AC54" s="45">
        <v>2.6800000000000001E-3</v>
      </c>
      <c r="AD54" s="17">
        <f t="shared" si="502"/>
        <v>36.21752</v>
      </c>
      <c r="AE54" s="26">
        <f>IF(M54&gt;0,(AG54+AP54)/M54,0)</f>
        <v>2.86430463223324E-3</v>
      </c>
      <c r="AF54" s="45">
        <v>2.4000000000000001E-4</v>
      </c>
      <c r="AG54" s="36">
        <f t="shared" si="503"/>
        <v>3.24336</v>
      </c>
      <c r="AH54" s="27">
        <v>0.222</v>
      </c>
      <c r="AI54" s="40">
        <f t="shared" si="504"/>
        <v>34.216416000000002</v>
      </c>
      <c r="AJ54" s="27">
        <f t="shared" si="505"/>
        <v>0.91143309426891506</v>
      </c>
      <c r="AK54" s="28">
        <f t="shared" si="6"/>
        <v>0.91716665726611712</v>
      </c>
      <c r="AL54" s="42">
        <v>169</v>
      </c>
      <c r="AM54" s="38">
        <v>8.7999999999999995E-2</v>
      </c>
      <c r="AN54" s="27">
        <v>0.2301</v>
      </c>
      <c r="AO54" s="105">
        <v>0.2273</v>
      </c>
      <c r="AP54" s="40">
        <f>AL54*(1-AM54)*AN54</f>
        <v>35.464852800000003</v>
      </c>
      <c r="AQ54" s="106">
        <f t="shared" si="21"/>
        <v>35.033294400000003</v>
      </c>
      <c r="AR54" s="17">
        <v>1.56</v>
      </c>
      <c r="AS54" s="17"/>
      <c r="AT54" s="129">
        <f>AT53+AL54-AS54</f>
        <v>2776.0399999999991</v>
      </c>
      <c r="AU54" s="82"/>
      <c r="AV54" s="42"/>
      <c r="AW54" s="46"/>
      <c r="AX54" s="40"/>
      <c r="AY54" s="40"/>
      <c r="AZ54" s="40"/>
      <c r="BA54" s="40"/>
      <c r="BB54" s="31"/>
    </row>
    <row r="55" spans="1:54">
      <c r="A55" s="148"/>
      <c r="B55" s="47" t="s">
        <v>56</v>
      </c>
      <c r="C55" s="48"/>
      <c r="D55" s="49">
        <f t="shared" ref="D55" si="507">SUM(D52:D54)</f>
        <v>31270</v>
      </c>
      <c r="E55" s="49"/>
      <c r="F55" s="49">
        <f t="shared" ref="F55" si="508">SUM(F52:F54)</f>
        <v>29825</v>
      </c>
      <c r="G55" s="50"/>
      <c r="H55" s="50"/>
      <c r="I55" s="49">
        <f t="shared" ref="I55:K55" si="509">SUM(I52:I54)</f>
        <v>29463</v>
      </c>
      <c r="J55" s="50"/>
      <c r="K55" s="49">
        <f t="shared" si="509"/>
        <v>43655</v>
      </c>
      <c r="L55" s="20">
        <f t="shared" ref="L55" si="510">IF(K55&gt;0,(K52*L52+K53*L53+K54*L54)/K55,0)</f>
        <v>7.2017042721337757E-2</v>
      </c>
      <c r="M55" s="50">
        <f t="shared" ref="M55" si="511">M52+M53+M54</f>
        <v>40511</v>
      </c>
      <c r="N55" s="51">
        <f t="shared" ref="N55" si="512">IF(M55&gt;0,O55/M55,0)</f>
        <v>0.6737398237515736</v>
      </c>
      <c r="O55" s="52">
        <f t="shared" ref="O55" si="513">O52+O53+O54</f>
        <v>27293.873999999996</v>
      </c>
      <c r="P55" s="20">
        <f t="shared" ref="P55" si="514">IF(M55&gt;0,Q55/M55,0)</f>
        <v>0.29895611068598654</v>
      </c>
      <c r="Q55" s="52">
        <f t="shared" ref="Q55" si="515">Q52+Q53+Q54</f>
        <v>12111.011</v>
      </c>
      <c r="R55" s="20">
        <f t="shared" ref="R55" si="516">IF(M55&gt;0,T55/M55,0)</f>
        <v>2.730406556243983E-2</v>
      </c>
      <c r="S55" s="107"/>
      <c r="T55" s="52">
        <f t="shared" ref="T55" si="517">T52+T53+T54</f>
        <v>1106.115</v>
      </c>
      <c r="U55" s="20">
        <f t="shared" ref="U55" si="518">IF(M55&gt;0,V55/M55,0)</f>
        <v>0.21499261928858826</v>
      </c>
      <c r="V55" s="52">
        <f t="shared" ref="V55" si="519">V52+V53+V54</f>
        <v>8709.5659999999989</v>
      </c>
      <c r="W55" s="20">
        <f t="shared" ref="W55" si="520">IF(M55&gt;0,X55/M55,0)</f>
        <v>0.49833173705907041</v>
      </c>
      <c r="X55" s="52">
        <f t="shared" ref="X55" si="521">X52+X53+X54</f>
        <v>20187.917000000001</v>
      </c>
      <c r="Y55" s="20">
        <f t="shared" ref="Y55" si="522">IF(M55&gt;0,Z55/M55,0)</f>
        <v>0.41332206067487837</v>
      </c>
      <c r="Z55" s="52">
        <f t="shared" ref="Z55" si="523">Z52+Z53+Z54</f>
        <v>16744.089999999997</v>
      </c>
      <c r="AA55" s="119">
        <f t="shared" ref="AA55" si="524">IF(M55&gt;0,AB55/M55,0)</f>
        <v>2.6467793932512156E-3</v>
      </c>
      <c r="AB55" s="54">
        <f t="shared" ref="AB55" si="525">SUM(AB52:AB54)</f>
        <v>107.22368</v>
      </c>
      <c r="AC55" s="53">
        <f t="shared" ref="AC55" si="526">IF(M55&gt;0,AD55/M55,0)</f>
        <v>2.6567855644146036E-3</v>
      </c>
      <c r="AD55" s="54">
        <f t="shared" ref="AD55" si="527">SUM(AD52:AD54)</f>
        <v>107.62904</v>
      </c>
      <c r="AE55" s="53">
        <f t="shared" ref="AE55" si="528">IF(M55&gt;0,(AE52*M52+AE53*M53+AE54*M54)/M55,0)</f>
        <v>2.7864103749598878E-3</v>
      </c>
      <c r="AF55" s="53">
        <f t="shared" ref="AF55" si="529">IF(K55&gt;0,(K52*AF52+K53*AF53+K54*AF54)/K55,0)</f>
        <v>2.1664093460084755E-4</v>
      </c>
      <c r="AG55" s="50">
        <f t="shared" ref="AG55" si="530">SUM(AG52:AG54)</f>
        <v>8.7757199999999997</v>
      </c>
      <c r="AH55" s="51">
        <f t="shared" ref="AH55" si="531">IF(K55&gt;0,(K52*AH52+K53*AH53+K54*AH54)/K55,0)</f>
        <v>0.21887466956820525</v>
      </c>
      <c r="AI55" s="56">
        <f t="shared" ref="AI55" si="532">SUM(AI52:AI54)</f>
        <v>99.819068700000003</v>
      </c>
      <c r="AJ55" s="51">
        <f t="shared" ref="AJ55" si="533">IF(AND(AD55&gt;0),((AD52*AJ52+AD53*AJ53+AD54*AJ54)/AD55),0)</f>
        <v>0.9193703140524605</v>
      </c>
      <c r="AK55" s="55">
        <f t="shared" si="6"/>
        <v>0.92312665814105299</v>
      </c>
      <c r="AL55" s="49">
        <f t="shared" ref="AL55" si="534">SUM(AL52:AL54)</f>
        <v>500</v>
      </c>
      <c r="AM55" s="20">
        <f t="shared" ref="AM55" si="535">IF(AL55&gt;0,(AM52*AL52+AM53*AL53+AM54*AL54)/AL55,0)</f>
        <v>8.7945999999999996E-2</v>
      </c>
      <c r="AN55" s="51">
        <f>IF(K55&gt;0,(AN52*K52+AN53*K53+AN54*K54)/K55,0)</f>
        <v>0.22835539342572442</v>
      </c>
      <c r="AO55" s="107">
        <f>IF(L55&gt;0,(AO52*K52+AO53*K53+AO54*K54)/K55,0)</f>
        <v>0.22361607605085326</v>
      </c>
      <c r="AP55" s="56">
        <f t="shared" ref="AP55" si="536">SUM(AP52:AP54)</f>
        <v>104.1045507</v>
      </c>
      <c r="AQ55" s="108">
        <f t="shared" si="404"/>
        <v>101.92272480000001</v>
      </c>
      <c r="AR55" s="54"/>
      <c r="AS55" s="54">
        <f t="shared" ref="AS55" si="537">SUM(AS52:AS54)</f>
        <v>0</v>
      </c>
      <c r="AT55" s="83"/>
      <c r="AU55" s="84">
        <f>AT54</f>
        <v>2776.0399999999991</v>
      </c>
      <c r="AV55" s="49">
        <f t="shared" ref="AV55" si="538">SUM(AV52:AV54)</f>
        <v>0</v>
      </c>
      <c r="AW55" s="57"/>
      <c r="AX55" s="56"/>
      <c r="AY55" s="56"/>
      <c r="AZ55" s="56"/>
      <c r="BA55" s="56"/>
      <c r="BB55" s="21"/>
    </row>
    <row r="56" spans="1:54">
      <c r="A56" s="146">
        <v>14</v>
      </c>
      <c r="B56" s="22">
        <v>1</v>
      </c>
      <c r="C56" s="10" t="s">
        <v>59</v>
      </c>
      <c r="D56" s="11">
        <v>5000</v>
      </c>
      <c r="E56" s="11">
        <v>0</v>
      </c>
      <c r="F56" s="11">
        <v>16340</v>
      </c>
      <c r="G56" s="12">
        <v>2.7</v>
      </c>
      <c r="H56" s="12">
        <v>5.7</v>
      </c>
      <c r="I56" s="11">
        <v>16684</v>
      </c>
      <c r="J56" s="12">
        <v>4.5</v>
      </c>
      <c r="K56" s="11">
        <v>15126</v>
      </c>
      <c r="L56" s="13">
        <v>6.2E-2</v>
      </c>
      <c r="M56" s="23">
        <f>ROUND(K56*(1-L56),0)</f>
        <v>14188</v>
      </c>
      <c r="N56" s="14">
        <v>0.70399999999999996</v>
      </c>
      <c r="O56" s="24">
        <f t="shared" ref="O56:O58" si="539">M56*N56</f>
        <v>9988.351999999999</v>
      </c>
      <c r="P56" s="13">
        <v>0.26500000000000001</v>
      </c>
      <c r="Q56" s="24">
        <f t="shared" ref="Q56:Q58" si="540">M56*P56</f>
        <v>3759.82</v>
      </c>
      <c r="R56" s="15">
        <v>3.1E-2</v>
      </c>
      <c r="S56" s="112"/>
      <c r="T56" s="24">
        <f t="shared" ref="T56:T58" si="541">M56*R56</f>
        <v>439.82799999999997</v>
      </c>
      <c r="U56" s="25">
        <v>0.23799999999999999</v>
      </c>
      <c r="V56" s="24">
        <f t="shared" ref="V56:V58" si="542">M56*U56</f>
        <v>3376.7439999999997</v>
      </c>
      <c r="W56" s="15">
        <v>0.46800000000000003</v>
      </c>
      <c r="X56" s="24">
        <f t="shared" ref="X56:X58" si="543">M56*W56</f>
        <v>6639.9840000000004</v>
      </c>
      <c r="Y56" s="15">
        <v>0.44</v>
      </c>
      <c r="Z56" s="24">
        <f t="shared" ref="Z56:Z58" si="544">Y56*M56</f>
        <v>6242.72</v>
      </c>
      <c r="AA56" s="116">
        <v>2.5400000000000002E-3</v>
      </c>
      <c r="AB56" s="18">
        <f t="shared" ref="AB56" si="545">M56*AA56</f>
        <v>36.037520000000001</v>
      </c>
      <c r="AC56" s="16">
        <v>2.66E-3</v>
      </c>
      <c r="AD56" s="17">
        <f t="shared" ref="AD56:AD58" si="546">M56*AC56</f>
        <v>37.740079999999999</v>
      </c>
      <c r="AE56" s="26">
        <f>IF(M56&gt;0,(AG56+AP56)/M56,0)</f>
        <v>2.6487457005920502E-3</v>
      </c>
      <c r="AF56" s="16">
        <v>2.0000000000000001E-4</v>
      </c>
      <c r="AG56" s="23">
        <f t="shared" ref="AG56:AG58" si="547">AF56*M56</f>
        <v>2.8376000000000001</v>
      </c>
      <c r="AH56" s="92">
        <v>0.21529999999999999</v>
      </c>
      <c r="AI56" s="29">
        <f t="shared" ref="AI56:AI58" si="548">AL56*(1-AM56)*AH56</f>
        <v>32.451738400000004</v>
      </c>
      <c r="AJ56" s="27">
        <f t="shared" ref="AJ56:AJ58" si="549">IF(AND(AH56&gt;0,AF56&gt;0,AC56&gt;0),((AC56-AF56)*AH56)/((AH56-AF56)*AC56),0)</f>
        <v>0.92567192038674084</v>
      </c>
      <c r="AK56" s="58">
        <f t="shared" si="6"/>
        <v>0.92529542203479631</v>
      </c>
      <c r="AL56" s="11">
        <v>166</v>
      </c>
      <c r="AM56" s="13">
        <v>9.1999999999999998E-2</v>
      </c>
      <c r="AN56" s="14">
        <v>0.23050000000000001</v>
      </c>
      <c r="AO56" s="101">
        <v>0.2268</v>
      </c>
      <c r="AP56" s="29">
        <f>AL56*(1-AM56)*AN56</f>
        <v>34.742804000000007</v>
      </c>
      <c r="AQ56" s="102">
        <f t="shared" ref="AQ56" si="550">AL56*(1-AM56)*AO56</f>
        <v>34.185110399999999</v>
      </c>
      <c r="AR56" s="18">
        <v>1.55</v>
      </c>
      <c r="AS56" s="18">
        <v>1093.1199999999999</v>
      </c>
      <c r="AT56" s="79">
        <f>AT54+AL56-AS56</f>
        <v>1848.9199999999992</v>
      </c>
      <c r="AU56" s="80"/>
      <c r="AV56" s="11"/>
      <c r="AW56" s="30"/>
      <c r="AX56" s="19"/>
      <c r="AY56" s="19"/>
      <c r="AZ56" s="19"/>
      <c r="BA56" s="19"/>
      <c r="BB56" s="31"/>
    </row>
    <row r="57" spans="1:54">
      <c r="A57" s="147"/>
      <c r="B57" s="32">
        <v>2</v>
      </c>
      <c r="C57" s="10" t="s">
        <v>54</v>
      </c>
      <c r="D57" s="33">
        <v>22230</v>
      </c>
      <c r="E57" s="33">
        <v>6</v>
      </c>
      <c r="F57" s="33">
        <v>16126</v>
      </c>
      <c r="G57" s="34">
        <v>1.5</v>
      </c>
      <c r="H57" s="34">
        <v>5.5</v>
      </c>
      <c r="I57" s="33">
        <v>16355</v>
      </c>
      <c r="J57" s="34">
        <v>3.3</v>
      </c>
      <c r="K57" s="33">
        <v>15335</v>
      </c>
      <c r="L57" s="35">
        <v>7.0999999999999994E-2</v>
      </c>
      <c r="M57" s="36">
        <f>ROUND(K57*(1-L57),0)</f>
        <v>14246</v>
      </c>
      <c r="N57" s="37">
        <v>0.65700000000000003</v>
      </c>
      <c r="O57" s="24">
        <f t="shared" si="539"/>
        <v>9359.6220000000012</v>
      </c>
      <c r="P57" s="35">
        <v>0.30499999999999999</v>
      </c>
      <c r="Q57" s="24">
        <f t="shared" si="540"/>
        <v>4345.03</v>
      </c>
      <c r="R57" s="38">
        <v>3.7999999999999999E-2</v>
      </c>
      <c r="S57" s="105">
        <v>0.223</v>
      </c>
      <c r="T57" s="24">
        <f t="shared" si="541"/>
        <v>541.34799999999996</v>
      </c>
      <c r="U57" s="27">
        <v>0.23599999999999999</v>
      </c>
      <c r="V57" s="24">
        <f t="shared" si="542"/>
        <v>3362.056</v>
      </c>
      <c r="W57" s="38">
        <v>0.47699999999999998</v>
      </c>
      <c r="X57" s="24">
        <f t="shared" si="543"/>
        <v>6795.3419999999996</v>
      </c>
      <c r="Y57" s="38">
        <v>0.43</v>
      </c>
      <c r="Z57" s="24">
        <f t="shared" si="544"/>
        <v>6125.78</v>
      </c>
      <c r="AA57" s="117">
        <v>2.5500000000000002E-3</v>
      </c>
      <c r="AB57" s="18">
        <f t="shared" si="61"/>
        <v>36.327300000000001</v>
      </c>
      <c r="AC57" s="39">
        <v>2.6099999999999999E-3</v>
      </c>
      <c r="AD57" s="17">
        <f t="shared" si="546"/>
        <v>37.18206</v>
      </c>
      <c r="AE57" s="26">
        <f>IF(M57&gt;0,(AG57+AP57)/M57,0)</f>
        <v>2.5653019093078763E-3</v>
      </c>
      <c r="AF57" s="39">
        <v>2.0000000000000001E-4</v>
      </c>
      <c r="AG57" s="36">
        <f t="shared" si="547"/>
        <v>2.8492000000000002</v>
      </c>
      <c r="AH57" s="27">
        <v>0.21820000000000001</v>
      </c>
      <c r="AI57" s="40">
        <f t="shared" si="548"/>
        <v>33.2691722</v>
      </c>
      <c r="AJ57" s="27">
        <f t="shared" si="549"/>
        <v>0.92421877746142223</v>
      </c>
      <c r="AK57" s="28">
        <f t="shared" si="6"/>
        <v>0.92287164498315177</v>
      </c>
      <c r="AL57" s="33">
        <v>167</v>
      </c>
      <c r="AM57" s="35">
        <v>8.6999999999999994E-2</v>
      </c>
      <c r="AN57" s="37">
        <v>0.221</v>
      </c>
      <c r="AO57" s="103">
        <v>0.22109999999999999</v>
      </c>
      <c r="AP57" s="40">
        <f>AL57*(1-AM57)*AN57</f>
        <v>33.696091000000003</v>
      </c>
      <c r="AQ57" s="104">
        <f t="shared" si="21"/>
        <v>33.711338099999999</v>
      </c>
      <c r="AR57" s="41">
        <v>1.55</v>
      </c>
      <c r="AS57" s="41"/>
      <c r="AT57" s="129">
        <f>AT56+AL57-AS57</f>
        <v>2015.9199999999992</v>
      </c>
      <c r="AU57" s="82"/>
      <c r="AV57" s="42"/>
      <c r="AW57" s="43"/>
      <c r="AX57" s="44"/>
      <c r="AY57" s="44"/>
      <c r="AZ57" s="44"/>
      <c r="BA57" s="44"/>
      <c r="BB57" s="31"/>
    </row>
    <row r="58" spans="1:54">
      <c r="A58" s="147"/>
      <c r="B58" s="32">
        <v>3</v>
      </c>
      <c r="C58" s="143" t="s">
        <v>55</v>
      </c>
      <c r="D58" s="42">
        <v>21000</v>
      </c>
      <c r="E58" s="42">
        <v>0</v>
      </c>
      <c r="F58" s="42">
        <v>18169</v>
      </c>
      <c r="G58" s="36">
        <v>1.7</v>
      </c>
      <c r="H58" s="36">
        <v>6</v>
      </c>
      <c r="I58" s="42">
        <v>18292</v>
      </c>
      <c r="J58" s="36">
        <v>2.4</v>
      </c>
      <c r="K58" s="42">
        <v>15875</v>
      </c>
      <c r="L58" s="38">
        <v>7.0999999999999994E-2</v>
      </c>
      <c r="M58" s="36">
        <f>ROUND(K58*(1-L58),0)</f>
        <v>14748</v>
      </c>
      <c r="N58" s="27">
        <v>0.63900000000000001</v>
      </c>
      <c r="O58" s="24">
        <f t="shared" si="539"/>
        <v>9423.9719999999998</v>
      </c>
      <c r="P58" s="38">
        <v>0.34499999999999997</v>
      </c>
      <c r="Q58" s="24">
        <f t="shared" si="540"/>
        <v>5088.0599999999995</v>
      </c>
      <c r="R58" s="38">
        <v>1.6E-2</v>
      </c>
      <c r="S58" s="105">
        <v>0.22459999999999999</v>
      </c>
      <c r="T58" s="24">
        <f t="shared" si="541"/>
        <v>235.96800000000002</v>
      </c>
      <c r="U58" s="27">
        <v>0.24399999999999999</v>
      </c>
      <c r="V58" s="24">
        <f t="shared" si="542"/>
        <v>3598.5119999999997</v>
      </c>
      <c r="W58" s="38">
        <v>0.48799999999999999</v>
      </c>
      <c r="X58" s="24">
        <f t="shared" si="543"/>
        <v>7197.0239999999994</v>
      </c>
      <c r="Y58" s="38">
        <v>0.42</v>
      </c>
      <c r="Z58" s="24">
        <f t="shared" si="544"/>
        <v>6194.16</v>
      </c>
      <c r="AA58" s="118">
        <v>2.48E-3</v>
      </c>
      <c r="AB58" s="121">
        <f t="shared" si="61"/>
        <v>36.575040000000001</v>
      </c>
      <c r="AC58" s="45">
        <v>2.65E-3</v>
      </c>
      <c r="AD58" s="17">
        <f t="shared" si="546"/>
        <v>39.0822</v>
      </c>
      <c r="AE58" s="26">
        <f>IF(M58&gt;0,(AG58+AP58)/M58,0)</f>
        <v>2.6825865744507728E-3</v>
      </c>
      <c r="AF58" s="45">
        <v>1.9000000000000001E-4</v>
      </c>
      <c r="AG58" s="36">
        <f t="shared" si="547"/>
        <v>2.8021199999999999</v>
      </c>
      <c r="AH58" s="27">
        <v>0.21540000000000001</v>
      </c>
      <c r="AI58" s="40">
        <f t="shared" si="548"/>
        <v>34.218874800000002</v>
      </c>
      <c r="AJ58" s="27">
        <f t="shared" si="549"/>
        <v>0.92912144609959713</v>
      </c>
      <c r="AK58" s="28">
        <f t="shared" si="6"/>
        <v>0.92993639628886493</v>
      </c>
      <c r="AL58" s="42">
        <v>174</v>
      </c>
      <c r="AM58" s="38">
        <v>8.6999999999999994E-2</v>
      </c>
      <c r="AN58" s="27">
        <v>0.23139999999999999</v>
      </c>
      <c r="AO58" s="105">
        <v>0.22889999999999999</v>
      </c>
      <c r="AP58" s="40">
        <f>AL58*(1-AM58)*AN58</f>
        <v>36.760666799999996</v>
      </c>
      <c r="AQ58" s="106">
        <f t="shared" si="21"/>
        <v>36.363511799999998</v>
      </c>
      <c r="AR58" s="17">
        <v>1.56</v>
      </c>
      <c r="AS58" s="17"/>
      <c r="AT58" s="129">
        <f>AT57+AL58-AS58</f>
        <v>2189.9199999999992</v>
      </c>
      <c r="AU58" s="82"/>
      <c r="AV58" s="42"/>
      <c r="AW58" s="46"/>
      <c r="AX58" s="40"/>
      <c r="AY58" s="40"/>
      <c r="AZ58" s="40"/>
      <c r="BA58" s="40"/>
      <c r="BB58" s="31"/>
    </row>
    <row r="59" spans="1:54">
      <c r="A59" s="148"/>
      <c r="B59" s="47" t="s">
        <v>56</v>
      </c>
      <c r="C59" s="48"/>
      <c r="D59" s="49">
        <f t="shared" ref="D59" si="551">SUM(D56:D58)</f>
        <v>48230</v>
      </c>
      <c r="E59" s="49"/>
      <c r="F59" s="49">
        <f t="shared" ref="F59" si="552">SUM(F56:F58)</f>
        <v>50635</v>
      </c>
      <c r="G59" s="50"/>
      <c r="H59" s="50"/>
      <c r="I59" s="49">
        <f t="shared" ref="I59:K59" si="553">SUM(I56:I58)</f>
        <v>51331</v>
      </c>
      <c r="J59" s="50"/>
      <c r="K59" s="49">
        <f t="shared" si="553"/>
        <v>46336</v>
      </c>
      <c r="L59" s="20">
        <f t="shared" ref="L59" si="554">IF(K59&gt;0,(K56*L56+K57*L57+K58*L58)/K59,0)</f>
        <v>6.8062025207182311E-2</v>
      </c>
      <c r="M59" s="50">
        <f t="shared" ref="M59" si="555">M56+M57+M58</f>
        <v>43182</v>
      </c>
      <c r="N59" s="51">
        <f t="shared" ref="N59" si="556">IF(M59&gt;0,O59/M59,0)</f>
        <v>0.66629489138993103</v>
      </c>
      <c r="O59" s="52">
        <f t="shared" ref="O59" si="557">O56+O57+O58</f>
        <v>28771.946000000004</v>
      </c>
      <c r="P59" s="20">
        <f t="shared" ref="P59" si="558">IF(M59&gt;0,Q59/M59,0)</f>
        <v>0.30551873465795931</v>
      </c>
      <c r="Q59" s="52">
        <f t="shared" ref="Q59" si="559">Q56+Q57+Q58</f>
        <v>13192.91</v>
      </c>
      <c r="R59" s="20">
        <f t="shared" ref="R59" si="560">IF(M59&gt;0,T59/M59,0)</f>
        <v>2.8186373952109676E-2</v>
      </c>
      <c r="S59" s="107"/>
      <c r="T59" s="52">
        <f t="shared" ref="T59" si="561">T56+T57+T58</f>
        <v>1217.144</v>
      </c>
      <c r="U59" s="20">
        <f t="shared" ref="U59" si="562">IF(M59&gt;0,V59/M59,0)</f>
        <v>0.23938937520263068</v>
      </c>
      <c r="V59" s="52">
        <f t="shared" ref="V59" si="563">V56+V57+V58</f>
        <v>10337.311999999998</v>
      </c>
      <c r="W59" s="20">
        <f t="shared" ref="W59" si="564">IF(M59&gt;0,X59/M59,0)</f>
        <v>0.47779977768514653</v>
      </c>
      <c r="X59" s="52">
        <f t="shared" ref="X59" si="565">X56+X57+X58</f>
        <v>20632.349999999999</v>
      </c>
      <c r="Y59" s="20">
        <f t="shared" ref="Y59" si="566">IF(M59&gt;0,Z59/M59,0)</f>
        <v>0.42987031633551015</v>
      </c>
      <c r="Z59" s="52">
        <f t="shared" ref="Z59" si="567">Z56+Z57+Z58</f>
        <v>18562.66</v>
      </c>
      <c r="AA59" s="119">
        <f t="shared" ref="AA59" si="568">IF(M59&gt;0,AB59/M59,0)</f>
        <v>2.5228071881802606E-3</v>
      </c>
      <c r="AB59" s="54">
        <f t="shared" ref="AB59" si="569">SUM(AB56:AB58)</f>
        <v>108.93986000000001</v>
      </c>
      <c r="AC59" s="53">
        <f t="shared" ref="AC59" si="570">IF(M59&gt;0,AD59/M59,0)</f>
        <v>2.640089389097309E-3</v>
      </c>
      <c r="AD59" s="54">
        <f t="shared" ref="AD59" si="571">SUM(AD56:AD58)</f>
        <v>114.00434</v>
      </c>
      <c r="AE59" s="53">
        <f t="shared" ref="AE59" si="572">IF(M59&gt;0,(AE56*M56+AE57*M57+AE58*M58)/M59,0)</f>
        <v>2.6327748089481728E-3</v>
      </c>
      <c r="AF59" s="53">
        <f t="shared" ref="AF59" si="573">IF(K59&gt;0,(K56*AF56+K57*AF57+K58*AF58)/K59,0)</f>
        <v>1.9657393819060777E-4</v>
      </c>
      <c r="AG59" s="50">
        <f t="shared" ref="AG59" si="574">SUM(AG56:AG58)</f>
        <v>8.4889200000000002</v>
      </c>
      <c r="AH59" s="51">
        <f t="shared" ref="AH59" si="575">IF(K59&gt;0,(K56*AH56+K57*AH57+K58*AH58)/K59,0)</f>
        <v>0.21629402192679559</v>
      </c>
      <c r="AI59" s="56">
        <f t="shared" ref="AI59" si="576">SUM(AI56:AI58)</f>
        <v>99.939785400000005</v>
      </c>
      <c r="AJ59" s="51">
        <f t="shared" ref="AJ59" si="577">IF(AND(AD59&gt;0),((AD56*AJ56+AD57*AJ57+AD58*AJ58)/AD59),0)</f>
        <v>0.92638052679924421</v>
      </c>
      <c r="AK59" s="55">
        <f t="shared" si="6"/>
        <v>0.92613549322584188</v>
      </c>
      <c r="AL59" s="49">
        <f t="shared" ref="AL59" si="578">SUM(AL56:AL58)</f>
        <v>507</v>
      </c>
      <c r="AM59" s="20">
        <f t="shared" ref="AM59" si="579">IF(AL59&gt;0,(AM56*AL56+AM57*AL57+AM58*AL58)/AL59,0)</f>
        <v>8.863708086785009E-2</v>
      </c>
      <c r="AN59" s="51">
        <f>IF(K59&gt;0,(AN56*K56+AN57*K57+AN58*K58)/K59,0)</f>
        <v>0.22766429989640885</v>
      </c>
      <c r="AO59" s="107">
        <f>IF(L59&gt;0,(AO56*K56+AO57*K57+AO58*K58)/K59,0)</f>
        <v>0.22563304558011052</v>
      </c>
      <c r="AP59" s="56">
        <f t="shared" ref="AP59:AQ71" si="580">SUM(AP56:AP58)</f>
        <v>105.1995618</v>
      </c>
      <c r="AQ59" s="108">
        <f t="shared" si="580"/>
        <v>104.25996029999999</v>
      </c>
      <c r="AR59" s="54"/>
      <c r="AS59" s="54">
        <f t="shared" ref="AS59" si="581">SUM(AS56:AS58)</f>
        <v>1093.1199999999999</v>
      </c>
      <c r="AT59" s="83"/>
      <c r="AU59" s="84">
        <f>AT58</f>
        <v>2189.9199999999992</v>
      </c>
      <c r="AV59" s="49">
        <f t="shared" ref="AV59" si="582">SUM(AV56:AV58)</f>
        <v>0</v>
      </c>
      <c r="AW59" s="57"/>
      <c r="AX59" s="56"/>
      <c r="AY59" s="56"/>
      <c r="AZ59" s="56"/>
      <c r="BA59" s="56"/>
      <c r="BB59" s="21"/>
    </row>
    <row r="60" spans="1:54">
      <c r="A60" s="146">
        <v>15</v>
      </c>
      <c r="B60" s="22">
        <v>1</v>
      </c>
      <c r="C60" s="10" t="s">
        <v>59</v>
      </c>
      <c r="D60" s="11">
        <v>4300</v>
      </c>
      <c r="E60" s="11">
        <v>1</v>
      </c>
      <c r="F60" s="11">
        <v>10095</v>
      </c>
      <c r="G60" s="12">
        <v>1</v>
      </c>
      <c r="H60" s="12">
        <v>5.9</v>
      </c>
      <c r="I60" s="11">
        <v>10406</v>
      </c>
      <c r="J60" s="12">
        <v>5.3</v>
      </c>
      <c r="K60" s="11">
        <v>16452</v>
      </c>
      <c r="L60" s="13">
        <v>6.0999999999999999E-2</v>
      </c>
      <c r="M60" s="23">
        <f>ROUND(K60*(1-L60),0)</f>
        <v>15448</v>
      </c>
      <c r="N60" s="14">
        <v>0.60399999999999998</v>
      </c>
      <c r="O60" s="24">
        <f t="shared" ref="O60:O62" si="583">M60*N60</f>
        <v>9330.5920000000006</v>
      </c>
      <c r="P60" s="13">
        <v>0.35099999999999998</v>
      </c>
      <c r="Q60" s="24">
        <f t="shared" ref="Q60:Q62" si="584">M60*P60</f>
        <v>5422.2479999999996</v>
      </c>
      <c r="R60" s="15">
        <v>4.4999999999999998E-2</v>
      </c>
      <c r="S60" s="112">
        <v>0.22309999999999999</v>
      </c>
      <c r="T60" s="24">
        <f t="shared" ref="T60:T62" si="585">M60*R60</f>
        <v>695.16</v>
      </c>
      <c r="U60" s="25">
        <v>0.251</v>
      </c>
      <c r="V60" s="24">
        <f t="shared" ref="V60:V62" si="586">M60*U60</f>
        <v>3877.4479999999999</v>
      </c>
      <c r="W60" s="15">
        <v>0.47299999999999998</v>
      </c>
      <c r="X60" s="24">
        <f t="shared" ref="X60:X62" si="587">M60*W60</f>
        <v>7306.9039999999995</v>
      </c>
      <c r="Y60" s="15">
        <v>0.44</v>
      </c>
      <c r="Z60" s="24">
        <f t="shared" ref="Z60:Z62" si="588">Y60*M60</f>
        <v>6797.12</v>
      </c>
      <c r="AA60" s="116">
        <v>2.7799999999999999E-3</v>
      </c>
      <c r="AB60" s="18">
        <f t="shared" ref="AB60:AB61" si="589">M60*AA60</f>
        <v>42.945439999999998</v>
      </c>
      <c r="AC60" s="16">
        <v>2.7599999999999999E-3</v>
      </c>
      <c r="AD60" s="17">
        <f t="shared" ref="AD60:AD62" si="590">M60*AC60</f>
        <v>42.636479999999999</v>
      </c>
      <c r="AE60" s="26">
        <f>IF(M60&gt;0,(AG60+AP60)/M60,0)</f>
        <v>2.5821569523562923E-3</v>
      </c>
      <c r="AF60" s="16">
        <v>2.0000000000000001E-4</v>
      </c>
      <c r="AG60" s="23">
        <f t="shared" ref="AG60:AG62" si="591">AF60*M60</f>
        <v>3.0896000000000003</v>
      </c>
      <c r="AH60" s="92">
        <v>0.21809999999999999</v>
      </c>
      <c r="AI60" s="29">
        <f t="shared" ref="AI60:AI62" si="592">AL60*(1-AM60)*AH60</f>
        <v>37.037305799999999</v>
      </c>
      <c r="AJ60" s="27">
        <f t="shared" ref="AJ60:AJ62" si="593">IF(AND(AH60&gt;0,AF60&gt;0,AC60&gt;0),((AC60-AF60)*AH60)/((AH60-AF60)*AC60),0)</f>
        <v>0.928387573078995</v>
      </c>
      <c r="AK60" s="58">
        <f t="shared" si="6"/>
        <v>0.92339761030594636</v>
      </c>
      <c r="AL60" s="11">
        <v>186</v>
      </c>
      <c r="AM60" s="13">
        <v>8.6999999999999994E-2</v>
      </c>
      <c r="AN60" s="14">
        <v>0.2167</v>
      </c>
      <c r="AO60" s="101">
        <v>0.21740000000000001</v>
      </c>
      <c r="AP60" s="29">
        <f>AL60*(1-AM60)*AN60</f>
        <v>36.799560600000007</v>
      </c>
      <c r="AQ60" s="102">
        <f t="shared" ref="AQ60" si="594">AL60*(1-AM60)*AO60</f>
        <v>36.918433200000003</v>
      </c>
      <c r="AR60" s="18">
        <v>1.56</v>
      </c>
      <c r="AS60" s="18"/>
      <c r="AT60" s="79">
        <f>AT58+AL60-AS60</f>
        <v>2375.9199999999992</v>
      </c>
      <c r="AU60" s="80"/>
      <c r="AV60" s="11"/>
      <c r="AW60" s="30"/>
      <c r="AX60" s="19"/>
      <c r="AY60" s="19"/>
      <c r="AZ60" s="19"/>
      <c r="BA60" s="19"/>
      <c r="BB60" s="31"/>
    </row>
    <row r="61" spans="1:54">
      <c r="A61" s="147"/>
      <c r="B61" s="32">
        <v>2</v>
      </c>
      <c r="C61" s="10" t="s">
        <v>54</v>
      </c>
      <c r="D61" s="33">
        <v>20170</v>
      </c>
      <c r="E61" s="33">
        <v>5</v>
      </c>
      <c r="F61" s="33">
        <v>16969</v>
      </c>
      <c r="G61" s="34">
        <v>1.5</v>
      </c>
      <c r="H61" s="34">
        <v>5.2</v>
      </c>
      <c r="I61" s="33">
        <v>16628</v>
      </c>
      <c r="J61" s="34">
        <v>4.5</v>
      </c>
      <c r="K61" s="33">
        <v>16534</v>
      </c>
      <c r="L61" s="35">
        <v>7.5999999999999998E-2</v>
      </c>
      <c r="M61" s="36">
        <f>ROUND(K61*(1-L61),0)</f>
        <v>15277</v>
      </c>
      <c r="N61" s="37">
        <v>0.71599999999999997</v>
      </c>
      <c r="O61" s="24">
        <f t="shared" si="583"/>
        <v>10938.332</v>
      </c>
      <c r="P61" s="35">
        <v>0.26300000000000001</v>
      </c>
      <c r="Q61" s="24">
        <f t="shared" si="584"/>
        <v>4017.8510000000001</v>
      </c>
      <c r="R61" s="38">
        <v>2.1000000000000001E-2</v>
      </c>
      <c r="S61" s="105">
        <v>0.21560000000000001</v>
      </c>
      <c r="T61" s="24">
        <f t="shared" si="585"/>
        <v>320.81700000000001</v>
      </c>
      <c r="U61" s="27">
        <v>0.24099999999999999</v>
      </c>
      <c r="V61" s="24">
        <f t="shared" si="586"/>
        <v>3681.7570000000001</v>
      </c>
      <c r="W61" s="38">
        <v>0.48099999999999998</v>
      </c>
      <c r="X61" s="24">
        <f t="shared" si="587"/>
        <v>7348.2370000000001</v>
      </c>
      <c r="Y61" s="38">
        <v>0.43</v>
      </c>
      <c r="Z61" s="24">
        <f t="shared" si="588"/>
        <v>6569.11</v>
      </c>
      <c r="AA61" s="118">
        <v>2.63E-3</v>
      </c>
      <c r="AB61" s="18">
        <f t="shared" si="589"/>
        <v>40.178510000000003</v>
      </c>
      <c r="AC61" s="39">
        <v>2.65E-3</v>
      </c>
      <c r="AD61" s="17">
        <f t="shared" si="590"/>
        <v>40.484050000000003</v>
      </c>
      <c r="AE61" s="26">
        <f>IF(M61&gt;0,(AG61+AP61)/M61,0)</f>
        <v>2.8169118282385286E-3</v>
      </c>
      <c r="AF61" s="39">
        <v>2.1000000000000001E-4</v>
      </c>
      <c r="AG61" s="36">
        <f t="shared" si="591"/>
        <v>3.20817</v>
      </c>
      <c r="AH61" s="27">
        <v>0.2167</v>
      </c>
      <c r="AI61" s="40">
        <f t="shared" si="592"/>
        <v>37.457678500000007</v>
      </c>
      <c r="AJ61" s="27">
        <f t="shared" si="593"/>
        <v>0.92164786904619755</v>
      </c>
      <c r="AK61" s="28">
        <f t="shared" si="6"/>
        <v>0.92629455465222854</v>
      </c>
      <c r="AL61" s="33">
        <v>191</v>
      </c>
      <c r="AM61" s="35">
        <v>9.5000000000000001E-2</v>
      </c>
      <c r="AN61" s="37">
        <v>0.23039999999999999</v>
      </c>
      <c r="AO61" s="103">
        <v>0.2303</v>
      </c>
      <c r="AP61" s="40">
        <f>AL61*(1-AM61)*AN61</f>
        <v>39.825792</v>
      </c>
      <c r="AQ61" s="104">
        <f t="shared" si="21"/>
        <v>39.808506500000007</v>
      </c>
      <c r="AR61" s="41">
        <v>1.55</v>
      </c>
      <c r="AS61" s="41"/>
      <c r="AT61" s="129">
        <f>AT60+AL61-AS61</f>
        <v>2566.9199999999992</v>
      </c>
      <c r="AU61" s="82"/>
      <c r="AV61" s="42"/>
      <c r="AW61" s="43"/>
      <c r="AX61" s="44"/>
      <c r="AY61" s="44"/>
      <c r="AZ61" s="44"/>
      <c r="BA61" s="44"/>
      <c r="BB61" s="31"/>
    </row>
    <row r="62" spans="1:54">
      <c r="A62" s="147"/>
      <c r="B62" s="32">
        <v>3</v>
      </c>
      <c r="C62" s="143" t="s">
        <v>55</v>
      </c>
      <c r="D62" s="42">
        <v>16600</v>
      </c>
      <c r="E62" s="42">
        <v>3</v>
      </c>
      <c r="F62" s="42">
        <v>18473</v>
      </c>
      <c r="G62" s="36">
        <v>0.8</v>
      </c>
      <c r="H62" s="36">
        <v>5.0999999999999996</v>
      </c>
      <c r="I62" s="42">
        <v>18155</v>
      </c>
      <c r="J62" s="36">
        <v>3.9</v>
      </c>
      <c r="K62" s="42">
        <v>16587</v>
      </c>
      <c r="L62" s="38">
        <v>6.4000000000000001E-2</v>
      </c>
      <c r="M62" s="36">
        <f>ROUND(K62*(1-L62),0)</f>
        <v>15525</v>
      </c>
      <c r="N62" s="27">
        <v>0.626</v>
      </c>
      <c r="O62" s="24">
        <f t="shared" si="583"/>
        <v>9718.65</v>
      </c>
      <c r="P62" s="38">
        <v>0.33900000000000002</v>
      </c>
      <c r="Q62" s="24">
        <f t="shared" si="584"/>
        <v>5262.9750000000004</v>
      </c>
      <c r="R62" s="38">
        <v>3.5000000000000003E-2</v>
      </c>
      <c r="S62" s="105">
        <v>0.2135</v>
      </c>
      <c r="T62" s="24">
        <f t="shared" si="585"/>
        <v>543.375</v>
      </c>
      <c r="U62" s="27">
        <v>0.23100000000000001</v>
      </c>
      <c r="V62" s="24">
        <f t="shared" si="586"/>
        <v>3586.2750000000001</v>
      </c>
      <c r="W62" s="38">
        <v>0.48799999999999999</v>
      </c>
      <c r="X62" s="24">
        <f t="shared" si="587"/>
        <v>7576.2</v>
      </c>
      <c r="Y62" s="38">
        <v>0.42</v>
      </c>
      <c r="Z62" s="24">
        <f t="shared" si="588"/>
        <v>6520.5</v>
      </c>
      <c r="AA62" s="118">
        <v>2.5799999999999998E-3</v>
      </c>
      <c r="AB62" s="121">
        <f>M62*AA61</f>
        <v>40.830750000000002</v>
      </c>
      <c r="AC62" s="45">
        <v>2.63E-3</v>
      </c>
      <c r="AD62" s="17">
        <f t="shared" si="590"/>
        <v>40.830750000000002</v>
      </c>
      <c r="AE62" s="26">
        <f>IF(M62&gt;0,(AG62+AP62)/M62,0)</f>
        <v>2.7127531851851849E-3</v>
      </c>
      <c r="AF62" s="45">
        <v>2.1000000000000001E-4</v>
      </c>
      <c r="AG62" s="36">
        <f t="shared" si="591"/>
        <v>3.2602500000000001</v>
      </c>
      <c r="AH62" s="27">
        <v>0.21829999999999999</v>
      </c>
      <c r="AI62" s="40">
        <f t="shared" si="592"/>
        <v>36.592319199999999</v>
      </c>
      <c r="AJ62" s="27">
        <f t="shared" si="593"/>
        <v>0.92103811050902162</v>
      </c>
      <c r="AK62" s="28">
        <f t="shared" si="6"/>
        <v>0.92342445034977438</v>
      </c>
      <c r="AL62" s="42">
        <v>184</v>
      </c>
      <c r="AM62" s="38">
        <v>8.8999999999999996E-2</v>
      </c>
      <c r="AN62" s="27">
        <v>0.23180000000000001</v>
      </c>
      <c r="AO62" s="105">
        <v>0.2253</v>
      </c>
      <c r="AP62" s="40">
        <f>AL62*(1-AM62)*AN62</f>
        <v>38.855243199999997</v>
      </c>
      <c r="AQ62" s="106">
        <f t="shared" si="21"/>
        <v>37.765687200000002</v>
      </c>
      <c r="AR62" s="17">
        <v>1.56</v>
      </c>
      <c r="AS62" s="17"/>
      <c r="AT62" s="129">
        <f>AT61+AL62-AS62</f>
        <v>2750.9199999999992</v>
      </c>
      <c r="AU62" s="82"/>
      <c r="AV62" s="42"/>
      <c r="AW62" s="46"/>
      <c r="AX62" s="40"/>
      <c r="AY62" s="40"/>
      <c r="AZ62" s="40"/>
      <c r="BA62" s="40"/>
      <c r="BB62" s="31"/>
    </row>
    <row r="63" spans="1:54">
      <c r="A63" s="148"/>
      <c r="B63" s="47" t="s">
        <v>56</v>
      </c>
      <c r="C63" s="48"/>
      <c r="D63" s="49">
        <f t="shared" ref="D63" si="595">SUM(D60:D62)</f>
        <v>41070</v>
      </c>
      <c r="E63" s="49"/>
      <c r="F63" s="49">
        <f t="shared" ref="F63" si="596">SUM(F60:F62)</f>
        <v>45537</v>
      </c>
      <c r="G63" s="50"/>
      <c r="H63" s="50"/>
      <c r="I63" s="49">
        <f t="shared" ref="I63:K63" si="597">SUM(I60:I62)</f>
        <v>45189</v>
      </c>
      <c r="J63" s="50"/>
      <c r="K63" s="49">
        <f t="shared" si="597"/>
        <v>49573</v>
      </c>
      <c r="L63" s="20">
        <f t="shared" ref="L63" si="598">IF(K63&gt;0,(K60*L60+K61*L61+K62*L62)/K63,0)</f>
        <v>6.7006717366308283E-2</v>
      </c>
      <c r="M63" s="50">
        <f t="shared" ref="M63" si="599">M60+M61+M62</f>
        <v>46250</v>
      </c>
      <c r="N63" s="51">
        <f t="shared" ref="N63" si="600">IF(M63&gt;0,O63/M63,0)</f>
        <v>0.64837997837837835</v>
      </c>
      <c r="O63" s="52">
        <f t="shared" ref="O63" si="601">O60+O61+O62</f>
        <v>29987.574000000001</v>
      </c>
      <c r="P63" s="20">
        <f t="shared" ref="P63" si="602">IF(M63&gt;0,Q63/M63,0)</f>
        <v>0.3179043027027027</v>
      </c>
      <c r="Q63" s="52">
        <f t="shared" ref="Q63" si="603">Q60+Q61+Q62</f>
        <v>14703.074000000001</v>
      </c>
      <c r="R63" s="20">
        <f t="shared" ref="R63" si="604">IF(M63&gt;0,T63/M63,0)</f>
        <v>3.3715718918918919E-2</v>
      </c>
      <c r="S63" s="107"/>
      <c r="T63" s="52">
        <f t="shared" ref="T63" si="605">T60+T61+T62</f>
        <v>1559.3519999999999</v>
      </c>
      <c r="U63" s="20">
        <f t="shared" ref="U63" si="606">IF(M63&gt;0,V63/M63,0)</f>
        <v>0.24098335135135135</v>
      </c>
      <c r="V63" s="52">
        <f t="shared" ref="V63" si="607">V60+V61+V62</f>
        <v>11145.48</v>
      </c>
      <c r="W63" s="20">
        <f t="shared" ref="W63" si="608">IF(M63&gt;0,X63/M63,0)</f>
        <v>0.48067764324324325</v>
      </c>
      <c r="X63" s="52">
        <f t="shared" ref="X63" si="609">X60+X61+X62</f>
        <v>22231.341</v>
      </c>
      <c r="Y63" s="20">
        <f t="shared" ref="Y63" si="610">IF(M63&gt;0,Z63/M63,0)</f>
        <v>0.42998335135135135</v>
      </c>
      <c r="Z63" s="52">
        <f t="shared" ref="Z63" si="611">Z60+Z61+Z62</f>
        <v>19886.73</v>
      </c>
      <c r="AA63" s="119">
        <f t="shared" ref="AA63" si="612">IF(M63&gt;0,AB63/M63,0)</f>
        <v>2.6801016216216216E-3</v>
      </c>
      <c r="AB63" s="54">
        <f t="shared" ref="AB63" si="613">SUM(AB60:AB62)</f>
        <v>123.9547</v>
      </c>
      <c r="AC63" s="53">
        <f t="shared" ref="AC63" si="614">IF(M63&gt;0,AD63/M63,0)</f>
        <v>2.6800276756756758E-3</v>
      </c>
      <c r="AD63" s="54">
        <f t="shared" ref="AD63" si="615">SUM(AD60:AD62)</f>
        <v>123.95128</v>
      </c>
      <c r="AE63" s="53">
        <f t="shared" ref="AE63" si="616">IF(M63&gt;0,(AE60*M60+AE61*M61+AE62*M62)/M63,0)</f>
        <v>2.7035376389189189E-3</v>
      </c>
      <c r="AF63" s="53">
        <f t="shared" ref="AF63" si="617">IF(K63&gt;0,(K60*AF60+K61*AF61+K62*AF62)/K63,0)</f>
        <v>2.0668125794283176E-4</v>
      </c>
      <c r="AG63" s="50">
        <f t="shared" ref="AG63" si="618">SUM(AG60:AG62)</f>
        <v>9.5580199999999991</v>
      </c>
      <c r="AH63" s="51">
        <f t="shared" ref="AH63" si="619">IF(K63&gt;0,(K60*AH60+K61*AH61+K62*AH62)/K63,0)</f>
        <v>0.21769997982772882</v>
      </c>
      <c r="AI63" s="56">
        <f t="shared" ref="AI63" si="620">SUM(AI60:AI62)</f>
        <v>111.08730349999999</v>
      </c>
      <c r="AJ63" s="51">
        <f t="shared" ref="AJ63" si="621">IF(AND(AD63&gt;0),((AD60*AJ60+AD61*AJ61+AD62*AJ62)/AD63),0)</f>
        <v>0.92376531678702356</v>
      </c>
      <c r="AK63" s="55">
        <f t="shared" si="6"/>
        <v>0.92439572694732841</v>
      </c>
      <c r="AL63" s="49">
        <f t="shared" ref="AL63" si="622">SUM(AL60:AL62)</f>
        <v>561</v>
      </c>
      <c r="AM63" s="20">
        <f t="shared" ref="AM63" si="623">IF(AL63&gt;0,(AM60*AL60+AM61*AL61+AM62*AL62)/AL63,0)</f>
        <v>9.0379679144385022E-2</v>
      </c>
      <c r="AN63" s="51">
        <f>IF(K63&gt;0,(AN60*K60+AN61*K61+AN62*K62)/K63,0)</f>
        <v>0.22632175982893912</v>
      </c>
      <c r="AO63" s="107">
        <f>IF(L63&gt;0,(AO60*K60+AO61*K61+AO62*K62)/K63,0)</f>
        <v>0.22434583543461159</v>
      </c>
      <c r="AP63" s="56">
        <f t="shared" ref="AP63" si="624">SUM(AP60:AP62)</f>
        <v>115.4805958</v>
      </c>
      <c r="AQ63" s="108">
        <f t="shared" si="580"/>
        <v>114.4926269</v>
      </c>
      <c r="AR63" s="54"/>
      <c r="AS63" s="54">
        <f t="shared" ref="AS63" si="625">SUM(AS60:AS62)</f>
        <v>0</v>
      </c>
      <c r="AT63" s="83"/>
      <c r="AU63" s="84">
        <f>AT62</f>
        <v>2750.9199999999992</v>
      </c>
      <c r="AV63" s="49">
        <f t="shared" ref="AV63" si="626">SUM(AV60:AV62)</f>
        <v>0</v>
      </c>
      <c r="AW63" s="57"/>
      <c r="AX63" s="56"/>
      <c r="AY63" s="56"/>
      <c r="AZ63" s="56"/>
      <c r="BA63" s="56"/>
      <c r="BB63" s="21"/>
    </row>
    <row r="64" spans="1:54">
      <c r="A64" s="146">
        <v>16</v>
      </c>
      <c r="B64" s="22">
        <v>1</v>
      </c>
      <c r="C64" s="10" t="s">
        <v>59</v>
      </c>
      <c r="D64" s="11">
        <v>4400</v>
      </c>
      <c r="E64" s="11">
        <v>4</v>
      </c>
      <c r="F64" s="11">
        <v>12370</v>
      </c>
      <c r="G64" s="12">
        <v>0.8</v>
      </c>
      <c r="H64" s="12">
        <v>4.4000000000000004</v>
      </c>
      <c r="I64" s="11">
        <v>12958</v>
      </c>
      <c r="J64" s="12">
        <v>4.5999999999999996</v>
      </c>
      <c r="K64" s="11">
        <v>16387</v>
      </c>
      <c r="L64" s="13">
        <v>7.0000000000000007E-2</v>
      </c>
      <c r="M64" s="23">
        <f>ROUND(K64*(1-L64),0)</f>
        <v>15240</v>
      </c>
      <c r="N64" s="14">
        <v>0.67700000000000005</v>
      </c>
      <c r="O64" s="24">
        <f t="shared" ref="O64:O66" si="627">M64*N64</f>
        <v>10317.480000000001</v>
      </c>
      <c r="P64" s="13">
        <v>0.25900000000000001</v>
      </c>
      <c r="Q64" s="24">
        <f t="shared" ref="Q64:Q66" si="628">M64*P64</f>
        <v>3947.1600000000003</v>
      </c>
      <c r="R64" s="15">
        <v>6.4000000000000001E-2</v>
      </c>
      <c r="S64" s="112">
        <v>0.26740000000000003</v>
      </c>
      <c r="T64" s="24">
        <f t="shared" ref="T64:T66" si="629">M64*R64</f>
        <v>975.36</v>
      </c>
      <c r="U64" s="25">
        <v>0.249</v>
      </c>
      <c r="V64" s="24">
        <f t="shared" ref="V64:V66" si="630">M64*U64</f>
        <v>3794.7599999999998</v>
      </c>
      <c r="W64" s="15">
        <v>0.47</v>
      </c>
      <c r="X64" s="24">
        <f t="shared" ref="X64:X66" si="631">M64*W64</f>
        <v>7162.7999999999993</v>
      </c>
      <c r="Y64" s="15">
        <v>0.44</v>
      </c>
      <c r="Z64" s="24">
        <f t="shared" ref="Z64:Z66" si="632">Y64*M64</f>
        <v>6705.6</v>
      </c>
      <c r="AA64" s="116">
        <v>2.3700000000000001E-3</v>
      </c>
      <c r="AB64" s="18">
        <f t="shared" ref="AB64" si="633">M64*AA64</f>
        <v>36.1188</v>
      </c>
      <c r="AC64" s="16">
        <v>2.33E-3</v>
      </c>
      <c r="AD64" s="17">
        <f t="shared" ref="AD64:AD66" si="634">M64*AC64</f>
        <v>35.5092</v>
      </c>
      <c r="AE64" s="26">
        <f>IF(M64&gt;0,(AG64+AP64)/M64,0)</f>
        <v>2.3760100984251968E-3</v>
      </c>
      <c r="AF64" s="16">
        <v>2.1000000000000001E-4</v>
      </c>
      <c r="AG64" s="23">
        <f t="shared" ref="AG64:AG66" si="635">AF64*M64</f>
        <v>3.2004000000000001</v>
      </c>
      <c r="AH64" s="92">
        <v>0.21890000000000001</v>
      </c>
      <c r="AI64" s="29">
        <f t="shared" ref="AI64:AI66" si="636">AL64*(1-AM64)*AH64</f>
        <v>32.5051177</v>
      </c>
      <c r="AJ64" s="27">
        <f t="shared" ref="AJ64:AJ66" si="637">IF(AND(AH64&gt;0,AF64&gt;0,AC64&gt;0),((AC64-AF64)*AH64)/((AH64-AF64)*AC64),0)</f>
        <v>0.91074496067787158</v>
      </c>
      <c r="AK64" s="58">
        <f t="shared" si="6"/>
        <v>0.91247852777376193</v>
      </c>
      <c r="AL64" s="11">
        <v>163</v>
      </c>
      <c r="AM64" s="13">
        <v>8.8999999999999996E-2</v>
      </c>
      <c r="AN64" s="14">
        <v>0.2223</v>
      </c>
      <c r="AO64" s="101">
        <v>0.22070000000000001</v>
      </c>
      <c r="AP64" s="29">
        <f>AL64*(1-AM64)*AN64</f>
        <v>33.009993899999998</v>
      </c>
      <c r="AQ64" s="102">
        <f t="shared" ref="AQ64" si="638">AL64*(1-AM64)*AO64</f>
        <v>32.7724051</v>
      </c>
      <c r="AR64" s="18">
        <v>1.55</v>
      </c>
      <c r="AS64" s="18">
        <v>1097.06</v>
      </c>
      <c r="AT64" s="79">
        <f>AT62+AL64-AS64+AU64</f>
        <v>1818.6599999999992</v>
      </c>
      <c r="AU64" s="130">
        <v>1.8</v>
      </c>
      <c r="AV64" s="11"/>
      <c r="AW64" s="30"/>
      <c r="AX64" s="19"/>
      <c r="AY64" s="19"/>
      <c r="AZ64" s="19"/>
      <c r="BA64" s="19"/>
      <c r="BB64" s="31"/>
    </row>
    <row r="65" spans="1:54">
      <c r="A65" s="147"/>
      <c r="B65" s="32">
        <v>2</v>
      </c>
      <c r="C65" s="10" t="s">
        <v>53</v>
      </c>
      <c r="D65" s="33">
        <v>19180</v>
      </c>
      <c r="E65" s="33">
        <v>6</v>
      </c>
      <c r="F65" s="33">
        <v>16375</v>
      </c>
      <c r="G65" s="34">
        <v>1.2</v>
      </c>
      <c r="H65" s="34">
        <v>4.8</v>
      </c>
      <c r="I65" s="33">
        <v>15929</v>
      </c>
      <c r="J65" s="34">
        <v>4.4000000000000004</v>
      </c>
      <c r="K65" s="33">
        <v>16919</v>
      </c>
      <c r="L65" s="35">
        <v>7.3999999999999996E-2</v>
      </c>
      <c r="M65" s="36">
        <f>ROUND(K65*(1-L65),0)</f>
        <v>15667</v>
      </c>
      <c r="N65" s="37">
        <v>0.72299999999999998</v>
      </c>
      <c r="O65" s="24">
        <f t="shared" si="627"/>
        <v>11327.241</v>
      </c>
      <c r="P65" s="35">
        <v>0.24399999999999999</v>
      </c>
      <c r="Q65" s="24">
        <f t="shared" si="628"/>
        <v>3822.748</v>
      </c>
      <c r="R65" s="38">
        <v>3.3000000000000002E-2</v>
      </c>
      <c r="S65" s="105">
        <v>0.2266</v>
      </c>
      <c r="T65" s="24">
        <f t="shared" si="629"/>
        <v>517.01100000000008</v>
      </c>
      <c r="U65" s="27">
        <v>0.25900000000000001</v>
      </c>
      <c r="V65" s="24">
        <f t="shared" si="630"/>
        <v>4057.7530000000002</v>
      </c>
      <c r="W65" s="38">
        <v>0.45900000000000002</v>
      </c>
      <c r="X65" s="24">
        <f t="shared" si="631"/>
        <v>7191.1530000000002</v>
      </c>
      <c r="Y65" s="38">
        <v>0.43</v>
      </c>
      <c r="Z65" s="24">
        <f t="shared" si="632"/>
        <v>6736.8099999999995</v>
      </c>
      <c r="AA65" s="117">
        <v>2.2000000000000001E-3</v>
      </c>
      <c r="AB65" s="18">
        <f t="shared" si="61"/>
        <v>34.467400000000005</v>
      </c>
      <c r="AC65" s="39">
        <v>2.1099999999999999E-3</v>
      </c>
      <c r="AD65" s="17">
        <f t="shared" si="634"/>
        <v>33.057369999999999</v>
      </c>
      <c r="AE65" s="26">
        <f>IF(M65&gt;0,(AG65+AP65)/M65,0)</f>
        <v>2.3676319652773349E-3</v>
      </c>
      <c r="AF65" s="39">
        <v>1.9000000000000001E-4</v>
      </c>
      <c r="AG65" s="36">
        <f t="shared" si="635"/>
        <v>2.9767300000000003</v>
      </c>
      <c r="AH65" s="27">
        <v>0.21379999999999999</v>
      </c>
      <c r="AI65" s="40">
        <f t="shared" si="636"/>
        <v>32.856783999999998</v>
      </c>
      <c r="AJ65" s="27">
        <f t="shared" si="637"/>
        <v>0.9107619835147146</v>
      </c>
      <c r="AK65" s="28">
        <f t="shared" si="6"/>
        <v>0.92053888981421716</v>
      </c>
      <c r="AL65" s="33">
        <v>170</v>
      </c>
      <c r="AM65" s="35">
        <v>9.6000000000000002E-2</v>
      </c>
      <c r="AN65" s="37">
        <v>0.222</v>
      </c>
      <c r="AO65" s="103">
        <v>0.2301</v>
      </c>
      <c r="AP65" s="40">
        <f>AL65*(1-AM65)*AN65</f>
        <v>34.116959999999999</v>
      </c>
      <c r="AQ65" s="104">
        <f t="shared" si="21"/>
        <v>35.361767999999998</v>
      </c>
      <c r="AR65" s="41">
        <v>1.5</v>
      </c>
      <c r="AS65" s="41"/>
      <c r="AT65" s="129">
        <f>AT64+AL65-AS65</f>
        <v>1988.6599999999992</v>
      </c>
      <c r="AU65" s="82"/>
      <c r="AV65" s="42"/>
      <c r="AW65" s="43"/>
      <c r="AX65" s="44"/>
      <c r="AY65" s="44"/>
      <c r="AZ65" s="44"/>
      <c r="BA65" s="44"/>
      <c r="BB65" s="31"/>
    </row>
    <row r="66" spans="1:54">
      <c r="A66" s="147"/>
      <c r="B66" s="32">
        <v>3</v>
      </c>
      <c r="C66" s="143" t="s">
        <v>55</v>
      </c>
      <c r="D66" s="42">
        <v>18500</v>
      </c>
      <c r="E66" s="42">
        <v>2</v>
      </c>
      <c r="F66" s="42">
        <v>16753</v>
      </c>
      <c r="G66" s="36">
        <v>0.3</v>
      </c>
      <c r="H66" s="36">
        <v>3.7</v>
      </c>
      <c r="I66" s="42">
        <v>16867</v>
      </c>
      <c r="J66" s="36">
        <v>4.4000000000000004</v>
      </c>
      <c r="K66" s="42">
        <v>16948</v>
      </c>
      <c r="L66" s="38">
        <v>7.3999999999999996E-2</v>
      </c>
      <c r="M66" s="36">
        <f>ROUND(K66*(1-L66),0)</f>
        <v>15694</v>
      </c>
      <c r="N66" s="27">
        <v>0.78400000000000003</v>
      </c>
      <c r="O66" s="24">
        <f t="shared" si="627"/>
        <v>12304.096000000001</v>
      </c>
      <c r="P66" s="38">
        <v>0.19500000000000001</v>
      </c>
      <c r="Q66" s="24">
        <f t="shared" si="628"/>
        <v>3060.33</v>
      </c>
      <c r="R66" s="38">
        <v>2.1000000000000001E-2</v>
      </c>
      <c r="S66" s="105">
        <v>0.2177</v>
      </c>
      <c r="T66" s="24">
        <f t="shared" si="629"/>
        <v>329.57400000000001</v>
      </c>
      <c r="U66" s="27">
        <v>0.26100000000000001</v>
      </c>
      <c r="V66" s="24">
        <f t="shared" si="630"/>
        <v>4096.134</v>
      </c>
      <c r="W66" s="38">
        <v>0.46</v>
      </c>
      <c r="X66" s="24">
        <f t="shared" si="631"/>
        <v>7219.2400000000007</v>
      </c>
      <c r="Y66" s="38">
        <v>0.43</v>
      </c>
      <c r="Z66" s="24">
        <f t="shared" si="632"/>
        <v>6748.42</v>
      </c>
      <c r="AA66" s="118">
        <v>2.2399999999999998E-3</v>
      </c>
      <c r="AB66" s="121">
        <f t="shared" si="61"/>
        <v>35.154559999999996</v>
      </c>
      <c r="AC66" s="45">
        <v>2.3E-3</v>
      </c>
      <c r="AD66" s="17">
        <f t="shared" si="634"/>
        <v>36.096199999999996</v>
      </c>
      <c r="AE66" s="26">
        <f>IF(M66&gt;0,(AG66+AP66)/M66,0)</f>
        <v>2.1964499553969673E-3</v>
      </c>
      <c r="AF66" s="45">
        <v>2.0000000000000001E-4</v>
      </c>
      <c r="AG66" s="36">
        <f t="shared" si="635"/>
        <v>3.1388000000000003</v>
      </c>
      <c r="AH66" s="27">
        <v>0.21579999999999999</v>
      </c>
      <c r="AI66" s="40">
        <f t="shared" si="636"/>
        <v>31.361350799999997</v>
      </c>
      <c r="AJ66" s="27">
        <f t="shared" si="637"/>
        <v>0.91389045736871821</v>
      </c>
      <c r="AK66" s="28">
        <f t="shared" si="6"/>
        <v>0.90978793505669664</v>
      </c>
      <c r="AL66" s="42">
        <v>159</v>
      </c>
      <c r="AM66" s="38">
        <v>8.5999999999999993E-2</v>
      </c>
      <c r="AN66" s="27">
        <v>0.21560000000000001</v>
      </c>
      <c r="AO66" s="105">
        <v>0.22040000000000001</v>
      </c>
      <c r="AP66" s="40">
        <f>AL66*(1-AM66)*AN66</f>
        <v>31.332285600000002</v>
      </c>
      <c r="AQ66" s="106">
        <f t="shared" si="21"/>
        <v>32.029850400000001</v>
      </c>
      <c r="AR66" s="17">
        <v>1.55</v>
      </c>
      <c r="AS66" s="17"/>
      <c r="AT66" s="129">
        <f>AT65+AL66-AS66</f>
        <v>2147.6599999999989</v>
      </c>
      <c r="AU66" s="82"/>
      <c r="AV66" s="42"/>
      <c r="AW66" s="46"/>
      <c r="AX66" s="40"/>
      <c r="AY66" s="40"/>
      <c r="AZ66" s="40"/>
      <c r="BA66" s="40"/>
      <c r="BB66" s="31"/>
    </row>
    <row r="67" spans="1:54">
      <c r="A67" s="148"/>
      <c r="B67" s="47" t="s">
        <v>56</v>
      </c>
      <c r="C67" s="48"/>
      <c r="D67" s="49">
        <f t="shared" ref="D67" si="639">SUM(D64:D66)</f>
        <v>42080</v>
      </c>
      <c r="E67" s="49"/>
      <c r="F67" s="49">
        <f t="shared" ref="F67" si="640">SUM(F64:F66)</f>
        <v>45498</v>
      </c>
      <c r="G67" s="50"/>
      <c r="H67" s="50"/>
      <c r="I67" s="49">
        <f t="shared" ref="I67:K67" si="641">SUM(I64:I66)</f>
        <v>45754</v>
      </c>
      <c r="J67" s="50"/>
      <c r="K67" s="49">
        <f t="shared" si="641"/>
        <v>50254</v>
      </c>
      <c r="L67" s="20">
        <f t="shared" ref="L67" si="642">IF(K67&gt;0,(K64*L64+K65*L65+K66*L66)/K67,0)</f>
        <v>7.2695666016635491E-2</v>
      </c>
      <c r="M67" s="50">
        <f t="shared" ref="M67" si="643">M64+M65+M66</f>
        <v>46601</v>
      </c>
      <c r="N67" s="51">
        <f t="shared" ref="N67" si="644">IF(M67&gt;0,O67/M67,0)</f>
        <v>0.72849975322417981</v>
      </c>
      <c r="O67" s="52">
        <f t="shared" ref="O67" si="645">O64+O65+O66</f>
        <v>33948.817000000003</v>
      </c>
      <c r="P67" s="20">
        <f t="shared" ref="P67" si="646">IF(M67&gt;0,Q67/M67,0)</f>
        <v>0.23240355357181178</v>
      </c>
      <c r="Q67" s="52">
        <f t="shared" ref="Q67" si="647">Q64+Q65+Q66</f>
        <v>10830.238000000001</v>
      </c>
      <c r="R67" s="20">
        <f t="shared" ref="R67" si="648">IF(M67&gt;0,T67/M67,0)</f>
        <v>3.9096693204008499E-2</v>
      </c>
      <c r="S67" s="107"/>
      <c r="T67" s="52">
        <f t="shared" ref="T67" si="649">T64+T65+T66</f>
        <v>1821.9450000000002</v>
      </c>
      <c r="U67" s="20">
        <f t="shared" ref="U67" si="650">IF(M67&gt;0,V67/M67,0)</f>
        <v>0.2564032316903071</v>
      </c>
      <c r="V67" s="52">
        <f t="shared" ref="V67" si="651">V64+V65+V66</f>
        <v>11948.647000000001</v>
      </c>
      <c r="W67" s="20">
        <f t="shared" ref="W67" si="652">IF(M67&gt;0,X67/M67,0)</f>
        <v>0.46293412158537367</v>
      </c>
      <c r="X67" s="52">
        <f t="shared" ref="X67" si="653">X64+X65+X66</f>
        <v>21573.192999999999</v>
      </c>
      <c r="Y67" s="20">
        <f t="shared" ref="Y67" si="654">IF(M67&gt;0,Z67/M67,0)</f>
        <v>0.43327031608763766</v>
      </c>
      <c r="Z67" s="52">
        <f t="shared" ref="Z67" si="655">Z64+Z65+Z66</f>
        <v>20190.830000000002</v>
      </c>
      <c r="AA67" s="119">
        <f t="shared" ref="AA67" si="656">IF(M67&gt;0,AB67/M67,0)</f>
        <v>2.2690663290487328E-3</v>
      </c>
      <c r="AB67" s="54">
        <f t="shared" ref="AB67" si="657">SUM(AB64:AB66)</f>
        <v>105.74075999999999</v>
      </c>
      <c r="AC67" s="53">
        <f t="shared" ref="AC67" si="658">IF(M67&gt;0,AD67/M67,0)</f>
        <v>2.2459339928327716E-3</v>
      </c>
      <c r="AD67" s="54">
        <f t="shared" ref="AD67" si="659">SUM(AD64:AD66)</f>
        <v>104.66276999999999</v>
      </c>
      <c r="AE67" s="53">
        <f t="shared" ref="AE67" si="660">IF(M67&gt;0,(AE64*M64+AE65*M65+AE66*M66)/M67,0)</f>
        <v>2.3127222484496043E-3</v>
      </c>
      <c r="AF67" s="53">
        <f t="shared" ref="AF67" si="661">IF(K67&gt;0,(K64*AF64+K65*AF65+K66*AF66)/K67,0)</f>
        <v>1.9989413778007719E-4</v>
      </c>
      <c r="AG67" s="50">
        <f t="shared" ref="AG67" si="662">SUM(AG64:AG66)</f>
        <v>9.3159299999999998</v>
      </c>
      <c r="AH67" s="51">
        <f t="shared" ref="AH67" si="663">IF(K67&gt;0,(K64*AH64+K65*AH65+K66*AH66)/K67,0)</f>
        <v>0.21613751940144069</v>
      </c>
      <c r="AI67" s="56">
        <f t="shared" ref="AI67" si="664">SUM(AI64:AI66)</f>
        <v>96.723252500000001</v>
      </c>
      <c r="AJ67" s="51">
        <f t="shared" ref="AJ67" si="665">IF(AND(AD67&gt;0),((AD64*AJ64+AD65*AJ65+AD66*AJ66)/AD67),0)</f>
        <v>0.91183515930215886</v>
      </c>
      <c r="AK67" s="55">
        <f t="shared" si="6"/>
        <v>0.91439865882120053</v>
      </c>
      <c r="AL67" s="49">
        <f t="shared" ref="AL67" si="666">SUM(AL64:AL66)</f>
        <v>492</v>
      </c>
      <c r="AM67" s="20">
        <f t="shared" ref="AM67" si="667">IF(AL67&gt;0,(AM64*AL64+AM65*AL65+AM66*AL66)/AL67,0)</f>
        <v>9.044918699186992E-2</v>
      </c>
      <c r="AN67" s="51">
        <f>IF(K67&gt;0,(AN64*K64+AN65*K65+AN66*K66)/K67,0)</f>
        <v>0.21993944561626935</v>
      </c>
      <c r="AO67" s="107">
        <f>IF(L67&gt;0,(AO64*K64+AO65*K65+AO66*K66)/K67,0)</f>
        <v>0.22376352131173638</v>
      </c>
      <c r="AP67" s="56">
        <f t="shared" ref="AP67" si="668">SUM(AP64:AP66)</f>
        <v>98.459239499999995</v>
      </c>
      <c r="AQ67" s="108">
        <f t="shared" si="580"/>
        <v>100.1640235</v>
      </c>
      <c r="AR67" s="54"/>
      <c r="AS67" s="54">
        <f t="shared" ref="AS67" si="669">SUM(AS64:AS66)</f>
        <v>1097.06</v>
      </c>
      <c r="AT67" s="83"/>
      <c r="AU67" s="84">
        <f>AT66</f>
        <v>2147.6599999999989</v>
      </c>
      <c r="AV67" s="49">
        <f t="shared" ref="AV67" si="670">SUM(AV64:AV66)</f>
        <v>0</v>
      </c>
      <c r="AW67" s="57"/>
      <c r="AX67" s="56"/>
      <c r="AY67" s="56"/>
      <c r="AZ67" s="56"/>
      <c r="BA67" s="56"/>
      <c r="BB67" s="21"/>
    </row>
    <row r="68" spans="1:54">
      <c r="A68" s="146">
        <v>17</v>
      </c>
      <c r="B68" s="22">
        <v>1</v>
      </c>
      <c r="C68" s="10" t="s">
        <v>54</v>
      </c>
      <c r="D68" s="11">
        <v>17200</v>
      </c>
      <c r="E68" s="11">
        <v>2</v>
      </c>
      <c r="F68" s="11">
        <v>18901</v>
      </c>
      <c r="G68" s="12">
        <v>0.3</v>
      </c>
      <c r="H68" s="12">
        <v>4.4000000000000004</v>
      </c>
      <c r="I68" s="11">
        <v>18813</v>
      </c>
      <c r="J68" s="12">
        <v>2.9</v>
      </c>
      <c r="K68" s="11">
        <v>16965</v>
      </c>
      <c r="L68" s="13">
        <v>7.1999999999999995E-2</v>
      </c>
      <c r="M68" s="23">
        <f>ROUND(K68*(1-L68),0)</f>
        <v>15744</v>
      </c>
      <c r="N68" s="14">
        <v>0.73899999999999999</v>
      </c>
      <c r="O68" s="24">
        <f t="shared" ref="O68:O70" si="671">M68*N68</f>
        <v>11634.816000000001</v>
      </c>
      <c r="P68" s="13">
        <v>0.23699999999999999</v>
      </c>
      <c r="Q68" s="24">
        <f t="shared" ref="Q68:Q70" si="672">M68*P68</f>
        <v>3731.328</v>
      </c>
      <c r="R68" s="15">
        <v>2.4E-2</v>
      </c>
      <c r="S68" s="112">
        <v>0.23710000000000001</v>
      </c>
      <c r="T68" s="24">
        <f t="shared" ref="T68:T70" si="673">M68*R68</f>
        <v>377.85599999999999</v>
      </c>
      <c r="U68" s="25">
        <v>0.26900000000000002</v>
      </c>
      <c r="V68" s="24">
        <f t="shared" ref="V68:V70" si="674">M68*U68</f>
        <v>4235.1360000000004</v>
      </c>
      <c r="W68" s="15">
        <v>0.45</v>
      </c>
      <c r="X68" s="24">
        <f t="shared" ref="X68:X70" si="675">M68*W68</f>
        <v>7084.8</v>
      </c>
      <c r="Y68" s="15">
        <v>0.44</v>
      </c>
      <c r="Z68" s="24">
        <f t="shared" ref="Z68:Z70" si="676">Y68*M68</f>
        <v>6927.36</v>
      </c>
      <c r="AA68" s="116">
        <v>2.3400000000000001E-3</v>
      </c>
      <c r="AB68" s="18">
        <f t="shared" ref="AB68" si="677">M68*AA68</f>
        <v>36.840960000000003</v>
      </c>
      <c r="AC68" s="16">
        <v>2.4599999999999999E-3</v>
      </c>
      <c r="AD68" s="17">
        <f t="shared" ref="AD68:AD70" si="678">M68*AC68</f>
        <v>38.730240000000002</v>
      </c>
      <c r="AE68" s="26">
        <f>IF(M68&gt;0,(AG68+AP68)/M68,0)</f>
        <v>2.4371471036585364E-3</v>
      </c>
      <c r="AF68" s="16">
        <v>2.0000000000000001E-4</v>
      </c>
      <c r="AG68" s="23">
        <f t="shared" ref="AG68:AG70" si="679">AF68*M68</f>
        <v>3.1488</v>
      </c>
      <c r="AH68" s="92">
        <v>0.21729999999999999</v>
      </c>
      <c r="AI68" s="29">
        <f t="shared" ref="AI68:AI70" si="680">AL68*(1-AM68)*AH68</f>
        <v>34.198673999999997</v>
      </c>
      <c r="AJ68" s="27">
        <f t="shared" ref="AJ68:AJ70" si="681">IF(AND(AH68&gt;0,AF68&gt;0,AC68&gt;0),((AC68-AF68)*AH68)/((AH68-AF68)*AC68),0)</f>
        <v>0.9195455243359435</v>
      </c>
      <c r="AK68" s="58">
        <f t="shared" ref="AK68:AK91" si="682">IF(AND(AE68&gt;0,AN68&gt;0,AF68&gt;0),((AN68*(AE68-AF68))/(AE68*(AN68-AF68))),0)</f>
        <v>0.91875788963625626</v>
      </c>
      <c r="AL68" s="11">
        <v>172</v>
      </c>
      <c r="AM68" s="13">
        <v>8.5000000000000006E-2</v>
      </c>
      <c r="AN68" s="14">
        <v>0.2238</v>
      </c>
      <c r="AO68" s="101">
        <v>0.22919999999999999</v>
      </c>
      <c r="AP68" s="29">
        <f>AL68*(1-AM68)*AN68</f>
        <v>35.221643999999998</v>
      </c>
      <c r="AQ68" s="102">
        <f t="shared" ref="AQ68" si="683">AL68*(1-AM68)*AO68</f>
        <v>36.071495999999996</v>
      </c>
      <c r="AR68" s="18">
        <v>1.54</v>
      </c>
      <c r="AS68" s="18"/>
      <c r="AT68" s="79">
        <f>AT66+AL68-AS68</f>
        <v>2319.6599999999989</v>
      </c>
      <c r="AU68" s="80"/>
      <c r="AV68" s="11"/>
      <c r="AW68" s="30"/>
      <c r="AX68" s="19"/>
      <c r="AY68" s="19"/>
      <c r="AZ68" s="19"/>
      <c r="BA68" s="19"/>
      <c r="BB68" s="31"/>
    </row>
    <row r="69" spans="1:54">
      <c r="A69" s="147"/>
      <c r="B69" s="32">
        <v>2</v>
      </c>
      <c r="C69" s="10" t="s">
        <v>59</v>
      </c>
      <c r="D69" s="33">
        <v>19800</v>
      </c>
      <c r="E69" s="33">
        <v>2</v>
      </c>
      <c r="F69" s="33">
        <v>13223</v>
      </c>
      <c r="G69" s="34">
        <v>0.3</v>
      </c>
      <c r="H69" s="34">
        <v>4.0999999999999996</v>
      </c>
      <c r="I69" s="33">
        <v>13381</v>
      </c>
      <c r="J69" s="34">
        <v>4.5999999999999996</v>
      </c>
      <c r="K69" s="33">
        <v>16971</v>
      </c>
      <c r="L69" s="35">
        <v>6.9000000000000006E-2</v>
      </c>
      <c r="M69" s="36">
        <f>ROUND(K69*(1-L69),0)</f>
        <v>15800</v>
      </c>
      <c r="N69" s="37">
        <v>0.83699999999999997</v>
      </c>
      <c r="O69" s="24">
        <f t="shared" si="671"/>
        <v>13224.6</v>
      </c>
      <c r="P69" s="35">
        <v>0.14299999999999999</v>
      </c>
      <c r="Q69" s="24">
        <f t="shared" si="672"/>
        <v>2259.3999999999996</v>
      </c>
      <c r="R69" s="38">
        <v>0.02</v>
      </c>
      <c r="S69" s="105">
        <v>0.2097</v>
      </c>
      <c r="T69" s="24">
        <f t="shared" si="673"/>
        <v>316</v>
      </c>
      <c r="U69" s="27">
        <v>0.26500000000000001</v>
      </c>
      <c r="V69" s="24">
        <f t="shared" si="674"/>
        <v>4187</v>
      </c>
      <c r="W69" s="38">
        <v>0.45400000000000001</v>
      </c>
      <c r="X69" s="24">
        <f t="shared" si="675"/>
        <v>7173.2</v>
      </c>
      <c r="Y69" s="38">
        <v>0.44</v>
      </c>
      <c r="Z69" s="24">
        <f t="shared" si="676"/>
        <v>6952</v>
      </c>
      <c r="AA69" s="117">
        <v>2.5000000000000001E-3</v>
      </c>
      <c r="AB69" s="18">
        <f t="shared" si="61"/>
        <v>39.5</v>
      </c>
      <c r="AC69" s="39">
        <v>2.6199999999999999E-3</v>
      </c>
      <c r="AD69" s="17">
        <f t="shared" si="678"/>
        <v>41.396000000000001</v>
      </c>
      <c r="AE69" s="26">
        <f>IF(M69&gt;0,(AG69+AP69)/M69,0)</f>
        <v>2.6495058227848103E-3</v>
      </c>
      <c r="AF69" s="39">
        <v>2.1000000000000001E-4</v>
      </c>
      <c r="AG69" s="36">
        <f t="shared" si="679"/>
        <v>3.3180000000000001</v>
      </c>
      <c r="AH69" s="27">
        <v>0.21809999999999999</v>
      </c>
      <c r="AI69" s="40">
        <f t="shared" si="680"/>
        <v>38.315807999999997</v>
      </c>
      <c r="AJ69" s="27">
        <f t="shared" si="681"/>
        <v>0.92073386704335347</v>
      </c>
      <c r="AK69" s="28">
        <f t="shared" si="682"/>
        <v>0.92162207239391725</v>
      </c>
      <c r="AL69" s="33">
        <v>192</v>
      </c>
      <c r="AM69" s="35">
        <v>8.5000000000000006E-2</v>
      </c>
      <c r="AN69" s="37">
        <v>0.21940000000000001</v>
      </c>
      <c r="AO69" s="103">
        <v>0.22220000000000001</v>
      </c>
      <c r="AP69" s="40">
        <f>AL69*(1-AM69)*AN69</f>
        <v>38.544192000000002</v>
      </c>
      <c r="AQ69" s="104">
        <f t="shared" si="21"/>
        <v>39.036096000000001</v>
      </c>
      <c r="AR69" s="41">
        <v>1.6</v>
      </c>
      <c r="AS69" s="41"/>
      <c r="AT69" s="129">
        <f>AT68+AL69-AS69</f>
        <v>2511.6599999999989</v>
      </c>
      <c r="AU69" s="82"/>
      <c r="AV69" s="42"/>
      <c r="AW69" s="43"/>
      <c r="AX69" s="44"/>
      <c r="AY69" s="44"/>
      <c r="AZ69" s="44"/>
      <c r="BA69" s="44"/>
      <c r="BB69" s="31"/>
    </row>
    <row r="70" spans="1:54">
      <c r="A70" s="147"/>
      <c r="B70" s="32">
        <v>3</v>
      </c>
      <c r="C70" s="10" t="s">
        <v>53</v>
      </c>
      <c r="D70" s="42">
        <v>14600</v>
      </c>
      <c r="E70" s="42">
        <v>0</v>
      </c>
      <c r="F70" s="42">
        <v>15819</v>
      </c>
      <c r="G70" s="36">
        <v>0.3</v>
      </c>
      <c r="H70" s="36">
        <v>5</v>
      </c>
      <c r="I70" s="42">
        <v>15950</v>
      </c>
      <c r="J70" s="36">
        <v>4.8</v>
      </c>
      <c r="K70" s="42">
        <v>16951</v>
      </c>
      <c r="L70" s="38">
        <v>7.0999999999999994E-2</v>
      </c>
      <c r="M70" s="36">
        <f>ROUND(K70*(1-L70),0)</f>
        <v>15747</v>
      </c>
      <c r="N70" s="27">
        <v>0.7</v>
      </c>
      <c r="O70" s="24">
        <f t="shared" si="671"/>
        <v>11022.9</v>
      </c>
      <c r="P70" s="38">
        <v>0.26600000000000001</v>
      </c>
      <c r="Q70" s="24">
        <f t="shared" si="672"/>
        <v>4188.7020000000002</v>
      </c>
      <c r="R70" s="38">
        <v>3.4000000000000002E-2</v>
      </c>
      <c r="S70" s="105">
        <v>0.2142</v>
      </c>
      <c r="T70" s="24">
        <f t="shared" si="673"/>
        <v>535.39800000000002</v>
      </c>
      <c r="U70" s="27">
        <v>0.26300000000000001</v>
      </c>
      <c r="V70" s="24">
        <f t="shared" si="674"/>
        <v>4141.4610000000002</v>
      </c>
      <c r="W70" s="38">
        <v>0.45100000000000001</v>
      </c>
      <c r="X70" s="24">
        <f t="shared" si="675"/>
        <v>7101.8969999999999</v>
      </c>
      <c r="Y70" s="38">
        <v>0.43</v>
      </c>
      <c r="Z70" s="24">
        <f t="shared" si="676"/>
        <v>6771.21</v>
      </c>
      <c r="AA70" s="118">
        <v>2.4199999999999998E-3</v>
      </c>
      <c r="AB70" s="121">
        <f t="shared" si="61"/>
        <v>38.10774</v>
      </c>
      <c r="AC70" s="45">
        <v>2.4399999999999999E-3</v>
      </c>
      <c r="AD70" s="17">
        <f t="shared" si="678"/>
        <v>38.42268</v>
      </c>
      <c r="AE70" s="26">
        <f>IF(M70&gt;0,(AG70+AP70)/M70,0)</f>
        <v>2.2717626214517053E-3</v>
      </c>
      <c r="AF70" s="45">
        <v>2.0000000000000001E-4</v>
      </c>
      <c r="AG70" s="36">
        <f t="shared" si="679"/>
        <v>3.1494</v>
      </c>
      <c r="AH70" s="27">
        <v>0.2087</v>
      </c>
      <c r="AI70" s="40">
        <f t="shared" si="680"/>
        <v>30.766554000000003</v>
      </c>
      <c r="AJ70" s="27">
        <f t="shared" si="681"/>
        <v>0.91891339387506388</v>
      </c>
      <c r="AK70" s="28">
        <f t="shared" si="682"/>
        <v>0.91278756511980796</v>
      </c>
      <c r="AL70" s="42">
        <v>162</v>
      </c>
      <c r="AM70" s="38">
        <v>0.09</v>
      </c>
      <c r="AN70" s="27">
        <v>0.2213</v>
      </c>
      <c r="AO70" s="105">
        <v>0.22450000000000001</v>
      </c>
      <c r="AP70" s="40">
        <f>AL70*(1-AM70)*AN70</f>
        <v>32.624046</v>
      </c>
      <c r="AQ70" s="106">
        <f t="shared" si="21"/>
        <v>33.095790000000001</v>
      </c>
      <c r="AR70" s="17">
        <v>1.6</v>
      </c>
      <c r="AS70" s="17"/>
      <c r="AT70" s="129">
        <f>AT69+AL70-AS70</f>
        <v>2673.6599999999989</v>
      </c>
      <c r="AU70" s="82"/>
      <c r="AV70" s="42"/>
      <c r="AW70" s="46"/>
      <c r="AX70" s="40"/>
      <c r="AY70" s="40"/>
      <c r="AZ70" s="40"/>
      <c r="BA70" s="40"/>
      <c r="BB70" s="31"/>
    </row>
    <row r="71" spans="1:54">
      <c r="A71" s="148"/>
      <c r="B71" s="47" t="s">
        <v>56</v>
      </c>
      <c r="C71" s="48"/>
      <c r="D71" s="49">
        <f t="shared" ref="D71" si="684">SUM(D68:D70)</f>
        <v>51600</v>
      </c>
      <c r="E71" s="49"/>
      <c r="F71" s="49">
        <f t="shared" ref="F71" si="685">SUM(F68:F70)</f>
        <v>47943</v>
      </c>
      <c r="G71" s="50"/>
      <c r="H71" s="50"/>
      <c r="I71" s="49">
        <f t="shared" ref="I71:K71" si="686">SUM(I68:I70)</f>
        <v>48144</v>
      </c>
      <c r="J71" s="50"/>
      <c r="K71" s="49">
        <f t="shared" si="686"/>
        <v>50887</v>
      </c>
      <c r="L71" s="20">
        <f t="shared" ref="L71" si="687">IF(K71&gt;0,(K68*L68+K69*L69+K70*L70)/K71,0)</f>
        <v>7.0666378446361547E-2</v>
      </c>
      <c r="M71" s="50">
        <f t="shared" ref="M71" si="688">M68+M69+M70</f>
        <v>47291</v>
      </c>
      <c r="N71" s="51">
        <f t="shared" ref="N71" si="689">IF(M71&gt;0,O71/M71,0)</f>
        <v>0.75875570404516712</v>
      </c>
      <c r="O71" s="52">
        <f t="shared" ref="O71" si="690">O68+O69+O70</f>
        <v>35882.315999999999</v>
      </c>
      <c r="P71" s="20">
        <f t="shared" ref="P71" si="691">IF(M71&gt;0,Q71/M71,0)</f>
        <v>0.21525089340466474</v>
      </c>
      <c r="Q71" s="52">
        <f t="shared" ref="Q71" si="692">Q68+Q69+Q70</f>
        <v>10179.43</v>
      </c>
      <c r="R71" s="20">
        <f t="shared" ref="R71" si="693">IF(M71&gt;0,T71/M71,0)</f>
        <v>2.5993402550168108E-2</v>
      </c>
      <c r="S71" s="107"/>
      <c r="T71" s="52">
        <f t="shared" ref="T71" si="694">T68+T69+T70</f>
        <v>1229.2539999999999</v>
      </c>
      <c r="U71" s="20">
        <f t="shared" ref="U71" si="695">IF(M71&gt;0,V71/M71,0)</f>
        <v>0.26566570806284495</v>
      </c>
      <c r="V71" s="52">
        <f t="shared" ref="V71" si="696">V68+V69+V70</f>
        <v>12563.597000000002</v>
      </c>
      <c r="W71" s="20">
        <f t="shared" ref="W71" si="697">IF(M71&gt;0,X71/M71,0)</f>
        <v>0.45166938740986656</v>
      </c>
      <c r="X71" s="52">
        <f t="shared" ref="X71" si="698">X68+X69+X70</f>
        <v>21359.897000000001</v>
      </c>
      <c r="Y71" s="20">
        <f t="shared" ref="Y71" si="699">IF(M71&gt;0,Z71/M71,0)</f>
        <v>0.43667019094542303</v>
      </c>
      <c r="Z71" s="52">
        <f t="shared" ref="Z71" si="700">Z68+Z69+Z70</f>
        <v>20650.57</v>
      </c>
      <c r="AA71" s="119">
        <f t="shared" ref="AA71" si="701">IF(M71&gt;0,AB71/M71,0)</f>
        <v>2.420094732612971E-3</v>
      </c>
      <c r="AB71" s="54">
        <f t="shared" ref="AB71" si="702">SUM(AB68:AB70)</f>
        <v>114.4487</v>
      </c>
      <c r="AC71" s="53">
        <f t="shared" ref="AC71" si="703">IF(M71&gt;0,AD71/M71,0)</f>
        <v>2.506796642067201E-3</v>
      </c>
      <c r="AD71" s="54">
        <f t="shared" ref="AD71" si="704">SUM(AD68:AD70)</f>
        <v>118.54892</v>
      </c>
      <c r="AE71" s="53">
        <f t="shared" ref="AE71" si="705">IF(M71&gt;0,(AE68*M68+AE69*M69+AE70*M70)/M71,0)</f>
        <v>2.4530266224017253E-3</v>
      </c>
      <c r="AF71" s="53">
        <f t="shared" ref="AF71" si="706">IF(K71&gt;0,(K68*AF68+K69*AF69+K70*AF70)/K71,0)</f>
        <v>2.0333503645331814E-4</v>
      </c>
      <c r="AG71" s="50">
        <f t="shared" ref="AG71" si="707">SUM(AG68:AG70)</f>
        <v>9.6161999999999992</v>
      </c>
      <c r="AH71" s="51">
        <f t="shared" ref="AH71" si="708">IF(K71&gt;0,(K68*AH68+K69*AH69+K70*AH70)/K71,0)</f>
        <v>0.21470205160453554</v>
      </c>
      <c r="AI71" s="56">
        <f t="shared" ref="AI71" si="709">SUM(AI68:AI70)</f>
        <v>103.28103599999999</v>
      </c>
      <c r="AJ71" s="51">
        <f t="shared" ref="AJ71" si="710">IF(AND(AD71&gt;0),((AD68*AJ68+AD69*AJ69+AD70*AJ70)/AD71),0)</f>
        <v>0.91975560206840479</v>
      </c>
      <c r="AK71" s="55">
        <f t="shared" si="682"/>
        <v>0.91795117985713792</v>
      </c>
      <c r="AL71" s="49">
        <f t="shared" ref="AL71" si="711">SUM(AL68:AL70)</f>
        <v>526</v>
      </c>
      <c r="AM71" s="20">
        <f t="shared" ref="AM71" si="712">IF(AL71&gt;0,(AM68*AL68+AM69*AL69+AM70*AL70)/AL71,0)</f>
        <v>8.6539923954372627E-2</v>
      </c>
      <c r="AN71" s="51">
        <f>IF(K71&gt;0,(AN68*K68+AN69*K69+AN70*K70)/K71,0)</f>
        <v>0.22149980741643249</v>
      </c>
      <c r="AO71" s="107">
        <f>IF(L71&gt;0,(AO68*K68+AO69*K69+AO70*K70)/K71,0)</f>
        <v>0.22529985457975513</v>
      </c>
      <c r="AP71" s="56">
        <f t="shared" ref="AP71" si="713">SUM(AP68:AP70)</f>
        <v>106.389882</v>
      </c>
      <c r="AQ71" s="108">
        <f t="shared" si="580"/>
        <v>108.203382</v>
      </c>
      <c r="AR71" s="54"/>
      <c r="AS71" s="54">
        <f t="shared" ref="AS71" si="714">SUM(AS68:AS70)</f>
        <v>0</v>
      </c>
      <c r="AT71" s="83"/>
      <c r="AU71" s="84">
        <f>AT70</f>
        <v>2673.6599999999989</v>
      </c>
      <c r="AV71" s="49">
        <f t="shared" ref="AV71" si="715">SUM(AV68:AV70)</f>
        <v>0</v>
      </c>
      <c r="AW71" s="57"/>
      <c r="AX71" s="56"/>
      <c r="AY71" s="56"/>
      <c r="AZ71" s="56"/>
      <c r="BA71" s="56"/>
      <c r="BB71" s="21"/>
    </row>
    <row r="72" spans="1:54">
      <c r="A72" s="146">
        <v>18</v>
      </c>
      <c r="B72" s="22">
        <v>1</v>
      </c>
      <c r="C72" s="10" t="s">
        <v>54</v>
      </c>
      <c r="D72" s="11">
        <v>12282</v>
      </c>
      <c r="E72" s="11">
        <v>0</v>
      </c>
      <c r="F72" s="11">
        <v>15021</v>
      </c>
      <c r="G72" s="12">
        <v>0.3</v>
      </c>
      <c r="H72" s="12">
        <v>3.9</v>
      </c>
      <c r="I72" s="11">
        <v>15236</v>
      </c>
      <c r="J72" s="131">
        <v>5</v>
      </c>
      <c r="K72" s="11">
        <v>16966</v>
      </c>
      <c r="L72" s="13">
        <v>8.1000000000000003E-2</v>
      </c>
      <c r="M72" s="23">
        <f>ROUND(K72*(1-L72),0)</f>
        <v>15592</v>
      </c>
      <c r="N72" s="14">
        <v>0.66300000000000003</v>
      </c>
      <c r="O72" s="24">
        <f t="shared" ref="O72:O74" si="716">M72*N72</f>
        <v>10337.496000000001</v>
      </c>
      <c r="P72" s="13">
        <v>0.313</v>
      </c>
      <c r="Q72" s="24">
        <f t="shared" ref="Q72:Q74" si="717">M72*P72</f>
        <v>4880.2960000000003</v>
      </c>
      <c r="R72" s="15">
        <v>2.4E-2</v>
      </c>
      <c r="S72" s="112">
        <v>0.2203</v>
      </c>
      <c r="T72" s="24">
        <f t="shared" ref="T72:T74" si="718">M72*R72</f>
        <v>374.20800000000003</v>
      </c>
      <c r="U72" s="25">
        <v>0.27</v>
      </c>
      <c r="V72" s="24">
        <f t="shared" ref="V72:V74" si="719">M72*U72</f>
        <v>4209.84</v>
      </c>
      <c r="W72" s="15">
        <v>0.45600000000000002</v>
      </c>
      <c r="X72" s="24">
        <f t="shared" ref="X72:X74" si="720">M72*W72</f>
        <v>7109.9520000000002</v>
      </c>
      <c r="Y72" s="15">
        <v>0.43</v>
      </c>
      <c r="Z72" s="24">
        <f t="shared" ref="Z72:Z74" si="721">Y72*M72</f>
        <v>6704.5599999999995</v>
      </c>
      <c r="AA72" s="116">
        <v>2.4199999999999998E-3</v>
      </c>
      <c r="AB72" s="18">
        <f t="shared" ref="AB72" si="722">M72*AA72</f>
        <v>37.732639999999996</v>
      </c>
      <c r="AC72" s="16">
        <v>2.3999999999999998E-3</v>
      </c>
      <c r="AD72" s="17">
        <f t="shared" ref="AD72:AD74" si="723">M72*AC72</f>
        <v>37.4208</v>
      </c>
      <c r="AE72" s="26">
        <f>IF(M72&gt;0,(AG72+AP72)/M72,0)</f>
        <v>2.5430465623396611E-3</v>
      </c>
      <c r="AF72" s="16">
        <v>2.0000000000000001E-4</v>
      </c>
      <c r="AG72" s="23">
        <f t="shared" ref="AG72:AG74" si="724">AF72*M72</f>
        <v>3.1184000000000003</v>
      </c>
      <c r="AH72" s="92">
        <v>0.21260000000000001</v>
      </c>
      <c r="AI72" s="29">
        <f t="shared" ref="AI72:AI74" si="725">AL72*(1-AM72)*AH72</f>
        <v>34.938684000000002</v>
      </c>
      <c r="AJ72" s="27">
        <f t="shared" ref="AJ72:AJ74" si="726">IF(AND(AH72&gt;0,AF72&gt;0,AC72&gt;0),((AC72-AF72)*AH72)/((AH72-AF72)*AC72),0)</f>
        <v>0.91752981795354682</v>
      </c>
      <c r="AK72" s="58">
        <f t="shared" si="682"/>
        <v>0.92218384807491016</v>
      </c>
      <c r="AL72" s="11">
        <v>180</v>
      </c>
      <c r="AM72" s="13">
        <v>8.6999999999999994E-2</v>
      </c>
      <c r="AN72" s="14">
        <v>0.2223</v>
      </c>
      <c r="AO72" s="101">
        <v>0.22409999999999999</v>
      </c>
      <c r="AP72" s="29">
        <f>AL72*(1-AM72)*AN72</f>
        <v>36.532781999999997</v>
      </c>
      <c r="AQ72" s="102">
        <f t="shared" ref="AQ72:AQ91" si="727">AL72*(1-AM72)*AO72</f>
        <v>36.828594000000002</v>
      </c>
      <c r="AR72" s="18">
        <v>1.55</v>
      </c>
      <c r="AS72" s="18"/>
      <c r="AT72" s="79">
        <f>AT70+AL72-AS72</f>
        <v>2853.6599999999989</v>
      </c>
      <c r="AU72" s="80"/>
      <c r="AV72" s="11"/>
      <c r="AW72" s="30"/>
      <c r="AX72" s="19"/>
      <c r="AY72" s="19"/>
      <c r="AZ72" s="19"/>
      <c r="BA72" s="19"/>
      <c r="BB72" s="31"/>
    </row>
    <row r="73" spans="1:54">
      <c r="A73" s="147"/>
      <c r="B73" s="32">
        <v>2</v>
      </c>
      <c r="C73" s="10" t="s">
        <v>55</v>
      </c>
      <c r="D73" s="33">
        <v>19900</v>
      </c>
      <c r="E73" s="33">
        <v>1</v>
      </c>
      <c r="F73" s="33">
        <v>14884</v>
      </c>
      <c r="G73" s="34">
        <v>0.5</v>
      </c>
      <c r="H73" s="34">
        <v>5.8</v>
      </c>
      <c r="I73" s="33">
        <v>14809</v>
      </c>
      <c r="J73" s="132">
        <v>5.4</v>
      </c>
      <c r="K73" s="33">
        <v>16923</v>
      </c>
      <c r="L73" s="35">
        <v>7.5999999999999998E-2</v>
      </c>
      <c r="M73" s="36">
        <f>ROUND(K73*(1-L73),0)</f>
        <v>15637</v>
      </c>
      <c r="N73" s="37">
        <v>0.745</v>
      </c>
      <c r="O73" s="24">
        <f t="shared" si="716"/>
        <v>11649.565000000001</v>
      </c>
      <c r="P73" s="35">
        <v>0.23200000000000001</v>
      </c>
      <c r="Q73" s="24">
        <f t="shared" si="717"/>
        <v>3627.7840000000001</v>
      </c>
      <c r="R73" s="38">
        <v>2.3E-2</v>
      </c>
      <c r="S73" s="105">
        <v>0.30449999999999999</v>
      </c>
      <c r="T73" s="24">
        <f t="shared" si="718"/>
        <v>359.65100000000001</v>
      </c>
      <c r="U73" s="27">
        <v>0.28199999999999997</v>
      </c>
      <c r="V73" s="24">
        <f t="shared" si="719"/>
        <v>4409.634</v>
      </c>
      <c r="W73" s="38">
        <v>0.44400000000000001</v>
      </c>
      <c r="X73" s="24">
        <f t="shared" si="720"/>
        <v>6942.8280000000004</v>
      </c>
      <c r="Y73" s="38">
        <v>0.44</v>
      </c>
      <c r="Z73" s="24">
        <f t="shared" si="721"/>
        <v>6880.28</v>
      </c>
      <c r="AA73" s="117">
        <v>2.2699999999999999E-3</v>
      </c>
      <c r="AB73" s="18">
        <f t="shared" si="61"/>
        <v>35.495989999999999</v>
      </c>
      <c r="AC73" s="39">
        <v>2.2100000000000002E-3</v>
      </c>
      <c r="AD73" s="17">
        <f t="shared" si="723"/>
        <v>34.557770000000005</v>
      </c>
      <c r="AE73" s="26">
        <f>IF(M73&gt;0,(AG73+AP73)/M73,0)</f>
        <v>2.3507465370595382E-3</v>
      </c>
      <c r="AF73" s="39">
        <v>2.1000000000000001E-4</v>
      </c>
      <c r="AG73" s="36">
        <f t="shared" si="724"/>
        <v>3.2837700000000001</v>
      </c>
      <c r="AH73" s="27">
        <v>0.21820000000000001</v>
      </c>
      <c r="AI73" s="40">
        <f t="shared" si="725"/>
        <v>32.579005600000002</v>
      </c>
      <c r="AJ73" s="27">
        <f t="shared" si="726"/>
        <v>0.90584918275341197</v>
      </c>
      <c r="AK73" s="28">
        <f t="shared" si="682"/>
        <v>0.91152046499164441</v>
      </c>
      <c r="AL73" s="33">
        <v>163</v>
      </c>
      <c r="AM73" s="35">
        <v>8.4000000000000005E-2</v>
      </c>
      <c r="AN73" s="37">
        <v>0.22420000000000001</v>
      </c>
      <c r="AO73" s="103">
        <v>0.2248</v>
      </c>
      <c r="AP73" s="40">
        <f>AL73*(1-AM73)*AN73</f>
        <v>33.474853600000003</v>
      </c>
      <c r="AQ73" s="104">
        <f t="shared" si="727"/>
        <v>33.5644384</v>
      </c>
      <c r="AR73" s="41">
        <v>1.55</v>
      </c>
      <c r="AS73" s="41"/>
      <c r="AT73" s="129">
        <f>AT72+AL73-AS73</f>
        <v>3016.6599999999989</v>
      </c>
      <c r="AU73" s="82"/>
      <c r="AV73" s="42"/>
      <c r="AW73" s="43"/>
      <c r="AX73" s="44"/>
      <c r="AY73" s="44"/>
      <c r="AZ73" s="44"/>
      <c r="BA73" s="44"/>
      <c r="BB73" s="31"/>
    </row>
    <row r="74" spans="1:54">
      <c r="A74" s="147"/>
      <c r="B74" s="32">
        <v>3</v>
      </c>
      <c r="C74" s="10" t="s">
        <v>53</v>
      </c>
      <c r="D74" s="42">
        <v>14200</v>
      </c>
      <c r="E74" s="42">
        <v>0</v>
      </c>
      <c r="F74" s="42">
        <v>15427</v>
      </c>
      <c r="G74" s="36">
        <v>0.6</v>
      </c>
      <c r="H74" s="36">
        <v>5.2</v>
      </c>
      <c r="I74" s="42">
        <v>16222</v>
      </c>
      <c r="J74" s="36">
        <v>5.2</v>
      </c>
      <c r="K74" s="42">
        <v>16923</v>
      </c>
      <c r="L74" s="38">
        <v>6.5000000000000002E-2</v>
      </c>
      <c r="M74" s="36">
        <f>ROUND(K74*(1-L74),0)</f>
        <v>15823</v>
      </c>
      <c r="N74" s="27">
        <v>0.57599999999999996</v>
      </c>
      <c r="O74" s="24">
        <f t="shared" si="716"/>
        <v>9114.0479999999989</v>
      </c>
      <c r="P74" s="38">
        <v>0.41</v>
      </c>
      <c r="Q74" s="24">
        <f t="shared" si="717"/>
        <v>6487.4299999999994</v>
      </c>
      <c r="R74" s="38">
        <v>1.4E-2</v>
      </c>
      <c r="S74" s="105">
        <v>0.28689999999999999</v>
      </c>
      <c r="T74" s="24">
        <f t="shared" si="718"/>
        <v>221.52199999999999</v>
      </c>
      <c r="U74" s="27">
        <v>0.28199999999999997</v>
      </c>
      <c r="V74" s="24">
        <f t="shared" si="719"/>
        <v>4462.0859999999993</v>
      </c>
      <c r="W74" s="38">
        <v>0.44800000000000001</v>
      </c>
      <c r="X74" s="24">
        <f t="shared" si="720"/>
        <v>7088.7039999999997</v>
      </c>
      <c r="Y74" s="38">
        <v>0.44</v>
      </c>
      <c r="Z74" s="24">
        <f t="shared" si="721"/>
        <v>6962.12</v>
      </c>
      <c r="AA74" s="118">
        <v>2.2499999999999998E-3</v>
      </c>
      <c r="AB74" s="121">
        <f t="shared" si="61"/>
        <v>35.601749999999996</v>
      </c>
      <c r="AC74" s="45">
        <v>2.3E-3</v>
      </c>
      <c r="AD74" s="17">
        <f t="shared" si="723"/>
        <v>36.392899999999997</v>
      </c>
      <c r="AE74" s="26">
        <f>IF(M74&gt;0,(AG74+AP74)/M74,0)</f>
        <v>2.2791347532073567E-3</v>
      </c>
      <c r="AF74" s="45">
        <v>2.1000000000000001E-4</v>
      </c>
      <c r="AG74" s="36">
        <f t="shared" si="724"/>
        <v>3.3228300000000002</v>
      </c>
      <c r="AH74" s="27">
        <v>0.21590000000000001</v>
      </c>
      <c r="AI74" s="40">
        <f t="shared" si="725"/>
        <v>32.305980600000005</v>
      </c>
      <c r="AJ74" s="27">
        <f t="shared" si="726"/>
        <v>0.90958037602275388</v>
      </c>
      <c r="AK74" s="28">
        <f t="shared" si="682"/>
        <v>0.90873195347777247</v>
      </c>
      <c r="AL74" s="42">
        <v>163</v>
      </c>
      <c r="AM74" s="38">
        <v>8.2000000000000003E-2</v>
      </c>
      <c r="AN74" s="27">
        <v>0.21879999999999999</v>
      </c>
      <c r="AO74" s="105">
        <v>0.22020000000000001</v>
      </c>
      <c r="AP74" s="40">
        <f>AL74*(1-AM74)*AN74</f>
        <v>32.739919200000003</v>
      </c>
      <c r="AQ74" s="106">
        <f t="shared" si="727"/>
        <v>32.949406800000006</v>
      </c>
      <c r="AR74" s="17">
        <v>1.6</v>
      </c>
      <c r="AS74" s="17"/>
      <c r="AT74" s="129">
        <f>AT73+AL74-AS74</f>
        <v>3179.6599999999989</v>
      </c>
      <c r="AU74" s="82"/>
      <c r="AV74" s="42"/>
      <c r="AW74" s="46"/>
      <c r="AX74" s="40"/>
      <c r="AY74" s="40"/>
      <c r="AZ74" s="40"/>
      <c r="BA74" s="40"/>
      <c r="BB74" s="31"/>
    </row>
    <row r="75" spans="1:54">
      <c r="A75" s="148"/>
      <c r="B75" s="47" t="s">
        <v>56</v>
      </c>
      <c r="C75" s="48"/>
      <c r="D75" s="49">
        <f t="shared" ref="D75" si="728">SUM(D72:D74)</f>
        <v>46382</v>
      </c>
      <c r="E75" s="49"/>
      <c r="F75" s="49">
        <f t="shared" ref="F75" si="729">SUM(F72:F74)</f>
        <v>45332</v>
      </c>
      <c r="G75" s="50"/>
      <c r="H75" s="50"/>
      <c r="I75" s="49">
        <f t="shared" ref="I75:K75" si="730">SUM(I72:I74)</f>
        <v>46267</v>
      </c>
      <c r="J75" s="50"/>
      <c r="K75" s="49">
        <f t="shared" si="730"/>
        <v>50812</v>
      </c>
      <c r="L75" s="20">
        <f t="shared" ref="L75" si="731">IF(K75&gt;0,(K72*L72+K73*L73+K74*L74)/K75,0)</f>
        <v>7.4005923797528142E-2</v>
      </c>
      <c r="M75" s="50">
        <f t="shared" ref="M75" si="732">M72+M73+M74</f>
        <v>47052</v>
      </c>
      <c r="N75" s="51">
        <f t="shared" ref="N75" si="733">IF(M75&gt;0,O75/M75,0)</f>
        <v>0.66099441043951379</v>
      </c>
      <c r="O75" s="52">
        <f t="shared" ref="O75" si="734">O72+O73+O74</f>
        <v>31101.109</v>
      </c>
      <c r="P75" s="20">
        <f t="shared" ref="P75" si="735">IF(M75&gt;0,Q75/M75,0)</f>
        <v>0.31870079911587179</v>
      </c>
      <c r="Q75" s="52">
        <f t="shared" ref="Q75" si="736">Q72+Q73+Q74</f>
        <v>14995.509999999998</v>
      </c>
      <c r="R75" s="20">
        <f t="shared" ref="R75" si="737">IF(M75&gt;0,T75/M75,0)</f>
        <v>2.030479044461447E-2</v>
      </c>
      <c r="S75" s="107"/>
      <c r="T75" s="52">
        <f t="shared" ref="T75" si="738">T72+T73+T74</f>
        <v>955.38100000000009</v>
      </c>
      <c r="U75" s="20">
        <f t="shared" ref="U75" si="739">IF(M75&gt;0,V75/M75,0)</f>
        <v>0.2780234634021933</v>
      </c>
      <c r="V75" s="52">
        <f t="shared" ref="V75" si="740">V72+V73+V74</f>
        <v>13081.56</v>
      </c>
      <c r="W75" s="20">
        <f t="shared" ref="W75" si="741">IF(M75&gt;0,X75/M75,0)</f>
        <v>0.44932168664456346</v>
      </c>
      <c r="X75" s="52">
        <f t="shared" ref="X75" si="742">X72+X73+X74</f>
        <v>21141.484</v>
      </c>
      <c r="Y75" s="20">
        <f t="shared" ref="Y75" si="743">IF(M75&gt;0,Z75/M75,0)</f>
        <v>0.43668621950182773</v>
      </c>
      <c r="Z75" s="52">
        <f t="shared" ref="Z75" si="744">Z72+Z73+Z74</f>
        <v>20546.96</v>
      </c>
      <c r="AA75" s="119">
        <f t="shared" ref="AA75" si="745">IF(M75&gt;0,AB75/M75,0)</f>
        <v>2.3129809572387996E-3</v>
      </c>
      <c r="AB75" s="54">
        <f t="shared" ref="AB75" si="746">SUM(AB72:AB74)</f>
        <v>108.83037999999999</v>
      </c>
      <c r="AC75" s="53">
        <f t="shared" ref="AC75" si="747">IF(M75&gt;0,AD75/M75,0)</f>
        <v>2.3032277055173001E-3</v>
      </c>
      <c r="AD75" s="54">
        <f t="shared" ref="AD75" si="748">SUM(AD72:AD74)</f>
        <v>108.37147</v>
      </c>
      <c r="AE75" s="53">
        <f t="shared" ref="AE75" si="749">IF(M75&gt;0,(AE72*M72+AE73*M73+AE74*M74)/M75,0)</f>
        <v>2.3903883958173939E-3</v>
      </c>
      <c r="AF75" s="53">
        <f t="shared" ref="AF75" si="750">IF(K75&gt;0,(K72*AF72+K73*AF73+K74*AF74)/K75,0)</f>
        <v>2.066610249547351E-4</v>
      </c>
      <c r="AG75" s="50">
        <f t="shared" ref="AG75" si="751">SUM(AG72:AG74)</f>
        <v>9.7249999999999996</v>
      </c>
      <c r="AH75" s="51">
        <f t="shared" ref="AH75" si="752">IF(K75&gt;0,(K72*AH72+K73*AH73+K74*AH74)/K75,0)</f>
        <v>0.21556415610485713</v>
      </c>
      <c r="AI75" s="56">
        <f t="shared" ref="AI75" si="753">SUM(AI72:AI74)</f>
        <v>99.823670200000009</v>
      </c>
      <c r="AJ75" s="51">
        <f t="shared" ref="AJ75" si="754">IF(AND(AD75&gt;0),((AD72*AJ72+AD73*AJ73+AD74*AJ74)/AD75),0)</f>
        <v>0.91113551556064465</v>
      </c>
      <c r="AK75" s="55">
        <f t="shared" si="682"/>
        <v>0.91439711278982172</v>
      </c>
      <c r="AL75" s="49">
        <f t="shared" ref="AL75" si="755">SUM(AL72:AL74)</f>
        <v>506</v>
      </c>
      <c r="AM75" s="20">
        <f t="shared" ref="AM75" si="756">IF(AL75&gt;0,(AM72*AL72+AM73*AL73+AM74*AL74)/AL75,0)</f>
        <v>8.4422924901185761E-2</v>
      </c>
      <c r="AN75" s="51">
        <f>IF(K75&gt;0,(AN72*K72+AN73*K73+AN74*K74)/K75,0)</f>
        <v>0.2217671180036212</v>
      </c>
      <c r="AO75" s="107">
        <f>IF(L75&gt;0,(AO72*K72+AO73*K73+AO74*K74)/K75,0)</f>
        <v>0.22303423600724237</v>
      </c>
      <c r="AP75" s="56">
        <f t="shared" ref="AP75:AQ87" si="757">SUM(AP72:AP74)</f>
        <v>102.7475548</v>
      </c>
      <c r="AQ75" s="108">
        <f t="shared" si="757"/>
        <v>103.34243920000002</v>
      </c>
      <c r="AR75" s="54"/>
      <c r="AS75" s="54">
        <f t="shared" ref="AS75" si="758">SUM(AS72:AS74)</f>
        <v>0</v>
      </c>
      <c r="AT75" s="83"/>
      <c r="AU75" s="84">
        <f>AT74</f>
        <v>3179.6599999999989</v>
      </c>
      <c r="AV75" s="49">
        <f t="shared" ref="AV75" si="759">SUM(AV72:AV74)</f>
        <v>0</v>
      </c>
      <c r="AW75" s="57"/>
      <c r="AX75" s="56"/>
      <c r="AY75" s="56"/>
      <c r="AZ75" s="56"/>
      <c r="BA75" s="56"/>
      <c r="BB75" s="21"/>
    </row>
    <row r="76" spans="1:54">
      <c r="A76" s="146">
        <v>19</v>
      </c>
      <c r="B76" s="22">
        <v>1</v>
      </c>
      <c r="C76" s="10" t="s">
        <v>54</v>
      </c>
      <c r="D76" s="11">
        <v>3756</v>
      </c>
      <c r="E76" s="11">
        <v>1</v>
      </c>
      <c r="F76" s="11">
        <v>16579</v>
      </c>
      <c r="G76" s="12">
        <v>1</v>
      </c>
      <c r="H76" s="12">
        <v>5.6</v>
      </c>
      <c r="I76" s="11">
        <v>16819</v>
      </c>
      <c r="J76" s="12">
        <v>4.5</v>
      </c>
      <c r="K76" s="11">
        <v>16782</v>
      </c>
      <c r="L76" s="13">
        <v>6.9000000000000006E-2</v>
      </c>
      <c r="M76" s="23">
        <f>ROUND(K76*(1-L76),0)</f>
        <v>15624</v>
      </c>
      <c r="N76" s="14">
        <v>0.75700000000000001</v>
      </c>
      <c r="O76" s="24">
        <f t="shared" ref="O76:O78" si="760">M76*N76</f>
        <v>11827.368</v>
      </c>
      <c r="P76" s="13">
        <v>0.22900000000000001</v>
      </c>
      <c r="Q76" s="24">
        <f t="shared" ref="Q76:Q78" si="761">M76*P76</f>
        <v>3577.8960000000002</v>
      </c>
      <c r="R76" s="15">
        <v>1.4E-2</v>
      </c>
      <c r="S76" s="112">
        <v>0.24579999999999999</v>
      </c>
      <c r="T76" s="24">
        <f t="shared" ref="T76:T78" si="762">M76*R76</f>
        <v>218.73600000000002</v>
      </c>
      <c r="U76" s="25">
        <v>0.253</v>
      </c>
      <c r="V76" s="24">
        <f t="shared" ref="V76:V78" si="763">M76*U76</f>
        <v>3952.8719999999998</v>
      </c>
      <c r="W76" s="15">
        <v>0.47299999999999998</v>
      </c>
      <c r="X76" s="24">
        <f t="shared" ref="X76:X78" si="764">M76*W76</f>
        <v>7390.152</v>
      </c>
      <c r="Y76" s="15">
        <v>0.44</v>
      </c>
      <c r="Z76" s="24">
        <f t="shared" ref="Z76:Z78" si="765">Y76*M76</f>
        <v>6874.56</v>
      </c>
      <c r="AA76" s="116">
        <v>2.3900000000000002E-3</v>
      </c>
      <c r="AB76" s="18">
        <f t="shared" ref="AB76:AB91" si="766">M76*AA76</f>
        <v>37.341360000000002</v>
      </c>
      <c r="AC76" s="16">
        <v>2.3999999999999998E-3</v>
      </c>
      <c r="AD76" s="17">
        <f t="shared" ref="AD76:AD78" si="767">M76*AC76</f>
        <v>37.497599999999998</v>
      </c>
      <c r="AE76" s="26">
        <f>IF(M76&gt;0,(AG76+AP76)/M76,0)</f>
        <v>2.7197016385048641E-3</v>
      </c>
      <c r="AF76" s="16">
        <v>2.1000000000000001E-4</v>
      </c>
      <c r="AG76" s="23">
        <f t="shared" ref="AG76:AG78" si="768">AF76*M76</f>
        <v>3.28104</v>
      </c>
      <c r="AH76" s="92">
        <v>0.2167</v>
      </c>
      <c r="AI76" s="29">
        <f t="shared" ref="AI76:AI78" si="769">AL76*(1-AM76)*AH76</f>
        <v>38.309959600000006</v>
      </c>
      <c r="AJ76" s="27">
        <f t="shared" ref="AJ76:AJ78" si="770">IF(AND(AH76&gt;0,AF76&gt;0,AC76&gt;0),((AC76-AF76)*AH76)/((AH76-AF76)*AC76),0)</f>
        <v>0.91338514481038369</v>
      </c>
      <c r="AK76" s="58">
        <f t="shared" si="682"/>
        <v>0.92366016831940301</v>
      </c>
      <c r="AL76" s="11">
        <v>193</v>
      </c>
      <c r="AM76" s="13">
        <v>8.4000000000000005E-2</v>
      </c>
      <c r="AN76" s="14">
        <v>0.2218</v>
      </c>
      <c r="AO76" s="101">
        <v>0.21190000000000001</v>
      </c>
      <c r="AP76" s="29">
        <f>AL76*(1-AM76)*AN76</f>
        <v>39.2115784</v>
      </c>
      <c r="AQ76" s="102">
        <f t="shared" ref="AQ76" si="771">AL76*(1-AM76)*AO76</f>
        <v>37.461377200000001</v>
      </c>
      <c r="AR76" s="18">
        <v>1.55</v>
      </c>
      <c r="AS76" s="18">
        <v>1108.24</v>
      </c>
      <c r="AT76" s="79">
        <f>AT74+AL76-AS76</f>
        <v>2264.4199999999992</v>
      </c>
      <c r="AU76" s="80"/>
      <c r="AV76" s="11"/>
      <c r="AW76" s="30"/>
      <c r="AX76" s="19"/>
      <c r="AY76" s="19"/>
      <c r="AZ76" s="19"/>
      <c r="BA76" s="19"/>
      <c r="BB76" s="31"/>
    </row>
    <row r="77" spans="1:54">
      <c r="A77" s="147"/>
      <c r="B77" s="32">
        <v>2</v>
      </c>
      <c r="C77" s="10" t="s">
        <v>55</v>
      </c>
      <c r="D77" s="33">
        <v>19700</v>
      </c>
      <c r="E77" s="33">
        <v>4</v>
      </c>
      <c r="F77" s="33">
        <v>12832</v>
      </c>
      <c r="G77" s="34">
        <v>0.9</v>
      </c>
      <c r="H77" s="34">
        <v>6.1</v>
      </c>
      <c r="I77" s="33">
        <v>12844</v>
      </c>
      <c r="J77" s="34">
        <v>6.5</v>
      </c>
      <c r="K77" s="33">
        <v>16841</v>
      </c>
      <c r="L77" s="35">
        <v>7.2999999999999995E-2</v>
      </c>
      <c r="M77" s="36">
        <f>ROUND(K77*(1-L77),0)</f>
        <v>15612</v>
      </c>
      <c r="N77" s="37">
        <v>0.73499999999999999</v>
      </c>
      <c r="O77" s="24">
        <f t="shared" si="760"/>
        <v>11474.82</v>
      </c>
      <c r="P77" s="35">
        <v>0.24399999999999999</v>
      </c>
      <c r="Q77" s="24">
        <f t="shared" si="761"/>
        <v>3809.328</v>
      </c>
      <c r="R77" s="38">
        <v>2.1000000000000001E-2</v>
      </c>
      <c r="S77" s="105">
        <v>0.23519999999999999</v>
      </c>
      <c r="T77" s="24">
        <f t="shared" si="762"/>
        <v>327.85200000000003</v>
      </c>
      <c r="U77" s="27">
        <v>0.25</v>
      </c>
      <c r="V77" s="24">
        <f t="shared" si="763"/>
        <v>3903</v>
      </c>
      <c r="W77" s="38">
        <v>0.47799999999999998</v>
      </c>
      <c r="X77" s="24">
        <f t="shared" si="764"/>
        <v>7462.5360000000001</v>
      </c>
      <c r="Y77" s="38">
        <v>0.44</v>
      </c>
      <c r="Z77" s="24">
        <f t="shared" si="765"/>
        <v>6869.28</v>
      </c>
      <c r="AA77" s="117">
        <v>2.2799999999999999E-3</v>
      </c>
      <c r="AB77" s="18">
        <f t="shared" si="766"/>
        <v>35.595359999999999</v>
      </c>
      <c r="AC77" s="39">
        <v>2.3800000000000002E-3</v>
      </c>
      <c r="AD77" s="17">
        <f t="shared" si="767"/>
        <v>37.156560000000006</v>
      </c>
      <c r="AE77" s="26">
        <f>IF(M77&gt;0,(AG77+AP77)/M77,0)</f>
        <v>2.5453367409684858E-3</v>
      </c>
      <c r="AF77" s="39">
        <v>2.1000000000000001E-4</v>
      </c>
      <c r="AG77" s="36">
        <f t="shared" si="768"/>
        <v>3.2785200000000003</v>
      </c>
      <c r="AH77" s="27">
        <v>0.21929999999999999</v>
      </c>
      <c r="AI77" s="40">
        <f t="shared" si="769"/>
        <v>35.678355600000003</v>
      </c>
      <c r="AJ77" s="27">
        <f t="shared" si="770"/>
        <v>0.91263864165411468</v>
      </c>
      <c r="AK77" s="28">
        <f t="shared" si="682"/>
        <v>0.9183567569700174</v>
      </c>
      <c r="AL77" s="33">
        <v>178</v>
      </c>
      <c r="AM77" s="35">
        <v>8.5999999999999993E-2</v>
      </c>
      <c r="AN77" s="37">
        <v>0.22409999999999999</v>
      </c>
      <c r="AO77" s="103">
        <v>0.21440000000000001</v>
      </c>
      <c r="AP77" s="40">
        <f>AL77*(1-AM77)*AN77</f>
        <v>36.459277200000002</v>
      </c>
      <c r="AQ77" s="104">
        <f t="shared" si="727"/>
        <v>34.881164800000001</v>
      </c>
      <c r="AR77" s="41">
        <v>1.58</v>
      </c>
      <c r="AS77" s="41"/>
      <c r="AT77" s="129">
        <f>AT76+AL77-AS77</f>
        <v>2442.4199999999992</v>
      </c>
      <c r="AU77" s="82"/>
      <c r="AV77" s="42"/>
      <c r="AW77" s="43"/>
      <c r="AX77" s="44"/>
      <c r="AY77" s="44"/>
      <c r="AZ77" s="44"/>
      <c r="BA77" s="44"/>
      <c r="BB77" s="31"/>
    </row>
    <row r="78" spans="1:54">
      <c r="A78" s="147"/>
      <c r="B78" s="32">
        <v>3</v>
      </c>
      <c r="C78" s="10" t="s">
        <v>57</v>
      </c>
      <c r="D78" s="42">
        <v>17700</v>
      </c>
      <c r="E78" s="42">
        <v>0</v>
      </c>
      <c r="F78" s="42">
        <v>13215</v>
      </c>
      <c r="G78" s="36">
        <v>1.5</v>
      </c>
      <c r="H78" s="36">
        <v>6.4</v>
      </c>
      <c r="I78" s="42">
        <v>13544</v>
      </c>
      <c r="J78" s="133">
        <v>5.6</v>
      </c>
      <c r="K78" s="42">
        <v>13904</v>
      </c>
      <c r="L78" s="38">
        <v>7.0000000000000007E-2</v>
      </c>
      <c r="M78" s="36">
        <f>ROUND(K78*(1-L78),0)</f>
        <v>12931</v>
      </c>
      <c r="N78" s="27">
        <v>0.749</v>
      </c>
      <c r="O78" s="24">
        <f t="shared" si="760"/>
        <v>9685.3189999999995</v>
      </c>
      <c r="P78" s="38">
        <v>0.23200000000000001</v>
      </c>
      <c r="Q78" s="24">
        <f t="shared" si="761"/>
        <v>2999.9920000000002</v>
      </c>
      <c r="R78" s="38">
        <v>1.9E-2</v>
      </c>
      <c r="S78" s="105">
        <v>0.251</v>
      </c>
      <c r="T78" s="24">
        <f t="shared" si="762"/>
        <v>245.68899999999999</v>
      </c>
      <c r="U78" s="27">
        <v>0.23599999999999999</v>
      </c>
      <c r="V78" s="24">
        <f t="shared" si="763"/>
        <v>3051.7159999999999</v>
      </c>
      <c r="W78" s="38">
        <v>0.48</v>
      </c>
      <c r="X78" s="24">
        <f t="shared" si="764"/>
        <v>6206.88</v>
      </c>
      <c r="Y78" s="38">
        <v>0.43</v>
      </c>
      <c r="Z78" s="24">
        <f t="shared" si="765"/>
        <v>5560.33</v>
      </c>
      <c r="AA78" s="118">
        <v>2.4599999999999999E-3</v>
      </c>
      <c r="AB78" s="121">
        <f t="shared" si="766"/>
        <v>31.81026</v>
      </c>
      <c r="AC78" s="45">
        <v>2.4599999999999999E-3</v>
      </c>
      <c r="AD78" s="17">
        <f t="shared" si="767"/>
        <v>31.81026</v>
      </c>
      <c r="AE78" s="26">
        <f>IF(M78&gt;0,(AG78+AP78)/M78,0)</f>
        <v>2.5092014538705435E-3</v>
      </c>
      <c r="AF78" s="45">
        <v>2.1000000000000001E-4</v>
      </c>
      <c r="AG78" s="36">
        <f t="shared" si="768"/>
        <v>2.7155100000000001</v>
      </c>
      <c r="AH78" s="27">
        <v>0.22559999999999999</v>
      </c>
      <c r="AI78" s="40">
        <f t="shared" si="769"/>
        <v>29.996904000000001</v>
      </c>
      <c r="AJ78" s="27">
        <f t="shared" si="770"/>
        <v>0.91548632776358374</v>
      </c>
      <c r="AK78" s="28">
        <f t="shared" si="682"/>
        <v>0.91716941961927001</v>
      </c>
      <c r="AL78" s="42">
        <v>145</v>
      </c>
      <c r="AM78" s="38">
        <v>8.3000000000000004E-2</v>
      </c>
      <c r="AN78" s="27">
        <v>0.22359999999999999</v>
      </c>
      <c r="AO78" s="105">
        <v>0.22090000000000001</v>
      </c>
      <c r="AP78" s="40">
        <f>AL78*(1-AM78)*AN78</f>
        <v>29.730974</v>
      </c>
      <c r="AQ78" s="106">
        <f t="shared" si="727"/>
        <v>29.371968500000001</v>
      </c>
      <c r="AR78" s="17">
        <v>1.55</v>
      </c>
      <c r="AS78" s="17"/>
      <c r="AT78" s="129">
        <f>AT77+AL78-AS78</f>
        <v>2587.4199999999992</v>
      </c>
      <c r="AU78" s="82"/>
      <c r="AV78" s="42"/>
      <c r="AW78" s="46"/>
      <c r="AX78" s="40"/>
      <c r="AY78" s="40"/>
      <c r="AZ78" s="40"/>
      <c r="BA78" s="40"/>
      <c r="BB78" s="31"/>
    </row>
    <row r="79" spans="1:54">
      <c r="A79" s="148"/>
      <c r="B79" s="47" t="s">
        <v>56</v>
      </c>
      <c r="C79" s="48"/>
      <c r="D79" s="49">
        <f t="shared" ref="D79" si="772">SUM(D76:D78)</f>
        <v>41156</v>
      </c>
      <c r="E79" s="49"/>
      <c r="F79" s="49">
        <f t="shared" ref="F79" si="773">SUM(F76:F78)</f>
        <v>42626</v>
      </c>
      <c r="G79" s="50"/>
      <c r="H79" s="50"/>
      <c r="I79" s="49">
        <f t="shared" ref="I79:K79" si="774">SUM(I76:I78)</f>
        <v>43207</v>
      </c>
      <c r="J79" s="50"/>
      <c r="K79" s="49">
        <f t="shared" si="774"/>
        <v>47527</v>
      </c>
      <c r="L79" s="20">
        <f t="shared" ref="L79" si="775">IF(K79&gt;0,(K76*L76+K77*L77+K78*L78)/K79,0)</f>
        <v>7.0709933301070976E-2</v>
      </c>
      <c r="M79" s="50">
        <f t="shared" ref="M79" si="776">M76+M77+M78</f>
        <v>44167</v>
      </c>
      <c r="N79" s="51">
        <f t="shared" ref="N79" si="777">IF(M79&gt;0,O79/M79,0)</f>
        <v>0.74688131410328973</v>
      </c>
      <c r="O79" s="52">
        <f t="shared" ref="O79" si="778">O76+O77+O78</f>
        <v>32987.506999999998</v>
      </c>
      <c r="P79" s="20">
        <f t="shared" ref="P79" si="779">IF(M79&gt;0,Q79/M79,0)</f>
        <v>0.23518047410962936</v>
      </c>
      <c r="Q79" s="52">
        <f t="shared" ref="Q79" si="780">Q76+Q77+Q78</f>
        <v>10387.216</v>
      </c>
      <c r="R79" s="20">
        <f t="shared" ref="R79" si="781">IF(M79&gt;0,T79/M79,0)</f>
        <v>1.7938211787080854E-2</v>
      </c>
      <c r="S79" s="107"/>
      <c r="T79" s="52">
        <f t="shared" ref="T79" si="782">T76+T77+T78</f>
        <v>792.27700000000004</v>
      </c>
      <c r="U79" s="20">
        <f t="shared" ref="U79" si="783">IF(M79&gt;0,V79/M79,0)</f>
        <v>0.2469623927366586</v>
      </c>
      <c r="V79" s="52">
        <f t="shared" ref="V79" si="784">V76+V77+V78</f>
        <v>10907.588</v>
      </c>
      <c r="W79" s="20">
        <f t="shared" ref="W79" si="785">IF(M79&gt;0,X79/M79,0)</f>
        <v>0.47681680892974393</v>
      </c>
      <c r="X79" s="52">
        <f t="shared" ref="X79" si="786">X76+X77+X78</f>
        <v>21059.567999999999</v>
      </c>
      <c r="Y79" s="20">
        <f t="shared" ref="Y79" si="787">IF(M79&gt;0,Z79/M79,0)</f>
        <v>0.43707224851133197</v>
      </c>
      <c r="Z79" s="52">
        <f t="shared" ref="Z79" si="788">Z76+Z77+Z78</f>
        <v>19304.169999999998</v>
      </c>
      <c r="AA79" s="119">
        <f t="shared" ref="AA79" si="789">IF(M79&gt;0,AB79/M79,0)</f>
        <v>2.3716118368917972E-3</v>
      </c>
      <c r="AB79" s="54">
        <f t="shared" ref="AB79" si="790">SUM(AB76:AB78)</f>
        <v>104.74698000000001</v>
      </c>
      <c r="AC79" s="53">
        <f t="shared" ref="AC79" si="791">IF(M79&gt;0,AD79/M79,0)</f>
        <v>2.4104969773813029E-3</v>
      </c>
      <c r="AD79" s="54">
        <f t="shared" ref="AD79" si="792">SUM(AD76:AD78)</f>
        <v>106.46442</v>
      </c>
      <c r="AE79" s="53">
        <f t="shared" ref="AE79" si="793">IF(M79&gt;0,(AE76*M76+AE77*M77+AE78*M78)/M79,0)</f>
        <v>2.5964385083886159E-3</v>
      </c>
      <c r="AF79" s="53">
        <f t="shared" ref="AF79" si="794">IF(K79&gt;0,(K76*AF76+K77*AF77+K78*AF78)/K79,0)</f>
        <v>2.1000000000000001E-4</v>
      </c>
      <c r="AG79" s="50">
        <f t="shared" ref="AG79" si="795">SUM(AG76:AG78)</f>
        <v>9.2750699999999995</v>
      </c>
      <c r="AH79" s="51">
        <f t="shared" ref="AH79" si="796">IF(K79&gt;0,(K76*AH76+K77*AH77+K78*AH78)/K79,0)</f>
        <v>0.22022499000568097</v>
      </c>
      <c r="AI79" s="56">
        <f t="shared" ref="AI79" si="797">SUM(AI76:AI78)</f>
        <v>103.98521920000002</v>
      </c>
      <c r="AJ79" s="51">
        <f t="shared" ref="AJ79" si="798">IF(AND(AD79&gt;0),((AD76*AJ76+AD77*AJ77+AD78*AJ78)/AD79),0)</f>
        <v>0.91375241949926811</v>
      </c>
      <c r="AK79" s="55">
        <f t="shared" si="682"/>
        <v>0.91998578403570419</v>
      </c>
      <c r="AL79" s="49">
        <f t="shared" ref="AL79" si="799">SUM(AL76:AL78)</f>
        <v>516</v>
      </c>
      <c r="AM79" s="20">
        <f t="shared" ref="AM79" si="800">IF(AL79&gt;0,(AM76*AL76+AM77*AL77+AM78*AL78)/AL79,0)</f>
        <v>8.4408914728682158E-2</v>
      </c>
      <c r="AN79" s="51">
        <f>IF(K79&gt;0,(AN76*K76+AN77*K77+AN78*K78)/K79,0)</f>
        <v>0.2231415847833863</v>
      </c>
      <c r="AO79" s="107">
        <f>IF(L79&gt;0,(AO76*K76+AO77*K77+AO78*K78)/K79,0)</f>
        <v>0.2154188103604267</v>
      </c>
      <c r="AP79" s="56">
        <f t="shared" ref="AP79" si="801">SUM(AP76:AP78)</f>
        <v>105.40182960000001</v>
      </c>
      <c r="AQ79" s="108">
        <f t="shared" si="757"/>
        <v>101.71451050000002</v>
      </c>
      <c r="AR79" s="54"/>
      <c r="AS79" s="54">
        <f t="shared" ref="AS79" si="802">SUM(AS76:AS78)</f>
        <v>1108.24</v>
      </c>
      <c r="AT79" s="83"/>
      <c r="AU79" s="84">
        <f>AT78</f>
        <v>2587.4199999999992</v>
      </c>
      <c r="AV79" s="49">
        <f t="shared" ref="AV79" si="803">SUM(AV76:AV78)</f>
        <v>0</v>
      </c>
      <c r="AW79" s="57"/>
      <c r="AX79" s="56"/>
      <c r="AY79" s="56"/>
      <c r="AZ79" s="56"/>
      <c r="BA79" s="56"/>
      <c r="BB79" s="21"/>
    </row>
    <row r="80" spans="1:54">
      <c r="A80" s="146">
        <v>20</v>
      </c>
      <c r="B80" s="22">
        <v>1</v>
      </c>
      <c r="C80" s="10" t="s">
        <v>54</v>
      </c>
      <c r="D80" s="11">
        <v>3935</v>
      </c>
      <c r="E80" s="11">
        <v>1</v>
      </c>
      <c r="F80" s="11">
        <v>16451</v>
      </c>
      <c r="G80" s="12">
        <v>0.6</v>
      </c>
      <c r="H80" s="12">
        <v>4.8</v>
      </c>
      <c r="I80" s="11">
        <v>17073</v>
      </c>
      <c r="J80" s="131">
        <v>5.2</v>
      </c>
      <c r="K80" s="11">
        <v>15376</v>
      </c>
      <c r="L80" s="13">
        <v>7.4999999999999997E-2</v>
      </c>
      <c r="M80" s="23">
        <f>ROUND(K80*(1-L80),0)</f>
        <v>14223</v>
      </c>
      <c r="N80" s="14">
        <v>0.78800000000000003</v>
      </c>
      <c r="O80" s="24">
        <f t="shared" ref="O80:O82" si="804">M80*N80</f>
        <v>11207.724</v>
      </c>
      <c r="P80" s="13">
        <v>0.19600000000000001</v>
      </c>
      <c r="Q80" s="24">
        <f t="shared" ref="Q80:Q82" si="805">M80*P80</f>
        <v>2787.7080000000001</v>
      </c>
      <c r="R80" s="15">
        <v>1.6E-2</v>
      </c>
      <c r="S80" s="112">
        <v>0.2145</v>
      </c>
      <c r="T80" s="24">
        <f t="shared" ref="T80:T82" si="806">M80*R80</f>
        <v>227.56800000000001</v>
      </c>
      <c r="U80" s="25">
        <v>0.24199999999999999</v>
      </c>
      <c r="V80" s="24">
        <f t="shared" ref="V80:V82" si="807">M80*U80</f>
        <v>3441.9659999999999</v>
      </c>
      <c r="W80" s="15">
        <v>0.48899999999999999</v>
      </c>
      <c r="X80" s="24">
        <f t="shared" ref="X80:X82" si="808">M80*W80</f>
        <v>6955.0469999999996</v>
      </c>
      <c r="Y80" s="15">
        <v>0.43</v>
      </c>
      <c r="Z80" s="24">
        <f t="shared" ref="Z80:Z82" si="809">Y80*M80</f>
        <v>6115.89</v>
      </c>
      <c r="AA80" s="116">
        <v>2.31E-3</v>
      </c>
      <c r="AB80" s="18">
        <f t="shared" ref="AB80" si="810">M80*AA80</f>
        <v>32.855130000000003</v>
      </c>
      <c r="AC80" s="16">
        <v>2.4299999999999999E-3</v>
      </c>
      <c r="AD80" s="17">
        <f t="shared" ref="AD80:AD82" si="811">M80*AC80</f>
        <v>34.561889999999998</v>
      </c>
      <c r="AE80" s="26">
        <f>IF(M80&gt;0,(AG80+AP80)/M80,0)</f>
        <v>2.7316090276313016E-3</v>
      </c>
      <c r="AF80" s="16">
        <v>2.1000000000000001E-4</v>
      </c>
      <c r="AG80" s="23">
        <f t="shared" ref="AG80:AG82" si="812">AF80*M80</f>
        <v>2.9868300000000003</v>
      </c>
      <c r="AH80" s="92">
        <v>0.21010000000000001</v>
      </c>
      <c r="AI80" s="29">
        <f t="shared" ref="AI80:AI82" si="813">AL80*(1-AM80)*AH80</f>
        <v>33.669365400000004</v>
      </c>
      <c r="AJ80" s="27">
        <f t="shared" ref="AJ80:AJ82" si="814">IF(AND(AH80&gt;0,AF80&gt;0,AC80&gt;0),((AC80-AF80)*AH80)/((AH80-AF80)*AC80),0)</f>
        <v>0.91449430595332404</v>
      </c>
      <c r="AK80" s="58">
        <f t="shared" si="682"/>
        <v>0.92398924790403669</v>
      </c>
      <c r="AL80" s="11">
        <v>174</v>
      </c>
      <c r="AM80" s="13">
        <v>7.9000000000000001E-2</v>
      </c>
      <c r="AN80" s="14">
        <v>0.2238</v>
      </c>
      <c r="AO80" s="101">
        <v>0.22339999999999999</v>
      </c>
      <c r="AP80" s="29">
        <f>AL80*(1-AM80)*AN80</f>
        <v>35.864845200000005</v>
      </c>
      <c r="AQ80" s="102">
        <f t="shared" ref="AQ80" si="815">AL80*(1-AM80)*AO80</f>
        <v>35.800743600000004</v>
      </c>
      <c r="AR80" s="18">
        <v>1.5</v>
      </c>
      <c r="AS80" s="18"/>
      <c r="AT80" s="79">
        <f>AT78+AL80-AS80</f>
        <v>2761.4199999999992</v>
      </c>
      <c r="AU80" s="80"/>
      <c r="AV80" s="11"/>
      <c r="AW80" s="30"/>
      <c r="AX80" s="19"/>
      <c r="AY80" s="19"/>
      <c r="AZ80" s="19"/>
      <c r="BA80" s="19"/>
      <c r="BB80" s="31"/>
    </row>
    <row r="81" spans="1:54">
      <c r="A81" s="147"/>
      <c r="B81" s="32">
        <v>2</v>
      </c>
      <c r="C81" s="10" t="s">
        <v>55</v>
      </c>
      <c r="D81" s="33">
        <v>19800</v>
      </c>
      <c r="E81" s="33">
        <v>6</v>
      </c>
      <c r="F81" s="33">
        <v>15031</v>
      </c>
      <c r="G81" s="34">
        <v>0.6</v>
      </c>
      <c r="H81" s="34">
        <v>5.7</v>
      </c>
      <c r="I81" s="33">
        <v>15240</v>
      </c>
      <c r="J81" s="34">
        <v>5</v>
      </c>
      <c r="K81" s="33">
        <v>15455</v>
      </c>
      <c r="L81" s="35">
        <v>6.8000000000000005E-2</v>
      </c>
      <c r="M81" s="36">
        <f>ROUND(K81*(1-L81),0)</f>
        <v>14404</v>
      </c>
      <c r="N81" s="37">
        <v>0.76500000000000001</v>
      </c>
      <c r="O81" s="24">
        <f t="shared" si="804"/>
        <v>11019.06</v>
      </c>
      <c r="P81" s="35">
        <v>0.20100000000000001</v>
      </c>
      <c r="Q81" s="24">
        <f t="shared" si="805"/>
        <v>2895.2040000000002</v>
      </c>
      <c r="R81" s="38">
        <v>3.4000000000000002E-2</v>
      </c>
      <c r="S81" s="105">
        <v>0.23980000000000001</v>
      </c>
      <c r="T81" s="24">
        <f t="shared" si="806"/>
        <v>489.73600000000005</v>
      </c>
      <c r="U81" s="27">
        <v>0.24</v>
      </c>
      <c r="V81" s="24">
        <f t="shared" si="807"/>
        <v>3456.96</v>
      </c>
      <c r="W81" s="38">
        <v>0.49</v>
      </c>
      <c r="X81" s="24">
        <f t="shared" si="808"/>
        <v>7057.96</v>
      </c>
      <c r="Y81" s="38">
        <v>0.42</v>
      </c>
      <c r="Z81" s="24">
        <f t="shared" si="809"/>
        <v>6049.6799999999994</v>
      </c>
      <c r="AA81" s="117">
        <v>2.2599999999999999E-3</v>
      </c>
      <c r="AB81" s="18">
        <f t="shared" si="766"/>
        <v>32.553039999999996</v>
      </c>
      <c r="AC81" s="39">
        <v>2.15E-3</v>
      </c>
      <c r="AD81" s="17">
        <f t="shared" si="811"/>
        <v>30.968599999999999</v>
      </c>
      <c r="AE81" s="26">
        <f>IF(M81&gt;0,(AG81+AP81)/M81,0)</f>
        <v>2.1679717509025271E-3</v>
      </c>
      <c r="AF81" s="39">
        <v>1.9000000000000001E-4</v>
      </c>
      <c r="AG81" s="36">
        <f t="shared" si="812"/>
        <v>2.7367600000000003</v>
      </c>
      <c r="AH81" s="27">
        <v>0.2208</v>
      </c>
      <c r="AI81" s="40">
        <f t="shared" si="813"/>
        <v>28.764278399999998</v>
      </c>
      <c r="AJ81" s="27">
        <f t="shared" si="814"/>
        <v>0.91241304501366716</v>
      </c>
      <c r="AK81" s="28">
        <f t="shared" si="682"/>
        <v>0.91315380230399201</v>
      </c>
      <c r="AL81" s="33">
        <v>143</v>
      </c>
      <c r="AM81" s="35">
        <v>8.8999999999999996E-2</v>
      </c>
      <c r="AN81" s="37">
        <v>0.21870000000000001</v>
      </c>
      <c r="AO81" s="103">
        <v>0.21579999999999999</v>
      </c>
      <c r="AP81" s="40">
        <f>AL81*(1-AM81)*AN81</f>
        <v>28.4907051</v>
      </c>
      <c r="AQ81" s="104">
        <f t="shared" si="727"/>
        <v>28.112913399999996</v>
      </c>
      <c r="AR81" s="41">
        <v>1.5</v>
      </c>
      <c r="AS81" s="41"/>
      <c r="AT81" s="129">
        <f>AT80+AL81-AS81</f>
        <v>2904.4199999999992</v>
      </c>
      <c r="AU81" s="82"/>
      <c r="AV81" s="42"/>
      <c r="AW81" s="43"/>
      <c r="AX81" s="44"/>
      <c r="AY81" s="44"/>
      <c r="AZ81" s="44"/>
      <c r="BA81" s="44"/>
      <c r="BB81" s="31"/>
    </row>
    <row r="82" spans="1:54">
      <c r="A82" s="147"/>
      <c r="B82" s="32">
        <v>3</v>
      </c>
      <c r="C82" s="10" t="s">
        <v>57</v>
      </c>
      <c r="D82" s="42">
        <v>23300</v>
      </c>
      <c r="E82" s="42">
        <v>3</v>
      </c>
      <c r="F82" s="42">
        <v>18122</v>
      </c>
      <c r="G82" s="36">
        <v>0.8</v>
      </c>
      <c r="H82" s="36">
        <v>5.9</v>
      </c>
      <c r="I82" s="42">
        <v>17864</v>
      </c>
      <c r="J82" s="36">
        <v>3.8</v>
      </c>
      <c r="K82" s="42">
        <v>15450</v>
      </c>
      <c r="L82" s="38">
        <v>6.4000000000000001E-2</v>
      </c>
      <c r="M82" s="36">
        <f>ROUND(K82*(1-L82),0)</f>
        <v>14461</v>
      </c>
      <c r="N82" s="27">
        <v>0.71699999999999997</v>
      </c>
      <c r="O82" s="24">
        <f t="shared" si="804"/>
        <v>10368.537</v>
      </c>
      <c r="P82" s="38">
        <v>0.253</v>
      </c>
      <c r="Q82" s="24">
        <f t="shared" si="805"/>
        <v>3658.6330000000003</v>
      </c>
      <c r="R82" s="38">
        <v>0.03</v>
      </c>
      <c r="S82" s="105">
        <v>0.22559999999999999</v>
      </c>
      <c r="T82" s="24">
        <f t="shared" si="806"/>
        <v>433.83</v>
      </c>
      <c r="U82" s="27">
        <v>0.24199999999999999</v>
      </c>
      <c r="V82" s="24">
        <f t="shared" si="807"/>
        <v>3499.5619999999999</v>
      </c>
      <c r="W82" s="38">
        <v>0.48099999999999998</v>
      </c>
      <c r="X82" s="24">
        <f t="shared" si="808"/>
        <v>6955.741</v>
      </c>
      <c r="Y82" s="38">
        <v>0.43</v>
      </c>
      <c r="Z82" s="24">
        <f t="shared" si="809"/>
        <v>6218.23</v>
      </c>
      <c r="AA82" s="118">
        <v>2.3400000000000001E-3</v>
      </c>
      <c r="AB82" s="121">
        <f t="shared" si="766"/>
        <v>33.838740000000001</v>
      </c>
      <c r="AC82" s="45">
        <v>2.2899999999999999E-3</v>
      </c>
      <c r="AD82" s="17">
        <f t="shared" si="811"/>
        <v>33.115690000000001</v>
      </c>
      <c r="AE82" s="26">
        <f>IF(M82&gt;0,(AG82+AP82)/M82,0)</f>
        <v>2.5298040591936934E-3</v>
      </c>
      <c r="AF82" s="45">
        <v>1.9000000000000001E-4</v>
      </c>
      <c r="AG82" s="36">
        <f t="shared" si="812"/>
        <v>2.7475900000000002</v>
      </c>
      <c r="AH82" s="27">
        <v>0.22090000000000001</v>
      </c>
      <c r="AI82" s="40">
        <f t="shared" si="813"/>
        <v>33.204583499999998</v>
      </c>
      <c r="AJ82" s="27">
        <f t="shared" si="814"/>
        <v>0.91782000091408067</v>
      </c>
      <c r="AK82" s="28">
        <f t="shared" si="682"/>
        <v>0.92567670443576666</v>
      </c>
      <c r="AL82" s="42">
        <v>165</v>
      </c>
      <c r="AM82" s="38">
        <v>8.8999999999999996E-2</v>
      </c>
      <c r="AN82" s="27">
        <v>0.22509999999999999</v>
      </c>
      <c r="AO82" s="105">
        <v>0.21629999999999999</v>
      </c>
      <c r="AP82" s="40">
        <f>AL82*(1-AM82)*AN82</f>
        <v>33.8359065</v>
      </c>
      <c r="AQ82" s="106">
        <f t="shared" si="727"/>
        <v>32.5131345</v>
      </c>
      <c r="AR82" s="17">
        <v>1.5</v>
      </c>
      <c r="AS82" s="17"/>
      <c r="AT82" s="129">
        <f>AT81+AL82-AS82</f>
        <v>3069.4199999999992</v>
      </c>
      <c r="AU82" s="82"/>
      <c r="AV82" s="42"/>
      <c r="AW82" s="46"/>
      <c r="AX82" s="40"/>
      <c r="AY82" s="40"/>
      <c r="AZ82" s="40"/>
      <c r="BA82" s="40"/>
      <c r="BB82" s="31"/>
    </row>
    <row r="83" spans="1:54">
      <c r="A83" s="148"/>
      <c r="B83" s="47" t="s">
        <v>56</v>
      </c>
      <c r="C83" s="48"/>
      <c r="D83" s="49">
        <f t="shared" ref="D83" si="816">SUM(D80:D82)</f>
        <v>47035</v>
      </c>
      <c r="E83" s="49"/>
      <c r="F83" s="49">
        <f t="shared" ref="F83" si="817">SUM(F80:F82)</f>
        <v>49604</v>
      </c>
      <c r="G83" s="50"/>
      <c r="H83" s="50"/>
      <c r="I83" s="49">
        <f t="shared" ref="I83:K83" si="818">SUM(I80:I82)</f>
        <v>50177</v>
      </c>
      <c r="J83" s="50"/>
      <c r="K83" s="49">
        <f t="shared" si="818"/>
        <v>46281</v>
      </c>
      <c r="L83" s="20">
        <f t="shared" ref="L83" si="819">IF(K83&gt;0,(K80*L80+K81*L81+K82*L82)/K83,0)</f>
        <v>6.8990298394589589E-2</v>
      </c>
      <c r="M83" s="50">
        <f t="shared" ref="M83" si="820">M80+M81+M82</f>
        <v>43088</v>
      </c>
      <c r="N83" s="51">
        <f t="shared" ref="N83" si="821">IF(M83&gt;0,O83/M83,0)</f>
        <v>0.75648257055328627</v>
      </c>
      <c r="O83" s="52">
        <f t="shared" ref="O83" si="822">O80+O81+O82</f>
        <v>32595.321</v>
      </c>
      <c r="P83" s="20">
        <f t="shared" ref="P83" si="823">IF(M83&gt;0,Q83/M83,0)</f>
        <v>0.21680154567396956</v>
      </c>
      <c r="Q83" s="52">
        <f t="shared" ref="Q83" si="824">Q80+Q81+Q82</f>
        <v>9341.5450000000001</v>
      </c>
      <c r="R83" s="20">
        <f t="shared" ref="R83" si="825">IF(M83&gt;0,T83/M83,0)</f>
        <v>2.6715883772744153E-2</v>
      </c>
      <c r="S83" s="107"/>
      <c r="T83" s="52">
        <f t="shared" ref="T83" si="826">T80+T81+T82</f>
        <v>1151.134</v>
      </c>
      <c r="U83" s="20">
        <f t="shared" ref="U83" si="827">IF(M83&gt;0,V83/M83,0)</f>
        <v>0.24133141477905681</v>
      </c>
      <c r="V83" s="52">
        <f t="shared" ref="V83" si="828">V80+V81+V82</f>
        <v>10398.487999999999</v>
      </c>
      <c r="W83" s="20">
        <f t="shared" ref="W83" si="829">IF(M83&gt;0,X83/M83,0)</f>
        <v>0.4866493687337542</v>
      </c>
      <c r="X83" s="52">
        <f t="shared" ref="X83" si="830">X80+X81+X82</f>
        <v>20968.748</v>
      </c>
      <c r="Y83" s="20">
        <f t="shared" ref="Y83" si="831">IF(M83&gt;0,Z83/M83,0)</f>
        <v>0.42665707389528407</v>
      </c>
      <c r="Z83" s="52">
        <f t="shared" ref="Z83" si="832">Z80+Z81+Z82</f>
        <v>18383.8</v>
      </c>
      <c r="AA83" s="119">
        <f t="shared" ref="AA83" si="833">IF(M83&gt;0,AB83/M83,0)</f>
        <v>2.3033538340141105E-3</v>
      </c>
      <c r="AB83" s="54">
        <f t="shared" ref="AB83" si="834">SUM(AB80:AB82)</f>
        <v>99.24691</v>
      </c>
      <c r="AC83" s="53">
        <f t="shared" ref="AC83" si="835">IF(M83&gt;0,AD83/M83,0)</f>
        <v>2.2894119012253993E-3</v>
      </c>
      <c r="AD83" s="54">
        <f t="shared" ref="AD83" si="836">SUM(AD80:AD82)</f>
        <v>98.646180000000001</v>
      </c>
      <c r="AE83" s="53">
        <f t="shared" ref="AE83" si="837">IF(M83&gt;0,(AE80*M80+AE81*M81+AE82*M82)/M83,0)</f>
        <v>2.4754603787597476E-3</v>
      </c>
      <c r="AF83" s="53">
        <f t="shared" ref="AF83" si="838">IF(K83&gt;0,(K80*AF80+K81*AF81+K82*AF82)/K83,0)</f>
        <v>1.9664462738488799E-4</v>
      </c>
      <c r="AG83" s="50">
        <f t="shared" ref="AG83" si="839">SUM(AG80:AG82)</f>
        <v>8.4711800000000004</v>
      </c>
      <c r="AH83" s="51">
        <f t="shared" ref="AH83" si="840">IF(K83&gt;0,(K80*AH80+K81*AH81+K82*AH82)/K83,0)</f>
        <v>0.217278507378838</v>
      </c>
      <c r="AI83" s="56">
        <f t="shared" ref="AI83" si="841">SUM(AI80:AI82)</f>
        <v>95.638227299999997</v>
      </c>
      <c r="AJ83" s="51">
        <f t="shared" ref="AJ83" si="842">IF(AND(AD83&gt;0),((AD80*AJ80+AD81*AJ81+AD82*AJ82)/AD83),0)</f>
        <v>0.91495736438923214</v>
      </c>
      <c r="AK83" s="55">
        <f t="shared" si="682"/>
        <v>0.92137659758859991</v>
      </c>
      <c r="AL83" s="49">
        <f t="shared" ref="AL83" si="843">SUM(AL80:AL82)</f>
        <v>482</v>
      </c>
      <c r="AM83" s="20">
        <f t="shared" ref="AM83" si="844">IF(AL83&gt;0,(AM80*AL80+AM81*AL81+AM82*AL82)/AL83,0)</f>
        <v>8.5390041493775937E-2</v>
      </c>
      <c r="AN83" s="51">
        <f>IF(K83&gt;0,(AN80*K80+AN81*K81+AN82*K82)/K83,0)</f>
        <v>0.2225308938873404</v>
      </c>
      <c r="AO83" s="107">
        <f>IF(L83&gt;0,(AO80*K80+AO81*K81+AO82*K82)/K83,0)</f>
        <v>0.21849187355502259</v>
      </c>
      <c r="AP83" s="56">
        <f t="shared" ref="AP83" si="845">SUM(AP80:AP82)</f>
        <v>98.191456799999997</v>
      </c>
      <c r="AQ83" s="108">
        <f t="shared" si="757"/>
        <v>96.426791500000007</v>
      </c>
      <c r="AR83" s="54"/>
      <c r="AS83" s="54">
        <f t="shared" ref="AS83" si="846">SUM(AS80:AS82)</f>
        <v>0</v>
      </c>
      <c r="AT83" s="83"/>
      <c r="AU83" s="84">
        <f>AT82</f>
        <v>3069.4199999999992</v>
      </c>
      <c r="AV83" s="49">
        <f t="shared" ref="AV83" si="847">SUM(AV80:AV82)</f>
        <v>0</v>
      </c>
      <c r="AW83" s="57"/>
      <c r="AX83" s="56"/>
      <c r="AY83" s="56"/>
      <c r="AZ83" s="56"/>
      <c r="BA83" s="56"/>
      <c r="BB83" s="21"/>
    </row>
    <row r="84" spans="1:54">
      <c r="A84" s="146">
        <v>21</v>
      </c>
      <c r="B84" s="22">
        <v>1</v>
      </c>
      <c r="C84" s="10" t="s">
        <v>59</v>
      </c>
      <c r="D84" s="11">
        <v>5994</v>
      </c>
      <c r="E84" s="11">
        <v>1</v>
      </c>
      <c r="F84" s="11">
        <v>12094</v>
      </c>
      <c r="G84" s="12">
        <v>1.4</v>
      </c>
      <c r="H84" s="12">
        <v>5.2</v>
      </c>
      <c r="I84" s="11">
        <v>12313</v>
      </c>
      <c r="J84" s="12">
        <v>5.3</v>
      </c>
      <c r="K84" s="11">
        <v>15928</v>
      </c>
      <c r="L84" s="13">
        <v>7.3999999999999996E-2</v>
      </c>
      <c r="M84" s="23">
        <f>ROUND(K84*(1-L84),0)</f>
        <v>14749</v>
      </c>
      <c r="N84" s="14">
        <v>0.80100000000000005</v>
      </c>
      <c r="O84" s="24">
        <f t="shared" ref="O84:O86" si="848">M84*N84</f>
        <v>11813.949000000001</v>
      </c>
      <c r="P84" s="13">
        <v>0.161</v>
      </c>
      <c r="Q84" s="24">
        <f t="shared" ref="Q84:Q86" si="849">M84*P84</f>
        <v>2374.5889999999999</v>
      </c>
      <c r="R84" s="15">
        <v>3.7999999999999999E-2</v>
      </c>
      <c r="S84" s="112">
        <v>0.20499999999999999</v>
      </c>
      <c r="T84" s="24">
        <f t="shared" ref="T84:T86" si="850">M84*R84</f>
        <v>560.46199999999999</v>
      </c>
      <c r="U84" s="25">
        <v>0.23799999999999999</v>
      </c>
      <c r="V84" s="24">
        <f t="shared" ref="V84:V86" si="851">M84*U84</f>
        <v>3510.2619999999997</v>
      </c>
      <c r="W84" s="15">
        <v>0.48499999999999999</v>
      </c>
      <c r="X84" s="24">
        <f t="shared" ref="X84:X86" si="852">M84*W84</f>
        <v>7153.2649999999994</v>
      </c>
      <c r="Y84" s="15">
        <v>0.44</v>
      </c>
      <c r="Z84" s="24">
        <f t="shared" ref="Z84:Z86" si="853">Y84*M84</f>
        <v>6489.56</v>
      </c>
      <c r="AA84" s="116">
        <v>2.5300000000000001E-3</v>
      </c>
      <c r="AB84" s="18">
        <f t="shared" ref="AB84" si="854">M84*AA84</f>
        <v>37.314970000000002</v>
      </c>
      <c r="AC84" s="16">
        <v>2.5200000000000001E-3</v>
      </c>
      <c r="AD84" s="17">
        <f t="shared" ref="AD84:AD86" si="855">M84*AC84</f>
        <v>37.167480000000005</v>
      </c>
      <c r="AE84" s="26">
        <f>IF(M84&gt;0,(AG84+AP84)/M84,0)</f>
        <v>2.6735798223608384E-3</v>
      </c>
      <c r="AF84" s="16">
        <v>2.1000000000000001E-4</v>
      </c>
      <c r="AG84" s="23">
        <f t="shared" ref="AG84:AG86" si="856">AF84*M84</f>
        <v>3.0972900000000001</v>
      </c>
      <c r="AH84" s="92">
        <v>0.21609999999999999</v>
      </c>
      <c r="AI84" s="29">
        <f t="shared" ref="AI84:AI86" si="857">AL84*(1-AM84)*AH84</f>
        <v>34.960225800000003</v>
      </c>
      <c r="AJ84" s="27">
        <f t="shared" ref="AJ84:AJ86" si="858">IF(AND(AH84&gt;0,AF84&gt;0,AC84&gt;0),((AC84-AF84)*AH84)/((AH84-AF84)*AC84),0)</f>
        <v>0.91755832445535512</v>
      </c>
      <c r="AK84" s="58">
        <f t="shared" si="682"/>
        <v>0.92231598758353461</v>
      </c>
      <c r="AL84" s="11">
        <v>177</v>
      </c>
      <c r="AM84" s="13">
        <v>8.5999999999999993E-2</v>
      </c>
      <c r="AN84" s="14">
        <v>0.22459999999999999</v>
      </c>
      <c r="AO84" s="101">
        <v>0.21759999999999999</v>
      </c>
      <c r="AP84" s="29">
        <f>AL84*(1-AM84)*AN84</f>
        <v>36.335338800000002</v>
      </c>
      <c r="AQ84" s="102">
        <f t="shared" ref="AQ84" si="859">AL84*(1-AM84)*AO84</f>
        <v>35.202892800000001</v>
      </c>
      <c r="AR84" s="18">
        <v>1.5</v>
      </c>
      <c r="AS84" s="18">
        <v>1100.02</v>
      </c>
      <c r="AT84" s="79">
        <f>AT82+AL84-AS84</f>
        <v>2146.3999999999992</v>
      </c>
      <c r="AU84" s="80"/>
      <c r="AV84" s="11"/>
      <c r="AW84" s="30"/>
      <c r="AX84" s="19"/>
      <c r="AY84" s="19"/>
      <c r="AZ84" s="19"/>
      <c r="BA84" s="19"/>
      <c r="BB84" s="31"/>
    </row>
    <row r="85" spans="1:54">
      <c r="A85" s="147"/>
      <c r="B85" s="32">
        <v>2</v>
      </c>
      <c r="C85" s="10" t="s">
        <v>53</v>
      </c>
      <c r="D85" s="33">
        <v>23000</v>
      </c>
      <c r="E85" s="33">
        <v>4</v>
      </c>
      <c r="F85" s="33">
        <v>15579</v>
      </c>
      <c r="G85" s="34">
        <v>0.6</v>
      </c>
      <c r="H85" s="34">
        <v>4.0999999999999996</v>
      </c>
      <c r="I85" s="33">
        <v>15370</v>
      </c>
      <c r="J85" s="34">
        <v>5</v>
      </c>
      <c r="K85" s="33">
        <v>16771</v>
      </c>
      <c r="L85" s="35">
        <v>6.8000000000000005E-2</v>
      </c>
      <c r="M85" s="36">
        <f>ROUND(K85*(1-L85),0)</f>
        <v>15631</v>
      </c>
      <c r="N85" s="37">
        <v>0.72799999999999998</v>
      </c>
      <c r="O85" s="24">
        <f t="shared" si="848"/>
        <v>11379.368</v>
      </c>
      <c r="P85" s="35">
        <v>0.22</v>
      </c>
      <c r="Q85" s="24">
        <f t="shared" si="849"/>
        <v>3438.82</v>
      </c>
      <c r="R85" s="38">
        <v>5.1999999999999998E-2</v>
      </c>
      <c r="S85" s="105">
        <v>0.2082</v>
      </c>
      <c r="T85" s="24">
        <f t="shared" si="850"/>
        <v>812.81200000000001</v>
      </c>
      <c r="U85" s="27">
        <v>0.24</v>
      </c>
      <c r="V85" s="24">
        <f t="shared" si="851"/>
        <v>3751.44</v>
      </c>
      <c r="W85" s="38">
        <v>0.48</v>
      </c>
      <c r="X85" s="24">
        <f t="shared" si="852"/>
        <v>7502.88</v>
      </c>
      <c r="Y85" s="38">
        <v>0.44</v>
      </c>
      <c r="Z85" s="24">
        <f t="shared" si="853"/>
        <v>6877.64</v>
      </c>
      <c r="AA85" s="117">
        <v>2.5999999999999999E-3</v>
      </c>
      <c r="AB85" s="18">
        <f t="shared" si="766"/>
        <v>40.640599999999999</v>
      </c>
      <c r="AC85" s="39">
        <v>2.5600000000000002E-3</v>
      </c>
      <c r="AD85" s="17">
        <f t="shared" si="855"/>
        <v>40.015360000000001</v>
      </c>
      <c r="AE85" s="26">
        <f>IF(M85&gt;0,(AG85+AP85)/M85,0)</f>
        <v>2.739682553899303E-3</v>
      </c>
      <c r="AF85" s="39">
        <v>2.1000000000000001E-4</v>
      </c>
      <c r="AG85" s="36">
        <f t="shared" si="856"/>
        <v>3.2825100000000003</v>
      </c>
      <c r="AH85" s="27">
        <v>0.21959999999999999</v>
      </c>
      <c r="AI85" s="40">
        <f t="shared" si="857"/>
        <v>38.938593599999997</v>
      </c>
      <c r="AJ85" s="27">
        <f t="shared" si="858"/>
        <v>0.9188474292356078</v>
      </c>
      <c r="AK85" s="28">
        <f t="shared" si="682"/>
        <v>0.9242191245914394</v>
      </c>
      <c r="AL85" s="33">
        <v>194</v>
      </c>
      <c r="AM85" s="35">
        <v>8.5999999999999993E-2</v>
      </c>
      <c r="AN85" s="37">
        <v>0.223</v>
      </c>
      <c r="AO85" s="103">
        <v>0.21629999999999999</v>
      </c>
      <c r="AP85" s="40">
        <f>AL85*(1-AM85)*AN85</f>
        <v>39.541468000000002</v>
      </c>
      <c r="AQ85" s="104">
        <f t="shared" si="727"/>
        <v>38.353450799999997</v>
      </c>
      <c r="AR85" s="41">
        <v>1.6</v>
      </c>
      <c r="AS85" s="41"/>
      <c r="AT85" s="129">
        <f>AT84+AL85-AS85</f>
        <v>2340.3999999999992</v>
      </c>
      <c r="AU85" s="82"/>
      <c r="AV85" s="42"/>
      <c r="AW85" s="43"/>
      <c r="AX85" s="44"/>
      <c r="AY85" s="44"/>
      <c r="AZ85" s="44"/>
      <c r="BA85" s="44"/>
      <c r="BB85" s="31"/>
    </row>
    <row r="86" spans="1:54">
      <c r="A86" s="147"/>
      <c r="B86" s="32">
        <v>3</v>
      </c>
      <c r="C86" s="10" t="s">
        <v>57</v>
      </c>
      <c r="D86" s="42">
        <v>16800</v>
      </c>
      <c r="E86" s="42">
        <v>2</v>
      </c>
      <c r="F86" s="42">
        <v>16961</v>
      </c>
      <c r="G86" s="36">
        <v>0.6</v>
      </c>
      <c r="H86" s="36">
        <v>3.9</v>
      </c>
      <c r="I86" s="42">
        <v>17053</v>
      </c>
      <c r="J86" s="133">
        <v>5</v>
      </c>
      <c r="K86" s="42">
        <v>16722</v>
      </c>
      <c r="L86" s="38">
        <v>7.0000000000000007E-2</v>
      </c>
      <c r="M86" s="36">
        <f>ROUND(K86*(1-L86),0)</f>
        <v>15551</v>
      </c>
      <c r="N86" s="27">
        <v>0.74199999999999999</v>
      </c>
      <c r="O86" s="24">
        <f t="shared" si="848"/>
        <v>11538.842000000001</v>
      </c>
      <c r="P86" s="38">
        <v>0.20200000000000001</v>
      </c>
      <c r="Q86" s="24">
        <f t="shared" si="849"/>
        <v>3141.3020000000001</v>
      </c>
      <c r="R86" s="38">
        <v>5.6000000000000001E-2</v>
      </c>
      <c r="S86" s="105">
        <v>0.21099999999999999</v>
      </c>
      <c r="T86" s="24">
        <f t="shared" si="850"/>
        <v>870.85599999999999</v>
      </c>
      <c r="U86" s="27">
        <v>0.24099999999999999</v>
      </c>
      <c r="V86" s="24">
        <f t="shared" si="851"/>
        <v>3747.7909999999997</v>
      </c>
      <c r="W86" s="38">
        <v>0.47099999999999997</v>
      </c>
      <c r="X86" s="24">
        <f t="shared" si="852"/>
        <v>7324.5209999999997</v>
      </c>
      <c r="Y86" s="38">
        <v>0.44</v>
      </c>
      <c r="Z86" s="24">
        <f t="shared" si="853"/>
        <v>6842.44</v>
      </c>
      <c r="AA86" s="118">
        <v>2.63E-3</v>
      </c>
      <c r="AB86" s="121">
        <f t="shared" si="766"/>
        <v>40.89913</v>
      </c>
      <c r="AC86" s="45">
        <v>2.65E-3</v>
      </c>
      <c r="AD86" s="17">
        <f t="shared" si="855"/>
        <v>41.210149999999999</v>
      </c>
      <c r="AE86" s="26">
        <f>IF(M86&gt;0,(AG86+AP86)/M86,0)</f>
        <v>2.7219610314449232E-3</v>
      </c>
      <c r="AF86" s="45">
        <v>2.2000000000000001E-4</v>
      </c>
      <c r="AG86" s="36">
        <f t="shared" si="856"/>
        <v>3.4212199999999999</v>
      </c>
      <c r="AH86" s="27">
        <v>0.221</v>
      </c>
      <c r="AI86" s="40">
        <f t="shared" si="857"/>
        <v>37.207560000000001</v>
      </c>
      <c r="AJ86" s="27">
        <f t="shared" si="858"/>
        <v>0.91789487357858157</v>
      </c>
      <c r="AK86" s="28">
        <f t="shared" si="682"/>
        <v>0.92005177921941661</v>
      </c>
      <c r="AL86" s="42">
        <v>184</v>
      </c>
      <c r="AM86" s="38">
        <v>8.5000000000000006E-2</v>
      </c>
      <c r="AN86" s="27">
        <v>0.2311</v>
      </c>
      <c r="AO86" s="105">
        <v>0.2268</v>
      </c>
      <c r="AP86" s="40">
        <f>AL86*(1-AM86)*AN86</f>
        <v>38.907996000000004</v>
      </c>
      <c r="AQ86" s="106">
        <f t="shared" si="727"/>
        <v>38.184048000000004</v>
      </c>
      <c r="AR86" s="17">
        <v>1.55</v>
      </c>
      <c r="AS86" s="17"/>
      <c r="AT86" s="129">
        <f>AT85+AL86-AS86</f>
        <v>2524.3999999999992</v>
      </c>
      <c r="AU86" s="82"/>
      <c r="AV86" s="42"/>
      <c r="AW86" s="46"/>
      <c r="AX86" s="40"/>
      <c r="AY86" s="40"/>
      <c r="AZ86" s="40"/>
      <c r="BA86" s="40"/>
      <c r="BB86" s="31"/>
    </row>
    <row r="87" spans="1:54">
      <c r="A87" s="148"/>
      <c r="B87" s="47" t="s">
        <v>56</v>
      </c>
      <c r="C87" s="48"/>
      <c r="D87" s="49">
        <f t="shared" ref="D87" si="860">SUM(D84:D86)</f>
        <v>45794</v>
      </c>
      <c r="E87" s="49"/>
      <c r="F87" s="49">
        <f t="shared" ref="F87" si="861">SUM(F84:F86)</f>
        <v>44634</v>
      </c>
      <c r="G87" s="50"/>
      <c r="H87" s="50"/>
      <c r="I87" s="49">
        <f t="shared" ref="I87:K87" si="862">SUM(I84:I86)</f>
        <v>44736</v>
      </c>
      <c r="J87" s="50"/>
      <c r="K87" s="49">
        <f t="shared" si="862"/>
        <v>49421</v>
      </c>
      <c r="L87" s="20">
        <f t="shared" ref="L87" si="863">IF(K87&gt;0,(K84*L84+K85*L85+K86*L86)/K87,0)</f>
        <v>7.0610469233726561E-2</v>
      </c>
      <c r="M87" s="50">
        <f t="shared" ref="M87" si="864">M84+M85+M86</f>
        <v>45931</v>
      </c>
      <c r="N87" s="51">
        <f t="shared" ref="N87" si="865">IF(M87&gt;0,O87/M87,0)</f>
        <v>0.75618120659249743</v>
      </c>
      <c r="O87" s="52">
        <f t="shared" ref="O87" si="866">O84+O85+O86</f>
        <v>34732.159</v>
      </c>
      <c r="P87" s="20">
        <f t="shared" ref="P87" si="867">IF(M87&gt;0,Q87/M87,0)</f>
        <v>0.19496007054059347</v>
      </c>
      <c r="Q87" s="52">
        <f t="shared" ref="Q87" si="868">Q84+Q85+Q86</f>
        <v>8954.7109999999993</v>
      </c>
      <c r="R87" s="20">
        <f t="shared" ref="R87" si="869">IF(M87&gt;0,T87/M87,0)</f>
        <v>4.8858722866909059E-2</v>
      </c>
      <c r="S87" s="107"/>
      <c r="T87" s="52">
        <f t="shared" ref="T87" si="870">T84+T85+T86</f>
        <v>2244.13</v>
      </c>
      <c r="U87" s="20">
        <f t="shared" ref="U87" si="871">IF(M87&gt;0,V87/M87,0)</f>
        <v>0.23969634887113275</v>
      </c>
      <c r="V87" s="52">
        <f t="shared" ref="V87" si="872">V84+V85+V86</f>
        <v>11009.492999999999</v>
      </c>
      <c r="W87" s="20">
        <f t="shared" ref="W87" si="873">IF(M87&gt;0,X87/M87,0)</f>
        <v>0.47855840282162376</v>
      </c>
      <c r="X87" s="52">
        <f t="shared" ref="X87" si="874">X84+X85+X86</f>
        <v>21980.666000000001</v>
      </c>
      <c r="Y87" s="20">
        <f t="shared" ref="Y87" si="875">IF(M87&gt;0,Z87/M87,0)</f>
        <v>0.44</v>
      </c>
      <c r="Z87" s="52">
        <f t="shared" ref="Z87" si="876">Z84+Z85+Z86</f>
        <v>20209.64</v>
      </c>
      <c r="AA87" s="119">
        <f t="shared" ref="AA87" si="877">IF(M87&gt;0,AB87/M87,0)</f>
        <v>2.5876793451046131E-3</v>
      </c>
      <c r="AB87" s="54">
        <f t="shared" ref="AB87" si="878">SUM(AB84:AB86)</f>
        <v>118.85469999999999</v>
      </c>
      <c r="AC87" s="53">
        <f t="shared" ref="AC87" si="879">IF(M87&gt;0,AD87/M87,0)</f>
        <v>2.5776270928131325E-3</v>
      </c>
      <c r="AD87" s="54">
        <f t="shared" ref="AD87" si="880">SUM(AD84:AD86)</f>
        <v>118.39299</v>
      </c>
      <c r="AE87" s="53">
        <f t="shared" ref="AE87" si="881">IF(M87&gt;0,(AE84*M84+AE85*M85+AE86*M86)/M87,0)</f>
        <v>2.7124561363784812E-3</v>
      </c>
      <c r="AF87" s="53">
        <f t="shared" ref="AF87" si="882">IF(K87&gt;0,(K84*AF84+K85*AF85+K86*AF86)/K87,0)</f>
        <v>2.1338358187814895E-4</v>
      </c>
      <c r="AG87" s="50">
        <f t="shared" ref="AG87" si="883">SUM(AG84:AG86)</f>
        <v>9.8010200000000012</v>
      </c>
      <c r="AH87" s="51">
        <f t="shared" ref="AH87" si="884">IF(K87&gt;0,(K84*AH84+K85*AH85+K86*AH86)/K87,0)</f>
        <v>0.2189456789623844</v>
      </c>
      <c r="AI87" s="56">
        <f t="shared" ref="AI87" si="885">SUM(AI84:AI86)</f>
        <v>111.10637940000001</v>
      </c>
      <c r="AJ87" s="51">
        <f t="shared" ref="AJ87" si="886">IF(AND(AD87&gt;0),((AD84*AJ84+AD85*AJ85+AD86*AJ86)/AD87),0)</f>
        <v>0.91811117164428135</v>
      </c>
      <c r="AK87" s="55">
        <f t="shared" si="682"/>
        <v>0.92220170288862258</v>
      </c>
      <c r="AL87" s="49">
        <f t="shared" ref="AL87" si="887">SUM(AL84:AL86)</f>
        <v>555</v>
      </c>
      <c r="AM87" s="20">
        <f t="shared" ref="AM87" si="888">IF(AL87&gt;0,(AM84*AL84+AM85*AL85+AM86*AL86)/AL87,0)</f>
        <v>8.566846846846847E-2</v>
      </c>
      <c r="AN87" s="51">
        <f>IF(K87&gt;0,(AN84*K84+AN85*K85+AN86*K86)/K87,0)</f>
        <v>0.22625636875012645</v>
      </c>
      <c r="AO87" s="107">
        <f>IF(L87&gt;0,(AO84*K84+AO85*K85+AO86*K86)/K87,0)</f>
        <v>0.22027174075797737</v>
      </c>
      <c r="AP87" s="56">
        <f t="shared" ref="AP87" si="889">SUM(AP84:AP86)</f>
        <v>114.78480279999999</v>
      </c>
      <c r="AQ87" s="108">
        <f t="shared" si="757"/>
        <v>111.7403916</v>
      </c>
      <c r="AR87" s="54"/>
      <c r="AS87" s="54">
        <f t="shared" ref="AS87" si="890">SUM(AS84:AS86)</f>
        <v>1100.02</v>
      </c>
      <c r="AT87" s="83"/>
      <c r="AU87" s="84">
        <f>AT86</f>
        <v>2524.3999999999992</v>
      </c>
      <c r="AV87" s="49">
        <f t="shared" ref="AV87" si="891">SUM(AV84:AV86)</f>
        <v>0</v>
      </c>
      <c r="AW87" s="57"/>
      <c r="AX87" s="56"/>
      <c r="AY87" s="56"/>
      <c r="AZ87" s="56"/>
      <c r="BA87" s="56"/>
      <c r="BB87" s="21"/>
    </row>
    <row r="88" spans="1:54">
      <c r="A88" s="146">
        <v>22</v>
      </c>
      <c r="B88" s="22">
        <v>1</v>
      </c>
      <c r="C88" s="10" t="s">
        <v>59</v>
      </c>
      <c r="D88" s="11">
        <v>5564</v>
      </c>
      <c r="E88" s="11">
        <v>1</v>
      </c>
      <c r="F88" s="11">
        <v>16840</v>
      </c>
      <c r="G88" s="12">
        <v>0.6</v>
      </c>
      <c r="H88" s="12">
        <v>4</v>
      </c>
      <c r="I88" s="11">
        <v>16912</v>
      </c>
      <c r="J88" s="131">
        <v>4.4000000000000004</v>
      </c>
      <c r="K88" s="11">
        <v>16875</v>
      </c>
      <c r="L88" s="13">
        <v>7.5999999999999998E-2</v>
      </c>
      <c r="M88" s="23">
        <f>ROUND(K88*(1-L88),0)</f>
        <v>15593</v>
      </c>
      <c r="N88" s="14">
        <v>0.65200000000000002</v>
      </c>
      <c r="O88" s="24">
        <f t="shared" ref="O88:O90" si="892">M88*N88</f>
        <v>10166.636</v>
      </c>
      <c r="P88" s="13">
        <v>0.29099999999999998</v>
      </c>
      <c r="Q88" s="24">
        <f t="shared" ref="Q88:Q90" si="893">M88*P88</f>
        <v>4537.5630000000001</v>
      </c>
      <c r="R88" s="15">
        <v>5.7000000000000002E-2</v>
      </c>
      <c r="S88" s="112">
        <v>0.2021</v>
      </c>
      <c r="T88" s="24">
        <f t="shared" ref="T88:T90" si="894">M88*R88</f>
        <v>888.80100000000004</v>
      </c>
      <c r="U88" s="25">
        <v>0.24</v>
      </c>
      <c r="V88" s="24">
        <f t="shared" ref="V88:V90" si="895">M88*U88</f>
        <v>3742.3199999999997</v>
      </c>
      <c r="W88" s="15">
        <v>0.48</v>
      </c>
      <c r="X88" s="24">
        <f t="shared" ref="X88:X90" si="896">M88*W88</f>
        <v>7484.6399999999994</v>
      </c>
      <c r="Y88" s="15">
        <v>0.43</v>
      </c>
      <c r="Z88" s="24">
        <f t="shared" ref="Z88:Z90" si="897">Y88*M88</f>
        <v>6704.99</v>
      </c>
      <c r="AA88" s="116">
        <v>2.63E-3</v>
      </c>
      <c r="AB88" s="18">
        <f t="shared" ref="AB88" si="898">M88*AA88</f>
        <v>41.009590000000003</v>
      </c>
      <c r="AC88" s="16">
        <v>2.6800000000000001E-3</v>
      </c>
      <c r="AD88" s="17">
        <f t="shared" ref="AD88:AD90" si="899">M88*AC88</f>
        <v>41.789239999999999</v>
      </c>
      <c r="AE88" s="26">
        <f>IF(M88&gt;0,(AG88+AP88)/M88,0)</f>
        <v>2.6738964791893798E-3</v>
      </c>
      <c r="AF88" s="16">
        <v>2.4000000000000001E-4</v>
      </c>
      <c r="AG88" s="23">
        <f t="shared" ref="AG88:AG90" si="900">AF88*M88</f>
        <v>3.7423200000000003</v>
      </c>
      <c r="AH88" s="92">
        <v>0.2162</v>
      </c>
      <c r="AI88" s="29">
        <f t="shared" ref="AI88:AI90" si="901">AL88*(1-AM88)*AH88</f>
        <v>36.162044399999999</v>
      </c>
      <c r="AJ88" s="27">
        <f t="shared" ref="AJ88:AJ90" si="902">IF(AND(AH88&gt;0,AF88&gt;0,AC88&gt;0),((AC88-AF88)*AH88)/((AH88-AF88)*AC88),0)</f>
        <v>0.91145955718720706</v>
      </c>
      <c r="AK88" s="58">
        <f t="shared" si="682"/>
        <v>0.91120716183696604</v>
      </c>
      <c r="AL88" s="11">
        <v>183</v>
      </c>
      <c r="AM88" s="13">
        <v>8.5999999999999993E-2</v>
      </c>
      <c r="AN88" s="14">
        <v>0.22689999999999999</v>
      </c>
      <c r="AO88" s="101">
        <v>0.2296</v>
      </c>
      <c r="AP88" s="29">
        <f>AL88*(1-AM88)*AN88</f>
        <v>37.9517478</v>
      </c>
      <c r="AQ88" s="102">
        <f t="shared" ref="AQ88" si="903">AL88*(1-AM88)*AO88</f>
        <v>38.4033552</v>
      </c>
      <c r="AR88" s="18">
        <v>1.58</v>
      </c>
      <c r="AS88" s="18">
        <v>1112.78</v>
      </c>
      <c r="AT88" s="79">
        <f>AT86+AL88-AS88</f>
        <v>1594.6199999999992</v>
      </c>
      <c r="AU88" s="80"/>
      <c r="AV88" s="11"/>
      <c r="AW88" s="30"/>
      <c r="AX88" s="19"/>
      <c r="AY88" s="19"/>
      <c r="AZ88" s="19"/>
      <c r="BA88" s="19"/>
      <c r="BB88" s="31"/>
    </row>
    <row r="89" spans="1:54">
      <c r="A89" s="147"/>
      <c r="B89" s="32">
        <v>2</v>
      </c>
      <c r="C89" s="10" t="s">
        <v>53</v>
      </c>
      <c r="D89" s="33">
        <v>19200</v>
      </c>
      <c r="E89" s="33">
        <v>6</v>
      </c>
      <c r="F89" s="33">
        <v>16101</v>
      </c>
      <c r="G89" s="34">
        <v>0.5</v>
      </c>
      <c r="H89" s="34">
        <v>4.5</v>
      </c>
      <c r="I89" s="33">
        <v>15662</v>
      </c>
      <c r="J89" s="34">
        <v>5.0999999999999996</v>
      </c>
      <c r="K89" s="33">
        <v>16812</v>
      </c>
      <c r="L89" s="35">
        <v>7.4999999999999997E-2</v>
      </c>
      <c r="M89" s="36">
        <f>ROUND(K89*(1-L89),0)</f>
        <v>15551</v>
      </c>
      <c r="N89" s="37">
        <v>0.60499999999999998</v>
      </c>
      <c r="O89" s="24">
        <f t="shared" si="892"/>
        <v>9408.3549999999996</v>
      </c>
      <c r="P89" s="35">
        <v>0.373</v>
      </c>
      <c r="Q89" s="24">
        <f t="shared" si="893"/>
        <v>5800.5230000000001</v>
      </c>
      <c r="R89" s="38">
        <v>2.1999999999999999E-2</v>
      </c>
      <c r="S89" s="105">
        <v>0.26919999999999999</v>
      </c>
      <c r="T89" s="24">
        <f t="shared" si="894"/>
        <v>342.12199999999996</v>
      </c>
      <c r="U89" s="27">
        <v>0.24</v>
      </c>
      <c r="V89" s="24">
        <f t="shared" si="895"/>
        <v>3732.24</v>
      </c>
      <c r="W89" s="38">
        <v>0.47399999999999998</v>
      </c>
      <c r="X89" s="24">
        <f t="shared" si="896"/>
        <v>7371.174</v>
      </c>
      <c r="Y89" s="38">
        <v>0.44</v>
      </c>
      <c r="Z89" s="24">
        <f t="shared" si="897"/>
        <v>6842.44</v>
      </c>
      <c r="AA89" s="117"/>
      <c r="AB89" s="18">
        <f t="shared" si="766"/>
        <v>0</v>
      </c>
      <c r="AC89" s="39">
        <v>2.5000000000000001E-3</v>
      </c>
      <c r="AD89" s="17">
        <f t="shared" si="899"/>
        <v>38.877499999999998</v>
      </c>
      <c r="AE89" s="26">
        <f>IF(M89&gt;0,(AG89+AP89)/M89,0)</f>
        <v>2.5241219214198443E-3</v>
      </c>
      <c r="AF89" s="39">
        <v>2.2000000000000001E-4</v>
      </c>
      <c r="AG89" s="36">
        <f t="shared" si="900"/>
        <v>3.4212199999999999</v>
      </c>
      <c r="AH89" s="27">
        <v>0.21659999999999999</v>
      </c>
      <c r="AI89" s="40">
        <f t="shared" si="901"/>
        <v>34.881264000000002</v>
      </c>
      <c r="AJ89" s="27">
        <f t="shared" si="902"/>
        <v>0.91292725760236615</v>
      </c>
      <c r="AK89" s="28">
        <f t="shared" si="682"/>
        <v>0.91374445490250056</v>
      </c>
      <c r="AL89" s="33">
        <v>176</v>
      </c>
      <c r="AM89" s="35">
        <v>8.5000000000000006E-2</v>
      </c>
      <c r="AN89" s="37">
        <v>0.2225</v>
      </c>
      <c r="AO89" s="103">
        <v>0.22750000000000001</v>
      </c>
      <c r="AP89" s="40">
        <f>AL89*(1-AM89)*AN89</f>
        <v>35.831400000000002</v>
      </c>
      <c r="AQ89" s="104">
        <f t="shared" si="727"/>
        <v>36.636600000000008</v>
      </c>
      <c r="AR89" s="41">
        <v>1.6</v>
      </c>
      <c r="AS89" s="41"/>
      <c r="AT89" s="129">
        <f>AT88+AL89-AS89</f>
        <v>1770.6199999999992</v>
      </c>
      <c r="AU89" s="82"/>
      <c r="AV89" s="42"/>
      <c r="AW89" s="43"/>
      <c r="AX89" s="44"/>
      <c r="AY89" s="44"/>
      <c r="AZ89" s="44"/>
      <c r="BA89" s="44"/>
      <c r="BB89" s="31"/>
    </row>
    <row r="90" spans="1:54">
      <c r="A90" s="147"/>
      <c r="B90" s="32">
        <v>3</v>
      </c>
      <c r="C90" s="10" t="s">
        <v>54</v>
      </c>
      <c r="D90" s="42">
        <v>21900</v>
      </c>
      <c r="E90" s="42">
        <v>1</v>
      </c>
      <c r="F90" s="42">
        <v>14809</v>
      </c>
      <c r="G90" s="36">
        <v>0.6</v>
      </c>
      <c r="H90" s="36">
        <v>5.5</v>
      </c>
      <c r="I90" s="42">
        <v>15241</v>
      </c>
      <c r="J90" s="133">
        <v>5.3</v>
      </c>
      <c r="K90" s="42">
        <v>16827</v>
      </c>
      <c r="L90" s="38">
        <v>6.7000000000000004E-2</v>
      </c>
      <c r="M90" s="36">
        <f>ROUND(K90*(1-L90),0)</f>
        <v>15700</v>
      </c>
      <c r="N90" s="27">
        <v>0.60499999999999998</v>
      </c>
      <c r="O90" s="24">
        <f t="shared" si="892"/>
        <v>9498.5</v>
      </c>
      <c r="P90" s="38">
        <v>0.36699999999999999</v>
      </c>
      <c r="Q90" s="24">
        <f t="shared" si="893"/>
        <v>5761.9</v>
      </c>
      <c r="R90" s="38">
        <v>2.8000000000000001E-2</v>
      </c>
      <c r="S90" s="105">
        <v>0.31509999999999999</v>
      </c>
      <c r="T90" s="24">
        <f t="shared" si="894"/>
        <v>439.6</v>
      </c>
      <c r="U90" s="27"/>
      <c r="V90" s="24">
        <f t="shared" si="895"/>
        <v>0</v>
      </c>
      <c r="W90" s="38"/>
      <c r="X90" s="24">
        <f t="shared" si="896"/>
        <v>0</v>
      </c>
      <c r="Y90" s="38">
        <v>0.44</v>
      </c>
      <c r="Z90" s="24">
        <f t="shared" si="897"/>
        <v>6908</v>
      </c>
      <c r="AA90" s="118"/>
      <c r="AB90" s="121">
        <f t="shared" si="766"/>
        <v>0</v>
      </c>
      <c r="AC90" s="45">
        <v>2.4399999999999999E-3</v>
      </c>
      <c r="AD90" s="17">
        <f t="shared" si="899"/>
        <v>38.308</v>
      </c>
      <c r="AE90" s="26">
        <f>IF(M90&gt;0,(AG90+AP90)/M90,0)</f>
        <v>2.2000000000000001E-4</v>
      </c>
      <c r="AF90" s="45">
        <v>2.2000000000000001E-4</v>
      </c>
      <c r="AG90" s="36">
        <f t="shared" si="900"/>
        <v>3.4540000000000002</v>
      </c>
      <c r="AH90" s="27">
        <v>0.21490000000000001</v>
      </c>
      <c r="AI90" s="40">
        <f t="shared" si="901"/>
        <v>32.086289200000003</v>
      </c>
      <c r="AJ90" s="27">
        <f t="shared" si="902"/>
        <v>0.91076844835011772</v>
      </c>
      <c r="AK90" s="28">
        <f t="shared" si="682"/>
        <v>0</v>
      </c>
      <c r="AL90" s="42">
        <v>163</v>
      </c>
      <c r="AM90" s="38">
        <v>8.4000000000000005E-2</v>
      </c>
      <c r="AN90" s="27"/>
      <c r="AO90" s="105"/>
      <c r="AP90" s="40">
        <f>AL90*(1-AM90)*AN90</f>
        <v>0</v>
      </c>
      <c r="AQ90" s="106">
        <f t="shared" si="727"/>
        <v>0</v>
      </c>
      <c r="AR90" s="17">
        <v>1.55</v>
      </c>
      <c r="AS90" s="17"/>
      <c r="AT90" s="129">
        <f>AT89+AL90-AS90</f>
        <v>1933.6199999999992</v>
      </c>
      <c r="AU90" s="82"/>
      <c r="AV90" s="42"/>
      <c r="AW90" s="46"/>
      <c r="AX90" s="40"/>
      <c r="AY90" s="40"/>
      <c r="AZ90" s="40"/>
      <c r="BA90" s="40"/>
      <c r="BB90" s="31"/>
    </row>
    <row r="91" spans="1:54">
      <c r="A91" s="148"/>
      <c r="B91" s="47" t="s">
        <v>56</v>
      </c>
      <c r="C91" s="48"/>
      <c r="D91" s="49">
        <f t="shared" ref="D91" si="904">SUM(D88:D90)</f>
        <v>46664</v>
      </c>
      <c r="E91" s="49"/>
      <c r="F91" s="49">
        <f t="shared" ref="F91" si="905">SUM(F88:F90)</f>
        <v>47750</v>
      </c>
      <c r="G91" s="50"/>
      <c r="H91" s="50"/>
      <c r="I91" s="49">
        <f t="shared" ref="I91:K91" si="906">SUM(I88:I90)</f>
        <v>47815</v>
      </c>
      <c r="J91" s="50"/>
      <c r="K91" s="49">
        <f t="shared" si="906"/>
        <v>50514</v>
      </c>
      <c r="L91" s="20">
        <f t="shared" ref="L91" si="907">IF(K91&gt;0,(K88*L88+K89*L89+K90*L90)/K91,0)</f>
        <v>7.2669141228174361E-2</v>
      </c>
      <c r="M91" s="50">
        <f t="shared" ref="M91" si="908">M88+M89+M90</f>
        <v>46844</v>
      </c>
      <c r="N91" s="51">
        <f t="shared" ref="N91" si="909">IF(M91&gt;0,O91/M91,0)</f>
        <v>0.62064492784561531</v>
      </c>
      <c r="O91" s="52">
        <f t="shared" ref="O91" si="910">O88+O89+O90</f>
        <v>29073.491000000002</v>
      </c>
      <c r="P91" s="20">
        <f t="shared" ref="P91" si="911">IF(M91&gt;0,Q91/M91,0)</f>
        <v>0.34369366407650925</v>
      </c>
      <c r="Q91" s="52">
        <f t="shared" ref="Q91" si="912">Q88+Q89+Q90</f>
        <v>16099.985999999999</v>
      </c>
      <c r="R91" s="20">
        <f t="shared" ref="R91" si="913">IF(M91&gt;0,T91/M91,0)</f>
        <v>3.5661408077875503E-2</v>
      </c>
      <c r="S91" s="107"/>
      <c r="T91" s="52">
        <f t="shared" ref="T91" si="914">T88+T89+T90</f>
        <v>1670.5230000000001</v>
      </c>
      <c r="U91" s="20">
        <f t="shared" ref="U91" si="915">IF(M91&gt;0,V91/M91,0)</f>
        <v>0.15956280420117838</v>
      </c>
      <c r="V91" s="52">
        <f t="shared" ref="V91" si="916">V88+V89+V90</f>
        <v>7474.5599999999995</v>
      </c>
      <c r="W91" s="20">
        <f t="shared" ref="W91" si="917">IF(M91&gt;0,X91/M91,0)</f>
        <v>0.31713376312868241</v>
      </c>
      <c r="X91" s="52">
        <f t="shared" ref="X91" si="918">X88+X89+X90</f>
        <v>14855.813999999998</v>
      </c>
      <c r="Y91" s="20">
        <f t="shared" ref="Y91" si="919">IF(M91&gt;0,Z91/M91,0)</f>
        <v>0.43667129194774146</v>
      </c>
      <c r="Z91" s="52">
        <f t="shared" ref="Z91" si="920">Z88+Z89+Z90</f>
        <v>20455.43</v>
      </c>
      <c r="AA91" s="119">
        <f t="shared" ref="AA91" si="921">IF(M91&gt;0,AB91/M91,0)</f>
        <v>8.7545021774400138E-4</v>
      </c>
      <c r="AB91" s="54">
        <f t="shared" ref="AB91" si="922">SUM(AB88:AB90)</f>
        <v>41.009590000000003</v>
      </c>
      <c r="AC91" s="53">
        <f t="shared" ref="AC91" si="923">IF(M91&gt;0,AD91/M91,0)</f>
        <v>2.5398074459909484E-3</v>
      </c>
      <c r="AD91" s="54">
        <f t="shared" ref="AD91" si="924">SUM(AD88:AD90)</f>
        <v>118.97474</v>
      </c>
      <c r="AE91" s="53">
        <f t="shared" ref="AE91" si="925">IF(M91&gt;0,(AE88*M88+AE89*M89+AE90*M90)/M91,0)</f>
        <v>1.8017395568269148E-3</v>
      </c>
      <c r="AF91" s="53">
        <f t="shared" ref="AF91" si="926">IF(K91&gt;0,(K88*AF88+K89*AF89+K90*AF90)/K91,0)</f>
        <v>2.2668131607079227E-4</v>
      </c>
      <c r="AG91" s="50">
        <f t="shared" ref="AG91" si="927">SUM(AG88:AG90)</f>
        <v>10.61754</v>
      </c>
      <c r="AH91" s="51">
        <f t="shared" ref="AH91" si="928">IF(K91&gt;0,(K88*AH88+K89*AH89+K90*AH90)/K91,0)</f>
        <v>0.21590007720631904</v>
      </c>
      <c r="AI91" s="56">
        <f t="shared" ref="AI91" si="929">SUM(AI88:AI90)</f>
        <v>103.12959760000001</v>
      </c>
      <c r="AJ91" s="51">
        <f t="shared" ref="AJ91" si="930">IF(AND(AD91&gt;0),((AD88*AJ88+AD89*AJ89+AD90*AJ90)/AD91),0)</f>
        <v>0.9117166329795906</v>
      </c>
      <c r="AK91" s="55">
        <f t="shared" si="682"/>
        <v>0.87551191415780649</v>
      </c>
      <c r="AL91" s="49">
        <f t="shared" ref="AL91" si="931">SUM(AL88:AL90)</f>
        <v>522</v>
      </c>
      <c r="AM91" s="20">
        <f t="shared" ref="AM91" si="932">IF(AL91&gt;0,(AM88*AL88+AM89*AL89+AM90*AL90)/AL91,0)</f>
        <v>8.5038314176245217E-2</v>
      </c>
      <c r="AN91" s="51">
        <f>IF(K91&gt;0,(AN88*K88+AN89*K89+AN90*K90)/K91,0)</f>
        <v>0.14985167478322842</v>
      </c>
      <c r="AO91" s="107">
        <f>IF(L91&gt;0,(AO88*K88+AO89*K89+AO90*K90)/K91,0)</f>
        <v>0.15241774557548401</v>
      </c>
      <c r="AP91" s="56">
        <f t="shared" ref="AP91:AQ91" si="933">SUM(AP88:AP90)</f>
        <v>73.783147799999995</v>
      </c>
      <c r="AQ91" s="108">
        <f t="shared" si="933"/>
        <v>75.039955200000009</v>
      </c>
      <c r="AR91" s="54"/>
      <c r="AS91" s="54">
        <f t="shared" ref="AS91" si="934">SUM(AS88:AS90)</f>
        <v>1112.78</v>
      </c>
      <c r="AT91" s="83"/>
      <c r="AU91" s="84">
        <f>AT90</f>
        <v>1933.6199999999992</v>
      </c>
      <c r="AV91" s="49">
        <f t="shared" ref="AV91" si="935">SUM(AV88:AV90)</f>
        <v>0</v>
      </c>
      <c r="AW91" s="57"/>
      <c r="AX91" s="56"/>
      <c r="AY91" s="56"/>
      <c r="AZ91" s="56"/>
      <c r="BA91" s="56"/>
      <c r="BB91" s="21"/>
    </row>
  </sheetData>
  <protectedRanges>
    <protectedRange sqref="AP4:AQ91 AK4:AK91 M4:M91" name="Range1_1_1_1_1_1_1_1_1_1"/>
    <protectedRange sqref="AH7:AJ7 AH4:AI6 AH11:AJ11 AH15:AJ15 AH19:AJ19 AH23:AJ23 AH27:AJ27 AH31:AJ31 AH35:AJ35 AH39:AJ39 AH43:AJ43 AH47:AJ47 AH51:AJ51 AH55:AJ55 AH59:AJ59 AH63:AJ63 AH67:AJ67 AH71:AJ71 AH75:AJ75 AH79:AJ79 AH83:AJ83 AH87:AJ87 AH91:AJ91 AH8:AI10 AH12:AI14 AH16:AI18 AH20:AI22 AH24:AI26 AH28:AI30 AH32:AI34 AH36:AI38 AH40:AI42 AH44:AI46 AH48:AI50 AH52:AI54 AH56:AI58 AH60:AI62 AH64:AI66 AH68:AI70 AH72:AI74 AH76:AI78 AH80:AI82 AH84:AI86 AH88:AI90" name="Range1_1_1_1_1_1_1_1"/>
    <protectedRange sqref="AJ4:AJ6 AJ8:AJ10 AJ12:AJ14 AJ16:AJ18 AJ20:AJ22 AJ24:AJ26 AJ28:AJ30 AJ32:AJ34 AJ36:AJ38 AJ40:AJ42 AJ44:AJ46 AJ48:AJ50 AJ52:AJ54 AJ56:AJ58 AJ60:AJ62 AJ64:AJ66 AJ68:AJ70 AJ72:AJ74 AJ76:AJ78 AJ80:AJ82 AJ84:AJ86 AJ88:AJ90" name="Range1_1_1_1_1"/>
    <protectedRange sqref="AD7:AE7 AD4:AD6 AD11:AE11 AD8:AD10 AD15:AE15 AD12:AD14 AD19:AE19 AD16:AD18 AD23:AE23 AD20:AD22 AD27:AE27 AD24:AD26 AD31:AE31 AD28:AD30 AD35:AE35 AD32:AD34 AD39:AE39 AD36:AD38 AD43:AE43 AD40:AD42 AD47:AE47 AD44:AD46 AD51:AE51 AD48:AD50 AD55:AE55 AD52:AD54 AD59:AE59 AD56:AD58 AD63:AE63 AD60:AD62 AD67:AE67 AD64:AD66 AD71:AE71 AD68:AD70 AD75:AE75 AD72:AD74 AD79:AE79 AD76:AD78 AD83:AE83 AD80:AD82 AD87:AE87 AD84:AD86 AD91:AE91 AD88:AD90" name="Range1_1_1_1_1_2_2_1_1"/>
    <protectedRange sqref="O4:O91" name="Range1_1_1_1_1_5_1_1_1"/>
    <protectedRange sqref="Q4:Q91" name="Range1_1_1_1_1_7_1_1_1"/>
    <protectedRange sqref="T4:T91" name="Range1_1_1_1_1_8_1_1_1"/>
    <protectedRange sqref="V4:V91" name="Range1_1_1_1_1_10_1_1_1"/>
    <protectedRange sqref="X4:X91" name="Range1_1_1_1_1_12_1_1_1"/>
    <protectedRange sqref="Z4:Z91" name="Range1_1_1_1_1_16_1_1_1"/>
    <protectedRange sqref="AG4:AG91" name="Range1_1_1_1_1_18_1_1_1"/>
    <protectedRange sqref="AE4:AE6" name="Range1_1_1_1_1_2_1_31_1_1"/>
    <protectedRange sqref="AE8:AE10" name="Range1_1_1_1_1_2_1_1_2_1_1"/>
    <protectedRange sqref="AE12:AE14" name="Range1_1_1_1_1_2_1_2_1_1_1"/>
    <protectedRange sqref="AE16:AE18" name="Range1_1_1_1_1_2_1_3_1_1_1"/>
    <protectedRange sqref="AE20:AE22" name="Range1_1_1_1_1_2_1_4_1_1_1"/>
    <protectedRange sqref="AE24:AE26" name="Range1_1_1_1_1_2_1_5_1_1_1"/>
    <protectedRange sqref="AE28:AE30" name="Range1_1_1_1_1_2_1_6_1_1_1"/>
    <protectedRange sqref="AE32:AE34" name="Range1_1_1_1_1_2_1_7_1_1_1"/>
    <protectedRange sqref="AE36:AE38" name="Range1_1_1_1_1_2_1_8_1_1_1"/>
    <protectedRange sqref="AE40:AE42" name="Range1_1_1_1_1_2_1_9_1_1_1"/>
    <protectedRange sqref="AE44:AE46" name="Range1_1_1_1_1_2_1_10_1_1_1"/>
    <protectedRange sqref="AE48:AE50" name="Range1_1_1_1_1_2_1_11_1_1_1"/>
    <protectedRange sqref="AE52:AE54" name="Range1_1_1_1_1_2_1_12_1_1_1"/>
    <protectedRange sqref="AE56:AE58" name="Range1_1_1_1_1_2_1_13_1_1_1"/>
    <protectedRange sqref="AE60:AE62" name="Range1_1_1_1_1_2_1_14_1_1_1"/>
    <protectedRange sqref="AE64:AE66" name="Range1_1_1_1_1_2_1_15_1_1_1"/>
    <protectedRange sqref="AE68:AE70" name="Range1_1_1_1_1_2_1_16_1_1_1"/>
    <protectedRange sqref="AE72:AE74" name="Range1_1_1_1_1_2_1_17_1_1_1"/>
    <protectedRange sqref="AE76:AE78" name="Range1_1_1_1_1_2_1_18_1_1_1"/>
    <protectedRange sqref="AE80:AE82" name="Range1_1_1_1_1_2_1_19_1_1_1"/>
    <protectedRange sqref="AE84:AE86" name="Range1_1_1_1_1_2_1_20_1_1_1"/>
    <protectedRange sqref="AE88:AE90" name="Range1_1_1_1_1_2_1_21_1_1_1"/>
    <protectedRange sqref="AB4:AB91" name="Range1_1_1_1_1_2_2_1_1_1_1"/>
  </protectedRanges>
  <mergeCells count="24">
    <mergeCell ref="A68:A71"/>
    <mergeCell ref="A72:A75"/>
    <mergeCell ref="A76:A79"/>
    <mergeCell ref="A80:A83"/>
    <mergeCell ref="A84:A87"/>
    <mergeCell ref="A88:A91"/>
    <mergeCell ref="A44:A47"/>
    <mergeCell ref="A48:A51"/>
    <mergeCell ref="A52:A55"/>
    <mergeCell ref="A56:A59"/>
    <mergeCell ref="A60:A63"/>
    <mergeCell ref="A64:A67"/>
    <mergeCell ref="A20:A23"/>
    <mergeCell ref="A24:A27"/>
    <mergeCell ref="A28:A31"/>
    <mergeCell ref="A32:A35"/>
    <mergeCell ref="A36:A39"/>
    <mergeCell ref="A40:A43"/>
    <mergeCell ref="AX1:AY1"/>
    <mergeCell ref="AZ1:BA1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2026-10-23T08:01:12Z</dcterms:modified>
  <cp:category/>
  <cp:contentStatus/>
</cp:coreProperties>
</file>