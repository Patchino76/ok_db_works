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17"/>
  <workbookPr filterPrivacy="1" defaultThemeVersion="124226"/>
  <xr:revisionPtr revIDLastSave="0" documentId="8_{5D3C8BEB-03C9-4F98-98CB-B30478A121DC}" xr6:coauthVersionLast="47" xr6:coauthVersionMax="47" xr10:uidLastSave="{00000000-0000-0000-0000-000000000000}"/>
  <bookViews>
    <workbookView xWindow="-120" yWindow="-120" windowWidth="29040" windowHeight="15720" tabRatio="576" firstSheet="1" activeTab="2" xr2:uid="{00000000-000D-0000-FFFF-FFFF00000000}"/>
  </bookViews>
  <sheets>
    <sheet name="Януари " sheetId="1" r:id="rId1"/>
    <sheet name="Февруари" sheetId="2" r:id="rId2"/>
    <sheet name="Март" sheetId="3" r:id="rId3"/>
  </sheets>
  <externalReferences>
    <externalReference r:id="rId4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V119" i="3" l="1"/>
  <c r="AS119" i="3"/>
  <c r="AL119" i="3"/>
  <c r="AM119" i="3" s="1"/>
  <c r="K119" i="3"/>
  <c r="I119" i="3"/>
  <c r="F119" i="3"/>
  <c r="D119" i="3"/>
  <c r="AQ118" i="3"/>
  <c r="AP118" i="3"/>
  <c r="AJ118" i="3"/>
  <c r="AI118" i="3"/>
  <c r="M118" i="3"/>
  <c r="AQ117" i="3"/>
  <c r="AP117" i="3"/>
  <c r="AJ117" i="3"/>
  <c r="AI117" i="3"/>
  <c r="M117" i="3"/>
  <c r="AQ116" i="3"/>
  <c r="AQ119" i="3" s="1"/>
  <c r="AP116" i="3"/>
  <c r="AP119" i="3" s="1"/>
  <c r="AJ116" i="3"/>
  <c r="AI116" i="3"/>
  <c r="AI119" i="3" s="1"/>
  <c r="M116" i="3"/>
  <c r="AV115" i="3"/>
  <c r="AS115" i="3"/>
  <c r="AL115" i="3"/>
  <c r="AM115" i="3" s="1"/>
  <c r="K115" i="3"/>
  <c r="I115" i="3"/>
  <c r="F115" i="3"/>
  <c r="D115" i="3"/>
  <c r="AQ114" i="3"/>
  <c r="AP114" i="3"/>
  <c r="AJ114" i="3"/>
  <c r="AI114" i="3"/>
  <c r="M114" i="3"/>
  <c r="AQ113" i="3"/>
  <c r="AP113" i="3"/>
  <c r="AJ113" i="3"/>
  <c r="AI113" i="3"/>
  <c r="M113" i="3"/>
  <c r="AQ112" i="3"/>
  <c r="AQ115" i="3" s="1"/>
  <c r="AP112" i="3"/>
  <c r="AP115" i="3" s="1"/>
  <c r="AJ112" i="3"/>
  <c r="AI112" i="3"/>
  <c r="AI115" i="3" s="1"/>
  <c r="M112" i="3"/>
  <c r="AV111" i="3"/>
  <c r="AS111" i="3"/>
  <c r="AL111" i="3"/>
  <c r="AM111" i="3" s="1"/>
  <c r="K111" i="3"/>
  <c r="I111" i="3"/>
  <c r="F111" i="3"/>
  <c r="D111" i="3"/>
  <c r="AQ110" i="3"/>
  <c r="AP110" i="3"/>
  <c r="AJ110" i="3"/>
  <c r="AI110" i="3"/>
  <c r="M110" i="3"/>
  <c r="AQ109" i="3"/>
  <c r="AP109" i="3"/>
  <c r="AJ109" i="3"/>
  <c r="AI109" i="3"/>
  <c r="M109" i="3"/>
  <c r="AQ108" i="3"/>
  <c r="AQ111" i="3" s="1"/>
  <c r="AP108" i="3"/>
  <c r="AP111" i="3" s="1"/>
  <c r="AJ108" i="3"/>
  <c r="AI108" i="3"/>
  <c r="AI111" i="3" s="1"/>
  <c r="M108" i="3"/>
  <c r="AV107" i="3"/>
  <c r="AS107" i="3"/>
  <c r="AL107" i="3"/>
  <c r="AM107" i="3" s="1"/>
  <c r="K107" i="3"/>
  <c r="I107" i="3"/>
  <c r="F107" i="3"/>
  <c r="D107" i="3"/>
  <c r="AQ106" i="3"/>
  <c r="AP106" i="3"/>
  <c r="AJ106" i="3"/>
  <c r="AI106" i="3"/>
  <c r="M106" i="3"/>
  <c r="AQ105" i="3"/>
  <c r="AP105" i="3"/>
  <c r="AJ105" i="3"/>
  <c r="AI105" i="3"/>
  <c r="M105" i="3"/>
  <c r="AQ104" i="3"/>
  <c r="AQ107" i="3" s="1"/>
  <c r="AP104" i="3"/>
  <c r="AP107" i="3" s="1"/>
  <c r="AJ104" i="3"/>
  <c r="AI104" i="3"/>
  <c r="AI107" i="3" s="1"/>
  <c r="M104" i="3"/>
  <c r="AV103" i="3"/>
  <c r="AS103" i="3"/>
  <c r="AL103" i="3"/>
  <c r="AM103" i="3" s="1"/>
  <c r="K103" i="3"/>
  <c r="I103" i="3"/>
  <c r="F103" i="3"/>
  <c r="D103" i="3"/>
  <c r="AQ102" i="3"/>
  <c r="AP102" i="3"/>
  <c r="AJ102" i="3"/>
  <c r="AI102" i="3"/>
  <c r="M102" i="3"/>
  <c r="AQ101" i="3"/>
  <c r="AP101" i="3"/>
  <c r="AJ101" i="3"/>
  <c r="AI101" i="3"/>
  <c r="M101" i="3"/>
  <c r="AQ100" i="3"/>
  <c r="AQ103" i="3" s="1"/>
  <c r="AP100" i="3"/>
  <c r="AP103" i="3" s="1"/>
  <c r="AJ100" i="3"/>
  <c r="AI100" i="3"/>
  <c r="AI103" i="3" s="1"/>
  <c r="M100" i="3"/>
  <c r="AV99" i="3"/>
  <c r="AS99" i="3"/>
  <c r="AL99" i="3"/>
  <c r="AM99" i="3" s="1"/>
  <c r="K99" i="3"/>
  <c r="I99" i="3"/>
  <c r="F99" i="3"/>
  <c r="D99" i="3"/>
  <c r="AQ98" i="3"/>
  <c r="AP98" i="3"/>
  <c r="AJ98" i="3"/>
  <c r="AI98" i="3"/>
  <c r="M98" i="3"/>
  <c r="AQ97" i="3"/>
  <c r="AP97" i="3"/>
  <c r="AJ97" i="3"/>
  <c r="AI97" i="3"/>
  <c r="M97" i="3"/>
  <c r="AQ96" i="3"/>
  <c r="AQ99" i="3" s="1"/>
  <c r="AP96" i="3"/>
  <c r="AP99" i="3" s="1"/>
  <c r="AJ96" i="3"/>
  <c r="AI96" i="3"/>
  <c r="AI99" i="3" s="1"/>
  <c r="M96" i="3"/>
  <c r="AV95" i="3"/>
  <c r="AS95" i="3"/>
  <c r="AL95" i="3"/>
  <c r="AM95" i="3" s="1"/>
  <c r="K95" i="3"/>
  <c r="I95" i="3"/>
  <c r="F95" i="3"/>
  <c r="D95" i="3"/>
  <c r="AQ94" i="3"/>
  <c r="AP94" i="3"/>
  <c r="AJ94" i="3"/>
  <c r="AI94" i="3"/>
  <c r="M94" i="3"/>
  <c r="AQ93" i="3"/>
  <c r="AP93" i="3"/>
  <c r="AJ93" i="3"/>
  <c r="AI93" i="3"/>
  <c r="M93" i="3"/>
  <c r="AQ92" i="3"/>
  <c r="AQ95" i="3" s="1"/>
  <c r="AP92" i="3"/>
  <c r="AP95" i="3" s="1"/>
  <c r="AJ92" i="3"/>
  <c r="AI92" i="3"/>
  <c r="AI95" i="3" s="1"/>
  <c r="M92" i="3"/>
  <c r="AV91" i="3"/>
  <c r="AS91" i="3"/>
  <c r="AL91" i="3"/>
  <c r="AM91" i="3" s="1"/>
  <c r="K91" i="3"/>
  <c r="I91" i="3"/>
  <c r="F91" i="3"/>
  <c r="D91" i="3"/>
  <c r="AQ90" i="3"/>
  <c r="AP90" i="3"/>
  <c r="AJ90" i="3"/>
  <c r="AI90" i="3"/>
  <c r="M90" i="3"/>
  <c r="AQ89" i="3"/>
  <c r="AP89" i="3"/>
  <c r="AJ89" i="3"/>
  <c r="AI89" i="3"/>
  <c r="M89" i="3"/>
  <c r="AQ88" i="3"/>
  <c r="AQ91" i="3" s="1"/>
  <c r="AP88" i="3"/>
  <c r="AP91" i="3" s="1"/>
  <c r="AJ88" i="3"/>
  <c r="AI88" i="3"/>
  <c r="AI91" i="3" s="1"/>
  <c r="M88" i="3"/>
  <c r="AV87" i="3"/>
  <c r="AS87" i="3"/>
  <c r="AL87" i="3"/>
  <c r="AM87" i="3" s="1"/>
  <c r="K87" i="3"/>
  <c r="I87" i="3"/>
  <c r="F87" i="3"/>
  <c r="D87" i="3"/>
  <c r="AQ86" i="3"/>
  <c r="AP86" i="3"/>
  <c r="AJ86" i="3"/>
  <c r="AI86" i="3"/>
  <c r="M86" i="3"/>
  <c r="AQ85" i="3"/>
  <c r="AP85" i="3"/>
  <c r="AJ85" i="3"/>
  <c r="AI85" i="3"/>
  <c r="M85" i="3"/>
  <c r="AQ84" i="3"/>
  <c r="AQ87" i="3" s="1"/>
  <c r="AP84" i="3"/>
  <c r="AP87" i="3" s="1"/>
  <c r="AJ84" i="3"/>
  <c r="AI84" i="3"/>
  <c r="AI87" i="3" s="1"/>
  <c r="M84" i="3"/>
  <c r="AV83" i="3"/>
  <c r="AS83" i="3"/>
  <c r="AL83" i="3"/>
  <c r="AM83" i="3" s="1"/>
  <c r="K83" i="3"/>
  <c r="I83" i="3"/>
  <c r="F83" i="3"/>
  <c r="D83" i="3"/>
  <c r="AQ82" i="3"/>
  <c r="AP82" i="3"/>
  <c r="AJ82" i="3"/>
  <c r="AI82" i="3"/>
  <c r="M82" i="3"/>
  <c r="AQ81" i="3"/>
  <c r="AP81" i="3"/>
  <c r="AJ81" i="3"/>
  <c r="AI81" i="3"/>
  <c r="M81" i="3"/>
  <c r="AQ80" i="3"/>
  <c r="AQ83" i="3" s="1"/>
  <c r="AP80" i="3"/>
  <c r="AP83" i="3" s="1"/>
  <c r="AJ80" i="3"/>
  <c r="AI80" i="3"/>
  <c r="AI83" i="3" s="1"/>
  <c r="M80" i="3"/>
  <c r="AV79" i="3"/>
  <c r="AS79" i="3"/>
  <c r="AL79" i="3"/>
  <c r="AM79" i="3" s="1"/>
  <c r="K79" i="3"/>
  <c r="I79" i="3"/>
  <c r="F79" i="3"/>
  <c r="D79" i="3"/>
  <c r="AQ78" i="3"/>
  <c r="AP78" i="3"/>
  <c r="AJ78" i="3"/>
  <c r="AI78" i="3"/>
  <c r="M78" i="3"/>
  <c r="AQ77" i="3"/>
  <c r="AP77" i="3"/>
  <c r="AJ77" i="3"/>
  <c r="AI77" i="3"/>
  <c r="M77" i="3"/>
  <c r="AQ76" i="3"/>
  <c r="AQ79" i="3" s="1"/>
  <c r="AP76" i="3"/>
  <c r="AP79" i="3" s="1"/>
  <c r="AJ76" i="3"/>
  <c r="AI76" i="3"/>
  <c r="AI79" i="3" s="1"/>
  <c r="M76" i="3"/>
  <c r="AV75" i="3"/>
  <c r="AS75" i="3"/>
  <c r="AL75" i="3"/>
  <c r="AM75" i="3" s="1"/>
  <c r="K75" i="3"/>
  <c r="I75" i="3"/>
  <c r="F75" i="3"/>
  <c r="D75" i="3"/>
  <c r="AQ74" i="3"/>
  <c r="AP74" i="3"/>
  <c r="AJ74" i="3"/>
  <c r="AI74" i="3"/>
  <c r="M74" i="3"/>
  <c r="AQ73" i="3"/>
  <c r="AP73" i="3"/>
  <c r="AJ73" i="3"/>
  <c r="AI73" i="3"/>
  <c r="M73" i="3"/>
  <c r="AQ72" i="3"/>
  <c r="AQ75" i="3" s="1"/>
  <c r="AP72" i="3"/>
  <c r="AP75" i="3" s="1"/>
  <c r="AJ72" i="3"/>
  <c r="AI72" i="3"/>
  <c r="AI75" i="3" s="1"/>
  <c r="M72" i="3"/>
  <c r="AV71" i="3"/>
  <c r="AS71" i="3"/>
  <c r="AL71" i="3"/>
  <c r="AM71" i="3" s="1"/>
  <c r="K71" i="3"/>
  <c r="I71" i="3"/>
  <c r="F71" i="3"/>
  <c r="D71" i="3"/>
  <c r="AQ70" i="3"/>
  <c r="AP70" i="3"/>
  <c r="AJ70" i="3"/>
  <c r="AI70" i="3"/>
  <c r="M70" i="3"/>
  <c r="AQ69" i="3"/>
  <c r="AP69" i="3"/>
  <c r="AJ69" i="3"/>
  <c r="AI69" i="3"/>
  <c r="M69" i="3"/>
  <c r="AQ68" i="3"/>
  <c r="AQ71" i="3" s="1"/>
  <c r="AP68" i="3"/>
  <c r="AP71" i="3" s="1"/>
  <c r="AJ68" i="3"/>
  <c r="AI68" i="3"/>
  <c r="AI71" i="3" s="1"/>
  <c r="M68" i="3"/>
  <c r="AV67" i="3"/>
  <c r="AS67" i="3"/>
  <c r="AL67" i="3"/>
  <c r="AM67" i="3" s="1"/>
  <c r="K67" i="3"/>
  <c r="I67" i="3"/>
  <c r="F67" i="3"/>
  <c r="D67" i="3"/>
  <c r="AQ66" i="3"/>
  <c r="AP66" i="3"/>
  <c r="AJ66" i="3"/>
  <c r="AI66" i="3"/>
  <c r="M66" i="3"/>
  <c r="AQ65" i="3"/>
  <c r="AP65" i="3"/>
  <c r="AJ65" i="3"/>
  <c r="AI65" i="3"/>
  <c r="M65" i="3"/>
  <c r="AQ64" i="3"/>
  <c r="AQ67" i="3" s="1"/>
  <c r="AP64" i="3"/>
  <c r="AP67" i="3" s="1"/>
  <c r="AJ64" i="3"/>
  <c r="AI64" i="3"/>
  <c r="AI67" i="3" s="1"/>
  <c r="M64" i="3"/>
  <c r="AV63" i="3"/>
  <c r="AS63" i="3"/>
  <c r="AL63" i="3"/>
  <c r="AM63" i="3" s="1"/>
  <c r="K63" i="3"/>
  <c r="I63" i="3"/>
  <c r="F63" i="3"/>
  <c r="D63" i="3"/>
  <c r="AQ62" i="3"/>
  <c r="AP62" i="3"/>
  <c r="AJ62" i="3"/>
  <c r="AI62" i="3"/>
  <c r="M62" i="3"/>
  <c r="AQ61" i="3"/>
  <c r="AP61" i="3"/>
  <c r="AJ61" i="3"/>
  <c r="AI61" i="3"/>
  <c r="M61" i="3"/>
  <c r="AQ60" i="3"/>
  <c r="AQ63" i="3" s="1"/>
  <c r="AP60" i="3"/>
  <c r="AP63" i="3" s="1"/>
  <c r="AJ60" i="3"/>
  <c r="AI60" i="3"/>
  <c r="AI63" i="3" s="1"/>
  <c r="M60" i="3"/>
  <c r="AV59" i="3"/>
  <c r="AS59" i="3"/>
  <c r="AL59" i="3"/>
  <c r="AM59" i="3" s="1"/>
  <c r="K59" i="3"/>
  <c r="I59" i="3"/>
  <c r="F59" i="3"/>
  <c r="D59" i="3"/>
  <c r="AQ58" i="3"/>
  <c r="AP58" i="3"/>
  <c r="AJ58" i="3"/>
  <c r="AI58" i="3"/>
  <c r="M58" i="3"/>
  <c r="AQ57" i="3"/>
  <c r="AP57" i="3"/>
  <c r="AJ57" i="3"/>
  <c r="AI57" i="3"/>
  <c r="M57" i="3"/>
  <c r="AQ56" i="3"/>
  <c r="AQ59" i="3" s="1"/>
  <c r="AP56" i="3"/>
  <c r="AP59" i="3" s="1"/>
  <c r="AJ56" i="3"/>
  <c r="AI56" i="3"/>
  <c r="AI59" i="3" s="1"/>
  <c r="M56" i="3"/>
  <c r="AV55" i="3"/>
  <c r="AS55" i="3"/>
  <c r="AL55" i="3"/>
  <c r="AM55" i="3" s="1"/>
  <c r="K55" i="3"/>
  <c r="I55" i="3"/>
  <c r="F55" i="3"/>
  <c r="D55" i="3"/>
  <c r="AQ54" i="3"/>
  <c r="AP54" i="3"/>
  <c r="AJ54" i="3"/>
  <c r="AI54" i="3"/>
  <c r="M54" i="3"/>
  <c r="AQ53" i="3"/>
  <c r="AP53" i="3"/>
  <c r="AJ53" i="3"/>
  <c r="AI53" i="3"/>
  <c r="M53" i="3"/>
  <c r="AQ52" i="3"/>
  <c r="AQ55" i="3" s="1"/>
  <c r="AP52" i="3"/>
  <c r="AP55" i="3" s="1"/>
  <c r="AJ52" i="3"/>
  <c r="AI52" i="3"/>
  <c r="AI55" i="3" s="1"/>
  <c r="M52" i="3"/>
  <c r="AV51" i="3"/>
  <c r="AS51" i="3"/>
  <c r="AL51" i="3"/>
  <c r="AM51" i="3" s="1"/>
  <c r="K51" i="3"/>
  <c r="I51" i="3"/>
  <c r="F51" i="3"/>
  <c r="D51" i="3"/>
  <c r="AQ50" i="3"/>
  <c r="AP50" i="3"/>
  <c r="AJ50" i="3"/>
  <c r="AI50" i="3"/>
  <c r="M50" i="3"/>
  <c r="AQ49" i="3"/>
  <c r="AP49" i="3"/>
  <c r="AJ49" i="3"/>
  <c r="AI49" i="3"/>
  <c r="M49" i="3"/>
  <c r="AQ48" i="3"/>
  <c r="AQ51" i="3" s="1"/>
  <c r="AP48" i="3"/>
  <c r="AP51" i="3" s="1"/>
  <c r="AJ48" i="3"/>
  <c r="AI48" i="3"/>
  <c r="AI51" i="3" s="1"/>
  <c r="M48" i="3"/>
  <c r="AV47" i="3"/>
  <c r="AS47" i="3"/>
  <c r="AL47" i="3"/>
  <c r="AM47" i="3" s="1"/>
  <c r="K47" i="3"/>
  <c r="I47" i="3"/>
  <c r="F47" i="3"/>
  <c r="D47" i="3"/>
  <c r="AQ46" i="3"/>
  <c r="AP46" i="3"/>
  <c r="AJ46" i="3"/>
  <c r="AI46" i="3"/>
  <c r="M46" i="3"/>
  <c r="AQ45" i="3"/>
  <c r="AP45" i="3"/>
  <c r="AJ45" i="3"/>
  <c r="AI45" i="3"/>
  <c r="M45" i="3"/>
  <c r="AQ44" i="3"/>
  <c r="AQ47" i="3" s="1"/>
  <c r="AP44" i="3"/>
  <c r="AP47" i="3" s="1"/>
  <c r="AJ44" i="3"/>
  <c r="AI44" i="3"/>
  <c r="AI47" i="3" s="1"/>
  <c r="M44" i="3"/>
  <c r="AV43" i="3"/>
  <c r="AS43" i="3"/>
  <c r="AL43" i="3"/>
  <c r="AM43" i="3" s="1"/>
  <c r="K43" i="3"/>
  <c r="I43" i="3"/>
  <c r="F43" i="3"/>
  <c r="D43" i="3"/>
  <c r="AQ42" i="3"/>
  <c r="AP42" i="3"/>
  <c r="AJ42" i="3"/>
  <c r="AI42" i="3"/>
  <c r="M42" i="3"/>
  <c r="AQ41" i="3"/>
  <c r="AP41" i="3"/>
  <c r="AJ41" i="3"/>
  <c r="AI41" i="3"/>
  <c r="M41" i="3"/>
  <c r="AQ40" i="3"/>
  <c r="AQ43" i="3" s="1"/>
  <c r="AP40" i="3"/>
  <c r="AP43" i="3" s="1"/>
  <c r="AJ40" i="3"/>
  <c r="AI40" i="3"/>
  <c r="AI43" i="3" s="1"/>
  <c r="M40" i="3"/>
  <c r="AV39" i="3"/>
  <c r="AS39" i="3"/>
  <c r="AL39" i="3"/>
  <c r="AM39" i="3" s="1"/>
  <c r="K39" i="3"/>
  <c r="I39" i="3"/>
  <c r="F39" i="3"/>
  <c r="D39" i="3"/>
  <c r="AQ38" i="3"/>
  <c r="AP38" i="3"/>
  <c r="AJ38" i="3"/>
  <c r="AI38" i="3"/>
  <c r="M38" i="3"/>
  <c r="AQ37" i="3"/>
  <c r="AP37" i="3"/>
  <c r="AJ37" i="3"/>
  <c r="AI37" i="3"/>
  <c r="M37" i="3"/>
  <c r="AQ36" i="3"/>
  <c r="AQ39" i="3" s="1"/>
  <c r="AP36" i="3"/>
  <c r="AP39" i="3" s="1"/>
  <c r="AJ36" i="3"/>
  <c r="AI36" i="3"/>
  <c r="AI39" i="3" s="1"/>
  <c r="M36" i="3"/>
  <c r="AV35" i="3"/>
  <c r="AS35" i="3"/>
  <c r="AL35" i="3"/>
  <c r="AM35" i="3" s="1"/>
  <c r="K35" i="3"/>
  <c r="I35" i="3"/>
  <c r="F35" i="3"/>
  <c r="D35" i="3"/>
  <c r="AQ34" i="3"/>
  <c r="AP34" i="3"/>
  <c r="AJ34" i="3"/>
  <c r="AI34" i="3"/>
  <c r="M34" i="3"/>
  <c r="AQ33" i="3"/>
  <c r="AP33" i="3"/>
  <c r="AJ33" i="3"/>
  <c r="AI33" i="3"/>
  <c r="M33" i="3"/>
  <c r="AQ32" i="3"/>
  <c r="AQ35" i="3" s="1"/>
  <c r="AP32" i="3"/>
  <c r="AP35" i="3" s="1"/>
  <c r="AJ32" i="3"/>
  <c r="AI32" i="3"/>
  <c r="AI35" i="3" s="1"/>
  <c r="M32" i="3"/>
  <c r="AV31" i="3"/>
  <c r="AS31" i="3"/>
  <c r="AL31" i="3"/>
  <c r="AM31" i="3" s="1"/>
  <c r="K31" i="3"/>
  <c r="I31" i="3"/>
  <c r="F31" i="3"/>
  <c r="D31" i="3"/>
  <c r="AQ30" i="3"/>
  <c r="AP30" i="3"/>
  <c r="AJ30" i="3"/>
  <c r="AI30" i="3"/>
  <c r="M30" i="3"/>
  <c r="AQ29" i="3"/>
  <c r="AP29" i="3"/>
  <c r="AJ29" i="3"/>
  <c r="AI29" i="3"/>
  <c r="M29" i="3"/>
  <c r="AQ28" i="3"/>
  <c r="AQ31" i="3" s="1"/>
  <c r="AP28" i="3"/>
  <c r="AP31" i="3" s="1"/>
  <c r="AJ28" i="3"/>
  <c r="AI28" i="3"/>
  <c r="AI31" i="3" s="1"/>
  <c r="M28" i="3"/>
  <c r="AV27" i="3"/>
  <c r="AS27" i="3"/>
  <c r="AL27" i="3"/>
  <c r="AM27" i="3" s="1"/>
  <c r="K27" i="3"/>
  <c r="I27" i="3"/>
  <c r="F27" i="3"/>
  <c r="D27" i="3"/>
  <c r="AQ26" i="3"/>
  <c r="AP26" i="3"/>
  <c r="AJ26" i="3"/>
  <c r="AI26" i="3"/>
  <c r="M26" i="3"/>
  <c r="AQ25" i="3"/>
  <c r="AP25" i="3"/>
  <c r="AJ25" i="3"/>
  <c r="AI25" i="3"/>
  <c r="M25" i="3"/>
  <c r="AQ24" i="3"/>
  <c r="AQ27" i="3" s="1"/>
  <c r="AP24" i="3"/>
  <c r="AP27" i="3" s="1"/>
  <c r="AJ24" i="3"/>
  <c r="AI24" i="3"/>
  <c r="AI27" i="3" s="1"/>
  <c r="M24" i="3"/>
  <c r="AV23" i="3"/>
  <c r="AS23" i="3"/>
  <c r="AL23" i="3"/>
  <c r="AM23" i="3" s="1"/>
  <c r="K23" i="3"/>
  <c r="I23" i="3"/>
  <c r="F23" i="3"/>
  <c r="D23" i="3"/>
  <c r="AQ22" i="3"/>
  <c r="AP22" i="3"/>
  <c r="AJ22" i="3"/>
  <c r="AI22" i="3"/>
  <c r="M22" i="3"/>
  <c r="AQ21" i="3"/>
  <c r="AP21" i="3"/>
  <c r="AJ21" i="3"/>
  <c r="AI21" i="3"/>
  <c r="M21" i="3"/>
  <c r="AQ20" i="3"/>
  <c r="AQ23" i="3" s="1"/>
  <c r="AP20" i="3"/>
  <c r="AP23" i="3" s="1"/>
  <c r="AJ20" i="3"/>
  <c r="AI20" i="3"/>
  <c r="AI23" i="3" s="1"/>
  <c r="M20" i="3"/>
  <c r="AV19" i="3"/>
  <c r="AS19" i="3"/>
  <c r="AL19" i="3"/>
  <c r="AM19" i="3" s="1"/>
  <c r="K19" i="3"/>
  <c r="I19" i="3"/>
  <c r="F19" i="3"/>
  <c r="D19" i="3"/>
  <c r="AQ18" i="3"/>
  <c r="AP18" i="3"/>
  <c r="AJ18" i="3"/>
  <c r="AI18" i="3"/>
  <c r="M18" i="3"/>
  <c r="AQ17" i="3"/>
  <c r="AP17" i="3"/>
  <c r="AJ17" i="3"/>
  <c r="AI17" i="3"/>
  <c r="M17" i="3"/>
  <c r="AQ16" i="3"/>
  <c r="AQ19" i="3" s="1"/>
  <c r="AP16" i="3"/>
  <c r="AP19" i="3" s="1"/>
  <c r="AJ16" i="3"/>
  <c r="AI16" i="3"/>
  <c r="AI19" i="3" s="1"/>
  <c r="M16" i="3"/>
  <c r="AV15" i="3"/>
  <c r="AS15" i="3"/>
  <c r="AL15" i="3"/>
  <c r="AM15" i="3" s="1"/>
  <c r="K15" i="3"/>
  <c r="I15" i="3"/>
  <c r="F15" i="3"/>
  <c r="D15" i="3"/>
  <c r="AQ14" i="3"/>
  <c r="AP14" i="3"/>
  <c r="AJ14" i="3"/>
  <c r="AI14" i="3"/>
  <c r="M14" i="3"/>
  <c r="AQ13" i="3"/>
  <c r="AP13" i="3"/>
  <c r="AJ13" i="3"/>
  <c r="AI13" i="3"/>
  <c r="M13" i="3"/>
  <c r="AQ12" i="3"/>
  <c r="AQ15" i="3" s="1"/>
  <c r="AP12" i="3"/>
  <c r="AP15" i="3" s="1"/>
  <c r="AJ12" i="3"/>
  <c r="AI12" i="3"/>
  <c r="AI15" i="3" s="1"/>
  <c r="M12" i="3"/>
  <c r="AV11" i="3"/>
  <c r="AS11" i="3"/>
  <c r="AL11" i="3"/>
  <c r="AM11" i="3" s="1"/>
  <c r="K11" i="3"/>
  <c r="I11" i="3"/>
  <c r="F11" i="3"/>
  <c r="D11" i="3"/>
  <c r="AQ10" i="3"/>
  <c r="AP10" i="3"/>
  <c r="AJ10" i="3"/>
  <c r="AI10" i="3"/>
  <c r="M10" i="3"/>
  <c r="AQ9" i="3"/>
  <c r="AP9" i="3"/>
  <c r="AJ9" i="3"/>
  <c r="AI9" i="3"/>
  <c r="M9" i="3"/>
  <c r="AQ8" i="3"/>
  <c r="AQ11" i="3" s="1"/>
  <c r="AP8" i="3"/>
  <c r="AP11" i="3" s="1"/>
  <c r="AJ8" i="3"/>
  <c r="AI8" i="3"/>
  <c r="AI11" i="3" s="1"/>
  <c r="M8" i="3"/>
  <c r="AV7" i="3"/>
  <c r="AS7" i="3"/>
  <c r="AL7" i="3"/>
  <c r="AM7" i="3" s="1"/>
  <c r="K7" i="3"/>
  <c r="I7" i="3"/>
  <c r="F7" i="3"/>
  <c r="D7" i="3"/>
  <c r="AQ6" i="3"/>
  <c r="AP6" i="3"/>
  <c r="AJ6" i="3"/>
  <c r="AI6" i="3"/>
  <c r="M6" i="3"/>
  <c r="AQ5" i="3"/>
  <c r="AP5" i="3"/>
  <c r="AJ5" i="3"/>
  <c r="AI5" i="3"/>
  <c r="M5" i="3"/>
  <c r="AT4" i="3"/>
  <c r="AT5" i="3" s="1"/>
  <c r="AT6" i="3" s="1"/>
  <c r="AQ4" i="3"/>
  <c r="AQ7" i="3" s="1"/>
  <c r="AP4" i="3"/>
  <c r="AP7" i="3" s="1"/>
  <c r="AJ4" i="3"/>
  <c r="AI4" i="3"/>
  <c r="AI7" i="3" s="1"/>
  <c r="M4" i="3"/>
  <c r="AV115" i="2"/>
  <c r="AS115" i="2"/>
  <c r="AL115" i="2"/>
  <c r="AM115" i="2" s="1"/>
  <c r="K115" i="2"/>
  <c r="I115" i="2"/>
  <c r="F115" i="2"/>
  <c r="D115" i="2"/>
  <c r="AQ114" i="2"/>
  <c r="AP114" i="2"/>
  <c r="AJ114" i="2"/>
  <c r="AI114" i="2"/>
  <c r="M114" i="2"/>
  <c r="AQ113" i="2"/>
  <c r="AP113" i="2"/>
  <c r="AJ113" i="2"/>
  <c r="AI113" i="2"/>
  <c r="M113" i="2"/>
  <c r="AQ112" i="2"/>
  <c r="AQ115" i="2" s="1"/>
  <c r="AP112" i="2"/>
  <c r="AP115" i="2" s="1"/>
  <c r="AJ112" i="2"/>
  <c r="AI112" i="2"/>
  <c r="AI115" i="2" s="1"/>
  <c r="M112" i="2"/>
  <c r="AV111" i="2"/>
  <c r="AS111" i="2"/>
  <c r="AL111" i="2"/>
  <c r="AM111" i="2" s="1"/>
  <c r="K111" i="2"/>
  <c r="I111" i="2"/>
  <c r="F111" i="2"/>
  <c r="D111" i="2"/>
  <c r="AQ110" i="2"/>
  <c r="AP110" i="2"/>
  <c r="AJ110" i="2"/>
  <c r="AI110" i="2"/>
  <c r="M110" i="2"/>
  <c r="AQ109" i="2"/>
  <c r="AP109" i="2"/>
  <c r="AJ109" i="2"/>
  <c r="AI109" i="2"/>
  <c r="M109" i="2"/>
  <c r="AQ108" i="2"/>
  <c r="AQ111" i="2" s="1"/>
  <c r="AP108" i="2"/>
  <c r="AP111" i="2" s="1"/>
  <c r="AJ108" i="2"/>
  <c r="AI108" i="2"/>
  <c r="AI111" i="2" s="1"/>
  <c r="M108" i="2"/>
  <c r="AV107" i="2"/>
  <c r="AS107" i="2"/>
  <c r="AL107" i="2"/>
  <c r="AM107" i="2" s="1"/>
  <c r="K107" i="2"/>
  <c r="I107" i="2"/>
  <c r="F107" i="2"/>
  <c r="D107" i="2"/>
  <c r="AQ106" i="2"/>
  <c r="AP106" i="2"/>
  <c r="AJ106" i="2"/>
  <c r="AI106" i="2"/>
  <c r="M106" i="2"/>
  <c r="AQ105" i="2"/>
  <c r="AP105" i="2"/>
  <c r="AJ105" i="2"/>
  <c r="AI105" i="2"/>
  <c r="M105" i="2"/>
  <c r="AQ104" i="2"/>
  <c r="AQ107" i="2" s="1"/>
  <c r="AP104" i="2"/>
  <c r="AP107" i="2" s="1"/>
  <c r="AJ104" i="2"/>
  <c r="AI104" i="2"/>
  <c r="AI107" i="2" s="1"/>
  <c r="M104" i="2"/>
  <c r="AV103" i="2"/>
  <c r="AS103" i="2"/>
  <c r="AL103" i="2"/>
  <c r="AM103" i="2" s="1"/>
  <c r="K103" i="2"/>
  <c r="I103" i="2"/>
  <c r="F103" i="2"/>
  <c r="D103" i="2"/>
  <c r="AQ102" i="2"/>
  <c r="AP102" i="2"/>
  <c r="AJ102" i="2"/>
  <c r="AI102" i="2"/>
  <c r="M102" i="2"/>
  <c r="AQ101" i="2"/>
  <c r="AP101" i="2"/>
  <c r="AJ101" i="2"/>
  <c r="AI101" i="2"/>
  <c r="M101" i="2"/>
  <c r="AQ100" i="2"/>
  <c r="AQ103" i="2" s="1"/>
  <c r="AP100" i="2"/>
  <c r="AP103" i="2" s="1"/>
  <c r="AJ100" i="2"/>
  <c r="AI100" i="2"/>
  <c r="AI103" i="2" s="1"/>
  <c r="M100" i="2"/>
  <c r="AV99" i="2"/>
  <c r="AS99" i="2"/>
  <c r="AL99" i="2"/>
  <c r="AM99" i="2" s="1"/>
  <c r="K99" i="2"/>
  <c r="I99" i="2"/>
  <c r="F99" i="2"/>
  <c r="D99" i="2"/>
  <c r="AQ98" i="2"/>
  <c r="AP98" i="2"/>
  <c r="AJ98" i="2"/>
  <c r="AI98" i="2"/>
  <c r="M98" i="2"/>
  <c r="AQ97" i="2"/>
  <c r="AP97" i="2"/>
  <c r="AJ97" i="2"/>
  <c r="AI97" i="2"/>
  <c r="M97" i="2"/>
  <c r="AQ96" i="2"/>
  <c r="AQ99" i="2" s="1"/>
  <c r="AP96" i="2"/>
  <c r="AP99" i="2" s="1"/>
  <c r="AJ96" i="2"/>
  <c r="AI96" i="2"/>
  <c r="AI99" i="2" s="1"/>
  <c r="M96" i="2"/>
  <c r="AV95" i="2"/>
  <c r="AS95" i="2"/>
  <c r="AL95" i="2"/>
  <c r="AM95" i="2" s="1"/>
  <c r="K95" i="2"/>
  <c r="I95" i="2"/>
  <c r="F95" i="2"/>
  <c r="D95" i="2"/>
  <c r="AQ94" i="2"/>
  <c r="AP94" i="2"/>
  <c r="AJ94" i="2"/>
  <c r="AI94" i="2"/>
  <c r="M94" i="2"/>
  <c r="AQ93" i="2"/>
  <c r="AP93" i="2"/>
  <c r="AJ93" i="2"/>
  <c r="AI93" i="2"/>
  <c r="M93" i="2"/>
  <c r="AQ92" i="2"/>
  <c r="AQ95" i="2" s="1"/>
  <c r="AP92" i="2"/>
  <c r="AP95" i="2" s="1"/>
  <c r="AJ92" i="2"/>
  <c r="AI92" i="2"/>
  <c r="AI95" i="2" s="1"/>
  <c r="M92" i="2"/>
  <c r="AV91" i="2"/>
  <c r="AS91" i="2"/>
  <c r="AL91" i="2"/>
  <c r="AM91" i="2" s="1"/>
  <c r="K91" i="2"/>
  <c r="I91" i="2"/>
  <c r="F91" i="2"/>
  <c r="D91" i="2"/>
  <c r="AQ90" i="2"/>
  <c r="AP90" i="2"/>
  <c r="AJ90" i="2"/>
  <c r="AI90" i="2"/>
  <c r="M90" i="2"/>
  <c r="AQ89" i="2"/>
  <c r="AP89" i="2"/>
  <c r="AJ89" i="2"/>
  <c r="AI89" i="2"/>
  <c r="M89" i="2"/>
  <c r="AQ88" i="2"/>
  <c r="AQ91" i="2" s="1"/>
  <c r="AP88" i="2"/>
  <c r="AP91" i="2" s="1"/>
  <c r="AJ88" i="2"/>
  <c r="AI88" i="2"/>
  <c r="AI91" i="2" s="1"/>
  <c r="M88" i="2"/>
  <c r="AV87" i="2"/>
  <c r="AS87" i="2"/>
  <c r="AL87" i="2"/>
  <c r="AM87" i="2" s="1"/>
  <c r="K87" i="2"/>
  <c r="I87" i="2"/>
  <c r="F87" i="2"/>
  <c r="D87" i="2"/>
  <c r="AQ86" i="2"/>
  <c r="AP86" i="2"/>
  <c r="AJ86" i="2"/>
  <c r="AI86" i="2"/>
  <c r="M86" i="2"/>
  <c r="AQ85" i="2"/>
  <c r="AP85" i="2"/>
  <c r="AJ85" i="2"/>
  <c r="AI85" i="2"/>
  <c r="M85" i="2"/>
  <c r="AQ84" i="2"/>
  <c r="AQ87" i="2" s="1"/>
  <c r="AP84" i="2"/>
  <c r="AP87" i="2" s="1"/>
  <c r="AJ84" i="2"/>
  <c r="AI84" i="2"/>
  <c r="AI87" i="2" s="1"/>
  <c r="M84" i="2"/>
  <c r="AV83" i="2"/>
  <c r="AS83" i="2"/>
  <c r="AL83" i="2"/>
  <c r="AM83" i="2" s="1"/>
  <c r="K83" i="2"/>
  <c r="I83" i="2"/>
  <c r="F83" i="2"/>
  <c r="D83" i="2"/>
  <c r="AQ82" i="2"/>
  <c r="AP82" i="2"/>
  <c r="AJ82" i="2"/>
  <c r="AI82" i="2"/>
  <c r="M82" i="2"/>
  <c r="AQ81" i="2"/>
  <c r="AP81" i="2"/>
  <c r="AJ81" i="2"/>
  <c r="AI81" i="2"/>
  <c r="M81" i="2"/>
  <c r="AQ80" i="2"/>
  <c r="AQ83" i="2" s="1"/>
  <c r="AP80" i="2"/>
  <c r="AP83" i="2" s="1"/>
  <c r="AJ80" i="2"/>
  <c r="AI80" i="2"/>
  <c r="AI83" i="2" s="1"/>
  <c r="M80" i="2"/>
  <c r="AV79" i="2"/>
  <c r="AS79" i="2"/>
  <c r="AL79" i="2"/>
  <c r="AM79" i="2" s="1"/>
  <c r="K79" i="2"/>
  <c r="I79" i="2"/>
  <c r="F79" i="2"/>
  <c r="D79" i="2"/>
  <c r="AQ78" i="2"/>
  <c r="AP78" i="2"/>
  <c r="AJ78" i="2"/>
  <c r="AI78" i="2"/>
  <c r="M78" i="2"/>
  <c r="AQ77" i="2"/>
  <c r="AP77" i="2"/>
  <c r="AJ77" i="2"/>
  <c r="AI77" i="2"/>
  <c r="M77" i="2"/>
  <c r="AQ76" i="2"/>
  <c r="AQ79" i="2" s="1"/>
  <c r="AP76" i="2"/>
  <c r="AP79" i="2" s="1"/>
  <c r="AJ76" i="2"/>
  <c r="AI76" i="2"/>
  <c r="AI79" i="2" s="1"/>
  <c r="M76" i="2"/>
  <c r="AV75" i="2"/>
  <c r="AS75" i="2"/>
  <c r="AL75" i="2"/>
  <c r="AM75" i="2" s="1"/>
  <c r="K75" i="2"/>
  <c r="I75" i="2"/>
  <c r="F75" i="2"/>
  <c r="D75" i="2"/>
  <c r="AQ74" i="2"/>
  <c r="AP74" i="2"/>
  <c r="AJ74" i="2"/>
  <c r="AI74" i="2"/>
  <c r="M74" i="2"/>
  <c r="AQ73" i="2"/>
  <c r="AP73" i="2"/>
  <c r="AJ73" i="2"/>
  <c r="AI73" i="2"/>
  <c r="M73" i="2"/>
  <c r="AQ72" i="2"/>
  <c r="AQ75" i="2" s="1"/>
  <c r="AP72" i="2"/>
  <c r="AP75" i="2" s="1"/>
  <c r="AJ72" i="2"/>
  <c r="AI72" i="2"/>
  <c r="AI75" i="2" s="1"/>
  <c r="M72" i="2"/>
  <c r="AV71" i="2"/>
  <c r="AS71" i="2"/>
  <c r="AL71" i="2"/>
  <c r="AM71" i="2" s="1"/>
  <c r="K71" i="2"/>
  <c r="I71" i="2"/>
  <c r="F71" i="2"/>
  <c r="D71" i="2"/>
  <c r="AQ70" i="2"/>
  <c r="AP70" i="2"/>
  <c r="AJ70" i="2"/>
  <c r="AI70" i="2"/>
  <c r="M70" i="2"/>
  <c r="AQ69" i="2"/>
  <c r="AP69" i="2"/>
  <c r="AJ69" i="2"/>
  <c r="AI69" i="2"/>
  <c r="M69" i="2"/>
  <c r="AQ68" i="2"/>
  <c r="AQ71" i="2" s="1"/>
  <c r="AP68" i="2"/>
  <c r="AP71" i="2" s="1"/>
  <c r="AJ68" i="2"/>
  <c r="AI68" i="2"/>
  <c r="AI71" i="2" s="1"/>
  <c r="M68" i="2"/>
  <c r="AV67" i="2"/>
  <c r="AS67" i="2"/>
  <c r="AL67" i="2"/>
  <c r="AM67" i="2" s="1"/>
  <c r="K67" i="2"/>
  <c r="I67" i="2"/>
  <c r="F67" i="2"/>
  <c r="D67" i="2"/>
  <c r="AQ66" i="2"/>
  <c r="AP66" i="2"/>
  <c r="AJ66" i="2"/>
  <c r="AI66" i="2"/>
  <c r="M66" i="2"/>
  <c r="AQ65" i="2"/>
  <c r="AP65" i="2"/>
  <c r="AJ65" i="2"/>
  <c r="AI65" i="2"/>
  <c r="M65" i="2"/>
  <c r="AQ64" i="2"/>
  <c r="AQ67" i="2" s="1"/>
  <c r="AP64" i="2"/>
  <c r="AP67" i="2" s="1"/>
  <c r="AJ64" i="2"/>
  <c r="AI64" i="2"/>
  <c r="AI67" i="2" s="1"/>
  <c r="M64" i="2"/>
  <c r="AV63" i="2"/>
  <c r="AS63" i="2"/>
  <c r="AL63" i="2"/>
  <c r="AM63" i="2" s="1"/>
  <c r="K63" i="2"/>
  <c r="I63" i="2"/>
  <c r="F63" i="2"/>
  <c r="D63" i="2"/>
  <c r="AQ62" i="2"/>
  <c r="AP62" i="2"/>
  <c r="AJ62" i="2"/>
  <c r="AI62" i="2"/>
  <c r="M62" i="2"/>
  <c r="AQ61" i="2"/>
  <c r="AP61" i="2"/>
  <c r="AJ61" i="2"/>
  <c r="AI61" i="2"/>
  <c r="M61" i="2"/>
  <c r="AQ60" i="2"/>
  <c r="AQ63" i="2" s="1"/>
  <c r="AP60" i="2"/>
  <c r="AP63" i="2" s="1"/>
  <c r="AJ60" i="2"/>
  <c r="AI60" i="2"/>
  <c r="AI63" i="2" s="1"/>
  <c r="M60" i="2"/>
  <c r="AV59" i="2"/>
  <c r="AS59" i="2"/>
  <c r="AL59" i="2"/>
  <c r="AM59" i="2" s="1"/>
  <c r="K59" i="2"/>
  <c r="I59" i="2"/>
  <c r="F59" i="2"/>
  <c r="D59" i="2"/>
  <c r="AQ58" i="2"/>
  <c r="AP58" i="2"/>
  <c r="AJ58" i="2"/>
  <c r="AI58" i="2"/>
  <c r="M58" i="2"/>
  <c r="AQ57" i="2"/>
  <c r="AP57" i="2"/>
  <c r="AJ57" i="2"/>
  <c r="AI57" i="2"/>
  <c r="M57" i="2"/>
  <c r="AQ56" i="2"/>
  <c r="AQ59" i="2" s="1"/>
  <c r="AP56" i="2"/>
  <c r="AP59" i="2" s="1"/>
  <c r="AJ56" i="2"/>
  <c r="AI56" i="2"/>
  <c r="AI59" i="2" s="1"/>
  <c r="M56" i="2"/>
  <c r="AV55" i="2"/>
  <c r="AS55" i="2"/>
  <c r="AL55" i="2"/>
  <c r="AM55" i="2" s="1"/>
  <c r="K55" i="2"/>
  <c r="I55" i="2"/>
  <c r="F55" i="2"/>
  <c r="D55" i="2"/>
  <c r="AQ54" i="2"/>
  <c r="AP54" i="2"/>
  <c r="AJ54" i="2"/>
  <c r="AI54" i="2"/>
  <c r="M54" i="2"/>
  <c r="AQ53" i="2"/>
  <c r="AP53" i="2"/>
  <c r="AJ53" i="2"/>
  <c r="AI53" i="2"/>
  <c r="M53" i="2"/>
  <c r="AQ52" i="2"/>
  <c r="AQ55" i="2" s="1"/>
  <c r="AP52" i="2"/>
  <c r="AP55" i="2" s="1"/>
  <c r="AJ52" i="2"/>
  <c r="AI52" i="2"/>
  <c r="AI55" i="2" s="1"/>
  <c r="M52" i="2"/>
  <c r="AV51" i="2"/>
  <c r="AS51" i="2"/>
  <c r="AL51" i="2"/>
  <c r="AM51" i="2" s="1"/>
  <c r="K51" i="2"/>
  <c r="I51" i="2"/>
  <c r="F51" i="2"/>
  <c r="D51" i="2"/>
  <c r="AQ50" i="2"/>
  <c r="AP50" i="2"/>
  <c r="AJ50" i="2"/>
  <c r="AI50" i="2"/>
  <c r="M50" i="2"/>
  <c r="AQ49" i="2"/>
  <c r="AP49" i="2"/>
  <c r="AJ49" i="2"/>
  <c r="AI49" i="2"/>
  <c r="M49" i="2"/>
  <c r="AQ48" i="2"/>
  <c r="AQ51" i="2" s="1"/>
  <c r="AP48" i="2"/>
  <c r="AP51" i="2" s="1"/>
  <c r="AJ48" i="2"/>
  <c r="AI48" i="2"/>
  <c r="AI51" i="2" s="1"/>
  <c r="M48" i="2"/>
  <c r="AV47" i="2"/>
  <c r="AS47" i="2"/>
  <c r="AL47" i="2"/>
  <c r="AM47" i="2" s="1"/>
  <c r="K47" i="2"/>
  <c r="I47" i="2"/>
  <c r="F47" i="2"/>
  <c r="D47" i="2"/>
  <c r="AQ46" i="2"/>
  <c r="AP46" i="2"/>
  <c r="AJ46" i="2"/>
  <c r="AI46" i="2"/>
  <c r="M46" i="2"/>
  <c r="AQ45" i="2"/>
  <c r="AP45" i="2"/>
  <c r="AJ45" i="2"/>
  <c r="AI45" i="2"/>
  <c r="M45" i="2"/>
  <c r="AQ44" i="2"/>
  <c r="AQ47" i="2" s="1"/>
  <c r="AP44" i="2"/>
  <c r="AP47" i="2" s="1"/>
  <c r="AJ44" i="2"/>
  <c r="AI44" i="2"/>
  <c r="AI47" i="2" s="1"/>
  <c r="M44" i="2"/>
  <c r="AV43" i="2"/>
  <c r="AS43" i="2"/>
  <c r="AL43" i="2"/>
  <c r="AM43" i="2" s="1"/>
  <c r="K43" i="2"/>
  <c r="I43" i="2"/>
  <c r="F43" i="2"/>
  <c r="D43" i="2"/>
  <c r="AQ42" i="2"/>
  <c r="AP42" i="2"/>
  <c r="AJ42" i="2"/>
  <c r="AI42" i="2"/>
  <c r="M42" i="2"/>
  <c r="AQ41" i="2"/>
  <c r="AP41" i="2"/>
  <c r="AJ41" i="2"/>
  <c r="AI41" i="2"/>
  <c r="M41" i="2"/>
  <c r="AQ40" i="2"/>
  <c r="AQ43" i="2" s="1"/>
  <c r="AP40" i="2"/>
  <c r="AP43" i="2" s="1"/>
  <c r="AJ40" i="2"/>
  <c r="AI40" i="2"/>
  <c r="AI43" i="2" s="1"/>
  <c r="M40" i="2"/>
  <c r="AV39" i="2"/>
  <c r="AS39" i="2"/>
  <c r="AL39" i="2"/>
  <c r="AM39" i="2" s="1"/>
  <c r="K39" i="2"/>
  <c r="I39" i="2"/>
  <c r="F39" i="2"/>
  <c r="D39" i="2"/>
  <c r="AQ38" i="2"/>
  <c r="AP38" i="2"/>
  <c r="AJ38" i="2"/>
  <c r="AI38" i="2"/>
  <c r="M38" i="2"/>
  <c r="AQ37" i="2"/>
  <c r="AP37" i="2"/>
  <c r="AJ37" i="2"/>
  <c r="AI37" i="2"/>
  <c r="M37" i="2"/>
  <c r="AQ36" i="2"/>
  <c r="AQ39" i="2" s="1"/>
  <c r="AP36" i="2"/>
  <c r="AP39" i="2" s="1"/>
  <c r="AJ36" i="2"/>
  <c r="AI36" i="2"/>
  <c r="AI39" i="2" s="1"/>
  <c r="M36" i="2"/>
  <c r="AV35" i="2"/>
  <c r="AS35" i="2"/>
  <c r="AL35" i="2"/>
  <c r="AM35" i="2" s="1"/>
  <c r="K35" i="2"/>
  <c r="I35" i="2"/>
  <c r="F35" i="2"/>
  <c r="D35" i="2"/>
  <c r="AQ34" i="2"/>
  <c r="AP34" i="2"/>
  <c r="AJ34" i="2"/>
  <c r="AI34" i="2"/>
  <c r="M34" i="2"/>
  <c r="AQ33" i="2"/>
  <c r="AP33" i="2"/>
  <c r="AJ33" i="2"/>
  <c r="AI33" i="2"/>
  <c r="M33" i="2"/>
  <c r="AQ32" i="2"/>
  <c r="AQ35" i="2" s="1"/>
  <c r="AP32" i="2"/>
  <c r="AP35" i="2" s="1"/>
  <c r="AJ32" i="2"/>
  <c r="AI32" i="2"/>
  <c r="AI35" i="2" s="1"/>
  <c r="M32" i="2"/>
  <c r="AV31" i="2"/>
  <c r="AS31" i="2"/>
  <c r="AL31" i="2"/>
  <c r="AM31" i="2" s="1"/>
  <c r="K31" i="2"/>
  <c r="I31" i="2"/>
  <c r="F31" i="2"/>
  <c r="D31" i="2"/>
  <c r="AQ30" i="2"/>
  <c r="AP30" i="2"/>
  <c r="AJ30" i="2"/>
  <c r="AI30" i="2"/>
  <c r="M30" i="2"/>
  <c r="AQ29" i="2"/>
  <c r="AP29" i="2"/>
  <c r="AJ29" i="2"/>
  <c r="AI29" i="2"/>
  <c r="M29" i="2"/>
  <c r="AQ28" i="2"/>
  <c r="AQ31" i="2" s="1"/>
  <c r="AP28" i="2"/>
  <c r="AP31" i="2" s="1"/>
  <c r="AJ28" i="2"/>
  <c r="AI28" i="2"/>
  <c r="AI31" i="2" s="1"/>
  <c r="M28" i="2"/>
  <c r="AV27" i="2"/>
  <c r="AS27" i="2"/>
  <c r="AL27" i="2"/>
  <c r="AM27" i="2" s="1"/>
  <c r="K27" i="2"/>
  <c r="I27" i="2"/>
  <c r="F27" i="2"/>
  <c r="D27" i="2"/>
  <c r="AQ26" i="2"/>
  <c r="AP26" i="2"/>
  <c r="AJ26" i="2"/>
  <c r="AI26" i="2"/>
  <c r="M26" i="2"/>
  <c r="AQ25" i="2"/>
  <c r="AP25" i="2"/>
  <c r="AJ25" i="2"/>
  <c r="AI25" i="2"/>
  <c r="M25" i="2"/>
  <c r="AQ24" i="2"/>
  <c r="AQ27" i="2" s="1"/>
  <c r="AP24" i="2"/>
  <c r="AP27" i="2" s="1"/>
  <c r="AJ24" i="2"/>
  <c r="AI24" i="2"/>
  <c r="AI27" i="2" s="1"/>
  <c r="M24" i="2"/>
  <c r="AV23" i="2"/>
  <c r="AS23" i="2"/>
  <c r="AL23" i="2"/>
  <c r="AM23" i="2" s="1"/>
  <c r="K23" i="2"/>
  <c r="I23" i="2"/>
  <c r="F23" i="2"/>
  <c r="D23" i="2"/>
  <c r="AQ22" i="2"/>
  <c r="AP22" i="2"/>
  <c r="AJ22" i="2"/>
  <c r="AI22" i="2"/>
  <c r="M22" i="2"/>
  <c r="AQ21" i="2"/>
  <c r="AP21" i="2"/>
  <c r="AJ21" i="2"/>
  <c r="AI21" i="2"/>
  <c r="M21" i="2"/>
  <c r="AQ20" i="2"/>
  <c r="AQ23" i="2" s="1"/>
  <c r="AP20" i="2"/>
  <c r="AP23" i="2" s="1"/>
  <c r="AJ20" i="2"/>
  <c r="AI20" i="2"/>
  <c r="AI23" i="2" s="1"/>
  <c r="M20" i="2"/>
  <c r="AV19" i="2"/>
  <c r="AS19" i="2"/>
  <c r="AL19" i="2"/>
  <c r="AM19" i="2" s="1"/>
  <c r="K19" i="2"/>
  <c r="I19" i="2"/>
  <c r="F19" i="2"/>
  <c r="D19" i="2"/>
  <c r="AQ18" i="2"/>
  <c r="AP18" i="2"/>
  <c r="AJ18" i="2"/>
  <c r="AI18" i="2"/>
  <c r="M18" i="2"/>
  <c r="AQ17" i="2"/>
  <c r="AP17" i="2"/>
  <c r="AJ17" i="2"/>
  <c r="AI17" i="2"/>
  <c r="M17" i="2"/>
  <c r="AQ16" i="2"/>
  <c r="AQ19" i="2" s="1"/>
  <c r="AP16" i="2"/>
  <c r="AP19" i="2" s="1"/>
  <c r="AJ16" i="2"/>
  <c r="AI16" i="2"/>
  <c r="AI19" i="2" s="1"/>
  <c r="M16" i="2"/>
  <c r="AV15" i="2"/>
  <c r="AS15" i="2"/>
  <c r="AL15" i="2"/>
  <c r="AM15" i="2" s="1"/>
  <c r="K15" i="2"/>
  <c r="I15" i="2"/>
  <c r="F15" i="2"/>
  <c r="D15" i="2"/>
  <c r="AQ14" i="2"/>
  <c r="AP14" i="2"/>
  <c r="AJ14" i="2"/>
  <c r="AI14" i="2"/>
  <c r="M14" i="2"/>
  <c r="AQ13" i="2"/>
  <c r="AP13" i="2"/>
  <c r="AJ13" i="2"/>
  <c r="AI13" i="2"/>
  <c r="M13" i="2"/>
  <c r="AQ12" i="2"/>
  <c r="AQ15" i="2" s="1"/>
  <c r="AP12" i="2"/>
  <c r="AP15" i="2" s="1"/>
  <c r="AJ12" i="2"/>
  <c r="AI12" i="2"/>
  <c r="AI15" i="2" s="1"/>
  <c r="M12" i="2"/>
  <c r="AV11" i="2"/>
  <c r="AS11" i="2"/>
  <c r="AL11" i="2"/>
  <c r="AM11" i="2" s="1"/>
  <c r="K11" i="2"/>
  <c r="I11" i="2"/>
  <c r="F11" i="2"/>
  <c r="D11" i="2"/>
  <c r="AQ10" i="2"/>
  <c r="AP10" i="2"/>
  <c r="AJ10" i="2"/>
  <c r="AI10" i="2"/>
  <c r="M10" i="2"/>
  <c r="AQ9" i="2"/>
  <c r="AP9" i="2"/>
  <c r="AJ9" i="2"/>
  <c r="AI9" i="2"/>
  <c r="M9" i="2"/>
  <c r="AQ8" i="2"/>
  <c r="AQ11" i="2" s="1"/>
  <c r="AP8" i="2"/>
  <c r="AP11" i="2" s="1"/>
  <c r="AJ8" i="2"/>
  <c r="AI8" i="2"/>
  <c r="AI11" i="2" s="1"/>
  <c r="M8" i="2"/>
  <c r="AV7" i="2"/>
  <c r="AS7" i="2"/>
  <c r="AL7" i="2"/>
  <c r="AM7" i="2" s="1"/>
  <c r="K7" i="2"/>
  <c r="I7" i="2"/>
  <c r="F7" i="2"/>
  <c r="D7" i="2"/>
  <c r="AQ6" i="2"/>
  <c r="AP6" i="2"/>
  <c r="AJ6" i="2"/>
  <c r="AI6" i="2"/>
  <c r="M6" i="2"/>
  <c r="AQ5" i="2"/>
  <c r="AP5" i="2"/>
  <c r="AJ5" i="2"/>
  <c r="AI5" i="2"/>
  <c r="M5" i="2"/>
  <c r="AT4" i="2"/>
  <c r="AT5" i="2" s="1"/>
  <c r="AT6" i="2" s="1"/>
  <c r="AQ4" i="2"/>
  <c r="AQ7" i="2" s="1"/>
  <c r="AP4" i="2"/>
  <c r="AP7" i="2" s="1"/>
  <c r="AJ4" i="2"/>
  <c r="AI4" i="2"/>
  <c r="AI7" i="2" s="1"/>
  <c r="M4" i="2"/>
  <c r="AV127" i="1"/>
  <c r="AS127" i="1"/>
  <c r="AL127" i="1"/>
  <c r="AM127" i="1" s="1"/>
  <c r="K127" i="1"/>
  <c r="I127" i="1"/>
  <c r="F127" i="1"/>
  <c r="D127" i="1"/>
  <c r="AQ126" i="1"/>
  <c r="AP126" i="1"/>
  <c r="AJ126" i="1"/>
  <c r="AI126" i="1"/>
  <c r="M126" i="1"/>
  <c r="AQ125" i="1"/>
  <c r="AP125" i="1"/>
  <c r="AJ125" i="1"/>
  <c r="AI125" i="1"/>
  <c r="M125" i="1"/>
  <c r="AQ124" i="1"/>
  <c r="AQ127" i="1" s="1"/>
  <c r="AP124" i="1"/>
  <c r="AP127" i="1" s="1"/>
  <c r="AJ124" i="1"/>
  <c r="AI124" i="1"/>
  <c r="AI127" i="1" s="1"/>
  <c r="M124" i="1"/>
  <c r="AV123" i="1"/>
  <c r="AS123" i="1"/>
  <c r="AL123" i="1"/>
  <c r="AM123" i="1" s="1"/>
  <c r="K123" i="1"/>
  <c r="I123" i="1"/>
  <c r="F123" i="1"/>
  <c r="D123" i="1"/>
  <c r="AQ122" i="1"/>
  <c r="AP122" i="1"/>
  <c r="AJ122" i="1"/>
  <c r="AI122" i="1"/>
  <c r="M122" i="1"/>
  <c r="AQ121" i="1"/>
  <c r="AP121" i="1"/>
  <c r="AJ121" i="1"/>
  <c r="AI121" i="1"/>
  <c r="M121" i="1"/>
  <c r="AQ120" i="1"/>
  <c r="AQ123" i="1" s="1"/>
  <c r="AP120" i="1"/>
  <c r="AP123" i="1" s="1"/>
  <c r="AJ120" i="1"/>
  <c r="AI120" i="1"/>
  <c r="AI123" i="1" s="1"/>
  <c r="M120" i="1"/>
  <c r="AV119" i="1"/>
  <c r="AS119" i="1"/>
  <c r="AL119" i="1"/>
  <c r="AM119" i="1" s="1"/>
  <c r="K119" i="1"/>
  <c r="I119" i="1"/>
  <c r="F119" i="1"/>
  <c r="D119" i="1"/>
  <c r="AQ118" i="1"/>
  <c r="AP118" i="1"/>
  <c r="AJ118" i="1"/>
  <c r="AI118" i="1"/>
  <c r="M118" i="1"/>
  <c r="AQ117" i="1"/>
  <c r="AP117" i="1"/>
  <c r="AJ117" i="1"/>
  <c r="AI117" i="1"/>
  <c r="M117" i="1"/>
  <c r="AQ116" i="1"/>
  <c r="AQ119" i="1" s="1"/>
  <c r="AP116" i="1"/>
  <c r="AP119" i="1" s="1"/>
  <c r="AJ116" i="1"/>
  <c r="AI116" i="1"/>
  <c r="AI119" i="1" s="1"/>
  <c r="M116" i="1"/>
  <c r="AV115" i="1"/>
  <c r="AS115" i="1"/>
  <c r="AL115" i="1"/>
  <c r="AM115" i="1" s="1"/>
  <c r="K115" i="1"/>
  <c r="I115" i="1"/>
  <c r="F115" i="1"/>
  <c r="D115" i="1"/>
  <c r="AQ114" i="1"/>
  <c r="AP114" i="1"/>
  <c r="AJ114" i="1"/>
  <c r="AI114" i="1"/>
  <c r="M114" i="1"/>
  <c r="AQ113" i="1"/>
  <c r="AP113" i="1"/>
  <c r="AJ113" i="1"/>
  <c r="AI113" i="1"/>
  <c r="M113" i="1"/>
  <c r="AQ112" i="1"/>
  <c r="AQ115" i="1" s="1"/>
  <c r="AP112" i="1"/>
  <c r="AP115" i="1" s="1"/>
  <c r="AJ112" i="1"/>
  <c r="AI112" i="1"/>
  <c r="AI115" i="1" s="1"/>
  <c r="M112" i="1"/>
  <c r="AV111" i="1"/>
  <c r="AS111" i="1"/>
  <c r="AL111" i="1"/>
  <c r="AM111" i="1" s="1"/>
  <c r="K111" i="1"/>
  <c r="I111" i="1"/>
  <c r="F111" i="1"/>
  <c r="D111" i="1"/>
  <c r="AQ110" i="1"/>
  <c r="AP110" i="1"/>
  <c r="AJ110" i="1"/>
  <c r="AI110" i="1"/>
  <c r="M110" i="1"/>
  <c r="AQ109" i="1"/>
  <c r="AP109" i="1"/>
  <c r="AJ109" i="1"/>
  <c r="AI109" i="1"/>
  <c r="M109" i="1"/>
  <c r="AQ108" i="1"/>
  <c r="AQ111" i="1" s="1"/>
  <c r="AP108" i="1"/>
  <c r="AP111" i="1" s="1"/>
  <c r="AJ108" i="1"/>
  <c r="AI108" i="1"/>
  <c r="AI111" i="1" s="1"/>
  <c r="M108" i="1"/>
  <c r="AV107" i="1"/>
  <c r="AS107" i="1"/>
  <c r="AL107" i="1"/>
  <c r="AM107" i="1" s="1"/>
  <c r="K107" i="1"/>
  <c r="I107" i="1"/>
  <c r="F107" i="1"/>
  <c r="D107" i="1"/>
  <c r="AQ106" i="1"/>
  <c r="AP106" i="1"/>
  <c r="AJ106" i="1"/>
  <c r="AI106" i="1"/>
  <c r="M106" i="1"/>
  <c r="AQ105" i="1"/>
  <c r="AP105" i="1"/>
  <c r="AJ105" i="1"/>
  <c r="AI105" i="1"/>
  <c r="M105" i="1"/>
  <c r="AQ104" i="1"/>
  <c r="AQ107" i="1" s="1"/>
  <c r="AP104" i="1"/>
  <c r="AP107" i="1" s="1"/>
  <c r="AJ104" i="1"/>
  <c r="AI104" i="1"/>
  <c r="AI107" i="1" s="1"/>
  <c r="M104" i="1"/>
  <c r="AV103" i="1"/>
  <c r="AS103" i="1"/>
  <c r="AL103" i="1"/>
  <c r="AM103" i="1" s="1"/>
  <c r="K103" i="1"/>
  <c r="I103" i="1"/>
  <c r="F103" i="1"/>
  <c r="D103" i="1"/>
  <c r="AQ102" i="1"/>
  <c r="AP102" i="1"/>
  <c r="AJ102" i="1"/>
  <c r="AI102" i="1"/>
  <c r="M102" i="1"/>
  <c r="AQ101" i="1"/>
  <c r="AP101" i="1"/>
  <c r="AJ101" i="1"/>
  <c r="AI101" i="1"/>
  <c r="M101" i="1"/>
  <c r="AQ100" i="1"/>
  <c r="AQ103" i="1" s="1"/>
  <c r="AP100" i="1"/>
  <c r="AP103" i="1" s="1"/>
  <c r="AJ100" i="1"/>
  <c r="AI100" i="1"/>
  <c r="AI103" i="1" s="1"/>
  <c r="M100" i="1"/>
  <c r="AV99" i="1"/>
  <c r="AS99" i="1"/>
  <c r="AL99" i="1"/>
  <c r="AM99" i="1" s="1"/>
  <c r="K99" i="1"/>
  <c r="I99" i="1"/>
  <c r="F99" i="1"/>
  <c r="D99" i="1"/>
  <c r="AQ98" i="1"/>
  <c r="AP98" i="1"/>
  <c r="AJ98" i="1"/>
  <c r="AI98" i="1"/>
  <c r="M98" i="1"/>
  <c r="AQ97" i="1"/>
  <c r="AP97" i="1"/>
  <c r="AJ97" i="1"/>
  <c r="AI97" i="1"/>
  <c r="M97" i="1"/>
  <c r="AQ96" i="1"/>
  <c r="AQ99" i="1" s="1"/>
  <c r="AP96" i="1"/>
  <c r="AP99" i="1" s="1"/>
  <c r="AJ96" i="1"/>
  <c r="AI96" i="1"/>
  <c r="AI99" i="1" s="1"/>
  <c r="M96" i="1"/>
  <c r="AV95" i="1"/>
  <c r="AS95" i="1"/>
  <c r="AL95" i="1"/>
  <c r="AM95" i="1" s="1"/>
  <c r="K95" i="1"/>
  <c r="I95" i="1"/>
  <c r="F95" i="1"/>
  <c r="D95" i="1"/>
  <c r="AQ94" i="1"/>
  <c r="AP94" i="1"/>
  <c r="AJ94" i="1"/>
  <c r="AI94" i="1"/>
  <c r="M94" i="1"/>
  <c r="AQ93" i="1"/>
  <c r="AP93" i="1"/>
  <c r="AJ93" i="1"/>
  <c r="AI93" i="1"/>
  <c r="M93" i="1"/>
  <c r="AQ92" i="1"/>
  <c r="AQ95" i="1" s="1"/>
  <c r="AP92" i="1"/>
  <c r="AP95" i="1" s="1"/>
  <c r="AJ92" i="1"/>
  <c r="AI92" i="1"/>
  <c r="AI95" i="1" s="1"/>
  <c r="M92" i="1"/>
  <c r="AV91" i="1"/>
  <c r="AS91" i="1"/>
  <c r="AL91" i="1"/>
  <c r="AM91" i="1" s="1"/>
  <c r="K91" i="1"/>
  <c r="I91" i="1"/>
  <c r="F91" i="1"/>
  <c r="D91" i="1"/>
  <c r="AQ90" i="1"/>
  <c r="AP90" i="1"/>
  <c r="AJ90" i="1"/>
  <c r="AI90" i="1"/>
  <c r="M90" i="1"/>
  <c r="AQ89" i="1"/>
  <c r="AP89" i="1"/>
  <c r="AJ89" i="1"/>
  <c r="AI89" i="1"/>
  <c r="M89" i="1"/>
  <c r="AQ88" i="1"/>
  <c r="AQ91" i="1" s="1"/>
  <c r="AP88" i="1"/>
  <c r="AP91" i="1" s="1"/>
  <c r="AJ88" i="1"/>
  <c r="AI88" i="1"/>
  <c r="AI91" i="1" s="1"/>
  <c r="M88" i="1"/>
  <c r="AV87" i="1"/>
  <c r="AS87" i="1"/>
  <c r="AL87" i="1"/>
  <c r="AM87" i="1" s="1"/>
  <c r="K87" i="1"/>
  <c r="I87" i="1"/>
  <c r="F87" i="1"/>
  <c r="D87" i="1"/>
  <c r="AQ86" i="1"/>
  <c r="AP86" i="1"/>
  <c r="AJ86" i="1"/>
  <c r="AI86" i="1"/>
  <c r="M86" i="1"/>
  <c r="AQ85" i="1"/>
  <c r="AP85" i="1"/>
  <c r="AJ85" i="1"/>
  <c r="AI85" i="1"/>
  <c r="M85" i="1"/>
  <c r="AQ84" i="1"/>
  <c r="AQ87" i="1" s="1"/>
  <c r="AP84" i="1"/>
  <c r="AP87" i="1" s="1"/>
  <c r="AJ84" i="1"/>
  <c r="AI84" i="1"/>
  <c r="AI87" i="1" s="1"/>
  <c r="M84" i="1"/>
  <c r="AV83" i="1"/>
  <c r="AS83" i="1"/>
  <c r="AL83" i="1"/>
  <c r="AM83" i="1" s="1"/>
  <c r="K83" i="1"/>
  <c r="I83" i="1"/>
  <c r="F83" i="1"/>
  <c r="D83" i="1"/>
  <c r="AQ82" i="1"/>
  <c r="AP82" i="1"/>
  <c r="AJ82" i="1"/>
  <c r="AI82" i="1"/>
  <c r="M82" i="1"/>
  <c r="AQ81" i="1"/>
  <c r="AP81" i="1"/>
  <c r="AJ81" i="1"/>
  <c r="AI81" i="1"/>
  <c r="M81" i="1"/>
  <c r="AQ80" i="1"/>
  <c r="AQ83" i="1" s="1"/>
  <c r="AP80" i="1"/>
  <c r="AP83" i="1" s="1"/>
  <c r="AJ80" i="1"/>
  <c r="AI80" i="1"/>
  <c r="AI83" i="1" s="1"/>
  <c r="M80" i="1"/>
  <c r="AV79" i="1"/>
  <c r="AS79" i="1"/>
  <c r="AL79" i="1"/>
  <c r="AM79" i="1" s="1"/>
  <c r="K79" i="1"/>
  <c r="I79" i="1"/>
  <c r="F79" i="1"/>
  <c r="D79" i="1"/>
  <c r="AQ78" i="1"/>
  <c r="AP78" i="1"/>
  <c r="AJ78" i="1"/>
  <c r="AI78" i="1"/>
  <c r="M78" i="1"/>
  <c r="AQ77" i="1"/>
  <c r="AP77" i="1"/>
  <c r="AJ77" i="1"/>
  <c r="AI77" i="1"/>
  <c r="M77" i="1"/>
  <c r="AQ76" i="1"/>
  <c r="AQ79" i="1" s="1"/>
  <c r="AP76" i="1"/>
  <c r="AP79" i="1" s="1"/>
  <c r="AJ76" i="1"/>
  <c r="AI76" i="1"/>
  <c r="AI79" i="1" s="1"/>
  <c r="M76" i="1"/>
  <c r="AV75" i="1"/>
  <c r="AS75" i="1"/>
  <c r="AL75" i="1"/>
  <c r="AM75" i="1" s="1"/>
  <c r="K75" i="1"/>
  <c r="I75" i="1"/>
  <c r="F75" i="1"/>
  <c r="D75" i="1"/>
  <c r="AQ74" i="1"/>
  <c r="AP74" i="1"/>
  <c r="AJ74" i="1"/>
  <c r="AI74" i="1"/>
  <c r="M74" i="1"/>
  <c r="AQ73" i="1"/>
  <c r="AP73" i="1"/>
  <c r="AJ73" i="1"/>
  <c r="AI73" i="1"/>
  <c r="M73" i="1"/>
  <c r="AQ72" i="1"/>
  <c r="AQ75" i="1" s="1"/>
  <c r="AP72" i="1"/>
  <c r="AP75" i="1" s="1"/>
  <c r="AJ72" i="1"/>
  <c r="AI72" i="1"/>
  <c r="AI75" i="1" s="1"/>
  <c r="M72" i="1"/>
  <c r="AV71" i="1"/>
  <c r="AS71" i="1"/>
  <c r="AL71" i="1"/>
  <c r="AM71" i="1" s="1"/>
  <c r="K71" i="1"/>
  <c r="I71" i="1"/>
  <c r="F71" i="1"/>
  <c r="D71" i="1"/>
  <c r="AQ70" i="1"/>
  <c r="AP70" i="1"/>
  <c r="AJ70" i="1"/>
  <c r="AI70" i="1"/>
  <c r="M70" i="1"/>
  <c r="AQ69" i="1"/>
  <c r="AP69" i="1"/>
  <c r="AJ69" i="1"/>
  <c r="AI69" i="1"/>
  <c r="M69" i="1"/>
  <c r="AQ68" i="1"/>
  <c r="AQ71" i="1" s="1"/>
  <c r="AP68" i="1"/>
  <c r="AP71" i="1" s="1"/>
  <c r="AJ68" i="1"/>
  <c r="AI68" i="1"/>
  <c r="AI71" i="1" s="1"/>
  <c r="M68" i="1"/>
  <c r="AV67" i="1"/>
  <c r="AS67" i="1"/>
  <c r="AL67" i="1"/>
  <c r="AM67" i="1" s="1"/>
  <c r="K67" i="1"/>
  <c r="I67" i="1"/>
  <c r="F67" i="1"/>
  <c r="D67" i="1"/>
  <c r="AQ66" i="1"/>
  <c r="AP66" i="1"/>
  <c r="AJ66" i="1"/>
  <c r="AI66" i="1"/>
  <c r="M66" i="1"/>
  <c r="AQ65" i="1"/>
  <c r="AP65" i="1"/>
  <c r="AJ65" i="1"/>
  <c r="AI65" i="1"/>
  <c r="M65" i="1"/>
  <c r="AQ64" i="1"/>
  <c r="AQ67" i="1" s="1"/>
  <c r="AP64" i="1"/>
  <c r="AP67" i="1" s="1"/>
  <c r="AJ64" i="1"/>
  <c r="AI64" i="1"/>
  <c r="AI67" i="1" s="1"/>
  <c r="M64" i="1"/>
  <c r="AV63" i="1"/>
  <c r="AS63" i="1"/>
  <c r="AL63" i="1"/>
  <c r="AM63" i="1" s="1"/>
  <c r="K63" i="1"/>
  <c r="I63" i="1"/>
  <c r="F63" i="1"/>
  <c r="D63" i="1"/>
  <c r="AQ62" i="1"/>
  <c r="AP62" i="1"/>
  <c r="AJ62" i="1"/>
  <c r="AI62" i="1"/>
  <c r="M62" i="1"/>
  <c r="AQ61" i="1"/>
  <c r="AP61" i="1"/>
  <c r="AJ61" i="1"/>
  <c r="AI61" i="1"/>
  <c r="M61" i="1"/>
  <c r="AQ60" i="1"/>
  <c r="AQ63" i="1" s="1"/>
  <c r="AP60" i="1"/>
  <c r="AP63" i="1" s="1"/>
  <c r="AJ60" i="1"/>
  <c r="AI60" i="1"/>
  <c r="AI63" i="1" s="1"/>
  <c r="M60" i="1"/>
  <c r="AV59" i="1"/>
  <c r="AS59" i="1"/>
  <c r="AL59" i="1"/>
  <c r="AM59" i="1" s="1"/>
  <c r="K59" i="1"/>
  <c r="I59" i="1"/>
  <c r="F59" i="1"/>
  <c r="D59" i="1"/>
  <c r="AQ58" i="1"/>
  <c r="AP58" i="1"/>
  <c r="AJ58" i="1"/>
  <c r="AI58" i="1"/>
  <c r="M58" i="1"/>
  <c r="AQ57" i="1"/>
  <c r="AP57" i="1"/>
  <c r="AJ57" i="1"/>
  <c r="AI57" i="1"/>
  <c r="M57" i="1"/>
  <c r="AQ56" i="1"/>
  <c r="AQ59" i="1" s="1"/>
  <c r="AP56" i="1"/>
  <c r="AP59" i="1" s="1"/>
  <c r="AJ56" i="1"/>
  <c r="AI56" i="1"/>
  <c r="AI59" i="1" s="1"/>
  <c r="M56" i="1"/>
  <c r="AV55" i="1"/>
  <c r="AS55" i="1"/>
  <c r="AL55" i="1"/>
  <c r="AM55" i="1" s="1"/>
  <c r="K55" i="1"/>
  <c r="I55" i="1"/>
  <c r="F55" i="1"/>
  <c r="D55" i="1"/>
  <c r="AQ54" i="1"/>
  <c r="AP54" i="1"/>
  <c r="AJ54" i="1"/>
  <c r="AI54" i="1"/>
  <c r="M54" i="1"/>
  <c r="AQ53" i="1"/>
  <c r="AP53" i="1"/>
  <c r="AJ53" i="1"/>
  <c r="AI53" i="1"/>
  <c r="M53" i="1"/>
  <c r="AQ52" i="1"/>
  <c r="AQ55" i="1" s="1"/>
  <c r="AP52" i="1"/>
  <c r="AP55" i="1" s="1"/>
  <c r="AJ52" i="1"/>
  <c r="AI52" i="1"/>
  <c r="AI55" i="1" s="1"/>
  <c r="M52" i="1"/>
  <c r="AV51" i="1"/>
  <c r="AS51" i="1"/>
  <c r="AL51" i="1"/>
  <c r="AM51" i="1" s="1"/>
  <c r="K51" i="1"/>
  <c r="I51" i="1"/>
  <c r="F51" i="1"/>
  <c r="D51" i="1"/>
  <c r="AQ50" i="1"/>
  <c r="AP50" i="1"/>
  <c r="AJ50" i="1"/>
  <c r="AI50" i="1"/>
  <c r="M50" i="1"/>
  <c r="AQ49" i="1"/>
  <c r="AP49" i="1"/>
  <c r="AJ49" i="1"/>
  <c r="AI49" i="1"/>
  <c r="M49" i="1"/>
  <c r="AQ48" i="1"/>
  <c r="AQ51" i="1" s="1"/>
  <c r="AP48" i="1"/>
  <c r="AP51" i="1" s="1"/>
  <c r="AJ48" i="1"/>
  <c r="AI48" i="1"/>
  <c r="AI51" i="1" s="1"/>
  <c r="M48" i="1"/>
  <c r="AV47" i="1"/>
  <c r="AS47" i="1"/>
  <c r="AL47" i="1"/>
  <c r="AM47" i="1" s="1"/>
  <c r="K47" i="1"/>
  <c r="I47" i="1"/>
  <c r="F47" i="1"/>
  <c r="D47" i="1"/>
  <c r="AQ46" i="1"/>
  <c r="AP46" i="1"/>
  <c r="AJ46" i="1"/>
  <c r="AI46" i="1"/>
  <c r="M46" i="1"/>
  <c r="AQ45" i="1"/>
  <c r="AP45" i="1"/>
  <c r="AJ45" i="1"/>
  <c r="AI45" i="1"/>
  <c r="M45" i="1"/>
  <c r="AQ44" i="1"/>
  <c r="AQ47" i="1" s="1"/>
  <c r="AP44" i="1"/>
  <c r="AP47" i="1" s="1"/>
  <c r="AJ44" i="1"/>
  <c r="AI44" i="1"/>
  <c r="AI47" i="1" s="1"/>
  <c r="M44" i="1"/>
  <c r="AV43" i="1"/>
  <c r="AS43" i="1"/>
  <c r="AL43" i="1"/>
  <c r="AM43" i="1" s="1"/>
  <c r="K43" i="1"/>
  <c r="I43" i="1"/>
  <c r="F43" i="1"/>
  <c r="D43" i="1"/>
  <c r="AQ42" i="1"/>
  <c r="AP42" i="1"/>
  <c r="AJ42" i="1"/>
  <c r="AI42" i="1"/>
  <c r="M42" i="1"/>
  <c r="AQ41" i="1"/>
  <c r="AP41" i="1"/>
  <c r="AJ41" i="1"/>
  <c r="AI41" i="1"/>
  <c r="M41" i="1"/>
  <c r="AQ40" i="1"/>
  <c r="AQ43" i="1" s="1"/>
  <c r="AP40" i="1"/>
  <c r="AP43" i="1" s="1"/>
  <c r="AJ40" i="1"/>
  <c r="AI40" i="1"/>
  <c r="AI43" i="1" s="1"/>
  <c r="M40" i="1"/>
  <c r="AV39" i="1"/>
  <c r="AS39" i="1"/>
  <c r="AL39" i="1"/>
  <c r="AM39" i="1" s="1"/>
  <c r="K39" i="1"/>
  <c r="I39" i="1"/>
  <c r="F39" i="1"/>
  <c r="D39" i="1"/>
  <c r="AQ38" i="1"/>
  <c r="AP38" i="1"/>
  <c r="AJ38" i="1"/>
  <c r="AI38" i="1"/>
  <c r="M38" i="1"/>
  <c r="AQ37" i="1"/>
  <c r="AP37" i="1"/>
  <c r="AJ37" i="1"/>
  <c r="AI37" i="1"/>
  <c r="M37" i="1"/>
  <c r="AQ36" i="1"/>
  <c r="AQ39" i="1" s="1"/>
  <c r="AP36" i="1"/>
  <c r="AP39" i="1" s="1"/>
  <c r="AJ36" i="1"/>
  <c r="AI36" i="1"/>
  <c r="AI39" i="1" s="1"/>
  <c r="M36" i="1"/>
  <c r="AV35" i="1"/>
  <c r="AS35" i="1"/>
  <c r="AL35" i="1"/>
  <c r="AM35" i="1" s="1"/>
  <c r="K35" i="1"/>
  <c r="I35" i="1"/>
  <c r="F35" i="1"/>
  <c r="D35" i="1"/>
  <c r="AQ34" i="1"/>
  <c r="AP34" i="1"/>
  <c r="AJ34" i="1"/>
  <c r="AI34" i="1"/>
  <c r="M34" i="1"/>
  <c r="AQ33" i="1"/>
  <c r="AP33" i="1"/>
  <c r="AJ33" i="1"/>
  <c r="AI33" i="1"/>
  <c r="M33" i="1"/>
  <c r="AQ32" i="1"/>
  <c r="AQ35" i="1" s="1"/>
  <c r="AP32" i="1"/>
  <c r="AP35" i="1" s="1"/>
  <c r="AJ32" i="1"/>
  <c r="AI32" i="1"/>
  <c r="AI35" i="1" s="1"/>
  <c r="M32" i="1"/>
  <c r="AV31" i="1"/>
  <c r="AS31" i="1"/>
  <c r="AL31" i="1"/>
  <c r="AM31" i="1" s="1"/>
  <c r="K31" i="1"/>
  <c r="I31" i="1"/>
  <c r="F31" i="1"/>
  <c r="D31" i="1"/>
  <c r="AQ30" i="1"/>
  <c r="AP30" i="1"/>
  <c r="AJ30" i="1"/>
  <c r="AI30" i="1"/>
  <c r="M30" i="1"/>
  <c r="AQ29" i="1"/>
  <c r="AP29" i="1"/>
  <c r="AJ29" i="1"/>
  <c r="AI29" i="1"/>
  <c r="M29" i="1"/>
  <c r="AQ28" i="1"/>
  <c r="AQ31" i="1" s="1"/>
  <c r="AP28" i="1"/>
  <c r="AP31" i="1" s="1"/>
  <c r="AJ28" i="1"/>
  <c r="AI28" i="1"/>
  <c r="AI31" i="1" s="1"/>
  <c r="M28" i="1"/>
  <c r="AV27" i="1"/>
  <c r="AS27" i="1"/>
  <c r="AL27" i="1"/>
  <c r="AM27" i="1" s="1"/>
  <c r="K27" i="1"/>
  <c r="I27" i="1"/>
  <c r="F27" i="1"/>
  <c r="D27" i="1"/>
  <c r="AQ26" i="1"/>
  <c r="AP26" i="1"/>
  <c r="AJ26" i="1"/>
  <c r="AI26" i="1"/>
  <c r="M26" i="1"/>
  <c r="AQ25" i="1"/>
  <c r="AP25" i="1"/>
  <c r="AJ25" i="1"/>
  <c r="AI25" i="1"/>
  <c r="M25" i="1"/>
  <c r="AQ24" i="1"/>
  <c r="AQ27" i="1" s="1"/>
  <c r="AP24" i="1"/>
  <c r="AP27" i="1" s="1"/>
  <c r="AJ24" i="1"/>
  <c r="AI24" i="1"/>
  <c r="AI27" i="1" s="1"/>
  <c r="M24" i="1"/>
  <c r="AV23" i="1"/>
  <c r="AS23" i="1"/>
  <c r="AL23" i="1"/>
  <c r="AM23" i="1" s="1"/>
  <c r="K23" i="1"/>
  <c r="I23" i="1"/>
  <c r="F23" i="1"/>
  <c r="D23" i="1"/>
  <c r="AQ22" i="1"/>
  <c r="AP22" i="1"/>
  <c r="AJ22" i="1"/>
  <c r="AI22" i="1"/>
  <c r="M22" i="1"/>
  <c r="AQ21" i="1"/>
  <c r="AP21" i="1"/>
  <c r="AJ21" i="1"/>
  <c r="AI21" i="1"/>
  <c r="M21" i="1"/>
  <c r="AT20" i="1"/>
  <c r="AT21" i="1" s="1"/>
  <c r="AT22" i="1" s="1"/>
  <c r="AQ20" i="1"/>
  <c r="AQ23" i="1" s="1"/>
  <c r="AP20" i="1"/>
  <c r="AP23" i="1" s="1"/>
  <c r="AJ20" i="1"/>
  <c r="AI20" i="1"/>
  <c r="AI23" i="1" s="1"/>
  <c r="M20" i="1"/>
  <c r="M18" i="1"/>
  <c r="M7" i="3" l="1"/>
  <c r="AG4" i="3"/>
  <c r="AE4" i="3"/>
  <c r="AK4" i="3" s="1"/>
  <c r="AD4" i="3"/>
  <c r="AB4" i="3"/>
  <c r="Z4" i="3"/>
  <c r="X4" i="3"/>
  <c r="V4" i="3"/>
  <c r="T4" i="3"/>
  <c r="Q4" i="3"/>
  <c r="O4" i="3"/>
  <c r="AT8" i="3"/>
  <c r="AT9" i="3" s="1"/>
  <c r="AT10" i="3" s="1"/>
  <c r="AU7" i="3"/>
  <c r="AG5" i="3"/>
  <c r="AE5" i="3"/>
  <c r="AK5" i="3" s="1"/>
  <c r="AD5" i="3"/>
  <c r="AB5" i="3"/>
  <c r="Z5" i="3"/>
  <c r="X5" i="3"/>
  <c r="V5" i="3"/>
  <c r="T5" i="3"/>
  <c r="Q5" i="3"/>
  <c r="O5" i="3"/>
  <c r="AG6" i="3"/>
  <c r="AE6" i="3"/>
  <c r="AK6" i="3" s="1"/>
  <c r="AD6" i="3"/>
  <c r="AB6" i="3"/>
  <c r="Z6" i="3"/>
  <c r="X6" i="3"/>
  <c r="V6" i="3"/>
  <c r="T6" i="3"/>
  <c r="Q6" i="3"/>
  <c r="O6" i="3"/>
  <c r="AO7" i="3"/>
  <c r="AN7" i="3"/>
  <c r="AH7" i="3"/>
  <c r="AF7" i="3"/>
  <c r="L7" i="3"/>
  <c r="M11" i="3"/>
  <c r="AG8" i="3"/>
  <c r="AE8" i="3"/>
  <c r="AK8" i="3" s="1"/>
  <c r="AD8" i="3"/>
  <c r="AB8" i="3"/>
  <c r="Z8" i="3"/>
  <c r="X8" i="3"/>
  <c r="V8" i="3"/>
  <c r="T8" i="3"/>
  <c r="Q8" i="3"/>
  <c r="O8" i="3"/>
  <c r="AG9" i="3"/>
  <c r="AE9" i="3"/>
  <c r="AK9" i="3" s="1"/>
  <c r="AD9" i="3"/>
  <c r="AB9" i="3"/>
  <c r="Z9" i="3"/>
  <c r="X9" i="3"/>
  <c r="V9" i="3"/>
  <c r="T9" i="3"/>
  <c r="Q9" i="3"/>
  <c r="O9" i="3"/>
  <c r="AG10" i="3"/>
  <c r="AE10" i="3"/>
  <c r="AK10" i="3" s="1"/>
  <c r="AD10" i="3"/>
  <c r="AB10" i="3"/>
  <c r="Z10" i="3"/>
  <c r="X10" i="3"/>
  <c r="V10" i="3"/>
  <c r="T10" i="3"/>
  <c r="Q10" i="3"/>
  <c r="O10" i="3"/>
  <c r="AO11" i="3"/>
  <c r="AN11" i="3"/>
  <c r="AH11" i="3"/>
  <c r="AF11" i="3"/>
  <c r="L11" i="3"/>
  <c r="M15" i="3"/>
  <c r="AG12" i="3"/>
  <c r="AE12" i="3"/>
  <c r="AK12" i="3" s="1"/>
  <c r="AD12" i="3"/>
  <c r="AB12" i="3"/>
  <c r="Z12" i="3"/>
  <c r="X12" i="3"/>
  <c r="V12" i="3"/>
  <c r="T12" i="3"/>
  <c r="Q12" i="3"/>
  <c r="O12" i="3"/>
  <c r="AG13" i="3"/>
  <c r="AE13" i="3"/>
  <c r="AK13" i="3" s="1"/>
  <c r="AD13" i="3"/>
  <c r="AB13" i="3"/>
  <c r="Z13" i="3"/>
  <c r="X13" i="3"/>
  <c r="V13" i="3"/>
  <c r="T13" i="3"/>
  <c r="Q13" i="3"/>
  <c r="O13" i="3"/>
  <c r="AG14" i="3"/>
  <c r="AE14" i="3"/>
  <c r="AK14" i="3" s="1"/>
  <c r="AD14" i="3"/>
  <c r="AB14" i="3"/>
  <c r="Z14" i="3"/>
  <c r="X14" i="3"/>
  <c r="V14" i="3"/>
  <c r="T14" i="3"/>
  <c r="Q14" i="3"/>
  <c r="O14" i="3"/>
  <c r="AO15" i="3"/>
  <c r="AN15" i="3"/>
  <c r="AH15" i="3"/>
  <c r="AF15" i="3"/>
  <c r="L15" i="3"/>
  <c r="M19" i="3"/>
  <c r="AG16" i="3"/>
  <c r="AE16" i="3"/>
  <c r="AK16" i="3" s="1"/>
  <c r="AD16" i="3"/>
  <c r="AB16" i="3"/>
  <c r="Z16" i="3"/>
  <c r="X16" i="3"/>
  <c r="V16" i="3"/>
  <c r="T16" i="3"/>
  <c r="Q16" i="3"/>
  <c r="O16" i="3"/>
  <c r="AG17" i="3"/>
  <c r="AE17" i="3"/>
  <c r="AK17" i="3" s="1"/>
  <c r="AD17" i="3"/>
  <c r="AB17" i="3"/>
  <c r="Z17" i="3"/>
  <c r="X17" i="3"/>
  <c r="V17" i="3"/>
  <c r="T17" i="3"/>
  <c r="Q17" i="3"/>
  <c r="O17" i="3"/>
  <c r="AG18" i="3"/>
  <c r="AE18" i="3"/>
  <c r="AK18" i="3" s="1"/>
  <c r="AD18" i="3"/>
  <c r="AB18" i="3"/>
  <c r="Z18" i="3"/>
  <c r="X18" i="3"/>
  <c r="V18" i="3"/>
  <c r="T18" i="3"/>
  <c r="Q18" i="3"/>
  <c r="O18" i="3"/>
  <c r="AO19" i="3"/>
  <c r="AN19" i="3"/>
  <c r="AH19" i="3"/>
  <c r="AF19" i="3"/>
  <c r="L19" i="3"/>
  <c r="M23" i="3"/>
  <c r="AG20" i="3"/>
  <c r="AE20" i="3"/>
  <c r="AK20" i="3" s="1"/>
  <c r="AD20" i="3"/>
  <c r="AB20" i="3"/>
  <c r="Z20" i="3"/>
  <c r="X20" i="3"/>
  <c r="V20" i="3"/>
  <c r="T20" i="3"/>
  <c r="Q20" i="3"/>
  <c r="O20" i="3"/>
  <c r="AG21" i="3"/>
  <c r="AE21" i="3"/>
  <c r="AK21" i="3" s="1"/>
  <c r="AD21" i="3"/>
  <c r="AB21" i="3"/>
  <c r="Z21" i="3"/>
  <c r="X21" i="3"/>
  <c r="V21" i="3"/>
  <c r="T21" i="3"/>
  <c r="Q21" i="3"/>
  <c r="O21" i="3"/>
  <c r="AG22" i="3"/>
  <c r="AE22" i="3"/>
  <c r="AK22" i="3" s="1"/>
  <c r="AD22" i="3"/>
  <c r="AB22" i="3"/>
  <c r="Z22" i="3"/>
  <c r="X22" i="3"/>
  <c r="V22" i="3"/>
  <c r="T22" i="3"/>
  <c r="Q22" i="3"/>
  <c r="O22" i="3"/>
  <c r="AO23" i="3"/>
  <c r="AN23" i="3"/>
  <c r="AH23" i="3"/>
  <c r="AF23" i="3"/>
  <c r="L23" i="3"/>
  <c r="M27" i="3"/>
  <c r="AG24" i="3"/>
  <c r="AE24" i="3"/>
  <c r="AK24" i="3" s="1"/>
  <c r="AD24" i="3"/>
  <c r="AB24" i="3"/>
  <c r="Z24" i="3"/>
  <c r="X24" i="3"/>
  <c r="V24" i="3"/>
  <c r="T24" i="3"/>
  <c r="Q24" i="3"/>
  <c r="O24" i="3"/>
  <c r="AG25" i="3"/>
  <c r="AE25" i="3"/>
  <c r="AK25" i="3" s="1"/>
  <c r="AD25" i="3"/>
  <c r="AB25" i="3"/>
  <c r="Z25" i="3"/>
  <c r="X25" i="3"/>
  <c r="V25" i="3"/>
  <c r="T25" i="3"/>
  <c r="Q25" i="3"/>
  <c r="O25" i="3"/>
  <c r="AG26" i="3"/>
  <c r="AE26" i="3"/>
  <c r="AK26" i="3" s="1"/>
  <c r="AD26" i="3"/>
  <c r="AB26" i="3"/>
  <c r="Z26" i="3"/>
  <c r="X26" i="3"/>
  <c r="V26" i="3"/>
  <c r="T26" i="3"/>
  <c r="Q26" i="3"/>
  <c r="O26" i="3"/>
  <c r="AO27" i="3"/>
  <c r="AN27" i="3"/>
  <c r="AH27" i="3"/>
  <c r="AF27" i="3"/>
  <c r="L27" i="3"/>
  <c r="M31" i="3"/>
  <c r="AG28" i="3"/>
  <c r="AE28" i="3"/>
  <c r="AK28" i="3" s="1"/>
  <c r="AD28" i="3"/>
  <c r="AB28" i="3"/>
  <c r="Z28" i="3"/>
  <c r="X28" i="3"/>
  <c r="V28" i="3"/>
  <c r="T28" i="3"/>
  <c r="Q28" i="3"/>
  <c r="O28" i="3"/>
  <c r="AG29" i="3"/>
  <c r="AE29" i="3"/>
  <c r="AK29" i="3" s="1"/>
  <c r="AD29" i="3"/>
  <c r="AB29" i="3"/>
  <c r="Z29" i="3"/>
  <c r="X29" i="3"/>
  <c r="V29" i="3"/>
  <c r="T29" i="3"/>
  <c r="Q29" i="3"/>
  <c r="O29" i="3"/>
  <c r="AG30" i="3"/>
  <c r="AE30" i="3"/>
  <c r="AK30" i="3" s="1"/>
  <c r="AD30" i="3"/>
  <c r="AB30" i="3"/>
  <c r="Z30" i="3"/>
  <c r="X30" i="3"/>
  <c r="V30" i="3"/>
  <c r="T30" i="3"/>
  <c r="Q30" i="3"/>
  <c r="O30" i="3"/>
  <c r="AN31" i="3"/>
  <c r="AH31" i="3"/>
  <c r="AF31" i="3"/>
  <c r="L31" i="3"/>
  <c r="AO31" i="3" s="1"/>
  <c r="M35" i="3"/>
  <c r="AG32" i="3"/>
  <c r="AE32" i="3"/>
  <c r="AK32" i="3" s="1"/>
  <c r="AD32" i="3"/>
  <c r="AB32" i="3"/>
  <c r="Z32" i="3"/>
  <c r="X32" i="3"/>
  <c r="V32" i="3"/>
  <c r="T32" i="3"/>
  <c r="Q32" i="3"/>
  <c r="O32" i="3"/>
  <c r="AG33" i="3"/>
  <c r="AE33" i="3"/>
  <c r="AK33" i="3" s="1"/>
  <c r="AD33" i="3"/>
  <c r="AB33" i="3"/>
  <c r="Z33" i="3"/>
  <c r="X33" i="3"/>
  <c r="V33" i="3"/>
  <c r="T33" i="3"/>
  <c r="Q33" i="3"/>
  <c r="O33" i="3"/>
  <c r="AG34" i="3"/>
  <c r="AE34" i="3"/>
  <c r="AK34" i="3" s="1"/>
  <c r="AD34" i="3"/>
  <c r="AB34" i="3"/>
  <c r="Z34" i="3"/>
  <c r="X34" i="3"/>
  <c r="V34" i="3"/>
  <c r="T34" i="3"/>
  <c r="Q34" i="3"/>
  <c r="O34" i="3"/>
  <c r="AN35" i="3"/>
  <c r="AH35" i="3"/>
  <c r="AF35" i="3"/>
  <c r="L35" i="3"/>
  <c r="AO35" i="3" s="1"/>
  <c r="M39" i="3"/>
  <c r="AG36" i="3"/>
  <c r="AE36" i="3"/>
  <c r="AK36" i="3" s="1"/>
  <c r="AD36" i="3"/>
  <c r="AB36" i="3"/>
  <c r="Z36" i="3"/>
  <c r="X36" i="3"/>
  <c r="V36" i="3"/>
  <c r="T36" i="3"/>
  <c r="Q36" i="3"/>
  <c r="O36" i="3"/>
  <c r="AG37" i="3"/>
  <c r="AE37" i="3"/>
  <c r="AK37" i="3" s="1"/>
  <c r="AD37" i="3"/>
  <c r="AB37" i="3"/>
  <c r="Z37" i="3"/>
  <c r="X37" i="3"/>
  <c r="V37" i="3"/>
  <c r="T37" i="3"/>
  <c r="Q37" i="3"/>
  <c r="O37" i="3"/>
  <c r="AG38" i="3"/>
  <c r="AE38" i="3"/>
  <c r="AK38" i="3" s="1"/>
  <c r="AD38" i="3"/>
  <c r="AB38" i="3"/>
  <c r="Z38" i="3"/>
  <c r="X38" i="3"/>
  <c r="V38" i="3"/>
  <c r="T38" i="3"/>
  <c r="Q38" i="3"/>
  <c r="O38" i="3"/>
  <c r="AN39" i="3"/>
  <c r="AH39" i="3"/>
  <c r="AF39" i="3"/>
  <c r="L39" i="3"/>
  <c r="AO39" i="3" s="1"/>
  <c r="M43" i="3"/>
  <c r="AG40" i="3"/>
  <c r="AE40" i="3"/>
  <c r="AK40" i="3" s="1"/>
  <c r="AD40" i="3"/>
  <c r="AB40" i="3"/>
  <c r="Z40" i="3"/>
  <c r="X40" i="3"/>
  <c r="V40" i="3"/>
  <c r="T40" i="3"/>
  <c r="Q40" i="3"/>
  <c r="O40" i="3"/>
  <c r="AG41" i="3"/>
  <c r="AE41" i="3"/>
  <c r="AK41" i="3" s="1"/>
  <c r="AD41" i="3"/>
  <c r="AB41" i="3"/>
  <c r="Z41" i="3"/>
  <c r="X41" i="3"/>
  <c r="V41" i="3"/>
  <c r="T41" i="3"/>
  <c r="Q41" i="3"/>
  <c r="O41" i="3"/>
  <c r="AG42" i="3"/>
  <c r="AE42" i="3"/>
  <c r="AK42" i="3" s="1"/>
  <c r="AD42" i="3"/>
  <c r="AB42" i="3"/>
  <c r="Z42" i="3"/>
  <c r="X42" i="3"/>
  <c r="V42" i="3"/>
  <c r="T42" i="3"/>
  <c r="Q42" i="3"/>
  <c r="O42" i="3"/>
  <c r="AN43" i="3"/>
  <c r="AH43" i="3"/>
  <c r="AF43" i="3"/>
  <c r="L43" i="3"/>
  <c r="AO43" i="3" s="1"/>
  <c r="M47" i="3"/>
  <c r="AG44" i="3"/>
  <c r="AE44" i="3"/>
  <c r="AK44" i="3" s="1"/>
  <c r="AD44" i="3"/>
  <c r="AB44" i="3"/>
  <c r="Z44" i="3"/>
  <c r="X44" i="3"/>
  <c r="V44" i="3"/>
  <c r="T44" i="3"/>
  <c r="Q44" i="3"/>
  <c r="O44" i="3"/>
  <c r="AG45" i="3"/>
  <c r="AE45" i="3"/>
  <c r="AK45" i="3" s="1"/>
  <c r="AD45" i="3"/>
  <c r="AB45" i="3"/>
  <c r="Z45" i="3"/>
  <c r="X45" i="3"/>
  <c r="V45" i="3"/>
  <c r="T45" i="3"/>
  <c r="Q45" i="3"/>
  <c r="O45" i="3"/>
  <c r="AG46" i="3"/>
  <c r="AE46" i="3"/>
  <c r="AK46" i="3" s="1"/>
  <c r="AD46" i="3"/>
  <c r="AB46" i="3"/>
  <c r="Z46" i="3"/>
  <c r="X46" i="3"/>
  <c r="V46" i="3"/>
  <c r="T46" i="3"/>
  <c r="Q46" i="3"/>
  <c r="O46" i="3"/>
  <c r="AN47" i="3"/>
  <c r="AH47" i="3"/>
  <c r="AF47" i="3"/>
  <c r="L47" i="3"/>
  <c r="AO47" i="3" s="1"/>
  <c r="M51" i="3"/>
  <c r="AG48" i="3"/>
  <c r="AE48" i="3"/>
  <c r="AK48" i="3" s="1"/>
  <c r="AD48" i="3"/>
  <c r="AB48" i="3"/>
  <c r="Z48" i="3"/>
  <c r="X48" i="3"/>
  <c r="V48" i="3"/>
  <c r="T48" i="3"/>
  <c r="Q48" i="3"/>
  <c r="O48" i="3"/>
  <c r="AG49" i="3"/>
  <c r="AE49" i="3"/>
  <c r="AK49" i="3" s="1"/>
  <c r="AD49" i="3"/>
  <c r="AB49" i="3"/>
  <c r="Z49" i="3"/>
  <c r="X49" i="3"/>
  <c r="V49" i="3"/>
  <c r="T49" i="3"/>
  <c r="Q49" i="3"/>
  <c r="O49" i="3"/>
  <c r="AG50" i="3"/>
  <c r="AE50" i="3"/>
  <c r="AK50" i="3" s="1"/>
  <c r="AD50" i="3"/>
  <c r="AB50" i="3"/>
  <c r="Z50" i="3"/>
  <c r="X50" i="3"/>
  <c r="V50" i="3"/>
  <c r="T50" i="3"/>
  <c r="Q50" i="3"/>
  <c r="O50" i="3"/>
  <c r="AN51" i="3"/>
  <c r="AH51" i="3"/>
  <c r="AF51" i="3"/>
  <c r="L51" i="3"/>
  <c r="AO51" i="3" s="1"/>
  <c r="M55" i="3"/>
  <c r="AG52" i="3"/>
  <c r="AE52" i="3"/>
  <c r="AK52" i="3" s="1"/>
  <c r="AD52" i="3"/>
  <c r="AB52" i="3"/>
  <c r="Z52" i="3"/>
  <c r="X52" i="3"/>
  <c r="V52" i="3"/>
  <c r="T52" i="3"/>
  <c r="Q52" i="3"/>
  <c r="O52" i="3"/>
  <c r="AG53" i="3"/>
  <c r="AE53" i="3"/>
  <c r="AK53" i="3" s="1"/>
  <c r="AD53" i="3"/>
  <c r="AB53" i="3"/>
  <c r="Z53" i="3"/>
  <c r="X53" i="3"/>
  <c r="V53" i="3"/>
  <c r="T53" i="3"/>
  <c r="Q53" i="3"/>
  <c r="O53" i="3"/>
  <c r="AG54" i="3"/>
  <c r="AE54" i="3"/>
  <c r="AK54" i="3" s="1"/>
  <c r="AD54" i="3"/>
  <c r="AB54" i="3"/>
  <c r="Z54" i="3"/>
  <c r="X54" i="3"/>
  <c r="V54" i="3"/>
  <c r="T54" i="3"/>
  <c r="Q54" i="3"/>
  <c r="O54" i="3"/>
  <c r="AN55" i="3"/>
  <c r="AH55" i="3"/>
  <c r="AF55" i="3"/>
  <c r="L55" i="3"/>
  <c r="AO55" i="3" s="1"/>
  <c r="M59" i="3"/>
  <c r="AG56" i="3"/>
  <c r="AE56" i="3"/>
  <c r="AK56" i="3" s="1"/>
  <c r="AD56" i="3"/>
  <c r="AB56" i="3"/>
  <c r="Z56" i="3"/>
  <c r="X56" i="3"/>
  <c r="V56" i="3"/>
  <c r="T56" i="3"/>
  <c r="Q56" i="3"/>
  <c r="O56" i="3"/>
  <c r="AG57" i="3"/>
  <c r="AE57" i="3"/>
  <c r="AK57" i="3" s="1"/>
  <c r="AD57" i="3"/>
  <c r="AB57" i="3"/>
  <c r="Z57" i="3"/>
  <c r="X57" i="3"/>
  <c r="V57" i="3"/>
  <c r="T57" i="3"/>
  <c r="Q57" i="3"/>
  <c r="O57" i="3"/>
  <c r="AG58" i="3"/>
  <c r="AE58" i="3"/>
  <c r="AK58" i="3" s="1"/>
  <c r="AD58" i="3"/>
  <c r="AB58" i="3"/>
  <c r="Z58" i="3"/>
  <c r="X58" i="3"/>
  <c r="V58" i="3"/>
  <c r="T58" i="3"/>
  <c r="Q58" i="3"/>
  <c r="O58" i="3"/>
  <c r="AN59" i="3"/>
  <c r="AH59" i="3"/>
  <c r="AF59" i="3"/>
  <c r="L59" i="3"/>
  <c r="AO59" i="3" s="1"/>
  <c r="M63" i="3"/>
  <c r="AG60" i="3"/>
  <c r="AE60" i="3"/>
  <c r="AK60" i="3" s="1"/>
  <c r="AD60" i="3"/>
  <c r="AB60" i="3"/>
  <c r="Z60" i="3"/>
  <c r="X60" i="3"/>
  <c r="V60" i="3"/>
  <c r="T60" i="3"/>
  <c r="Q60" i="3"/>
  <c r="O60" i="3"/>
  <c r="AG61" i="3"/>
  <c r="AE61" i="3"/>
  <c r="AK61" i="3" s="1"/>
  <c r="AD61" i="3"/>
  <c r="AB61" i="3"/>
  <c r="Z61" i="3"/>
  <c r="X61" i="3"/>
  <c r="V61" i="3"/>
  <c r="T61" i="3"/>
  <c r="Q61" i="3"/>
  <c r="O61" i="3"/>
  <c r="AG62" i="3"/>
  <c r="AE62" i="3"/>
  <c r="AK62" i="3" s="1"/>
  <c r="AD62" i="3"/>
  <c r="AB62" i="3"/>
  <c r="Z62" i="3"/>
  <c r="X62" i="3"/>
  <c r="V62" i="3"/>
  <c r="T62" i="3"/>
  <c r="Q62" i="3"/>
  <c r="O62" i="3"/>
  <c r="AN63" i="3"/>
  <c r="AH63" i="3"/>
  <c r="AF63" i="3"/>
  <c r="L63" i="3"/>
  <c r="AO63" i="3" s="1"/>
  <c r="M67" i="3"/>
  <c r="AG64" i="3"/>
  <c r="AE64" i="3"/>
  <c r="AK64" i="3" s="1"/>
  <c r="AD64" i="3"/>
  <c r="AB64" i="3"/>
  <c r="Z64" i="3"/>
  <c r="X64" i="3"/>
  <c r="V64" i="3"/>
  <c r="T64" i="3"/>
  <c r="Q64" i="3"/>
  <c r="O64" i="3"/>
  <c r="AG65" i="3"/>
  <c r="AE65" i="3"/>
  <c r="AK65" i="3" s="1"/>
  <c r="AD65" i="3"/>
  <c r="AB65" i="3"/>
  <c r="Z65" i="3"/>
  <c r="X65" i="3"/>
  <c r="V65" i="3"/>
  <c r="T65" i="3"/>
  <c r="Q65" i="3"/>
  <c r="O65" i="3"/>
  <c r="AG66" i="3"/>
  <c r="AE66" i="3"/>
  <c r="AK66" i="3" s="1"/>
  <c r="AD66" i="3"/>
  <c r="AB66" i="3"/>
  <c r="Z66" i="3"/>
  <c r="X66" i="3"/>
  <c r="V66" i="3"/>
  <c r="T66" i="3"/>
  <c r="Q66" i="3"/>
  <c r="O66" i="3"/>
  <c r="AN67" i="3"/>
  <c r="AH67" i="3"/>
  <c r="AF67" i="3"/>
  <c r="L67" i="3"/>
  <c r="AO67" i="3" s="1"/>
  <c r="M71" i="3"/>
  <c r="AG68" i="3"/>
  <c r="AE68" i="3"/>
  <c r="AK68" i="3" s="1"/>
  <c r="AD68" i="3"/>
  <c r="AB68" i="3"/>
  <c r="Z68" i="3"/>
  <c r="X68" i="3"/>
  <c r="V68" i="3"/>
  <c r="T68" i="3"/>
  <c r="Q68" i="3"/>
  <c r="O68" i="3"/>
  <c r="AG69" i="3"/>
  <c r="AE69" i="3"/>
  <c r="AK69" i="3" s="1"/>
  <c r="AD69" i="3"/>
  <c r="AB69" i="3"/>
  <c r="Z69" i="3"/>
  <c r="X69" i="3"/>
  <c r="V69" i="3"/>
  <c r="T69" i="3"/>
  <c r="Q69" i="3"/>
  <c r="O69" i="3"/>
  <c r="AG70" i="3"/>
  <c r="AE70" i="3"/>
  <c r="AK70" i="3" s="1"/>
  <c r="AD70" i="3"/>
  <c r="AB70" i="3"/>
  <c r="Z70" i="3"/>
  <c r="X70" i="3"/>
  <c r="V70" i="3"/>
  <c r="T70" i="3"/>
  <c r="Q70" i="3"/>
  <c r="O70" i="3"/>
  <c r="AN71" i="3"/>
  <c r="AH71" i="3"/>
  <c r="AF71" i="3"/>
  <c r="L71" i="3"/>
  <c r="AO71" i="3" s="1"/>
  <c r="M75" i="3"/>
  <c r="AG72" i="3"/>
  <c r="AE72" i="3"/>
  <c r="AK72" i="3" s="1"/>
  <c r="AD72" i="3"/>
  <c r="AB72" i="3"/>
  <c r="Z72" i="3"/>
  <c r="X72" i="3"/>
  <c r="V72" i="3"/>
  <c r="T72" i="3"/>
  <c r="Q72" i="3"/>
  <c r="O72" i="3"/>
  <c r="AG73" i="3"/>
  <c r="AE73" i="3"/>
  <c r="AK73" i="3" s="1"/>
  <c r="AD73" i="3"/>
  <c r="AB73" i="3"/>
  <c r="Z73" i="3"/>
  <c r="X73" i="3"/>
  <c r="V73" i="3"/>
  <c r="T73" i="3"/>
  <c r="Q73" i="3"/>
  <c r="O73" i="3"/>
  <c r="AG74" i="3"/>
  <c r="AE74" i="3"/>
  <c r="AK74" i="3" s="1"/>
  <c r="AD74" i="3"/>
  <c r="AB74" i="3"/>
  <c r="Z74" i="3"/>
  <c r="X74" i="3"/>
  <c r="V74" i="3"/>
  <c r="T74" i="3"/>
  <c r="Q74" i="3"/>
  <c r="O74" i="3"/>
  <c r="AN75" i="3"/>
  <c r="AH75" i="3"/>
  <c r="AF75" i="3"/>
  <c r="L75" i="3"/>
  <c r="AO75" i="3" s="1"/>
  <c r="M79" i="3"/>
  <c r="AG76" i="3"/>
  <c r="AE76" i="3"/>
  <c r="AK76" i="3" s="1"/>
  <c r="AD76" i="3"/>
  <c r="AB76" i="3"/>
  <c r="Z76" i="3"/>
  <c r="X76" i="3"/>
  <c r="V76" i="3"/>
  <c r="T76" i="3"/>
  <c r="Q76" i="3"/>
  <c r="O76" i="3"/>
  <c r="AG77" i="3"/>
  <c r="AE77" i="3"/>
  <c r="AK77" i="3" s="1"/>
  <c r="AD77" i="3"/>
  <c r="AB77" i="3"/>
  <c r="Z77" i="3"/>
  <c r="X77" i="3"/>
  <c r="V77" i="3"/>
  <c r="T77" i="3"/>
  <c r="Q77" i="3"/>
  <c r="O77" i="3"/>
  <c r="AG78" i="3"/>
  <c r="AE78" i="3"/>
  <c r="AK78" i="3" s="1"/>
  <c r="AD78" i="3"/>
  <c r="AB78" i="3"/>
  <c r="Z78" i="3"/>
  <c r="X78" i="3"/>
  <c r="V78" i="3"/>
  <c r="T78" i="3"/>
  <c r="Q78" i="3"/>
  <c r="O78" i="3"/>
  <c r="AN79" i="3"/>
  <c r="AH79" i="3"/>
  <c r="AF79" i="3"/>
  <c r="L79" i="3"/>
  <c r="AO79" i="3" s="1"/>
  <c r="M83" i="3"/>
  <c r="AG80" i="3"/>
  <c r="AE80" i="3"/>
  <c r="AK80" i="3" s="1"/>
  <c r="AD80" i="3"/>
  <c r="AB80" i="3"/>
  <c r="Z80" i="3"/>
  <c r="X80" i="3"/>
  <c r="V80" i="3"/>
  <c r="T80" i="3"/>
  <c r="Q80" i="3"/>
  <c r="O80" i="3"/>
  <c r="AG81" i="3"/>
  <c r="AE81" i="3"/>
  <c r="AK81" i="3" s="1"/>
  <c r="AD81" i="3"/>
  <c r="AB81" i="3"/>
  <c r="Z81" i="3"/>
  <c r="X81" i="3"/>
  <c r="V81" i="3"/>
  <c r="T81" i="3"/>
  <c r="Q81" i="3"/>
  <c r="O81" i="3"/>
  <c r="AG82" i="3"/>
  <c r="AE82" i="3"/>
  <c r="AK82" i="3" s="1"/>
  <c r="AD82" i="3"/>
  <c r="AB82" i="3"/>
  <c r="Z82" i="3"/>
  <c r="X82" i="3"/>
  <c r="V82" i="3"/>
  <c r="T82" i="3"/>
  <c r="Q82" i="3"/>
  <c r="O82" i="3"/>
  <c r="AN83" i="3"/>
  <c r="AH83" i="3"/>
  <c r="AF83" i="3"/>
  <c r="L83" i="3"/>
  <c r="AO83" i="3" s="1"/>
  <c r="M87" i="3"/>
  <c r="AG84" i="3"/>
  <c r="AE84" i="3"/>
  <c r="AK84" i="3" s="1"/>
  <c r="AD84" i="3"/>
  <c r="AB84" i="3"/>
  <c r="Z84" i="3"/>
  <c r="X84" i="3"/>
  <c r="V84" i="3"/>
  <c r="T84" i="3"/>
  <c r="Q84" i="3"/>
  <c r="O84" i="3"/>
  <c r="AG85" i="3"/>
  <c r="AE85" i="3"/>
  <c r="AK85" i="3" s="1"/>
  <c r="AD85" i="3"/>
  <c r="AB85" i="3"/>
  <c r="Z85" i="3"/>
  <c r="X85" i="3"/>
  <c r="V85" i="3"/>
  <c r="T85" i="3"/>
  <c r="Q85" i="3"/>
  <c r="O85" i="3"/>
  <c r="AG86" i="3"/>
  <c r="AE86" i="3"/>
  <c r="AK86" i="3" s="1"/>
  <c r="AD86" i="3"/>
  <c r="AB86" i="3"/>
  <c r="Z86" i="3"/>
  <c r="X86" i="3"/>
  <c r="V86" i="3"/>
  <c r="T86" i="3"/>
  <c r="Q86" i="3"/>
  <c r="O86" i="3"/>
  <c r="AN87" i="3"/>
  <c r="AH87" i="3"/>
  <c r="AF87" i="3"/>
  <c r="L87" i="3"/>
  <c r="AO87" i="3" s="1"/>
  <c r="M91" i="3"/>
  <c r="AG88" i="3"/>
  <c r="AE88" i="3"/>
  <c r="AK88" i="3" s="1"/>
  <c r="AD88" i="3"/>
  <c r="AB88" i="3"/>
  <c r="Z88" i="3"/>
  <c r="X88" i="3"/>
  <c r="V88" i="3"/>
  <c r="T88" i="3"/>
  <c r="Q88" i="3"/>
  <c r="O88" i="3"/>
  <c r="AG89" i="3"/>
  <c r="AE89" i="3"/>
  <c r="AK89" i="3" s="1"/>
  <c r="AD89" i="3"/>
  <c r="AB89" i="3"/>
  <c r="Z89" i="3"/>
  <c r="X89" i="3"/>
  <c r="V89" i="3"/>
  <c r="T89" i="3"/>
  <c r="Q89" i="3"/>
  <c r="O89" i="3"/>
  <c r="AG90" i="3"/>
  <c r="AE90" i="3"/>
  <c r="AK90" i="3" s="1"/>
  <c r="AD90" i="3"/>
  <c r="AB90" i="3"/>
  <c r="Z90" i="3"/>
  <c r="X90" i="3"/>
  <c r="V90" i="3"/>
  <c r="T90" i="3"/>
  <c r="Q90" i="3"/>
  <c r="O90" i="3"/>
  <c r="AN91" i="3"/>
  <c r="AH91" i="3"/>
  <c r="AF91" i="3"/>
  <c r="L91" i="3"/>
  <c r="AO91" i="3" s="1"/>
  <c r="M95" i="3"/>
  <c r="AG92" i="3"/>
  <c r="AE92" i="3"/>
  <c r="AK92" i="3" s="1"/>
  <c r="AD92" i="3"/>
  <c r="AB92" i="3"/>
  <c r="Z92" i="3"/>
  <c r="X92" i="3"/>
  <c r="V92" i="3"/>
  <c r="T92" i="3"/>
  <c r="Q92" i="3"/>
  <c r="O92" i="3"/>
  <c r="AG93" i="3"/>
  <c r="AE93" i="3"/>
  <c r="AK93" i="3" s="1"/>
  <c r="AD93" i="3"/>
  <c r="AB93" i="3"/>
  <c r="Z93" i="3"/>
  <c r="X93" i="3"/>
  <c r="V93" i="3"/>
  <c r="T93" i="3"/>
  <c r="Q93" i="3"/>
  <c r="O93" i="3"/>
  <c r="AG94" i="3"/>
  <c r="AE94" i="3"/>
  <c r="AK94" i="3" s="1"/>
  <c r="AD94" i="3"/>
  <c r="AB94" i="3"/>
  <c r="Z94" i="3"/>
  <c r="X94" i="3"/>
  <c r="V94" i="3"/>
  <c r="T94" i="3"/>
  <c r="Q94" i="3"/>
  <c r="O94" i="3"/>
  <c r="AN95" i="3"/>
  <c r="AH95" i="3"/>
  <c r="AF95" i="3"/>
  <c r="L95" i="3"/>
  <c r="AO95" i="3" s="1"/>
  <c r="M99" i="3"/>
  <c r="AG96" i="3"/>
  <c r="AE96" i="3"/>
  <c r="AK96" i="3" s="1"/>
  <c r="AD96" i="3"/>
  <c r="AB96" i="3"/>
  <c r="Z96" i="3"/>
  <c r="X96" i="3"/>
  <c r="V96" i="3"/>
  <c r="T96" i="3"/>
  <c r="Q96" i="3"/>
  <c r="O96" i="3"/>
  <c r="AG97" i="3"/>
  <c r="AE97" i="3"/>
  <c r="AK97" i="3" s="1"/>
  <c r="AD97" i="3"/>
  <c r="AB97" i="3"/>
  <c r="Z97" i="3"/>
  <c r="X97" i="3"/>
  <c r="V97" i="3"/>
  <c r="T97" i="3"/>
  <c r="Q97" i="3"/>
  <c r="O97" i="3"/>
  <c r="AG98" i="3"/>
  <c r="AE98" i="3"/>
  <c r="AK98" i="3" s="1"/>
  <c r="AD98" i="3"/>
  <c r="AB98" i="3"/>
  <c r="Z98" i="3"/>
  <c r="X98" i="3"/>
  <c r="V98" i="3"/>
  <c r="T98" i="3"/>
  <c r="Q98" i="3"/>
  <c r="O98" i="3"/>
  <c r="AN99" i="3"/>
  <c r="AH99" i="3"/>
  <c r="AF99" i="3"/>
  <c r="L99" i="3"/>
  <c r="AO99" i="3" s="1"/>
  <c r="M103" i="3"/>
  <c r="AG100" i="3"/>
  <c r="AE100" i="3"/>
  <c r="AK100" i="3" s="1"/>
  <c r="AD100" i="3"/>
  <c r="AB100" i="3"/>
  <c r="Z100" i="3"/>
  <c r="X100" i="3"/>
  <c r="V100" i="3"/>
  <c r="T100" i="3"/>
  <c r="Q100" i="3"/>
  <c r="O100" i="3"/>
  <c r="AG101" i="3"/>
  <c r="AE101" i="3"/>
  <c r="AK101" i="3" s="1"/>
  <c r="AD101" i="3"/>
  <c r="AB101" i="3"/>
  <c r="Z101" i="3"/>
  <c r="X101" i="3"/>
  <c r="V101" i="3"/>
  <c r="T101" i="3"/>
  <c r="Q101" i="3"/>
  <c r="O101" i="3"/>
  <c r="AG102" i="3"/>
  <c r="AE102" i="3"/>
  <c r="AK102" i="3" s="1"/>
  <c r="AD102" i="3"/>
  <c r="AB102" i="3"/>
  <c r="Z102" i="3"/>
  <c r="X102" i="3"/>
  <c r="V102" i="3"/>
  <c r="T102" i="3"/>
  <c r="Q102" i="3"/>
  <c r="O102" i="3"/>
  <c r="AN103" i="3"/>
  <c r="AH103" i="3"/>
  <c r="AF103" i="3"/>
  <c r="L103" i="3"/>
  <c r="AO103" i="3" s="1"/>
  <c r="M107" i="3"/>
  <c r="AG104" i="3"/>
  <c r="AE104" i="3"/>
  <c r="AK104" i="3" s="1"/>
  <c r="AD104" i="3"/>
  <c r="AB104" i="3"/>
  <c r="Z104" i="3"/>
  <c r="X104" i="3"/>
  <c r="V104" i="3"/>
  <c r="T104" i="3"/>
  <c r="Q104" i="3"/>
  <c r="O104" i="3"/>
  <c r="AG105" i="3"/>
  <c r="AE105" i="3"/>
  <c r="AK105" i="3" s="1"/>
  <c r="AD105" i="3"/>
  <c r="AB105" i="3"/>
  <c r="Z105" i="3"/>
  <c r="X105" i="3"/>
  <c r="V105" i="3"/>
  <c r="T105" i="3"/>
  <c r="Q105" i="3"/>
  <c r="O105" i="3"/>
  <c r="AG106" i="3"/>
  <c r="AE106" i="3"/>
  <c r="AK106" i="3" s="1"/>
  <c r="AD106" i="3"/>
  <c r="AB106" i="3"/>
  <c r="Z106" i="3"/>
  <c r="X106" i="3"/>
  <c r="V106" i="3"/>
  <c r="T106" i="3"/>
  <c r="Q106" i="3"/>
  <c r="O106" i="3"/>
  <c r="AN107" i="3"/>
  <c r="AH107" i="3"/>
  <c r="AF107" i="3"/>
  <c r="L107" i="3"/>
  <c r="AO107" i="3" s="1"/>
  <c r="M111" i="3"/>
  <c r="AG108" i="3"/>
  <c r="AE108" i="3"/>
  <c r="AK108" i="3" s="1"/>
  <c r="AD108" i="3"/>
  <c r="AB108" i="3"/>
  <c r="Z108" i="3"/>
  <c r="X108" i="3"/>
  <c r="V108" i="3"/>
  <c r="T108" i="3"/>
  <c r="Q108" i="3"/>
  <c r="O108" i="3"/>
  <c r="AG109" i="3"/>
  <c r="AE109" i="3"/>
  <c r="AK109" i="3" s="1"/>
  <c r="AD109" i="3"/>
  <c r="AB109" i="3"/>
  <c r="Z109" i="3"/>
  <c r="X109" i="3"/>
  <c r="V109" i="3"/>
  <c r="T109" i="3"/>
  <c r="Q109" i="3"/>
  <c r="O109" i="3"/>
  <c r="AG110" i="3"/>
  <c r="AE110" i="3"/>
  <c r="AK110" i="3" s="1"/>
  <c r="AD110" i="3"/>
  <c r="AB110" i="3"/>
  <c r="Z110" i="3"/>
  <c r="X110" i="3"/>
  <c r="V110" i="3"/>
  <c r="T110" i="3"/>
  <c r="Q110" i="3"/>
  <c r="O110" i="3"/>
  <c r="AN111" i="3"/>
  <c r="AH111" i="3"/>
  <c r="AF111" i="3"/>
  <c r="L111" i="3"/>
  <c r="AO111" i="3" s="1"/>
  <c r="M115" i="3"/>
  <c r="AG112" i="3"/>
  <c r="AE112" i="3"/>
  <c r="AK112" i="3" s="1"/>
  <c r="AD112" i="3"/>
  <c r="AB112" i="3"/>
  <c r="Z112" i="3"/>
  <c r="X112" i="3"/>
  <c r="V112" i="3"/>
  <c r="T112" i="3"/>
  <c r="Q112" i="3"/>
  <c r="O112" i="3"/>
  <c r="AG113" i="3"/>
  <c r="AE113" i="3"/>
  <c r="AK113" i="3" s="1"/>
  <c r="AD113" i="3"/>
  <c r="AB113" i="3"/>
  <c r="Z113" i="3"/>
  <c r="X113" i="3"/>
  <c r="V113" i="3"/>
  <c r="T113" i="3"/>
  <c r="Q113" i="3"/>
  <c r="O113" i="3"/>
  <c r="AG114" i="3"/>
  <c r="AE114" i="3"/>
  <c r="AK114" i="3" s="1"/>
  <c r="AD114" i="3"/>
  <c r="AB114" i="3"/>
  <c r="Z114" i="3"/>
  <c r="X114" i="3"/>
  <c r="V114" i="3"/>
  <c r="T114" i="3"/>
  <c r="Q114" i="3"/>
  <c r="O114" i="3"/>
  <c r="AN115" i="3"/>
  <c r="AH115" i="3"/>
  <c r="AF115" i="3"/>
  <c r="L115" i="3"/>
  <c r="AO115" i="3" s="1"/>
  <c r="M119" i="3"/>
  <c r="AG116" i="3"/>
  <c r="AE116" i="3"/>
  <c r="AK116" i="3" s="1"/>
  <c r="AD116" i="3"/>
  <c r="AB116" i="3"/>
  <c r="Z116" i="3"/>
  <c r="X116" i="3"/>
  <c r="V116" i="3"/>
  <c r="T116" i="3"/>
  <c r="Q116" i="3"/>
  <c r="O116" i="3"/>
  <c r="AG117" i="3"/>
  <c r="AE117" i="3"/>
  <c r="AK117" i="3" s="1"/>
  <c r="AD117" i="3"/>
  <c r="AB117" i="3"/>
  <c r="Z117" i="3"/>
  <c r="X117" i="3"/>
  <c r="V117" i="3"/>
  <c r="T117" i="3"/>
  <c r="Q117" i="3"/>
  <c r="O117" i="3"/>
  <c r="AG118" i="3"/>
  <c r="AE118" i="3"/>
  <c r="AK118" i="3" s="1"/>
  <c r="AD118" i="3"/>
  <c r="AB118" i="3"/>
  <c r="Z118" i="3"/>
  <c r="X118" i="3"/>
  <c r="V118" i="3"/>
  <c r="T118" i="3"/>
  <c r="Q118" i="3"/>
  <c r="O118" i="3"/>
  <c r="AN119" i="3"/>
  <c r="AH119" i="3"/>
  <c r="AF119" i="3"/>
  <c r="L119" i="3"/>
  <c r="AO119" i="3" s="1"/>
  <c r="M7" i="2"/>
  <c r="AG4" i="2"/>
  <c r="AE4" i="2"/>
  <c r="AK4" i="2" s="1"/>
  <c r="AD4" i="2"/>
  <c r="AB4" i="2"/>
  <c r="Z4" i="2"/>
  <c r="X4" i="2"/>
  <c r="V4" i="2"/>
  <c r="T4" i="2"/>
  <c r="Q4" i="2"/>
  <c r="O4" i="2"/>
  <c r="AT8" i="2"/>
  <c r="AT9" i="2" s="1"/>
  <c r="AT10" i="2" s="1"/>
  <c r="AU7" i="2"/>
  <c r="AG5" i="2"/>
  <c r="AE5" i="2"/>
  <c r="AK5" i="2" s="1"/>
  <c r="AD5" i="2"/>
  <c r="AB5" i="2"/>
  <c r="Z5" i="2"/>
  <c r="X5" i="2"/>
  <c r="V5" i="2"/>
  <c r="T5" i="2"/>
  <c r="Q5" i="2"/>
  <c r="O5" i="2"/>
  <c r="AG6" i="2"/>
  <c r="AE6" i="2"/>
  <c r="AK6" i="2" s="1"/>
  <c r="AD6" i="2"/>
  <c r="AB6" i="2"/>
  <c r="Z6" i="2"/>
  <c r="X6" i="2"/>
  <c r="V6" i="2"/>
  <c r="T6" i="2"/>
  <c r="Q6" i="2"/>
  <c r="O6" i="2"/>
  <c r="AO7" i="2"/>
  <c r="AN7" i="2"/>
  <c r="AH7" i="2"/>
  <c r="AF7" i="2"/>
  <c r="L7" i="2"/>
  <c r="M11" i="2"/>
  <c r="AG8" i="2"/>
  <c r="AE8" i="2"/>
  <c r="AK8" i="2" s="1"/>
  <c r="AD8" i="2"/>
  <c r="AB8" i="2"/>
  <c r="Z8" i="2"/>
  <c r="X8" i="2"/>
  <c r="V8" i="2"/>
  <c r="T8" i="2"/>
  <c r="Q8" i="2"/>
  <c r="O8" i="2"/>
  <c r="AG9" i="2"/>
  <c r="AE9" i="2"/>
  <c r="AK9" i="2" s="1"/>
  <c r="AD9" i="2"/>
  <c r="AB9" i="2"/>
  <c r="Z9" i="2"/>
  <c r="X9" i="2"/>
  <c r="V9" i="2"/>
  <c r="T9" i="2"/>
  <c r="Q9" i="2"/>
  <c r="O9" i="2"/>
  <c r="AG10" i="2"/>
  <c r="AE10" i="2"/>
  <c r="AK10" i="2" s="1"/>
  <c r="AD10" i="2"/>
  <c r="AB10" i="2"/>
  <c r="Z10" i="2"/>
  <c r="X10" i="2"/>
  <c r="V10" i="2"/>
  <c r="T10" i="2"/>
  <c r="Q10" i="2"/>
  <c r="O10" i="2"/>
  <c r="AO11" i="2"/>
  <c r="AN11" i="2"/>
  <c r="AH11" i="2"/>
  <c r="AF11" i="2"/>
  <c r="L11" i="2"/>
  <c r="M15" i="2"/>
  <c r="AG12" i="2"/>
  <c r="AE12" i="2"/>
  <c r="AK12" i="2" s="1"/>
  <c r="AD12" i="2"/>
  <c r="AB12" i="2"/>
  <c r="Z12" i="2"/>
  <c r="X12" i="2"/>
  <c r="V12" i="2"/>
  <c r="T12" i="2"/>
  <c r="Q12" i="2"/>
  <c r="O12" i="2"/>
  <c r="AG13" i="2"/>
  <c r="AE13" i="2"/>
  <c r="AK13" i="2" s="1"/>
  <c r="AD13" i="2"/>
  <c r="AB13" i="2"/>
  <c r="Z13" i="2"/>
  <c r="X13" i="2"/>
  <c r="V13" i="2"/>
  <c r="T13" i="2"/>
  <c r="Q13" i="2"/>
  <c r="O13" i="2"/>
  <c r="AG14" i="2"/>
  <c r="AE14" i="2"/>
  <c r="AK14" i="2" s="1"/>
  <c r="AD14" i="2"/>
  <c r="AB14" i="2"/>
  <c r="Z14" i="2"/>
  <c r="X14" i="2"/>
  <c r="V14" i="2"/>
  <c r="T14" i="2"/>
  <c r="Q14" i="2"/>
  <c r="O14" i="2"/>
  <c r="AO15" i="2"/>
  <c r="AN15" i="2"/>
  <c r="AH15" i="2"/>
  <c r="AF15" i="2"/>
  <c r="L15" i="2"/>
  <c r="M19" i="2"/>
  <c r="AG16" i="2"/>
  <c r="AE16" i="2"/>
  <c r="AK16" i="2" s="1"/>
  <c r="AD16" i="2"/>
  <c r="AB16" i="2"/>
  <c r="Z16" i="2"/>
  <c r="X16" i="2"/>
  <c r="V16" i="2"/>
  <c r="T16" i="2"/>
  <c r="Q16" i="2"/>
  <c r="O16" i="2"/>
  <c r="AG17" i="2"/>
  <c r="AE17" i="2"/>
  <c r="AK17" i="2" s="1"/>
  <c r="AD17" i="2"/>
  <c r="AB17" i="2"/>
  <c r="Z17" i="2"/>
  <c r="X17" i="2"/>
  <c r="V17" i="2"/>
  <c r="T17" i="2"/>
  <c r="Q17" i="2"/>
  <c r="O17" i="2"/>
  <c r="AG18" i="2"/>
  <c r="AE18" i="2"/>
  <c r="AK18" i="2" s="1"/>
  <c r="AD18" i="2"/>
  <c r="AB18" i="2"/>
  <c r="Z18" i="2"/>
  <c r="X18" i="2"/>
  <c r="V18" i="2"/>
  <c r="T18" i="2"/>
  <c r="Q18" i="2"/>
  <c r="O18" i="2"/>
  <c r="AO19" i="2"/>
  <c r="AN19" i="2"/>
  <c r="AH19" i="2"/>
  <c r="AF19" i="2"/>
  <c r="L19" i="2"/>
  <c r="M23" i="2"/>
  <c r="AG20" i="2"/>
  <c r="AE20" i="2"/>
  <c r="AK20" i="2" s="1"/>
  <c r="AD20" i="2"/>
  <c r="AB20" i="2"/>
  <c r="Z20" i="2"/>
  <c r="X20" i="2"/>
  <c r="V20" i="2"/>
  <c r="T20" i="2"/>
  <c r="Q20" i="2"/>
  <c r="O20" i="2"/>
  <c r="AG21" i="2"/>
  <c r="AE21" i="2"/>
  <c r="AK21" i="2" s="1"/>
  <c r="AD21" i="2"/>
  <c r="AB21" i="2"/>
  <c r="Z21" i="2"/>
  <c r="X21" i="2"/>
  <c r="V21" i="2"/>
  <c r="T21" i="2"/>
  <c r="Q21" i="2"/>
  <c r="O21" i="2"/>
  <c r="AG22" i="2"/>
  <c r="AE22" i="2"/>
  <c r="AK22" i="2" s="1"/>
  <c r="AD22" i="2"/>
  <c r="AB22" i="2"/>
  <c r="Z22" i="2"/>
  <c r="X22" i="2"/>
  <c r="V22" i="2"/>
  <c r="T22" i="2"/>
  <c r="Q22" i="2"/>
  <c r="O22" i="2"/>
  <c r="AO23" i="2"/>
  <c r="AN23" i="2"/>
  <c r="AH23" i="2"/>
  <c r="AF23" i="2"/>
  <c r="L23" i="2"/>
  <c r="M27" i="2"/>
  <c r="AG24" i="2"/>
  <c r="AE24" i="2"/>
  <c r="AK24" i="2" s="1"/>
  <c r="AD24" i="2"/>
  <c r="AB24" i="2"/>
  <c r="Z24" i="2"/>
  <c r="X24" i="2"/>
  <c r="V24" i="2"/>
  <c r="T24" i="2"/>
  <c r="Q24" i="2"/>
  <c r="O24" i="2"/>
  <c r="AG25" i="2"/>
  <c r="AE25" i="2"/>
  <c r="AK25" i="2" s="1"/>
  <c r="AD25" i="2"/>
  <c r="AB25" i="2"/>
  <c r="Z25" i="2"/>
  <c r="X25" i="2"/>
  <c r="V25" i="2"/>
  <c r="T25" i="2"/>
  <c r="Q25" i="2"/>
  <c r="O25" i="2"/>
  <c r="AG26" i="2"/>
  <c r="AE26" i="2"/>
  <c r="AK26" i="2" s="1"/>
  <c r="AD26" i="2"/>
  <c r="AB26" i="2"/>
  <c r="Z26" i="2"/>
  <c r="X26" i="2"/>
  <c r="V26" i="2"/>
  <c r="T26" i="2"/>
  <c r="Q26" i="2"/>
  <c r="O26" i="2"/>
  <c r="AO27" i="2"/>
  <c r="AN27" i="2"/>
  <c r="AH27" i="2"/>
  <c r="AF27" i="2"/>
  <c r="L27" i="2"/>
  <c r="M31" i="2"/>
  <c r="AG28" i="2"/>
  <c r="AE28" i="2"/>
  <c r="AK28" i="2" s="1"/>
  <c r="AD28" i="2"/>
  <c r="AB28" i="2"/>
  <c r="Z28" i="2"/>
  <c r="X28" i="2"/>
  <c r="V28" i="2"/>
  <c r="T28" i="2"/>
  <c r="Q28" i="2"/>
  <c r="O28" i="2"/>
  <c r="AG29" i="2"/>
  <c r="AE29" i="2"/>
  <c r="AK29" i="2" s="1"/>
  <c r="AD29" i="2"/>
  <c r="AB29" i="2"/>
  <c r="Z29" i="2"/>
  <c r="X29" i="2"/>
  <c r="V29" i="2"/>
  <c r="T29" i="2"/>
  <c r="Q29" i="2"/>
  <c r="O29" i="2"/>
  <c r="AG30" i="2"/>
  <c r="AE30" i="2"/>
  <c r="AK30" i="2" s="1"/>
  <c r="AD30" i="2"/>
  <c r="AB30" i="2"/>
  <c r="Z30" i="2"/>
  <c r="X30" i="2"/>
  <c r="V30" i="2"/>
  <c r="T30" i="2"/>
  <c r="Q30" i="2"/>
  <c r="O30" i="2"/>
  <c r="AN31" i="2"/>
  <c r="AH31" i="2"/>
  <c r="AF31" i="2"/>
  <c r="L31" i="2"/>
  <c r="AO31" i="2" s="1"/>
  <c r="M35" i="2"/>
  <c r="AG32" i="2"/>
  <c r="AE32" i="2"/>
  <c r="AK32" i="2" s="1"/>
  <c r="AD32" i="2"/>
  <c r="AB32" i="2"/>
  <c r="Z32" i="2"/>
  <c r="X32" i="2"/>
  <c r="V32" i="2"/>
  <c r="T32" i="2"/>
  <c r="Q32" i="2"/>
  <c r="O32" i="2"/>
  <c r="AG33" i="2"/>
  <c r="AE33" i="2"/>
  <c r="AK33" i="2" s="1"/>
  <c r="AD33" i="2"/>
  <c r="AB33" i="2"/>
  <c r="Z33" i="2"/>
  <c r="X33" i="2"/>
  <c r="V33" i="2"/>
  <c r="T33" i="2"/>
  <c r="Q33" i="2"/>
  <c r="O33" i="2"/>
  <c r="AG34" i="2"/>
  <c r="AE34" i="2"/>
  <c r="AK34" i="2" s="1"/>
  <c r="AD34" i="2"/>
  <c r="AB34" i="2"/>
  <c r="Z34" i="2"/>
  <c r="X34" i="2"/>
  <c r="V34" i="2"/>
  <c r="T34" i="2"/>
  <c r="Q34" i="2"/>
  <c r="O34" i="2"/>
  <c r="AN35" i="2"/>
  <c r="AH35" i="2"/>
  <c r="AF35" i="2"/>
  <c r="L35" i="2"/>
  <c r="AO35" i="2" s="1"/>
  <c r="M39" i="2"/>
  <c r="AG36" i="2"/>
  <c r="AE36" i="2"/>
  <c r="AK36" i="2" s="1"/>
  <c r="AD36" i="2"/>
  <c r="AB36" i="2"/>
  <c r="Z36" i="2"/>
  <c r="X36" i="2"/>
  <c r="V36" i="2"/>
  <c r="T36" i="2"/>
  <c r="Q36" i="2"/>
  <c r="O36" i="2"/>
  <c r="AG37" i="2"/>
  <c r="AE37" i="2"/>
  <c r="AK37" i="2" s="1"/>
  <c r="AD37" i="2"/>
  <c r="AB37" i="2"/>
  <c r="Z37" i="2"/>
  <c r="X37" i="2"/>
  <c r="V37" i="2"/>
  <c r="T37" i="2"/>
  <c r="Q37" i="2"/>
  <c r="O37" i="2"/>
  <c r="AG38" i="2"/>
  <c r="AE38" i="2"/>
  <c r="AK38" i="2" s="1"/>
  <c r="AD38" i="2"/>
  <c r="AB38" i="2"/>
  <c r="Z38" i="2"/>
  <c r="X38" i="2"/>
  <c r="V38" i="2"/>
  <c r="T38" i="2"/>
  <c r="Q38" i="2"/>
  <c r="O38" i="2"/>
  <c r="AN39" i="2"/>
  <c r="AH39" i="2"/>
  <c r="AF39" i="2"/>
  <c r="L39" i="2"/>
  <c r="AO39" i="2" s="1"/>
  <c r="M43" i="2"/>
  <c r="AG40" i="2"/>
  <c r="AE40" i="2"/>
  <c r="AK40" i="2" s="1"/>
  <c r="AD40" i="2"/>
  <c r="AB40" i="2"/>
  <c r="Z40" i="2"/>
  <c r="X40" i="2"/>
  <c r="V40" i="2"/>
  <c r="T40" i="2"/>
  <c r="Q40" i="2"/>
  <c r="O40" i="2"/>
  <c r="AG41" i="2"/>
  <c r="AE41" i="2"/>
  <c r="AK41" i="2" s="1"/>
  <c r="AD41" i="2"/>
  <c r="AB41" i="2"/>
  <c r="Z41" i="2"/>
  <c r="X41" i="2"/>
  <c r="V41" i="2"/>
  <c r="T41" i="2"/>
  <c r="Q41" i="2"/>
  <c r="O41" i="2"/>
  <c r="AG42" i="2"/>
  <c r="AE42" i="2"/>
  <c r="AK42" i="2" s="1"/>
  <c r="AD42" i="2"/>
  <c r="AB42" i="2"/>
  <c r="Z42" i="2"/>
  <c r="X42" i="2"/>
  <c r="V42" i="2"/>
  <c r="T42" i="2"/>
  <c r="Q42" i="2"/>
  <c r="O42" i="2"/>
  <c r="AN43" i="2"/>
  <c r="AH43" i="2"/>
  <c r="AF43" i="2"/>
  <c r="L43" i="2"/>
  <c r="AO43" i="2" s="1"/>
  <c r="M47" i="2"/>
  <c r="AG44" i="2"/>
  <c r="AE44" i="2"/>
  <c r="AK44" i="2" s="1"/>
  <c r="AD44" i="2"/>
  <c r="AB44" i="2"/>
  <c r="Z44" i="2"/>
  <c r="X44" i="2"/>
  <c r="V44" i="2"/>
  <c r="T44" i="2"/>
  <c r="Q44" i="2"/>
  <c r="O44" i="2"/>
  <c r="AG45" i="2"/>
  <c r="AE45" i="2"/>
  <c r="AK45" i="2" s="1"/>
  <c r="AD45" i="2"/>
  <c r="AB45" i="2"/>
  <c r="Z45" i="2"/>
  <c r="X45" i="2"/>
  <c r="V45" i="2"/>
  <c r="T45" i="2"/>
  <c r="Q45" i="2"/>
  <c r="O45" i="2"/>
  <c r="AG46" i="2"/>
  <c r="AE46" i="2"/>
  <c r="AK46" i="2" s="1"/>
  <c r="AD46" i="2"/>
  <c r="AB46" i="2"/>
  <c r="Z46" i="2"/>
  <c r="X46" i="2"/>
  <c r="V46" i="2"/>
  <c r="T46" i="2"/>
  <c r="Q46" i="2"/>
  <c r="O46" i="2"/>
  <c r="AN47" i="2"/>
  <c r="AH47" i="2"/>
  <c r="AF47" i="2"/>
  <c r="L47" i="2"/>
  <c r="AO47" i="2" s="1"/>
  <c r="M51" i="2"/>
  <c r="AG48" i="2"/>
  <c r="AE48" i="2"/>
  <c r="AK48" i="2" s="1"/>
  <c r="AD48" i="2"/>
  <c r="AB48" i="2"/>
  <c r="Z48" i="2"/>
  <c r="X48" i="2"/>
  <c r="V48" i="2"/>
  <c r="T48" i="2"/>
  <c r="Q48" i="2"/>
  <c r="O48" i="2"/>
  <c r="AG49" i="2"/>
  <c r="AE49" i="2"/>
  <c r="AK49" i="2" s="1"/>
  <c r="AD49" i="2"/>
  <c r="AB49" i="2"/>
  <c r="Z49" i="2"/>
  <c r="X49" i="2"/>
  <c r="V49" i="2"/>
  <c r="T49" i="2"/>
  <c r="Q49" i="2"/>
  <c r="O49" i="2"/>
  <c r="AG50" i="2"/>
  <c r="AE50" i="2"/>
  <c r="AK50" i="2" s="1"/>
  <c r="AD50" i="2"/>
  <c r="AB50" i="2"/>
  <c r="Z50" i="2"/>
  <c r="X50" i="2"/>
  <c r="V50" i="2"/>
  <c r="T50" i="2"/>
  <c r="Q50" i="2"/>
  <c r="O50" i="2"/>
  <c r="AN51" i="2"/>
  <c r="AH51" i="2"/>
  <c r="AF51" i="2"/>
  <c r="L51" i="2"/>
  <c r="AO51" i="2" s="1"/>
  <c r="M55" i="2"/>
  <c r="AG52" i="2"/>
  <c r="AE52" i="2"/>
  <c r="AK52" i="2" s="1"/>
  <c r="AD52" i="2"/>
  <c r="AB52" i="2"/>
  <c r="Z52" i="2"/>
  <c r="X52" i="2"/>
  <c r="V52" i="2"/>
  <c r="T52" i="2"/>
  <c r="Q52" i="2"/>
  <c r="O52" i="2"/>
  <c r="AG53" i="2"/>
  <c r="AE53" i="2"/>
  <c r="AK53" i="2" s="1"/>
  <c r="AD53" i="2"/>
  <c r="AB53" i="2"/>
  <c r="Z53" i="2"/>
  <c r="X53" i="2"/>
  <c r="V53" i="2"/>
  <c r="T53" i="2"/>
  <c r="Q53" i="2"/>
  <c r="O53" i="2"/>
  <c r="AG54" i="2"/>
  <c r="AE54" i="2"/>
  <c r="AK54" i="2" s="1"/>
  <c r="AD54" i="2"/>
  <c r="AB54" i="2"/>
  <c r="Z54" i="2"/>
  <c r="X54" i="2"/>
  <c r="V54" i="2"/>
  <c r="T54" i="2"/>
  <c r="Q54" i="2"/>
  <c r="O54" i="2"/>
  <c r="AN55" i="2"/>
  <c r="AH55" i="2"/>
  <c r="AF55" i="2"/>
  <c r="L55" i="2"/>
  <c r="AO55" i="2" s="1"/>
  <c r="M59" i="2"/>
  <c r="AG56" i="2"/>
  <c r="AE56" i="2"/>
  <c r="AK56" i="2" s="1"/>
  <c r="AD56" i="2"/>
  <c r="AB56" i="2"/>
  <c r="Z56" i="2"/>
  <c r="X56" i="2"/>
  <c r="V56" i="2"/>
  <c r="T56" i="2"/>
  <c r="Q56" i="2"/>
  <c r="O56" i="2"/>
  <c r="AG57" i="2"/>
  <c r="AE57" i="2"/>
  <c r="AK57" i="2" s="1"/>
  <c r="AD57" i="2"/>
  <c r="AB57" i="2"/>
  <c r="Z57" i="2"/>
  <c r="X57" i="2"/>
  <c r="V57" i="2"/>
  <c r="T57" i="2"/>
  <c r="Q57" i="2"/>
  <c r="O57" i="2"/>
  <c r="AG58" i="2"/>
  <c r="AE58" i="2"/>
  <c r="AK58" i="2" s="1"/>
  <c r="AD58" i="2"/>
  <c r="AB58" i="2"/>
  <c r="Z58" i="2"/>
  <c r="X58" i="2"/>
  <c r="V58" i="2"/>
  <c r="T58" i="2"/>
  <c r="Q58" i="2"/>
  <c r="O58" i="2"/>
  <c r="AN59" i="2"/>
  <c r="AH59" i="2"/>
  <c r="AF59" i="2"/>
  <c r="L59" i="2"/>
  <c r="AO59" i="2" s="1"/>
  <c r="M63" i="2"/>
  <c r="AG60" i="2"/>
  <c r="AE60" i="2"/>
  <c r="AK60" i="2" s="1"/>
  <c r="AD60" i="2"/>
  <c r="AB60" i="2"/>
  <c r="Z60" i="2"/>
  <c r="X60" i="2"/>
  <c r="V60" i="2"/>
  <c r="T60" i="2"/>
  <c r="Q60" i="2"/>
  <c r="O60" i="2"/>
  <c r="AG61" i="2"/>
  <c r="AE61" i="2"/>
  <c r="AK61" i="2" s="1"/>
  <c r="AD61" i="2"/>
  <c r="AB61" i="2"/>
  <c r="Z61" i="2"/>
  <c r="X61" i="2"/>
  <c r="V61" i="2"/>
  <c r="T61" i="2"/>
  <c r="Q61" i="2"/>
  <c r="O61" i="2"/>
  <c r="AG62" i="2"/>
  <c r="AE62" i="2"/>
  <c r="AK62" i="2" s="1"/>
  <c r="AD62" i="2"/>
  <c r="AB62" i="2"/>
  <c r="Z62" i="2"/>
  <c r="X62" i="2"/>
  <c r="V62" i="2"/>
  <c r="T62" i="2"/>
  <c r="Q62" i="2"/>
  <c r="O62" i="2"/>
  <c r="AN63" i="2"/>
  <c r="AH63" i="2"/>
  <c r="AF63" i="2"/>
  <c r="L63" i="2"/>
  <c r="AO63" i="2" s="1"/>
  <c r="M67" i="2"/>
  <c r="AG64" i="2"/>
  <c r="AE64" i="2"/>
  <c r="AK64" i="2" s="1"/>
  <c r="AD64" i="2"/>
  <c r="AB64" i="2"/>
  <c r="Z64" i="2"/>
  <c r="X64" i="2"/>
  <c r="V64" i="2"/>
  <c r="T64" i="2"/>
  <c r="Q64" i="2"/>
  <c r="O64" i="2"/>
  <c r="AG65" i="2"/>
  <c r="AE65" i="2"/>
  <c r="AK65" i="2" s="1"/>
  <c r="AD65" i="2"/>
  <c r="AB65" i="2"/>
  <c r="Z65" i="2"/>
  <c r="X65" i="2"/>
  <c r="V65" i="2"/>
  <c r="T65" i="2"/>
  <c r="Q65" i="2"/>
  <c r="O65" i="2"/>
  <c r="AG66" i="2"/>
  <c r="AE66" i="2"/>
  <c r="AK66" i="2" s="1"/>
  <c r="AD66" i="2"/>
  <c r="AB66" i="2"/>
  <c r="Z66" i="2"/>
  <c r="X66" i="2"/>
  <c r="V66" i="2"/>
  <c r="T66" i="2"/>
  <c r="Q66" i="2"/>
  <c r="O66" i="2"/>
  <c r="AN67" i="2"/>
  <c r="AH67" i="2"/>
  <c r="AF67" i="2"/>
  <c r="L67" i="2"/>
  <c r="AO67" i="2" s="1"/>
  <c r="M71" i="2"/>
  <c r="AG68" i="2"/>
  <c r="AE68" i="2"/>
  <c r="AK68" i="2" s="1"/>
  <c r="AD68" i="2"/>
  <c r="AB68" i="2"/>
  <c r="Z68" i="2"/>
  <c r="X68" i="2"/>
  <c r="V68" i="2"/>
  <c r="T68" i="2"/>
  <c r="Q68" i="2"/>
  <c r="O68" i="2"/>
  <c r="AG69" i="2"/>
  <c r="AE69" i="2"/>
  <c r="AK69" i="2" s="1"/>
  <c r="AD69" i="2"/>
  <c r="AB69" i="2"/>
  <c r="Z69" i="2"/>
  <c r="X69" i="2"/>
  <c r="V69" i="2"/>
  <c r="T69" i="2"/>
  <c r="Q69" i="2"/>
  <c r="O69" i="2"/>
  <c r="AG70" i="2"/>
  <c r="AE70" i="2"/>
  <c r="AK70" i="2" s="1"/>
  <c r="AD70" i="2"/>
  <c r="AB70" i="2"/>
  <c r="Z70" i="2"/>
  <c r="X70" i="2"/>
  <c r="V70" i="2"/>
  <c r="T70" i="2"/>
  <c r="Q70" i="2"/>
  <c r="O70" i="2"/>
  <c r="AN71" i="2"/>
  <c r="AH71" i="2"/>
  <c r="AF71" i="2"/>
  <c r="L71" i="2"/>
  <c r="AO71" i="2" s="1"/>
  <c r="M75" i="2"/>
  <c r="AG72" i="2"/>
  <c r="AE72" i="2"/>
  <c r="AK72" i="2" s="1"/>
  <c r="AD72" i="2"/>
  <c r="AB72" i="2"/>
  <c r="Z72" i="2"/>
  <c r="X72" i="2"/>
  <c r="V72" i="2"/>
  <c r="T72" i="2"/>
  <c r="Q72" i="2"/>
  <c r="O72" i="2"/>
  <c r="AG73" i="2"/>
  <c r="AE73" i="2"/>
  <c r="AK73" i="2" s="1"/>
  <c r="AD73" i="2"/>
  <c r="AB73" i="2"/>
  <c r="Z73" i="2"/>
  <c r="X73" i="2"/>
  <c r="V73" i="2"/>
  <c r="T73" i="2"/>
  <c r="Q73" i="2"/>
  <c r="O73" i="2"/>
  <c r="AG74" i="2"/>
  <c r="AE74" i="2"/>
  <c r="AK74" i="2" s="1"/>
  <c r="AD74" i="2"/>
  <c r="AB74" i="2"/>
  <c r="Z74" i="2"/>
  <c r="X74" i="2"/>
  <c r="V74" i="2"/>
  <c r="T74" i="2"/>
  <c r="Q74" i="2"/>
  <c r="O74" i="2"/>
  <c r="AN75" i="2"/>
  <c r="AH75" i="2"/>
  <c r="AF75" i="2"/>
  <c r="L75" i="2"/>
  <c r="AO75" i="2" s="1"/>
  <c r="M79" i="2"/>
  <c r="AG76" i="2"/>
  <c r="AE76" i="2"/>
  <c r="AK76" i="2" s="1"/>
  <c r="AD76" i="2"/>
  <c r="AB76" i="2"/>
  <c r="Z76" i="2"/>
  <c r="X76" i="2"/>
  <c r="V76" i="2"/>
  <c r="T76" i="2"/>
  <c r="Q76" i="2"/>
  <c r="O76" i="2"/>
  <c r="AG77" i="2"/>
  <c r="AE77" i="2"/>
  <c r="AK77" i="2" s="1"/>
  <c r="AD77" i="2"/>
  <c r="AB77" i="2"/>
  <c r="Z77" i="2"/>
  <c r="X77" i="2"/>
  <c r="V77" i="2"/>
  <c r="T77" i="2"/>
  <c r="Q77" i="2"/>
  <c r="O77" i="2"/>
  <c r="AG78" i="2"/>
  <c r="AE78" i="2"/>
  <c r="AK78" i="2" s="1"/>
  <c r="AD78" i="2"/>
  <c r="AB78" i="2"/>
  <c r="Z78" i="2"/>
  <c r="X78" i="2"/>
  <c r="V78" i="2"/>
  <c r="T78" i="2"/>
  <c r="Q78" i="2"/>
  <c r="O78" i="2"/>
  <c r="AN79" i="2"/>
  <c r="AH79" i="2"/>
  <c r="AF79" i="2"/>
  <c r="L79" i="2"/>
  <c r="AO79" i="2" s="1"/>
  <c r="M83" i="2"/>
  <c r="AG80" i="2"/>
  <c r="AE80" i="2"/>
  <c r="AK80" i="2" s="1"/>
  <c r="AD80" i="2"/>
  <c r="AB80" i="2"/>
  <c r="Z80" i="2"/>
  <c r="X80" i="2"/>
  <c r="V80" i="2"/>
  <c r="T80" i="2"/>
  <c r="Q80" i="2"/>
  <c r="O80" i="2"/>
  <c r="AG81" i="2"/>
  <c r="AE81" i="2"/>
  <c r="AK81" i="2" s="1"/>
  <c r="AD81" i="2"/>
  <c r="AB81" i="2"/>
  <c r="Z81" i="2"/>
  <c r="X81" i="2"/>
  <c r="V81" i="2"/>
  <c r="T81" i="2"/>
  <c r="Q81" i="2"/>
  <c r="O81" i="2"/>
  <c r="AG82" i="2"/>
  <c r="AE82" i="2"/>
  <c r="AK82" i="2" s="1"/>
  <c r="AD82" i="2"/>
  <c r="AB82" i="2"/>
  <c r="Z82" i="2"/>
  <c r="X82" i="2"/>
  <c r="V82" i="2"/>
  <c r="T82" i="2"/>
  <c r="Q82" i="2"/>
  <c r="O82" i="2"/>
  <c r="AN83" i="2"/>
  <c r="AH83" i="2"/>
  <c r="AF83" i="2"/>
  <c r="L83" i="2"/>
  <c r="AO83" i="2" s="1"/>
  <c r="M87" i="2"/>
  <c r="AG84" i="2"/>
  <c r="AE84" i="2"/>
  <c r="AK84" i="2" s="1"/>
  <c r="AD84" i="2"/>
  <c r="AB84" i="2"/>
  <c r="Z84" i="2"/>
  <c r="X84" i="2"/>
  <c r="V84" i="2"/>
  <c r="T84" i="2"/>
  <c r="Q84" i="2"/>
  <c r="O84" i="2"/>
  <c r="AG85" i="2"/>
  <c r="AE85" i="2"/>
  <c r="AK85" i="2" s="1"/>
  <c r="AD85" i="2"/>
  <c r="AB85" i="2"/>
  <c r="Z85" i="2"/>
  <c r="X85" i="2"/>
  <c r="V85" i="2"/>
  <c r="T85" i="2"/>
  <c r="Q85" i="2"/>
  <c r="O85" i="2"/>
  <c r="AG86" i="2"/>
  <c r="AE86" i="2"/>
  <c r="AK86" i="2" s="1"/>
  <c r="AD86" i="2"/>
  <c r="AB86" i="2"/>
  <c r="Z86" i="2"/>
  <c r="X86" i="2"/>
  <c r="V86" i="2"/>
  <c r="T86" i="2"/>
  <c r="Q86" i="2"/>
  <c r="O86" i="2"/>
  <c r="AN87" i="2"/>
  <c r="AH87" i="2"/>
  <c r="AF87" i="2"/>
  <c r="L87" i="2"/>
  <c r="AO87" i="2" s="1"/>
  <c r="M91" i="2"/>
  <c r="AG88" i="2"/>
  <c r="AE88" i="2"/>
  <c r="AK88" i="2" s="1"/>
  <c r="AD88" i="2"/>
  <c r="AB88" i="2"/>
  <c r="Z88" i="2"/>
  <c r="X88" i="2"/>
  <c r="V88" i="2"/>
  <c r="T88" i="2"/>
  <c r="Q88" i="2"/>
  <c r="O88" i="2"/>
  <c r="AG89" i="2"/>
  <c r="AE89" i="2"/>
  <c r="AK89" i="2" s="1"/>
  <c r="AD89" i="2"/>
  <c r="AB89" i="2"/>
  <c r="Z89" i="2"/>
  <c r="X89" i="2"/>
  <c r="V89" i="2"/>
  <c r="T89" i="2"/>
  <c r="Q89" i="2"/>
  <c r="O89" i="2"/>
  <c r="AG90" i="2"/>
  <c r="AE90" i="2"/>
  <c r="AK90" i="2" s="1"/>
  <c r="AD90" i="2"/>
  <c r="AB90" i="2"/>
  <c r="Z90" i="2"/>
  <c r="X90" i="2"/>
  <c r="V90" i="2"/>
  <c r="T90" i="2"/>
  <c r="Q90" i="2"/>
  <c r="O90" i="2"/>
  <c r="AN91" i="2"/>
  <c r="AH91" i="2"/>
  <c r="AF91" i="2"/>
  <c r="L91" i="2"/>
  <c r="AO91" i="2" s="1"/>
  <c r="M95" i="2"/>
  <c r="AG92" i="2"/>
  <c r="AE92" i="2"/>
  <c r="AK92" i="2" s="1"/>
  <c r="AD92" i="2"/>
  <c r="AB92" i="2"/>
  <c r="Z92" i="2"/>
  <c r="X92" i="2"/>
  <c r="V92" i="2"/>
  <c r="T92" i="2"/>
  <c r="Q92" i="2"/>
  <c r="O92" i="2"/>
  <c r="AG93" i="2"/>
  <c r="AE93" i="2"/>
  <c r="AK93" i="2" s="1"/>
  <c r="AD93" i="2"/>
  <c r="AB93" i="2"/>
  <c r="Z93" i="2"/>
  <c r="X93" i="2"/>
  <c r="V93" i="2"/>
  <c r="T93" i="2"/>
  <c r="Q93" i="2"/>
  <c r="O93" i="2"/>
  <c r="AG94" i="2"/>
  <c r="AE94" i="2"/>
  <c r="AK94" i="2" s="1"/>
  <c r="AD94" i="2"/>
  <c r="AB94" i="2"/>
  <c r="Z94" i="2"/>
  <c r="X94" i="2"/>
  <c r="V94" i="2"/>
  <c r="T94" i="2"/>
  <c r="Q94" i="2"/>
  <c r="O94" i="2"/>
  <c r="AN95" i="2"/>
  <c r="AH95" i="2"/>
  <c r="AF95" i="2"/>
  <c r="L95" i="2"/>
  <c r="AO95" i="2" s="1"/>
  <c r="M99" i="2"/>
  <c r="AG96" i="2"/>
  <c r="AE96" i="2"/>
  <c r="AK96" i="2" s="1"/>
  <c r="AD96" i="2"/>
  <c r="AB96" i="2"/>
  <c r="Z96" i="2"/>
  <c r="X96" i="2"/>
  <c r="V96" i="2"/>
  <c r="T96" i="2"/>
  <c r="Q96" i="2"/>
  <c r="O96" i="2"/>
  <c r="AG97" i="2"/>
  <c r="AE97" i="2"/>
  <c r="AK97" i="2" s="1"/>
  <c r="AD97" i="2"/>
  <c r="AB97" i="2"/>
  <c r="Z97" i="2"/>
  <c r="X97" i="2"/>
  <c r="V97" i="2"/>
  <c r="T97" i="2"/>
  <c r="Q97" i="2"/>
  <c r="O97" i="2"/>
  <c r="AG98" i="2"/>
  <c r="AE98" i="2"/>
  <c r="AK98" i="2" s="1"/>
  <c r="AD98" i="2"/>
  <c r="AB98" i="2"/>
  <c r="Z98" i="2"/>
  <c r="X98" i="2"/>
  <c r="V98" i="2"/>
  <c r="T98" i="2"/>
  <c r="Q98" i="2"/>
  <c r="O98" i="2"/>
  <c r="AN99" i="2"/>
  <c r="AH99" i="2"/>
  <c r="AF99" i="2"/>
  <c r="L99" i="2"/>
  <c r="AO99" i="2" s="1"/>
  <c r="M103" i="2"/>
  <c r="AG100" i="2"/>
  <c r="AE100" i="2"/>
  <c r="AK100" i="2" s="1"/>
  <c r="AD100" i="2"/>
  <c r="AB100" i="2"/>
  <c r="Z100" i="2"/>
  <c r="X100" i="2"/>
  <c r="V100" i="2"/>
  <c r="T100" i="2"/>
  <c r="Q100" i="2"/>
  <c r="O100" i="2"/>
  <c r="AG101" i="2"/>
  <c r="AE101" i="2"/>
  <c r="AK101" i="2" s="1"/>
  <c r="AD101" i="2"/>
  <c r="AB101" i="2"/>
  <c r="Z101" i="2"/>
  <c r="X101" i="2"/>
  <c r="V101" i="2"/>
  <c r="T101" i="2"/>
  <c r="Q101" i="2"/>
  <c r="O101" i="2"/>
  <c r="AG102" i="2"/>
  <c r="AE102" i="2"/>
  <c r="AK102" i="2" s="1"/>
  <c r="AD102" i="2"/>
  <c r="AB102" i="2"/>
  <c r="Z102" i="2"/>
  <c r="X102" i="2"/>
  <c r="V102" i="2"/>
  <c r="T102" i="2"/>
  <c r="Q102" i="2"/>
  <c r="O102" i="2"/>
  <c r="AN103" i="2"/>
  <c r="AH103" i="2"/>
  <c r="AF103" i="2"/>
  <c r="L103" i="2"/>
  <c r="AO103" i="2" s="1"/>
  <c r="M107" i="2"/>
  <c r="AG104" i="2"/>
  <c r="AE104" i="2"/>
  <c r="AK104" i="2" s="1"/>
  <c r="AD104" i="2"/>
  <c r="AB104" i="2"/>
  <c r="Z104" i="2"/>
  <c r="X104" i="2"/>
  <c r="V104" i="2"/>
  <c r="T104" i="2"/>
  <c r="Q104" i="2"/>
  <c r="O104" i="2"/>
  <c r="AG105" i="2"/>
  <c r="AE105" i="2"/>
  <c r="AK105" i="2" s="1"/>
  <c r="AD105" i="2"/>
  <c r="AB105" i="2"/>
  <c r="Z105" i="2"/>
  <c r="X105" i="2"/>
  <c r="V105" i="2"/>
  <c r="T105" i="2"/>
  <c r="Q105" i="2"/>
  <c r="O105" i="2"/>
  <c r="AG106" i="2"/>
  <c r="AE106" i="2"/>
  <c r="AK106" i="2" s="1"/>
  <c r="AD106" i="2"/>
  <c r="AB106" i="2"/>
  <c r="Z106" i="2"/>
  <c r="X106" i="2"/>
  <c r="V106" i="2"/>
  <c r="T106" i="2"/>
  <c r="Q106" i="2"/>
  <c r="O106" i="2"/>
  <c r="AN107" i="2"/>
  <c r="AH107" i="2"/>
  <c r="AF107" i="2"/>
  <c r="L107" i="2"/>
  <c r="AO107" i="2" s="1"/>
  <c r="M111" i="2"/>
  <c r="AG108" i="2"/>
  <c r="AE108" i="2"/>
  <c r="AK108" i="2" s="1"/>
  <c r="AD108" i="2"/>
  <c r="AB108" i="2"/>
  <c r="Z108" i="2"/>
  <c r="X108" i="2"/>
  <c r="V108" i="2"/>
  <c r="T108" i="2"/>
  <c r="Q108" i="2"/>
  <c r="O108" i="2"/>
  <c r="AG109" i="2"/>
  <c r="AE109" i="2"/>
  <c r="AK109" i="2" s="1"/>
  <c r="AD109" i="2"/>
  <c r="AB109" i="2"/>
  <c r="Z109" i="2"/>
  <c r="X109" i="2"/>
  <c r="V109" i="2"/>
  <c r="T109" i="2"/>
  <c r="Q109" i="2"/>
  <c r="O109" i="2"/>
  <c r="AG110" i="2"/>
  <c r="AE110" i="2"/>
  <c r="AK110" i="2" s="1"/>
  <c r="AD110" i="2"/>
  <c r="AB110" i="2"/>
  <c r="Z110" i="2"/>
  <c r="X110" i="2"/>
  <c r="V110" i="2"/>
  <c r="T110" i="2"/>
  <c r="Q110" i="2"/>
  <c r="O110" i="2"/>
  <c r="AN111" i="2"/>
  <c r="AH111" i="2"/>
  <c r="AF111" i="2"/>
  <c r="L111" i="2"/>
  <c r="AO111" i="2" s="1"/>
  <c r="M115" i="2"/>
  <c r="AG112" i="2"/>
  <c r="AE112" i="2"/>
  <c r="AK112" i="2" s="1"/>
  <c r="AD112" i="2"/>
  <c r="AB112" i="2"/>
  <c r="Z112" i="2"/>
  <c r="X112" i="2"/>
  <c r="V112" i="2"/>
  <c r="T112" i="2"/>
  <c r="Q112" i="2"/>
  <c r="O112" i="2"/>
  <c r="AG113" i="2"/>
  <c r="AE113" i="2"/>
  <c r="AK113" i="2" s="1"/>
  <c r="AD113" i="2"/>
  <c r="AB113" i="2"/>
  <c r="Z113" i="2"/>
  <c r="X113" i="2"/>
  <c r="V113" i="2"/>
  <c r="T113" i="2"/>
  <c r="Q113" i="2"/>
  <c r="O113" i="2"/>
  <c r="AG114" i="2"/>
  <c r="AE114" i="2"/>
  <c r="AK114" i="2" s="1"/>
  <c r="AD114" i="2"/>
  <c r="AB114" i="2"/>
  <c r="Z114" i="2"/>
  <c r="X114" i="2"/>
  <c r="V114" i="2"/>
  <c r="T114" i="2"/>
  <c r="Q114" i="2"/>
  <c r="O114" i="2"/>
  <c r="AN115" i="2"/>
  <c r="AH115" i="2"/>
  <c r="AF115" i="2"/>
  <c r="L115" i="2"/>
  <c r="AO115" i="2" s="1"/>
  <c r="M23" i="1"/>
  <c r="AG20" i="1"/>
  <c r="AE20" i="1"/>
  <c r="AK20" i="1" s="1"/>
  <c r="AD20" i="1"/>
  <c r="AB20" i="1"/>
  <c r="Z20" i="1"/>
  <c r="X20" i="1"/>
  <c r="V20" i="1"/>
  <c r="T20" i="1"/>
  <c r="Q20" i="1"/>
  <c r="O20" i="1"/>
  <c r="AT24" i="1"/>
  <c r="AT25" i="1" s="1"/>
  <c r="AT26" i="1" s="1"/>
  <c r="AU23" i="1"/>
  <c r="AG21" i="1"/>
  <c r="AE21" i="1"/>
  <c r="AK21" i="1" s="1"/>
  <c r="AD21" i="1"/>
  <c r="AB21" i="1"/>
  <c r="Z21" i="1"/>
  <c r="X21" i="1"/>
  <c r="V21" i="1"/>
  <c r="T21" i="1"/>
  <c r="Q21" i="1"/>
  <c r="O21" i="1"/>
  <c r="AG22" i="1"/>
  <c r="AE22" i="1"/>
  <c r="AK22" i="1" s="1"/>
  <c r="AD22" i="1"/>
  <c r="AB22" i="1"/>
  <c r="Z22" i="1"/>
  <c r="X22" i="1"/>
  <c r="V22" i="1"/>
  <c r="T22" i="1"/>
  <c r="Q22" i="1"/>
  <c r="O22" i="1"/>
  <c r="AO23" i="1"/>
  <c r="AN23" i="1"/>
  <c r="AH23" i="1"/>
  <c r="AF23" i="1"/>
  <c r="L23" i="1"/>
  <c r="M27" i="1"/>
  <c r="AG24" i="1"/>
  <c r="AE24" i="1"/>
  <c r="AK24" i="1" s="1"/>
  <c r="AD24" i="1"/>
  <c r="AB24" i="1"/>
  <c r="Z24" i="1"/>
  <c r="X24" i="1"/>
  <c r="V24" i="1"/>
  <c r="T24" i="1"/>
  <c r="Q24" i="1"/>
  <c r="O24" i="1"/>
  <c r="AG25" i="1"/>
  <c r="AE25" i="1"/>
  <c r="AK25" i="1" s="1"/>
  <c r="AD25" i="1"/>
  <c r="AB25" i="1"/>
  <c r="Z25" i="1"/>
  <c r="X25" i="1"/>
  <c r="V25" i="1"/>
  <c r="T25" i="1"/>
  <c r="Q25" i="1"/>
  <c r="O25" i="1"/>
  <c r="AG26" i="1"/>
  <c r="AE26" i="1"/>
  <c r="AK26" i="1" s="1"/>
  <c r="AD26" i="1"/>
  <c r="AB26" i="1"/>
  <c r="Z26" i="1"/>
  <c r="X26" i="1"/>
  <c r="V26" i="1"/>
  <c r="T26" i="1"/>
  <c r="Q26" i="1"/>
  <c r="O26" i="1"/>
  <c r="AO27" i="1"/>
  <c r="AN27" i="1"/>
  <c r="AH27" i="1"/>
  <c r="AF27" i="1"/>
  <c r="L27" i="1"/>
  <c r="M31" i="1"/>
  <c r="AG28" i="1"/>
  <c r="AE28" i="1"/>
  <c r="AK28" i="1" s="1"/>
  <c r="AD28" i="1"/>
  <c r="AB28" i="1"/>
  <c r="Z28" i="1"/>
  <c r="X28" i="1"/>
  <c r="V28" i="1"/>
  <c r="T28" i="1"/>
  <c r="Q28" i="1"/>
  <c r="O28" i="1"/>
  <c r="AG29" i="1"/>
  <c r="AE29" i="1"/>
  <c r="AK29" i="1" s="1"/>
  <c r="AD29" i="1"/>
  <c r="AB29" i="1"/>
  <c r="Z29" i="1"/>
  <c r="X29" i="1"/>
  <c r="V29" i="1"/>
  <c r="T29" i="1"/>
  <c r="Q29" i="1"/>
  <c r="O29" i="1"/>
  <c r="AG30" i="1"/>
  <c r="AE30" i="1"/>
  <c r="AK30" i="1" s="1"/>
  <c r="AD30" i="1"/>
  <c r="AB30" i="1"/>
  <c r="Z30" i="1"/>
  <c r="X30" i="1"/>
  <c r="V30" i="1"/>
  <c r="T30" i="1"/>
  <c r="Q30" i="1"/>
  <c r="O30" i="1"/>
  <c r="AN31" i="1"/>
  <c r="AH31" i="1"/>
  <c r="AF31" i="1"/>
  <c r="L31" i="1"/>
  <c r="AO31" i="1" s="1"/>
  <c r="M35" i="1"/>
  <c r="AG32" i="1"/>
  <c r="AE32" i="1"/>
  <c r="AK32" i="1" s="1"/>
  <c r="AD32" i="1"/>
  <c r="AB32" i="1"/>
  <c r="Z32" i="1"/>
  <c r="X32" i="1"/>
  <c r="V32" i="1"/>
  <c r="T32" i="1"/>
  <c r="Q32" i="1"/>
  <c r="O32" i="1"/>
  <c r="AG33" i="1"/>
  <c r="AE33" i="1"/>
  <c r="AK33" i="1" s="1"/>
  <c r="AD33" i="1"/>
  <c r="AB33" i="1"/>
  <c r="Z33" i="1"/>
  <c r="X33" i="1"/>
  <c r="V33" i="1"/>
  <c r="T33" i="1"/>
  <c r="Q33" i="1"/>
  <c r="O33" i="1"/>
  <c r="AG34" i="1"/>
  <c r="AE34" i="1"/>
  <c r="AK34" i="1" s="1"/>
  <c r="AD34" i="1"/>
  <c r="AB34" i="1"/>
  <c r="Z34" i="1"/>
  <c r="X34" i="1"/>
  <c r="V34" i="1"/>
  <c r="T34" i="1"/>
  <c r="Q34" i="1"/>
  <c r="O34" i="1"/>
  <c r="AN35" i="1"/>
  <c r="AH35" i="1"/>
  <c r="AF35" i="1"/>
  <c r="L35" i="1"/>
  <c r="AO35" i="1" s="1"/>
  <c r="M39" i="1"/>
  <c r="AG36" i="1"/>
  <c r="AE36" i="1"/>
  <c r="AK36" i="1" s="1"/>
  <c r="AD36" i="1"/>
  <c r="AB36" i="1"/>
  <c r="Z36" i="1"/>
  <c r="X36" i="1"/>
  <c r="V36" i="1"/>
  <c r="T36" i="1"/>
  <c r="Q36" i="1"/>
  <c r="O36" i="1"/>
  <c r="AG37" i="1"/>
  <c r="AE37" i="1"/>
  <c r="AK37" i="1" s="1"/>
  <c r="AD37" i="1"/>
  <c r="AB37" i="1"/>
  <c r="Z37" i="1"/>
  <c r="X37" i="1"/>
  <c r="V37" i="1"/>
  <c r="T37" i="1"/>
  <c r="Q37" i="1"/>
  <c r="O37" i="1"/>
  <c r="AG38" i="1"/>
  <c r="AE38" i="1"/>
  <c r="AK38" i="1" s="1"/>
  <c r="AD38" i="1"/>
  <c r="AB38" i="1"/>
  <c r="Z38" i="1"/>
  <c r="X38" i="1"/>
  <c r="V38" i="1"/>
  <c r="T38" i="1"/>
  <c r="Q38" i="1"/>
  <c r="O38" i="1"/>
  <c r="AN39" i="1"/>
  <c r="AH39" i="1"/>
  <c r="AF39" i="1"/>
  <c r="L39" i="1"/>
  <c r="AO39" i="1" s="1"/>
  <c r="M43" i="1"/>
  <c r="AG40" i="1"/>
  <c r="AE40" i="1"/>
  <c r="AK40" i="1" s="1"/>
  <c r="AD40" i="1"/>
  <c r="AB40" i="1"/>
  <c r="Z40" i="1"/>
  <c r="X40" i="1"/>
  <c r="V40" i="1"/>
  <c r="T40" i="1"/>
  <c r="Q40" i="1"/>
  <c r="O40" i="1"/>
  <c r="AG41" i="1"/>
  <c r="AE41" i="1"/>
  <c r="AK41" i="1" s="1"/>
  <c r="AD41" i="1"/>
  <c r="AB41" i="1"/>
  <c r="Z41" i="1"/>
  <c r="X41" i="1"/>
  <c r="V41" i="1"/>
  <c r="T41" i="1"/>
  <c r="Q41" i="1"/>
  <c r="O41" i="1"/>
  <c r="AG42" i="1"/>
  <c r="AE42" i="1"/>
  <c r="AK42" i="1" s="1"/>
  <c r="AD42" i="1"/>
  <c r="AB42" i="1"/>
  <c r="Z42" i="1"/>
  <c r="X42" i="1"/>
  <c r="V42" i="1"/>
  <c r="T42" i="1"/>
  <c r="Q42" i="1"/>
  <c r="O42" i="1"/>
  <c r="AN43" i="1"/>
  <c r="AH43" i="1"/>
  <c r="AF43" i="1"/>
  <c r="L43" i="1"/>
  <c r="AO43" i="1" s="1"/>
  <c r="M47" i="1"/>
  <c r="AG44" i="1"/>
  <c r="AE44" i="1"/>
  <c r="AK44" i="1" s="1"/>
  <c r="AD44" i="1"/>
  <c r="AB44" i="1"/>
  <c r="Z44" i="1"/>
  <c r="X44" i="1"/>
  <c r="V44" i="1"/>
  <c r="T44" i="1"/>
  <c r="Q44" i="1"/>
  <c r="O44" i="1"/>
  <c r="AG45" i="1"/>
  <c r="AE45" i="1"/>
  <c r="AK45" i="1" s="1"/>
  <c r="AD45" i="1"/>
  <c r="AB45" i="1"/>
  <c r="Z45" i="1"/>
  <c r="X45" i="1"/>
  <c r="V45" i="1"/>
  <c r="T45" i="1"/>
  <c r="Q45" i="1"/>
  <c r="O45" i="1"/>
  <c r="AG46" i="1"/>
  <c r="AE46" i="1"/>
  <c r="AK46" i="1" s="1"/>
  <c r="AD46" i="1"/>
  <c r="AB46" i="1"/>
  <c r="Z46" i="1"/>
  <c r="X46" i="1"/>
  <c r="V46" i="1"/>
  <c r="T46" i="1"/>
  <c r="Q46" i="1"/>
  <c r="O46" i="1"/>
  <c r="AN47" i="1"/>
  <c r="AH47" i="1"/>
  <c r="AF47" i="1"/>
  <c r="L47" i="1"/>
  <c r="AO47" i="1" s="1"/>
  <c r="M51" i="1"/>
  <c r="AG48" i="1"/>
  <c r="AE48" i="1"/>
  <c r="AK48" i="1" s="1"/>
  <c r="AD48" i="1"/>
  <c r="AB48" i="1"/>
  <c r="Z48" i="1"/>
  <c r="X48" i="1"/>
  <c r="V48" i="1"/>
  <c r="T48" i="1"/>
  <c r="Q48" i="1"/>
  <c r="O48" i="1"/>
  <c r="AG49" i="1"/>
  <c r="AE49" i="1"/>
  <c r="AK49" i="1" s="1"/>
  <c r="AD49" i="1"/>
  <c r="AB49" i="1"/>
  <c r="Z49" i="1"/>
  <c r="X49" i="1"/>
  <c r="V49" i="1"/>
  <c r="T49" i="1"/>
  <c r="Q49" i="1"/>
  <c r="O49" i="1"/>
  <c r="AG50" i="1"/>
  <c r="AE50" i="1"/>
  <c r="AK50" i="1" s="1"/>
  <c r="AD50" i="1"/>
  <c r="AB50" i="1"/>
  <c r="Z50" i="1"/>
  <c r="X50" i="1"/>
  <c r="V50" i="1"/>
  <c r="T50" i="1"/>
  <c r="Q50" i="1"/>
  <c r="O50" i="1"/>
  <c r="AN51" i="1"/>
  <c r="AH51" i="1"/>
  <c r="AF51" i="1"/>
  <c r="L51" i="1"/>
  <c r="AO51" i="1" s="1"/>
  <c r="M55" i="1"/>
  <c r="AG52" i="1"/>
  <c r="AE52" i="1"/>
  <c r="AK52" i="1" s="1"/>
  <c r="AD52" i="1"/>
  <c r="AB52" i="1"/>
  <c r="Z52" i="1"/>
  <c r="X52" i="1"/>
  <c r="V52" i="1"/>
  <c r="T52" i="1"/>
  <c r="Q52" i="1"/>
  <c r="O52" i="1"/>
  <c r="AG53" i="1"/>
  <c r="AE53" i="1"/>
  <c r="AK53" i="1" s="1"/>
  <c r="AD53" i="1"/>
  <c r="AB53" i="1"/>
  <c r="Z53" i="1"/>
  <c r="X53" i="1"/>
  <c r="V53" i="1"/>
  <c r="T53" i="1"/>
  <c r="Q53" i="1"/>
  <c r="O53" i="1"/>
  <c r="AG54" i="1"/>
  <c r="AE54" i="1"/>
  <c r="AK54" i="1" s="1"/>
  <c r="AD54" i="1"/>
  <c r="AB54" i="1"/>
  <c r="Z54" i="1"/>
  <c r="X54" i="1"/>
  <c r="V54" i="1"/>
  <c r="T54" i="1"/>
  <c r="Q54" i="1"/>
  <c r="O54" i="1"/>
  <c r="AN55" i="1"/>
  <c r="AH55" i="1"/>
  <c r="AF55" i="1"/>
  <c r="L55" i="1"/>
  <c r="AO55" i="1" s="1"/>
  <c r="M59" i="1"/>
  <c r="AG56" i="1"/>
  <c r="AE56" i="1"/>
  <c r="AK56" i="1" s="1"/>
  <c r="AD56" i="1"/>
  <c r="AB56" i="1"/>
  <c r="Z56" i="1"/>
  <c r="X56" i="1"/>
  <c r="V56" i="1"/>
  <c r="T56" i="1"/>
  <c r="Q56" i="1"/>
  <c r="O56" i="1"/>
  <c r="AG57" i="1"/>
  <c r="AE57" i="1"/>
  <c r="AK57" i="1" s="1"/>
  <c r="AD57" i="1"/>
  <c r="AB57" i="1"/>
  <c r="Z57" i="1"/>
  <c r="X57" i="1"/>
  <c r="V57" i="1"/>
  <c r="T57" i="1"/>
  <c r="Q57" i="1"/>
  <c r="O57" i="1"/>
  <c r="AG58" i="1"/>
  <c r="AE58" i="1"/>
  <c r="AK58" i="1" s="1"/>
  <c r="AD58" i="1"/>
  <c r="AB58" i="1"/>
  <c r="Z58" i="1"/>
  <c r="X58" i="1"/>
  <c r="V58" i="1"/>
  <c r="T58" i="1"/>
  <c r="Q58" i="1"/>
  <c r="O58" i="1"/>
  <c r="AN59" i="1"/>
  <c r="AH59" i="1"/>
  <c r="AF59" i="1"/>
  <c r="L59" i="1"/>
  <c r="AO59" i="1" s="1"/>
  <c r="M63" i="1"/>
  <c r="AG60" i="1"/>
  <c r="AE60" i="1"/>
  <c r="AK60" i="1" s="1"/>
  <c r="AD60" i="1"/>
  <c r="AB60" i="1"/>
  <c r="Z60" i="1"/>
  <c r="X60" i="1"/>
  <c r="V60" i="1"/>
  <c r="T60" i="1"/>
  <c r="Q60" i="1"/>
  <c r="O60" i="1"/>
  <c r="AG61" i="1"/>
  <c r="AE61" i="1"/>
  <c r="AK61" i="1" s="1"/>
  <c r="AD61" i="1"/>
  <c r="AB61" i="1"/>
  <c r="Z61" i="1"/>
  <c r="X61" i="1"/>
  <c r="V61" i="1"/>
  <c r="T61" i="1"/>
  <c r="Q61" i="1"/>
  <c r="O61" i="1"/>
  <c r="AG62" i="1"/>
  <c r="AE62" i="1"/>
  <c r="AK62" i="1" s="1"/>
  <c r="AD62" i="1"/>
  <c r="AB62" i="1"/>
  <c r="Z62" i="1"/>
  <c r="X62" i="1"/>
  <c r="V62" i="1"/>
  <c r="T62" i="1"/>
  <c r="Q62" i="1"/>
  <c r="O62" i="1"/>
  <c r="AN63" i="1"/>
  <c r="AH63" i="1"/>
  <c r="AF63" i="1"/>
  <c r="L63" i="1"/>
  <c r="AO63" i="1" s="1"/>
  <c r="M67" i="1"/>
  <c r="AG64" i="1"/>
  <c r="AE64" i="1"/>
  <c r="AK64" i="1" s="1"/>
  <c r="AD64" i="1"/>
  <c r="AB64" i="1"/>
  <c r="Z64" i="1"/>
  <c r="X64" i="1"/>
  <c r="V64" i="1"/>
  <c r="T64" i="1"/>
  <c r="Q64" i="1"/>
  <c r="O64" i="1"/>
  <c r="AG65" i="1"/>
  <c r="AE65" i="1"/>
  <c r="AK65" i="1" s="1"/>
  <c r="AD65" i="1"/>
  <c r="AB65" i="1"/>
  <c r="Z65" i="1"/>
  <c r="X65" i="1"/>
  <c r="V65" i="1"/>
  <c r="T65" i="1"/>
  <c r="Q65" i="1"/>
  <c r="O65" i="1"/>
  <c r="AG66" i="1"/>
  <c r="AE66" i="1"/>
  <c r="AK66" i="1" s="1"/>
  <c r="AD66" i="1"/>
  <c r="AB66" i="1"/>
  <c r="Z66" i="1"/>
  <c r="X66" i="1"/>
  <c r="V66" i="1"/>
  <c r="T66" i="1"/>
  <c r="Q66" i="1"/>
  <c r="O66" i="1"/>
  <c r="AN67" i="1"/>
  <c r="AH67" i="1"/>
  <c r="AF67" i="1"/>
  <c r="L67" i="1"/>
  <c r="AO67" i="1" s="1"/>
  <c r="M71" i="1"/>
  <c r="AG68" i="1"/>
  <c r="AE68" i="1"/>
  <c r="AK68" i="1" s="1"/>
  <c r="AD68" i="1"/>
  <c r="AB68" i="1"/>
  <c r="Z68" i="1"/>
  <c r="X68" i="1"/>
  <c r="V68" i="1"/>
  <c r="T68" i="1"/>
  <c r="Q68" i="1"/>
  <c r="O68" i="1"/>
  <c r="AG69" i="1"/>
  <c r="AE69" i="1"/>
  <c r="AK69" i="1" s="1"/>
  <c r="AD69" i="1"/>
  <c r="AB69" i="1"/>
  <c r="Z69" i="1"/>
  <c r="X69" i="1"/>
  <c r="V69" i="1"/>
  <c r="T69" i="1"/>
  <c r="Q69" i="1"/>
  <c r="O69" i="1"/>
  <c r="AG70" i="1"/>
  <c r="AE70" i="1"/>
  <c r="AK70" i="1" s="1"/>
  <c r="AD70" i="1"/>
  <c r="AB70" i="1"/>
  <c r="Z70" i="1"/>
  <c r="X70" i="1"/>
  <c r="V70" i="1"/>
  <c r="T70" i="1"/>
  <c r="Q70" i="1"/>
  <c r="O70" i="1"/>
  <c r="AN71" i="1"/>
  <c r="AH71" i="1"/>
  <c r="AF71" i="1"/>
  <c r="L71" i="1"/>
  <c r="AO71" i="1" s="1"/>
  <c r="M75" i="1"/>
  <c r="AG72" i="1"/>
  <c r="AE72" i="1"/>
  <c r="AK72" i="1" s="1"/>
  <c r="AD72" i="1"/>
  <c r="AB72" i="1"/>
  <c r="Z72" i="1"/>
  <c r="X72" i="1"/>
  <c r="V72" i="1"/>
  <c r="T72" i="1"/>
  <c r="Q72" i="1"/>
  <c r="O72" i="1"/>
  <c r="AG73" i="1"/>
  <c r="AE73" i="1"/>
  <c r="AK73" i="1" s="1"/>
  <c r="AD73" i="1"/>
  <c r="AB73" i="1"/>
  <c r="Z73" i="1"/>
  <c r="X73" i="1"/>
  <c r="V73" i="1"/>
  <c r="T73" i="1"/>
  <c r="Q73" i="1"/>
  <c r="O73" i="1"/>
  <c r="AG74" i="1"/>
  <c r="AE74" i="1"/>
  <c r="AK74" i="1" s="1"/>
  <c r="AD74" i="1"/>
  <c r="AB74" i="1"/>
  <c r="Z74" i="1"/>
  <c r="X74" i="1"/>
  <c r="V74" i="1"/>
  <c r="T74" i="1"/>
  <c r="Q74" i="1"/>
  <c r="O74" i="1"/>
  <c r="AN75" i="1"/>
  <c r="AH75" i="1"/>
  <c r="AF75" i="1"/>
  <c r="L75" i="1"/>
  <c r="AO75" i="1" s="1"/>
  <c r="M79" i="1"/>
  <c r="AG76" i="1"/>
  <c r="AE76" i="1"/>
  <c r="AK76" i="1" s="1"/>
  <c r="AD76" i="1"/>
  <c r="AB76" i="1"/>
  <c r="Z76" i="1"/>
  <c r="X76" i="1"/>
  <c r="V76" i="1"/>
  <c r="T76" i="1"/>
  <c r="Q76" i="1"/>
  <c r="O76" i="1"/>
  <c r="AG77" i="1"/>
  <c r="AE77" i="1"/>
  <c r="AK77" i="1" s="1"/>
  <c r="AD77" i="1"/>
  <c r="AB77" i="1"/>
  <c r="Z77" i="1"/>
  <c r="X77" i="1"/>
  <c r="V77" i="1"/>
  <c r="T77" i="1"/>
  <c r="Q77" i="1"/>
  <c r="O77" i="1"/>
  <c r="AG78" i="1"/>
  <c r="AE78" i="1"/>
  <c r="AK78" i="1" s="1"/>
  <c r="AD78" i="1"/>
  <c r="AB78" i="1"/>
  <c r="Z78" i="1"/>
  <c r="X78" i="1"/>
  <c r="V78" i="1"/>
  <c r="T78" i="1"/>
  <c r="Q78" i="1"/>
  <c r="O78" i="1"/>
  <c r="AN79" i="1"/>
  <c r="AH79" i="1"/>
  <c r="AF79" i="1"/>
  <c r="L79" i="1"/>
  <c r="AO79" i="1" s="1"/>
  <c r="M83" i="1"/>
  <c r="AG80" i="1"/>
  <c r="AE80" i="1"/>
  <c r="AK80" i="1" s="1"/>
  <c r="AD80" i="1"/>
  <c r="AB80" i="1"/>
  <c r="Z80" i="1"/>
  <c r="X80" i="1"/>
  <c r="V80" i="1"/>
  <c r="T80" i="1"/>
  <c r="Q80" i="1"/>
  <c r="O80" i="1"/>
  <c r="AG81" i="1"/>
  <c r="AE81" i="1"/>
  <c r="AK81" i="1" s="1"/>
  <c r="AD81" i="1"/>
  <c r="AB81" i="1"/>
  <c r="Z81" i="1"/>
  <c r="X81" i="1"/>
  <c r="V81" i="1"/>
  <c r="T81" i="1"/>
  <c r="Q81" i="1"/>
  <c r="O81" i="1"/>
  <c r="AG82" i="1"/>
  <c r="AE82" i="1"/>
  <c r="AK82" i="1" s="1"/>
  <c r="AD82" i="1"/>
  <c r="AB82" i="1"/>
  <c r="Z82" i="1"/>
  <c r="X82" i="1"/>
  <c r="V82" i="1"/>
  <c r="T82" i="1"/>
  <c r="Q82" i="1"/>
  <c r="O82" i="1"/>
  <c r="AN83" i="1"/>
  <c r="AH83" i="1"/>
  <c r="AF83" i="1"/>
  <c r="L83" i="1"/>
  <c r="AO83" i="1" s="1"/>
  <c r="M87" i="1"/>
  <c r="AG84" i="1"/>
  <c r="AE84" i="1"/>
  <c r="AK84" i="1" s="1"/>
  <c r="AD84" i="1"/>
  <c r="AB84" i="1"/>
  <c r="Z84" i="1"/>
  <c r="X84" i="1"/>
  <c r="V84" i="1"/>
  <c r="T84" i="1"/>
  <c r="Q84" i="1"/>
  <c r="O84" i="1"/>
  <c r="AG85" i="1"/>
  <c r="AE85" i="1"/>
  <c r="AK85" i="1" s="1"/>
  <c r="AD85" i="1"/>
  <c r="AB85" i="1"/>
  <c r="Z85" i="1"/>
  <c r="X85" i="1"/>
  <c r="V85" i="1"/>
  <c r="T85" i="1"/>
  <c r="Q85" i="1"/>
  <c r="O85" i="1"/>
  <c r="AG86" i="1"/>
  <c r="AE86" i="1"/>
  <c r="AK86" i="1" s="1"/>
  <c r="AD86" i="1"/>
  <c r="AB86" i="1"/>
  <c r="Z86" i="1"/>
  <c r="X86" i="1"/>
  <c r="V86" i="1"/>
  <c r="T86" i="1"/>
  <c r="Q86" i="1"/>
  <c r="O86" i="1"/>
  <c r="AN87" i="1"/>
  <c r="AH87" i="1"/>
  <c r="AF87" i="1"/>
  <c r="L87" i="1"/>
  <c r="AO87" i="1" s="1"/>
  <c r="M91" i="1"/>
  <c r="AG88" i="1"/>
  <c r="AE88" i="1"/>
  <c r="AK88" i="1" s="1"/>
  <c r="AD88" i="1"/>
  <c r="AB88" i="1"/>
  <c r="Z88" i="1"/>
  <c r="X88" i="1"/>
  <c r="V88" i="1"/>
  <c r="T88" i="1"/>
  <c r="Q88" i="1"/>
  <c r="O88" i="1"/>
  <c r="AG89" i="1"/>
  <c r="AE89" i="1"/>
  <c r="AK89" i="1" s="1"/>
  <c r="AD89" i="1"/>
  <c r="AB89" i="1"/>
  <c r="Z89" i="1"/>
  <c r="X89" i="1"/>
  <c r="V89" i="1"/>
  <c r="T89" i="1"/>
  <c r="Q89" i="1"/>
  <c r="O89" i="1"/>
  <c r="AG90" i="1"/>
  <c r="AE90" i="1"/>
  <c r="AK90" i="1" s="1"/>
  <c r="AD90" i="1"/>
  <c r="AB90" i="1"/>
  <c r="Z90" i="1"/>
  <c r="X90" i="1"/>
  <c r="V90" i="1"/>
  <c r="T90" i="1"/>
  <c r="Q90" i="1"/>
  <c r="O90" i="1"/>
  <c r="AN91" i="1"/>
  <c r="AH91" i="1"/>
  <c r="AF91" i="1"/>
  <c r="L91" i="1"/>
  <c r="AO91" i="1" s="1"/>
  <c r="M95" i="1"/>
  <c r="AG92" i="1"/>
  <c r="AE92" i="1"/>
  <c r="AK92" i="1" s="1"/>
  <c r="AD92" i="1"/>
  <c r="AB92" i="1"/>
  <c r="Z92" i="1"/>
  <c r="X92" i="1"/>
  <c r="V92" i="1"/>
  <c r="T92" i="1"/>
  <c r="Q92" i="1"/>
  <c r="O92" i="1"/>
  <c r="AG93" i="1"/>
  <c r="AE93" i="1"/>
  <c r="AK93" i="1" s="1"/>
  <c r="AD93" i="1"/>
  <c r="AB93" i="1"/>
  <c r="Z93" i="1"/>
  <c r="X93" i="1"/>
  <c r="V93" i="1"/>
  <c r="T93" i="1"/>
  <c r="Q93" i="1"/>
  <c r="O93" i="1"/>
  <c r="AG94" i="1"/>
  <c r="AE94" i="1"/>
  <c r="AK94" i="1" s="1"/>
  <c r="AD94" i="1"/>
  <c r="AB94" i="1"/>
  <c r="Z94" i="1"/>
  <c r="X94" i="1"/>
  <c r="V94" i="1"/>
  <c r="T94" i="1"/>
  <c r="Q94" i="1"/>
  <c r="O94" i="1"/>
  <c r="AN95" i="1"/>
  <c r="AH95" i="1"/>
  <c r="AF95" i="1"/>
  <c r="L95" i="1"/>
  <c r="AO95" i="1" s="1"/>
  <c r="M99" i="1"/>
  <c r="AG96" i="1"/>
  <c r="AE96" i="1"/>
  <c r="AK96" i="1" s="1"/>
  <c r="AD96" i="1"/>
  <c r="AB96" i="1"/>
  <c r="Z96" i="1"/>
  <c r="X96" i="1"/>
  <c r="V96" i="1"/>
  <c r="T96" i="1"/>
  <c r="Q96" i="1"/>
  <c r="O96" i="1"/>
  <c r="AG97" i="1"/>
  <c r="AE97" i="1"/>
  <c r="AK97" i="1" s="1"/>
  <c r="AD97" i="1"/>
  <c r="AB97" i="1"/>
  <c r="Z97" i="1"/>
  <c r="X97" i="1"/>
  <c r="V97" i="1"/>
  <c r="T97" i="1"/>
  <c r="Q97" i="1"/>
  <c r="O97" i="1"/>
  <c r="AG98" i="1"/>
  <c r="AE98" i="1"/>
  <c r="AK98" i="1" s="1"/>
  <c r="AD98" i="1"/>
  <c r="AB98" i="1"/>
  <c r="Z98" i="1"/>
  <c r="X98" i="1"/>
  <c r="V98" i="1"/>
  <c r="T98" i="1"/>
  <c r="Q98" i="1"/>
  <c r="O98" i="1"/>
  <c r="AN99" i="1"/>
  <c r="AH99" i="1"/>
  <c r="AF99" i="1"/>
  <c r="L99" i="1"/>
  <c r="AO99" i="1" s="1"/>
  <c r="M103" i="1"/>
  <c r="AG100" i="1"/>
  <c r="AE100" i="1"/>
  <c r="AK100" i="1" s="1"/>
  <c r="AD100" i="1"/>
  <c r="AB100" i="1"/>
  <c r="Z100" i="1"/>
  <c r="X100" i="1"/>
  <c r="V100" i="1"/>
  <c r="T100" i="1"/>
  <c r="Q100" i="1"/>
  <c r="O100" i="1"/>
  <c r="AG101" i="1"/>
  <c r="AE101" i="1"/>
  <c r="AK101" i="1" s="1"/>
  <c r="AD101" i="1"/>
  <c r="AB101" i="1"/>
  <c r="Z101" i="1"/>
  <c r="X101" i="1"/>
  <c r="V101" i="1"/>
  <c r="T101" i="1"/>
  <c r="Q101" i="1"/>
  <c r="O101" i="1"/>
  <c r="AG102" i="1"/>
  <c r="AE102" i="1"/>
  <c r="AK102" i="1" s="1"/>
  <c r="AD102" i="1"/>
  <c r="AB102" i="1"/>
  <c r="Z102" i="1"/>
  <c r="X102" i="1"/>
  <c r="V102" i="1"/>
  <c r="T102" i="1"/>
  <c r="Q102" i="1"/>
  <c r="O102" i="1"/>
  <c r="AN103" i="1"/>
  <c r="AH103" i="1"/>
  <c r="AF103" i="1"/>
  <c r="L103" i="1"/>
  <c r="AO103" i="1" s="1"/>
  <c r="M107" i="1"/>
  <c r="AG104" i="1"/>
  <c r="AE104" i="1"/>
  <c r="AK104" i="1" s="1"/>
  <c r="AD104" i="1"/>
  <c r="AB104" i="1"/>
  <c r="Z104" i="1"/>
  <c r="X104" i="1"/>
  <c r="V104" i="1"/>
  <c r="T104" i="1"/>
  <c r="Q104" i="1"/>
  <c r="O104" i="1"/>
  <c r="AG105" i="1"/>
  <c r="AE105" i="1"/>
  <c r="AK105" i="1" s="1"/>
  <c r="AD105" i="1"/>
  <c r="AB105" i="1"/>
  <c r="Z105" i="1"/>
  <c r="X105" i="1"/>
  <c r="V105" i="1"/>
  <c r="T105" i="1"/>
  <c r="Q105" i="1"/>
  <c r="O105" i="1"/>
  <c r="AG106" i="1"/>
  <c r="AE106" i="1"/>
  <c r="AK106" i="1" s="1"/>
  <c r="AD106" i="1"/>
  <c r="AB106" i="1"/>
  <c r="Z106" i="1"/>
  <c r="X106" i="1"/>
  <c r="V106" i="1"/>
  <c r="T106" i="1"/>
  <c r="Q106" i="1"/>
  <c r="O106" i="1"/>
  <c r="AN107" i="1"/>
  <c r="AH107" i="1"/>
  <c r="AF107" i="1"/>
  <c r="L107" i="1"/>
  <c r="AO107" i="1" s="1"/>
  <c r="M111" i="1"/>
  <c r="AG108" i="1"/>
  <c r="AE108" i="1"/>
  <c r="AK108" i="1" s="1"/>
  <c r="AD108" i="1"/>
  <c r="AB108" i="1"/>
  <c r="Z108" i="1"/>
  <c r="X108" i="1"/>
  <c r="V108" i="1"/>
  <c r="T108" i="1"/>
  <c r="Q108" i="1"/>
  <c r="O108" i="1"/>
  <c r="AG109" i="1"/>
  <c r="AE109" i="1"/>
  <c r="AK109" i="1" s="1"/>
  <c r="AD109" i="1"/>
  <c r="AB109" i="1"/>
  <c r="Z109" i="1"/>
  <c r="X109" i="1"/>
  <c r="V109" i="1"/>
  <c r="T109" i="1"/>
  <c r="Q109" i="1"/>
  <c r="O109" i="1"/>
  <c r="AG110" i="1"/>
  <c r="AE110" i="1"/>
  <c r="AK110" i="1" s="1"/>
  <c r="AD110" i="1"/>
  <c r="AB110" i="1"/>
  <c r="Z110" i="1"/>
  <c r="X110" i="1"/>
  <c r="V110" i="1"/>
  <c r="T110" i="1"/>
  <c r="Q110" i="1"/>
  <c r="O110" i="1"/>
  <c r="AN111" i="1"/>
  <c r="AH111" i="1"/>
  <c r="AF111" i="1"/>
  <c r="L111" i="1"/>
  <c r="AO111" i="1" s="1"/>
  <c r="M115" i="1"/>
  <c r="AG112" i="1"/>
  <c r="AE112" i="1"/>
  <c r="AK112" i="1" s="1"/>
  <c r="AD112" i="1"/>
  <c r="AB112" i="1"/>
  <c r="Z112" i="1"/>
  <c r="X112" i="1"/>
  <c r="V112" i="1"/>
  <c r="T112" i="1"/>
  <c r="Q112" i="1"/>
  <c r="O112" i="1"/>
  <c r="AG113" i="1"/>
  <c r="AE113" i="1"/>
  <c r="AK113" i="1" s="1"/>
  <c r="AD113" i="1"/>
  <c r="AB113" i="1"/>
  <c r="Z113" i="1"/>
  <c r="X113" i="1"/>
  <c r="V113" i="1"/>
  <c r="T113" i="1"/>
  <c r="Q113" i="1"/>
  <c r="O113" i="1"/>
  <c r="AG114" i="1"/>
  <c r="AE114" i="1"/>
  <c r="AK114" i="1" s="1"/>
  <c r="AD114" i="1"/>
  <c r="AB114" i="1"/>
  <c r="Z114" i="1"/>
  <c r="X114" i="1"/>
  <c r="V114" i="1"/>
  <c r="T114" i="1"/>
  <c r="Q114" i="1"/>
  <c r="O114" i="1"/>
  <c r="AN115" i="1"/>
  <c r="AH115" i="1"/>
  <c r="AF115" i="1"/>
  <c r="L115" i="1"/>
  <c r="AO115" i="1" s="1"/>
  <c r="M119" i="1"/>
  <c r="AG116" i="1"/>
  <c r="AE116" i="1"/>
  <c r="AK116" i="1" s="1"/>
  <c r="AD116" i="1"/>
  <c r="AB116" i="1"/>
  <c r="Z116" i="1"/>
  <c r="X116" i="1"/>
  <c r="V116" i="1"/>
  <c r="T116" i="1"/>
  <c r="Q116" i="1"/>
  <c r="O116" i="1"/>
  <c r="AG117" i="1"/>
  <c r="AE117" i="1"/>
  <c r="AK117" i="1" s="1"/>
  <c r="AD117" i="1"/>
  <c r="AB117" i="1"/>
  <c r="Z117" i="1"/>
  <c r="X117" i="1"/>
  <c r="V117" i="1"/>
  <c r="T117" i="1"/>
  <c r="Q117" i="1"/>
  <c r="O117" i="1"/>
  <c r="AG118" i="1"/>
  <c r="AE118" i="1"/>
  <c r="AK118" i="1" s="1"/>
  <c r="AD118" i="1"/>
  <c r="AB118" i="1"/>
  <c r="Z118" i="1"/>
  <c r="X118" i="1"/>
  <c r="V118" i="1"/>
  <c r="T118" i="1"/>
  <c r="Q118" i="1"/>
  <c r="O118" i="1"/>
  <c r="AN119" i="1"/>
  <c r="AH119" i="1"/>
  <c r="AF119" i="1"/>
  <c r="L119" i="1"/>
  <c r="AO119" i="1" s="1"/>
  <c r="M123" i="1"/>
  <c r="AG120" i="1"/>
  <c r="AE120" i="1"/>
  <c r="AK120" i="1" s="1"/>
  <c r="AD120" i="1"/>
  <c r="AB120" i="1"/>
  <c r="Z120" i="1"/>
  <c r="X120" i="1"/>
  <c r="V120" i="1"/>
  <c r="T120" i="1"/>
  <c r="Q120" i="1"/>
  <c r="O120" i="1"/>
  <c r="AG121" i="1"/>
  <c r="AE121" i="1"/>
  <c r="AK121" i="1" s="1"/>
  <c r="AD121" i="1"/>
  <c r="AB121" i="1"/>
  <c r="Z121" i="1"/>
  <c r="X121" i="1"/>
  <c r="V121" i="1"/>
  <c r="T121" i="1"/>
  <c r="Q121" i="1"/>
  <c r="O121" i="1"/>
  <c r="AG122" i="1"/>
  <c r="AE122" i="1"/>
  <c r="AK122" i="1" s="1"/>
  <c r="AD122" i="1"/>
  <c r="AB122" i="1"/>
  <c r="Z122" i="1"/>
  <c r="X122" i="1"/>
  <c r="V122" i="1"/>
  <c r="T122" i="1"/>
  <c r="Q122" i="1"/>
  <c r="O122" i="1"/>
  <c r="AN123" i="1"/>
  <c r="AH123" i="1"/>
  <c r="AF123" i="1"/>
  <c r="L123" i="1"/>
  <c r="AO123" i="1" s="1"/>
  <c r="M127" i="1"/>
  <c r="AG124" i="1"/>
  <c r="AE124" i="1"/>
  <c r="AK124" i="1" s="1"/>
  <c r="AD124" i="1"/>
  <c r="AB124" i="1"/>
  <c r="Z124" i="1"/>
  <c r="X124" i="1"/>
  <c r="V124" i="1"/>
  <c r="T124" i="1"/>
  <c r="Q124" i="1"/>
  <c r="O124" i="1"/>
  <c r="AG125" i="1"/>
  <c r="AE125" i="1"/>
  <c r="AK125" i="1" s="1"/>
  <c r="AD125" i="1"/>
  <c r="AB125" i="1"/>
  <c r="Z125" i="1"/>
  <c r="X125" i="1"/>
  <c r="V125" i="1"/>
  <c r="T125" i="1"/>
  <c r="Q125" i="1"/>
  <c r="O125" i="1"/>
  <c r="AG126" i="1"/>
  <c r="AE126" i="1"/>
  <c r="AK126" i="1" s="1"/>
  <c r="AD126" i="1"/>
  <c r="AB126" i="1"/>
  <c r="Z126" i="1"/>
  <c r="X126" i="1"/>
  <c r="V126" i="1"/>
  <c r="T126" i="1"/>
  <c r="Q126" i="1"/>
  <c r="O126" i="1"/>
  <c r="AN127" i="1"/>
  <c r="AH127" i="1"/>
  <c r="AF127" i="1"/>
  <c r="L127" i="1"/>
  <c r="AO127" i="1" s="1"/>
  <c r="AT3" i="1"/>
  <c r="O119" i="3" l="1"/>
  <c r="Q119" i="3"/>
  <c r="T119" i="3"/>
  <c r="V119" i="3"/>
  <c r="X119" i="3"/>
  <c r="Z119" i="3"/>
  <c r="AB119" i="3"/>
  <c r="AD119" i="3"/>
  <c r="AJ119" i="3" s="1"/>
  <c r="AG119" i="3"/>
  <c r="AE119" i="3"/>
  <c r="AK119" i="3" s="1"/>
  <c r="AC119" i="3"/>
  <c r="AA119" i="3"/>
  <c r="Y119" i="3"/>
  <c r="W119" i="3"/>
  <c r="U119" i="3"/>
  <c r="R119" i="3"/>
  <c r="P119" i="3"/>
  <c r="N119" i="3"/>
  <c r="O115" i="3"/>
  <c r="Q115" i="3"/>
  <c r="T115" i="3"/>
  <c r="V115" i="3"/>
  <c r="X115" i="3"/>
  <c r="Z115" i="3"/>
  <c r="AB115" i="3"/>
  <c r="AD115" i="3"/>
  <c r="AJ115" i="3" s="1"/>
  <c r="AG115" i="3"/>
  <c r="AE115" i="3"/>
  <c r="AK115" i="3" s="1"/>
  <c r="AC115" i="3"/>
  <c r="AA115" i="3"/>
  <c r="Y115" i="3"/>
  <c r="W115" i="3"/>
  <c r="U115" i="3"/>
  <c r="R115" i="3"/>
  <c r="P115" i="3"/>
  <c r="N115" i="3"/>
  <c r="O111" i="3"/>
  <c r="Q111" i="3"/>
  <c r="T111" i="3"/>
  <c r="V111" i="3"/>
  <c r="X111" i="3"/>
  <c r="Z111" i="3"/>
  <c r="AB111" i="3"/>
  <c r="AD111" i="3"/>
  <c r="AJ111" i="3" s="1"/>
  <c r="AG111" i="3"/>
  <c r="AE111" i="3"/>
  <c r="AK111" i="3" s="1"/>
  <c r="AC111" i="3"/>
  <c r="AA111" i="3"/>
  <c r="Y111" i="3"/>
  <c r="W111" i="3"/>
  <c r="U111" i="3"/>
  <c r="R111" i="3"/>
  <c r="P111" i="3"/>
  <c r="N111" i="3"/>
  <c r="O107" i="3"/>
  <c r="Q107" i="3"/>
  <c r="T107" i="3"/>
  <c r="V107" i="3"/>
  <c r="X107" i="3"/>
  <c r="Z107" i="3"/>
  <c r="AB107" i="3"/>
  <c r="AD107" i="3"/>
  <c r="AJ107" i="3" s="1"/>
  <c r="AG107" i="3"/>
  <c r="AE107" i="3"/>
  <c r="AK107" i="3" s="1"/>
  <c r="AC107" i="3"/>
  <c r="AA107" i="3"/>
  <c r="Y107" i="3"/>
  <c r="W107" i="3"/>
  <c r="U107" i="3"/>
  <c r="R107" i="3"/>
  <c r="P107" i="3"/>
  <c r="N107" i="3"/>
  <c r="O103" i="3"/>
  <c r="Q103" i="3"/>
  <c r="T103" i="3"/>
  <c r="V103" i="3"/>
  <c r="X103" i="3"/>
  <c r="Z103" i="3"/>
  <c r="AB103" i="3"/>
  <c r="AD103" i="3"/>
  <c r="AJ103" i="3" s="1"/>
  <c r="AG103" i="3"/>
  <c r="AE103" i="3"/>
  <c r="AK103" i="3" s="1"/>
  <c r="AC103" i="3"/>
  <c r="AA103" i="3"/>
  <c r="Y103" i="3"/>
  <c r="W103" i="3"/>
  <c r="U103" i="3"/>
  <c r="R103" i="3"/>
  <c r="P103" i="3"/>
  <c r="N103" i="3"/>
  <c r="O99" i="3"/>
  <c r="Q99" i="3"/>
  <c r="T99" i="3"/>
  <c r="V99" i="3"/>
  <c r="X99" i="3"/>
  <c r="Z99" i="3"/>
  <c r="AB99" i="3"/>
  <c r="AD99" i="3"/>
  <c r="AJ99" i="3" s="1"/>
  <c r="AG99" i="3"/>
  <c r="AE99" i="3"/>
  <c r="AK99" i="3" s="1"/>
  <c r="AC99" i="3"/>
  <c r="AA99" i="3"/>
  <c r="Y99" i="3"/>
  <c r="W99" i="3"/>
  <c r="U99" i="3"/>
  <c r="R99" i="3"/>
  <c r="P99" i="3"/>
  <c r="N99" i="3"/>
  <c r="O95" i="3"/>
  <c r="Q95" i="3"/>
  <c r="T95" i="3"/>
  <c r="V95" i="3"/>
  <c r="X95" i="3"/>
  <c r="Z95" i="3"/>
  <c r="AB95" i="3"/>
  <c r="AD95" i="3"/>
  <c r="AJ95" i="3" s="1"/>
  <c r="AG95" i="3"/>
  <c r="AE95" i="3"/>
  <c r="AK95" i="3" s="1"/>
  <c r="AC95" i="3"/>
  <c r="AA95" i="3"/>
  <c r="Y95" i="3"/>
  <c r="W95" i="3"/>
  <c r="U95" i="3"/>
  <c r="R95" i="3"/>
  <c r="P95" i="3"/>
  <c r="N95" i="3"/>
  <c r="O91" i="3"/>
  <c r="Q91" i="3"/>
  <c r="T91" i="3"/>
  <c r="V91" i="3"/>
  <c r="X91" i="3"/>
  <c r="Z91" i="3"/>
  <c r="AB91" i="3"/>
  <c r="AD91" i="3"/>
  <c r="AJ91" i="3" s="1"/>
  <c r="AG91" i="3"/>
  <c r="AE91" i="3"/>
  <c r="AK91" i="3" s="1"/>
  <c r="AC91" i="3"/>
  <c r="AA91" i="3"/>
  <c r="Y91" i="3"/>
  <c r="W91" i="3"/>
  <c r="U91" i="3"/>
  <c r="R91" i="3"/>
  <c r="P91" i="3"/>
  <c r="N91" i="3"/>
  <c r="O87" i="3"/>
  <c r="Q87" i="3"/>
  <c r="T87" i="3"/>
  <c r="V87" i="3"/>
  <c r="X87" i="3"/>
  <c r="Z87" i="3"/>
  <c r="AB87" i="3"/>
  <c r="AD87" i="3"/>
  <c r="AJ87" i="3" s="1"/>
  <c r="AG87" i="3"/>
  <c r="AE87" i="3"/>
  <c r="AK87" i="3" s="1"/>
  <c r="AC87" i="3"/>
  <c r="AA87" i="3"/>
  <c r="Y87" i="3"/>
  <c r="W87" i="3"/>
  <c r="U87" i="3"/>
  <c r="R87" i="3"/>
  <c r="P87" i="3"/>
  <c r="N87" i="3"/>
  <c r="O83" i="3"/>
  <c r="Q83" i="3"/>
  <c r="T83" i="3"/>
  <c r="V83" i="3"/>
  <c r="X83" i="3"/>
  <c r="Z83" i="3"/>
  <c r="AB83" i="3"/>
  <c r="AD83" i="3"/>
  <c r="AJ83" i="3" s="1"/>
  <c r="AG83" i="3"/>
  <c r="AE83" i="3"/>
  <c r="AK83" i="3" s="1"/>
  <c r="AC83" i="3"/>
  <c r="AA83" i="3"/>
  <c r="Y83" i="3"/>
  <c r="W83" i="3"/>
  <c r="U83" i="3"/>
  <c r="R83" i="3"/>
  <c r="P83" i="3"/>
  <c r="N83" i="3"/>
  <c r="O79" i="3"/>
  <c r="Q79" i="3"/>
  <c r="T79" i="3"/>
  <c r="V79" i="3"/>
  <c r="X79" i="3"/>
  <c r="Z79" i="3"/>
  <c r="AB79" i="3"/>
  <c r="AD79" i="3"/>
  <c r="AJ79" i="3" s="1"/>
  <c r="AG79" i="3"/>
  <c r="AE79" i="3"/>
  <c r="AK79" i="3" s="1"/>
  <c r="AC79" i="3"/>
  <c r="AA79" i="3"/>
  <c r="Y79" i="3"/>
  <c r="W79" i="3"/>
  <c r="U79" i="3"/>
  <c r="R79" i="3"/>
  <c r="P79" i="3"/>
  <c r="N79" i="3"/>
  <c r="O75" i="3"/>
  <c r="Q75" i="3"/>
  <c r="T75" i="3"/>
  <c r="V75" i="3"/>
  <c r="X75" i="3"/>
  <c r="Z75" i="3"/>
  <c r="AB75" i="3"/>
  <c r="AD75" i="3"/>
  <c r="AJ75" i="3" s="1"/>
  <c r="AG75" i="3"/>
  <c r="AE75" i="3"/>
  <c r="AK75" i="3" s="1"/>
  <c r="AC75" i="3"/>
  <c r="AA75" i="3"/>
  <c r="Y75" i="3"/>
  <c r="W75" i="3"/>
  <c r="U75" i="3"/>
  <c r="R75" i="3"/>
  <c r="P75" i="3"/>
  <c r="N75" i="3"/>
  <c r="O71" i="3"/>
  <c r="Q71" i="3"/>
  <c r="T71" i="3"/>
  <c r="V71" i="3"/>
  <c r="X71" i="3"/>
  <c r="Z71" i="3"/>
  <c r="AB71" i="3"/>
  <c r="AD71" i="3"/>
  <c r="AJ71" i="3" s="1"/>
  <c r="AG71" i="3"/>
  <c r="AE71" i="3"/>
  <c r="AK71" i="3" s="1"/>
  <c r="AC71" i="3"/>
  <c r="AA71" i="3"/>
  <c r="Y71" i="3"/>
  <c r="W71" i="3"/>
  <c r="U71" i="3"/>
  <c r="R71" i="3"/>
  <c r="P71" i="3"/>
  <c r="N71" i="3"/>
  <c r="O67" i="3"/>
  <c r="Q67" i="3"/>
  <c r="T67" i="3"/>
  <c r="V67" i="3"/>
  <c r="X67" i="3"/>
  <c r="Z67" i="3"/>
  <c r="AB67" i="3"/>
  <c r="AD67" i="3"/>
  <c r="AJ67" i="3" s="1"/>
  <c r="AG67" i="3"/>
  <c r="AE67" i="3"/>
  <c r="AK67" i="3" s="1"/>
  <c r="AC67" i="3"/>
  <c r="AA67" i="3"/>
  <c r="Y67" i="3"/>
  <c r="W67" i="3"/>
  <c r="U67" i="3"/>
  <c r="R67" i="3"/>
  <c r="P67" i="3"/>
  <c r="N67" i="3"/>
  <c r="O63" i="3"/>
  <c r="Q63" i="3"/>
  <c r="T63" i="3"/>
  <c r="V63" i="3"/>
  <c r="X63" i="3"/>
  <c r="Z63" i="3"/>
  <c r="AB63" i="3"/>
  <c r="AD63" i="3"/>
  <c r="AJ63" i="3" s="1"/>
  <c r="AG63" i="3"/>
  <c r="AE63" i="3"/>
  <c r="AK63" i="3" s="1"/>
  <c r="AC63" i="3"/>
  <c r="AA63" i="3"/>
  <c r="Y63" i="3"/>
  <c r="W63" i="3"/>
  <c r="U63" i="3"/>
  <c r="R63" i="3"/>
  <c r="P63" i="3"/>
  <c r="N63" i="3"/>
  <c r="O59" i="3"/>
  <c r="Q59" i="3"/>
  <c r="T59" i="3"/>
  <c r="V59" i="3"/>
  <c r="X59" i="3"/>
  <c r="Z59" i="3"/>
  <c r="AB59" i="3"/>
  <c r="AD59" i="3"/>
  <c r="AJ59" i="3" s="1"/>
  <c r="AG59" i="3"/>
  <c r="AE59" i="3"/>
  <c r="AK59" i="3" s="1"/>
  <c r="AC59" i="3"/>
  <c r="AA59" i="3"/>
  <c r="Y59" i="3"/>
  <c r="W59" i="3"/>
  <c r="U59" i="3"/>
  <c r="R59" i="3"/>
  <c r="P59" i="3"/>
  <c r="N59" i="3"/>
  <c r="O55" i="3"/>
  <c r="Q55" i="3"/>
  <c r="T55" i="3"/>
  <c r="V55" i="3"/>
  <c r="X55" i="3"/>
  <c r="Z55" i="3"/>
  <c r="AB55" i="3"/>
  <c r="AD55" i="3"/>
  <c r="AJ55" i="3" s="1"/>
  <c r="AG55" i="3"/>
  <c r="AE55" i="3"/>
  <c r="AK55" i="3" s="1"/>
  <c r="AC55" i="3"/>
  <c r="AA55" i="3"/>
  <c r="Y55" i="3"/>
  <c r="W55" i="3"/>
  <c r="U55" i="3"/>
  <c r="R55" i="3"/>
  <c r="P55" i="3"/>
  <c r="N55" i="3"/>
  <c r="O51" i="3"/>
  <c r="Q51" i="3"/>
  <c r="T51" i="3"/>
  <c r="V51" i="3"/>
  <c r="X51" i="3"/>
  <c r="Z51" i="3"/>
  <c r="AB51" i="3"/>
  <c r="AD51" i="3"/>
  <c r="AJ51" i="3" s="1"/>
  <c r="AG51" i="3"/>
  <c r="AE51" i="3"/>
  <c r="AK51" i="3" s="1"/>
  <c r="AC51" i="3"/>
  <c r="AA51" i="3"/>
  <c r="Y51" i="3"/>
  <c r="W51" i="3"/>
  <c r="U51" i="3"/>
  <c r="R51" i="3"/>
  <c r="P51" i="3"/>
  <c r="N51" i="3"/>
  <c r="O47" i="3"/>
  <c r="Q47" i="3"/>
  <c r="T47" i="3"/>
  <c r="V47" i="3"/>
  <c r="X47" i="3"/>
  <c r="Z47" i="3"/>
  <c r="AB47" i="3"/>
  <c r="AD47" i="3"/>
  <c r="AJ47" i="3" s="1"/>
  <c r="AG47" i="3"/>
  <c r="AE47" i="3"/>
  <c r="AK47" i="3" s="1"/>
  <c r="AC47" i="3"/>
  <c r="AA47" i="3"/>
  <c r="Y47" i="3"/>
  <c r="W47" i="3"/>
  <c r="U47" i="3"/>
  <c r="R47" i="3"/>
  <c r="P47" i="3"/>
  <c r="N47" i="3"/>
  <c r="O43" i="3"/>
  <c r="Q43" i="3"/>
  <c r="T43" i="3"/>
  <c r="V43" i="3"/>
  <c r="X43" i="3"/>
  <c r="Z43" i="3"/>
  <c r="AB43" i="3"/>
  <c r="AD43" i="3"/>
  <c r="AJ43" i="3" s="1"/>
  <c r="AG43" i="3"/>
  <c r="AE43" i="3"/>
  <c r="AK43" i="3" s="1"/>
  <c r="AC43" i="3"/>
  <c r="AA43" i="3"/>
  <c r="Y43" i="3"/>
  <c r="W43" i="3"/>
  <c r="U43" i="3"/>
  <c r="R43" i="3"/>
  <c r="P43" i="3"/>
  <c r="N43" i="3"/>
  <c r="O39" i="3"/>
  <c r="Q39" i="3"/>
  <c r="T39" i="3"/>
  <c r="V39" i="3"/>
  <c r="X39" i="3"/>
  <c r="Z39" i="3"/>
  <c r="AB39" i="3"/>
  <c r="AD39" i="3"/>
  <c r="AJ39" i="3" s="1"/>
  <c r="AG39" i="3"/>
  <c r="AE39" i="3"/>
  <c r="AK39" i="3" s="1"/>
  <c r="AC39" i="3"/>
  <c r="AA39" i="3"/>
  <c r="Y39" i="3"/>
  <c r="W39" i="3"/>
  <c r="U39" i="3"/>
  <c r="R39" i="3"/>
  <c r="P39" i="3"/>
  <c r="N39" i="3"/>
  <c r="O35" i="3"/>
  <c r="Q35" i="3"/>
  <c r="T35" i="3"/>
  <c r="V35" i="3"/>
  <c r="X35" i="3"/>
  <c r="Z35" i="3"/>
  <c r="AB35" i="3"/>
  <c r="AD35" i="3"/>
  <c r="AJ35" i="3" s="1"/>
  <c r="AG35" i="3"/>
  <c r="AE35" i="3"/>
  <c r="AK35" i="3" s="1"/>
  <c r="AC35" i="3"/>
  <c r="AA35" i="3"/>
  <c r="Y35" i="3"/>
  <c r="W35" i="3"/>
  <c r="U35" i="3"/>
  <c r="R35" i="3"/>
  <c r="P35" i="3"/>
  <c r="N35" i="3"/>
  <c r="O31" i="3"/>
  <c r="Q31" i="3"/>
  <c r="T31" i="3"/>
  <c r="V31" i="3"/>
  <c r="X31" i="3"/>
  <c r="Z31" i="3"/>
  <c r="AB31" i="3"/>
  <c r="AD31" i="3"/>
  <c r="AJ31" i="3" s="1"/>
  <c r="AG31" i="3"/>
  <c r="AE31" i="3"/>
  <c r="AK31" i="3" s="1"/>
  <c r="AC31" i="3"/>
  <c r="AA31" i="3"/>
  <c r="Y31" i="3"/>
  <c r="W31" i="3"/>
  <c r="U31" i="3"/>
  <c r="R31" i="3"/>
  <c r="P31" i="3"/>
  <c r="N31" i="3"/>
  <c r="O27" i="3"/>
  <c r="Q27" i="3"/>
  <c r="T27" i="3"/>
  <c r="V27" i="3"/>
  <c r="X27" i="3"/>
  <c r="Z27" i="3"/>
  <c r="AB27" i="3"/>
  <c r="AD27" i="3"/>
  <c r="AJ27" i="3" s="1"/>
  <c r="AG27" i="3"/>
  <c r="AE27" i="3"/>
  <c r="AK27" i="3" s="1"/>
  <c r="AC27" i="3"/>
  <c r="AA27" i="3"/>
  <c r="Y27" i="3"/>
  <c r="W27" i="3"/>
  <c r="U27" i="3"/>
  <c r="R27" i="3"/>
  <c r="P27" i="3"/>
  <c r="N27" i="3"/>
  <c r="O23" i="3"/>
  <c r="Q23" i="3"/>
  <c r="T23" i="3"/>
  <c r="V23" i="3"/>
  <c r="X23" i="3"/>
  <c r="Z23" i="3"/>
  <c r="AB23" i="3"/>
  <c r="AD23" i="3"/>
  <c r="AJ23" i="3" s="1"/>
  <c r="AG23" i="3"/>
  <c r="AE23" i="3"/>
  <c r="AK23" i="3" s="1"/>
  <c r="AC23" i="3"/>
  <c r="AA23" i="3"/>
  <c r="Y23" i="3"/>
  <c r="W23" i="3"/>
  <c r="U23" i="3"/>
  <c r="R23" i="3"/>
  <c r="P23" i="3"/>
  <c r="N23" i="3"/>
  <c r="O19" i="3"/>
  <c r="Q19" i="3"/>
  <c r="T19" i="3"/>
  <c r="V19" i="3"/>
  <c r="X19" i="3"/>
  <c r="Z19" i="3"/>
  <c r="AB19" i="3"/>
  <c r="AD19" i="3"/>
  <c r="AJ19" i="3" s="1"/>
  <c r="AG19" i="3"/>
  <c r="AE19" i="3"/>
  <c r="AK19" i="3" s="1"/>
  <c r="AC19" i="3"/>
  <c r="AA19" i="3"/>
  <c r="Y19" i="3"/>
  <c r="W19" i="3"/>
  <c r="U19" i="3"/>
  <c r="R19" i="3"/>
  <c r="P19" i="3"/>
  <c r="N19" i="3"/>
  <c r="O15" i="3"/>
  <c r="Q15" i="3"/>
  <c r="T15" i="3"/>
  <c r="V15" i="3"/>
  <c r="X15" i="3"/>
  <c r="Z15" i="3"/>
  <c r="AB15" i="3"/>
  <c r="AD15" i="3"/>
  <c r="AJ15" i="3" s="1"/>
  <c r="AG15" i="3"/>
  <c r="AE15" i="3"/>
  <c r="AK15" i="3" s="1"/>
  <c r="AC15" i="3"/>
  <c r="AA15" i="3"/>
  <c r="Y15" i="3"/>
  <c r="W15" i="3"/>
  <c r="U15" i="3"/>
  <c r="R15" i="3"/>
  <c r="P15" i="3"/>
  <c r="N15" i="3"/>
  <c r="O11" i="3"/>
  <c r="Q11" i="3"/>
  <c r="T11" i="3"/>
  <c r="V11" i="3"/>
  <c r="X11" i="3"/>
  <c r="Z11" i="3"/>
  <c r="AB11" i="3"/>
  <c r="AD11" i="3"/>
  <c r="AJ11" i="3" s="1"/>
  <c r="AG11" i="3"/>
  <c r="AE11" i="3"/>
  <c r="AK11" i="3" s="1"/>
  <c r="AC11" i="3"/>
  <c r="AA11" i="3"/>
  <c r="Y11" i="3"/>
  <c r="W11" i="3"/>
  <c r="U11" i="3"/>
  <c r="R11" i="3"/>
  <c r="P11" i="3"/>
  <c r="N11" i="3"/>
  <c r="AT12" i="3"/>
  <c r="AT13" i="3" s="1"/>
  <c r="AT14" i="3" s="1"/>
  <c r="AU11" i="3"/>
  <c r="O7" i="3"/>
  <c r="Q7" i="3"/>
  <c r="T7" i="3"/>
  <c r="V7" i="3"/>
  <c r="X7" i="3"/>
  <c r="Z7" i="3"/>
  <c r="AB7" i="3"/>
  <c r="AD7" i="3"/>
  <c r="AJ7" i="3" s="1"/>
  <c r="AG7" i="3"/>
  <c r="AE7" i="3"/>
  <c r="AK7" i="3" s="1"/>
  <c r="AC7" i="3"/>
  <c r="AA7" i="3"/>
  <c r="Y7" i="3"/>
  <c r="W7" i="3"/>
  <c r="U7" i="3"/>
  <c r="R7" i="3"/>
  <c r="P7" i="3"/>
  <c r="N7" i="3"/>
  <c r="O115" i="2"/>
  <c r="Q115" i="2"/>
  <c r="T115" i="2"/>
  <c r="V115" i="2"/>
  <c r="X115" i="2"/>
  <c r="Z115" i="2"/>
  <c r="AB115" i="2"/>
  <c r="AD115" i="2"/>
  <c r="AJ115" i="2" s="1"/>
  <c r="AG115" i="2"/>
  <c r="AE115" i="2"/>
  <c r="AK115" i="2" s="1"/>
  <c r="AC115" i="2"/>
  <c r="AA115" i="2"/>
  <c r="Y115" i="2"/>
  <c r="W115" i="2"/>
  <c r="U115" i="2"/>
  <c r="R115" i="2"/>
  <c r="P115" i="2"/>
  <c r="N115" i="2"/>
  <c r="O111" i="2"/>
  <c r="Q111" i="2"/>
  <c r="T111" i="2"/>
  <c r="V111" i="2"/>
  <c r="X111" i="2"/>
  <c r="Z111" i="2"/>
  <c r="AB111" i="2"/>
  <c r="AD111" i="2"/>
  <c r="AJ111" i="2" s="1"/>
  <c r="AG111" i="2"/>
  <c r="AE111" i="2"/>
  <c r="AK111" i="2" s="1"/>
  <c r="AC111" i="2"/>
  <c r="AA111" i="2"/>
  <c r="Y111" i="2"/>
  <c r="W111" i="2"/>
  <c r="U111" i="2"/>
  <c r="R111" i="2"/>
  <c r="P111" i="2"/>
  <c r="N111" i="2"/>
  <c r="O107" i="2"/>
  <c r="Q107" i="2"/>
  <c r="T107" i="2"/>
  <c r="V107" i="2"/>
  <c r="X107" i="2"/>
  <c r="Z107" i="2"/>
  <c r="AB107" i="2"/>
  <c r="AD107" i="2"/>
  <c r="AJ107" i="2" s="1"/>
  <c r="AG107" i="2"/>
  <c r="AE107" i="2"/>
  <c r="AK107" i="2" s="1"/>
  <c r="AC107" i="2"/>
  <c r="AA107" i="2"/>
  <c r="Y107" i="2"/>
  <c r="W107" i="2"/>
  <c r="U107" i="2"/>
  <c r="R107" i="2"/>
  <c r="P107" i="2"/>
  <c r="N107" i="2"/>
  <c r="O103" i="2"/>
  <c r="Q103" i="2"/>
  <c r="T103" i="2"/>
  <c r="V103" i="2"/>
  <c r="X103" i="2"/>
  <c r="Z103" i="2"/>
  <c r="AB103" i="2"/>
  <c r="AD103" i="2"/>
  <c r="AJ103" i="2" s="1"/>
  <c r="AG103" i="2"/>
  <c r="AE103" i="2"/>
  <c r="AK103" i="2" s="1"/>
  <c r="AC103" i="2"/>
  <c r="AA103" i="2"/>
  <c r="Y103" i="2"/>
  <c r="W103" i="2"/>
  <c r="U103" i="2"/>
  <c r="R103" i="2"/>
  <c r="P103" i="2"/>
  <c r="N103" i="2"/>
  <c r="O99" i="2"/>
  <c r="Q99" i="2"/>
  <c r="T99" i="2"/>
  <c r="V99" i="2"/>
  <c r="X99" i="2"/>
  <c r="Z99" i="2"/>
  <c r="AB99" i="2"/>
  <c r="AD99" i="2"/>
  <c r="AJ99" i="2" s="1"/>
  <c r="AG99" i="2"/>
  <c r="AE99" i="2"/>
  <c r="AK99" i="2" s="1"/>
  <c r="AC99" i="2"/>
  <c r="AA99" i="2"/>
  <c r="Y99" i="2"/>
  <c r="W99" i="2"/>
  <c r="U99" i="2"/>
  <c r="R99" i="2"/>
  <c r="P99" i="2"/>
  <c r="N99" i="2"/>
  <c r="O95" i="2"/>
  <c r="Q95" i="2"/>
  <c r="T95" i="2"/>
  <c r="V95" i="2"/>
  <c r="X95" i="2"/>
  <c r="Z95" i="2"/>
  <c r="AB95" i="2"/>
  <c r="AD95" i="2"/>
  <c r="AJ95" i="2" s="1"/>
  <c r="AG95" i="2"/>
  <c r="AE95" i="2"/>
  <c r="AK95" i="2" s="1"/>
  <c r="AC95" i="2"/>
  <c r="AA95" i="2"/>
  <c r="Y95" i="2"/>
  <c r="W95" i="2"/>
  <c r="U95" i="2"/>
  <c r="R95" i="2"/>
  <c r="P95" i="2"/>
  <c r="N95" i="2"/>
  <c r="O91" i="2"/>
  <c r="Q91" i="2"/>
  <c r="T91" i="2"/>
  <c r="V91" i="2"/>
  <c r="X91" i="2"/>
  <c r="Z91" i="2"/>
  <c r="AB91" i="2"/>
  <c r="AD91" i="2"/>
  <c r="AJ91" i="2" s="1"/>
  <c r="AG91" i="2"/>
  <c r="AE91" i="2"/>
  <c r="AK91" i="2" s="1"/>
  <c r="AC91" i="2"/>
  <c r="AA91" i="2"/>
  <c r="Y91" i="2"/>
  <c r="W91" i="2"/>
  <c r="U91" i="2"/>
  <c r="R91" i="2"/>
  <c r="P91" i="2"/>
  <c r="N91" i="2"/>
  <c r="O87" i="2"/>
  <c r="Q87" i="2"/>
  <c r="T87" i="2"/>
  <c r="V87" i="2"/>
  <c r="X87" i="2"/>
  <c r="Z87" i="2"/>
  <c r="AB87" i="2"/>
  <c r="AD87" i="2"/>
  <c r="AJ87" i="2" s="1"/>
  <c r="AG87" i="2"/>
  <c r="AE87" i="2"/>
  <c r="AK87" i="2" s="1"/>
  <c r="AC87" i="2"/>
  <c r="AA87" i="2"/>
  <c r="Y87" i="2"/>
  <c r="W87" i="2"/>
  <c r="U87" i="2"/>
  <c r="R87" i="2"/>
  <c r="P87" i="2"/>
  <c r="N87" i="2"/>
  <c r="O83" i="2"/>
  <c r="Q83" i="2"/>
  <c r="T83" i="2"/>
  <c r="V83" i="2"/>
  <c r="X83" i="2"/>
  <c r="Z83" i="2"/>
  <c r="AB83" i="2"/>
  <c r="AD83" i="2"/>
  <c r="AJ83" i="2" s="1"/>
  <c r="AG83" i="2"/>
  <c r="AE83" i="2"/>
  <c r="AK83" i="2" s="1"/>
  <c r="AC83" i="2"/>
  <c r="AA83" i="2"/>
  <c r="Y83" i="2"/>
  <c r="W83" i="2"/>
  <c r="U83" i="2"/>
  <c r="R83" i="2"/>
  <c r="P83" i="2"/>
  <c r="N83" i="2"/>
  <c r="O79" i="2"/>
  <c r="Q79" i="2"/>
  <c r="T79" i="2"/>
  <c r="V79" i="2"/>
  <c r="X79" i="2"/>
  <c r="Z79" i="2"/>
  <c r="AB79" i="2"/>
  <c r="AD79" i="2"/>
  <c r="AJ79" i="2" s="1"/>
  <c r="AG79" i="2"/>
  <c r="AE79" i="2"/>
  <c r="AK79" i="2" s="1"/>
  <c r="AC79" i="2"/>
  <c r="AA79" i="2"/>
  <c r="Y79" i="2"/>
  <c r="W79" i="2"/>
  <c r="U79" i="2"/>
  <c r="R79" i="2"/>
  <c r="P79" i="2"/>
  <c r="N79" i="2"/>
  <c r="O75" i="2"/>
  <c r="Q75" i="2"/>
  <c r="T75" i="2"/>
  <c r="V75" i="2"/>
  <c r="X75" i="2"/>
  <c r="Z75" i="2"/>
  <c r="AB75" i="2"/>
  <c r="AD75" i="2"/>
  <c r="AJ75" i="2" s="1"/>
  <c r="AG75" i="2"/>
  <c r="AE75" i="2"/>
  <c r="AK75" i="2" s="1"/>
  <c r="AC75" i="2"/>
  <c r="AA75" i="2"/>
  <c r="Y75" i="2"/>
  <c r="W75" i="2"/>
  <c r="U75" i="2"/>
  <c r="R75" i="2"/>
  <c r="P75" i="2"/>
  <c r="N75" i="2"/>
  <c r="O71" i="2"/>
  <c r="Q71" i="2"/>
  <c r="T71" i="2"/>
  <c r="V71" i="2"/>
  <c r="X71" i="2"/>
  <c r="Z71" i="2"/>
  <c r="AB71" i="2"/>
  <c r="AD71" i="2"/>
  <c r="AJ71" i="2" s="1"/>
  <c r="AG71" i="2"/>
  <c r="AE71" i="2"/>
  <c r="AK71" i="2" s="1"/>
  <c r="AC71" i="2"/>
  <c r="AA71" i="2"/>
  <c r="Y71" i="2"/>
  <c r="W71" i="2"/>
  <c r="U71" i="2"/>
  <c r="R71" i="2"/>
  <c r="P71" i="2"/>
  <c r="N71" i="2"/>
  <c r="O67" i="2"/>
  <c r="Q67" i="2"/>
  <c r="T67" i="2"/>
  <c r="V67" i="2"/>
  <c r="X67" i="2"/>
  <c r="Z67" i="2"/>
  <c r="AB67" i="2"/>
  <c r="AD67" i="2"/>
  <c r="AJ67" i="2" s="1"/>
  <c r="AG67" i="2"/>
  <c r="AE67" i="2"/>
  <c r="AK67" i="2" s="1"/>
  <c r="AC67" i="2"/>
  <c r="AA67" i="2"/>
  <c r="Y67" i="2"/>
  <c r="W67" i="2"/>
  <c r="U67" i="2"/>
  <c r="R67" i="2"/>
  <c r="P67" i="2"/>
  <c r="N67" i="2"/>
  <c r="O63" i="2"/>
  <c r="Q63" i="2"/>
  <c r="T63" i="2"/>
  <c r="V63" i="2"/>
  <c r="X63" i="2"/>
  <c r="Z63" i="2"/>
  <c r="AB63" i="2"/>
  <c r="AD63" i="2"/>
  <c r="AJ63" i="2" s="1"/>
  <c r="AG63" i="2"/>
  <c r="AE63" i="2"/>
  <c r="AK63" i="2" s="1"/>
  <c r="AC63" i="2"/>
  <c r="AA63" i="2"/>
  <c r="Y63" i="2"/>
  <c r="W63" i="2"/>
  <c r="U63" i="2"/>
  <c r="R63" i="2"/>
  <c r="P63" i="2"/>
  <c r="N63" i="2"/>
  <c r="O59" i="2"/>
  <c r="Q59" i="2"/>
  <c r="T59" i="2"/>
  <c r="V59" i="2"/>
  <c r="X59" i="2"/>
  <c r="Z59" i="2"/>
  <c r="AB59" i="2"/>
  <c r="AD59" i="2"/>
  <c r="AJ59" i="2" s="1"/>
  <c r="AG59" i="2"/>
  <c r="AE59" i="2"/>
  <c r="AK59" i="2" s="1"/>
  <c r="AC59" i="2"/>
  <c r="AA59" i="2"/>
  <c r="Y59" i="2"/>
  <c r="W59" i="2"/>
  <c r="U59" i="2"/>
  <c r="R59" i="2"/>
  <c r="P59" i="2"/>
  <c r="N59" i="2"/>
  <c r="O55" i="2"/>
  <c r="Q55" i="2"/>
  <c r="T55" i="2"/>
  <c r="V55" i="2"/>
  <c r="X55" i="2"/>
  <c r="Z55" i="2"/>
  <c r="AB55" i="2"/>
  <c r="AD55" i="2"/>
  <c r="AJ55" i="2" s="1"/>
  <c r="AG55" i="2"/>
  <c r="AE55" i="2"/>
  <c r="AK55" i="2" s="1"/>
  <c r="AC55" i="2"/>
  <c r="AA55" i="2"/>
  <c r="Y55" i="2"/>
  <c r="W55" i="2"/>
  <c r="U55" i="2"/>
  <c r="R55" i="2"/>
  <c r="P55" i="2"/>
  <c r="N55" i="2"/>
  <c r="O51" i="2"/>
  <c r="Q51" i="2"/>
  <c r="T51" i="2"/>
  <c r="V51" i="2"/>
  <c r="X51" i="2"/>
  <c r="Z51" i="2"/>
  <c r="AB51" i="2"/>
  <c r="AD51" i="2"/>
  <c r="AJ51" i="2" s="1"/>
  <c r="AG51" i="2"/>
  <c r="AE51" i="2"/>
  <c r="AK51" i="2" s="1"/>
  <c r="AC51" i="2"/>
  <c r="AA51" i="2"/>
  <c r="Y51" i="2"/>
  <c r="W51" i="2"/>
  <c r="U51" i="2"/>
  <c r="R51" i="2"/>
  <c r="P51" i="2"/>
  <c r="N51" i="2"/>
  <c r="O47" i="2"/>
  <c r="Q47" i="2"/>
  <c r="T47" i="2"/>
  <c r="V47" i="2"/>
  <c r="X47" i="2"/>
  <c r="Z47" i="2"/>
  <c r="AB47" i="2"/>
  <c r="AD47" i="2"/>
  <c r="AJ47" i="2" s="1"/>
  <c r="AG47" i="2"/>
  <c r="AE47" i="2"/>
  <c r="AK47" i="2" s="1"/>
  <c r="AC47" i="2"/>
  <c r="AA47" i="2"/>
  <c r="Y47" i="2"/>
  <c r="W47" i="2"/>
  <c r="U47" i="2"/>
  <c r="R47" i="2"/>
  <c r="P47" i="2"/>
  <c r="N47" i="2"/>
  <c r="O43" i="2"/>
  <c r="Q43" i="2"/>
  <c r="T43" i="2"/>
  <c r="V43" i="2"/>
  <c r="X43" i="2"/>
  <c r="Z43" i="2"/>
  <c r="AB43" i="2"/>
  <c r="AD43" i="2"/>
  <c r="AJ43" i="2" s="1"/>
  <c r="AG43" i="2"/>
  <c r="AE43" i="2"/>
  <c r="AK43" i="2" s="1"/>
  <c r="AC43" i="2"/>
  <c r="AA43" i="2"/>
  <c r="Y43" i="2"/>
  <c r="W43" i="2"/>
  <c r="U43" i="2"/>
  <c r="R43" i="2"/>
  <c r="P43" i="2"/>
  <c r="N43" i="2"/>
  <c r="O39" i="2"/>
  <c r="Q39" i="2"/>
  <c r="T39" i="2"/>
  <c r="V39" i="2"/>
  <c r="X39" i="2"/>
  <c r="Z39" i="2"/>
  <c r="AB39" i="2"/>
  <c r="AD39" i="2"/>
  <c r="AJ39" i="2" s="1"/>
  <c r="AG39" i="2"/>
  <c r="AE39" i="2"/>
  <c r="AK39" i="2" s="1"/>
  <c r="AC39" i="2"/>
  <c r="AA39" i="2"/>
  <c r="Y39" i="2"/>
  <c r="W39" i="2"/>
  <c r="U39" i="2"/>
  <c r="R39" i="2"/>
  <c r="P39" i="2"/>
  <c r="N39" i="2"/>
  <c r="O35" i="2"/>
  <c r="Q35" i="2"/>
  <c r="T35" i="2"/>
  <c r="V35" i="2"/>
  <c r="X35" i="2"/>
  <c r="Z35" i="2"/>
  <c r="AB35" i="2"/>
  <c r="AD35" i="2"/>
  <c r="AJ35" i="2" s="1"/>
  <c r="AG35" i="2"/>
  <c r="AE35" i="2"/>
  <c r="AK35" i="2" s="1"/>
  <c r="AC35" i="2"/>
  <c r="AA35" i="2"/>
  <c r="Y35" i="2"/>
  <c r="W35" i="2"/>
  <c r="U35" i="2"/>
  <c r="R35" i="2"/>
  <c r="P35" i="2"/>
  <c r="N35" i="2"/>
  <c r="O31" i="2"/>
  <c r="Q31" i="2"/>
  <c r="T31" i="2"/>
  <c r="V31" i="2"/>
  <c r="X31" i="2"/>
  <c r="Z31" i="2"/>
  <c r="AB31" i="2"/>
  <c r="AD31" i="2"/>
  <c r="AJ31" i="2" s="1"/>
  <c r="AG31" i="2"/>
  <c r="AE31" i="2"/>
  <c r="AK31" i="2" s="1"/>
  <c r="AC31" i="2"/>
  <c r="AA31" i="2"/>
  <c r="Y31" i="2"/>
  <c r="W31" i="2"/>
  <c r="U31" i="2"/>
  <c r="R31" i="2"/>
  <c r="P31" i="2"/>
  <c r="N31" i="2"/>
  <c r="O27" i="2"/>
  <c r="Q27" i="2"/>
  <c r="T27" i="2"/>
  <c r="V27" i="2"/>
  <c r="X27" i="2"/>
  <c r="Z27" i="2"/>
  <c r="AB27" i="2"/>
  <c r="AD27" i="2"/>
  <c r="AJ27" i="2" s="1"/>
  <c r="AG27" i="2"/>
  <c r="AE27" i="2"/>
  <c r="AK27" i="2" s="1"/>
  <c r="AC27" i="2"/>
  <c r="AA27" i="2"/>
  <c r="Y27" i="2"/>
  <c r="W27" i="2"/>
  <c r="U27" i="2"/>
  <c r="R27" i="2"/>
  <c r="P27" i="2"/>
  <c r="N27" i="2"/>
  <c r="O23" i="2"/>
  <c r="Q23" i="2"/>
  <c r="T23" i="2"/>
  <c r="V23" i="2"/>
  <c r="X23" i="2"/>
  <c r="Z23" i="2"/>
  <c r="AB23" i="2"/>
  <c r="AD23" i="2"/>
  <c r="AJ23" i="2" s="1"/>
  <c r="AG23" i="2"/>
  <c r="AE23" i="2"/>
  <c r="AK23" i="2" s="1"/>
  <c r="AC23" i="2"/>
  <c r="AA23" i="2"/>
  <c r="Y23" i="2"/>
  <c r="W23" i="2"/>
  <c r="U23" i="2"/>
  <c r="R23" i="2"/>
  <c r="P23" i="2"/>
  <c r="N23" i="2"/>
  <c r="O19" i="2"/>
  <c r="Q19" i="2"/>
  <c r="T19" i="2"/>
  <c r="V19" i="2"/>
  <c r="X19" i="2"/>
  <c r="Z19" i="2"/>
  <c r="AB19" i="2"/>
  <c r="AD19" i="2"/>
  <c r="AJ19" i="2" s="1"/>
  <c r="AG19" i="2"/>
  <c r="AE19" i="2"/>
  <c r="AK19" i="2" s="1"/>
  <c r="AC19" i="2"/>
  <c r="AA19" i="2"/>
  <c r="Y19" i="2"/>
  <c r="W19" i="2"/>
  <c r="U19" i="2"/>
  <c r="R19" i="2"/>
  <c r="P19" i="2"/>
  <c r="N19" i="2"/>
  <c r="O15" i="2"/>
  <c r="Q15" i="2"/>
  <c r="T15" i="2"/>
  <c r="V15" i="2"/>
  <c r="X15" i="2"/>
  <c r="Z15" i="2"/>
  <c r="AB15" i="2"/>
  <c r="AD15" i="2"/>
  <c r="AJ15" i="2" s="1"/>
  <c r="AG15" i="2"/>
  <c r="AE15" i="2"/>
  <c r="AK15" i="2" s="1"/>
  <c r="AC15" i="2"/>
  <c r="AA15" i="2"/>
  <c r="Y15" i="2"/>
  <c r="W15" i="2"/>
  <c r="U15" i="2"/>
  <c r="R15" i="2"/>
  <c r="P15" i="2"/>
  <c r="N15" i="2"/>
  <c r="O11" i="2"/>
  <c r="Q11" i="2"/>
  <c r="T11" i="2"/>
  <c r="V11" i="2"/>
  <c r="X11" i="2"/>
  <c r="Z11" i="2"/>
  <c r="AB11" i="2"/>
  <c r="AD11" i="2"/>
  <c r="AJ11" i="2" s="1"/>
  <c r="AG11" i="2"/>
  <c r="AE11" i="2"/>
  <c r="AK11" i="2" s="1"/>
  <c r="AC11" i="2"/>
  <c r="AA11" i="2"/>
  <c r="Y11" i="2"/>
  <c r="W11" i="2"/>
  <c r="U11" i="2"/>
  <c r="R11" i="2"/>
  <c r="P11" i="2"/>
  <c r="N11" i="2"/>
  <c r="AT12" i="2"/>
  <c r="AT13" i="2" s="1"/>
  <c r="AT14" i="2" s="1"/>
  <c r="AU11" i="2"/>
  <c r="O7" i="2"/>
  <c r="Q7" i="2"/>
  <c r="T7" i="2"/>
  <c r="V7" i="2"/>
  <c r="X7" i="2"/>
  <c r="Z7" i="2"/>
  <c r="AB7" i="2"/>
  <c r="AD7" i="2"/>
  <c r="AJ7" i="2" s="1"/>
  <c r="AG7" i="2"/>
  <c r="AE7" i="2"/>
  <c r="AK7" i="2" s="1"/>
  <c r="AC7" i="2"/>
  <c r="AA7" i="2"/>
  <c r="Y7" i="2"/>
  <c r="W7" i="2"/>
  <c r="U7" i="2"/>
  <c r="R7" i="2"/>
  <c r="P7" i="2"/>
  <c r="N7" i="2"/>
  <c r="O127" i="1"/>
  <c r="Q127" i="1"/>
  <c r="T127" i="1"/>
  <c r="V127" i="1"/>
  <c r="X127" i="1"/>
  <c r="Z127" i="1"/>
  <c r="AB127" i="1"/>
  <c r="AD127" i="1"/>
  <c r="AJ127" i="1" s="1"/>
  <c r="AG127" i="1"/>
  <c r="AE127" i="1"/>
  <c r="AK127" i="1" s="1"/>
  <c r="AC127" i="1"/>
  <c r="AA127" i="1"/>
  <c r="Y127" i="1"/>
  <c r="W127" i="1"/>
  <c r="U127" i="1"/>
  <c r="R127" i="1"/>
  <c r="P127" i="1"/>
  <c r="N127" i="1"/>
  <c r="O123" i="1"/>
  <c r="Q123" i="1"/>
  <c r="T123" i="1"/>
  <c r="V123" i="1"/>
  <c r="X123" i="1"/>
  <c r="Z123" i="1"/>
  <c r="AB123" i="1"/>
  <c r="AD123" i="1"/>
  <c r="AJ123" i="1" s="1"/>
  <c r="AG123" i="1"/>
  <c r="AE123" i="1"/>
  <c r="AK123" i="1" s="1"/>
  <c r="AC123" i="1"/>
  <c r="AA123" i="1"/>
  <c r="Y123" i="1"/>
  <c r="W123" i="1"/>
  <c r="U123" i="1"/>
  <c r="R123" i="1"/>
  <c r="P123" i="1"/>
  <c r="N123" i="1"/>
  <c r="O119" i="1"/>
  <c r="Q119" i="1"/>
  <c r="T119" i="1"/>
  <c r="V119" i="1"/>
  <c r="X119" i="1"/>
  <c r="Z119" i="1"/>
  <c r="AB119" i="1"/>
  <c r="AD119" i="1"/>
  <c r="AJ119" i="1" s="1"/>
  <c r="AG119" i="1"/>
  <c r="AE119" i="1"/>
  <c r="AK119" i="1" s="1"/>
  <c r="AC119" i="1"/>
  <c r="AA119" i="1"/>
  <c r="Y119" i="1"/>
  <c r="W119" i="1"/>
  <c r="U119" i="1"/>
  <c r="R119" i="1"/>
  <c r="P119" i="1"/>
  <c r="N119" i="1"/>
  <c r="O115" i="1"/>
  <c r="Q115" i="1"/>
  <c r="T115" i="1"/>
  <c r="V115" i="1"/>
  <c r="X115" i="1"/>
  <c r="Z115" i="1"/>
  <c r="AB115" i="1"/>
  <c r="AD115" i="1"/>
  <c r="AJ115" i="1" s="1"/>
  <c r="AG115" i="1"/>
  <c r="AE115" i="1"/>
  <c r="AK115" i="1" s="1"/>
  <c r="AC115" i="1"/>
  <c r="AA115" i="1"/>
  <c r="Y115" i="1"/>
  <c r="W115" i="1"/>
  <c r="U115" i="1"/>
  <c r="R115" i="1"/>
  <c r="P115" i="1"/>
  <c r="N115" i="1"/>
  <c r="O111" i="1"/>
  <c r="Q111" i="1"/>
  <c r="T111" i="1"/>
  <c r="V111" i="1"/>
  <c r="X111" i="1"/>
  <c r="Z111" i="1"/>
  <c r="AB111" i="1"/>
  <c r="AD111" i="1"/>
  <c r="AJ111" i="1" s="1"/>
  <c r="AG111" i="1"/>
  <c r="AE111" i="1"/>
  <c r="AK111" i="1" s="1"/>
  <c r="AC111" i="1"/>
  <c r="AA111" i="1"/>
  <c r="Y111" i="1"/>
  <c r="W111" i="1"/>
  <c r="U111" i="1"/>
  <c r="R111" i="1"/>
  <c r="P111" i="1"/>
  <c r="N111" i="1"/>
  <c r="O107" i="1"/>
  <c r="Q107" i="1"/>
  <c r="T107" i="1"/>
  <c r="V107" i="1"/>
  <c r="X107" i="1"/>
  <c r="Z107" i="1"/>
  <c r="AB107" i="1"/>
  <c r="AD107" i="1"/>
  <c r="AJ107" i="1" s="1"/>
  <c r="AG107" i="1"/>
  <c r="AE107" i="1"/>
  <c r="AK107" i="1" s="1"/>
  <c r="AC107" i="1"/>
  <c r="AA107" i="1"/>
  <c r="Y107" i="1"/>
  <c r="W107" i="1"/>
  <c r="U107" i="1"/>
  <c r="R107" i="1"/>
  <c r="P107" i="1"/>
  <c r="N107" i="1"/>
  <c r="O103" i="1"/>
  <c r="Q103" i="1"/>
  <c r="T103" i="1"/>
  <c r="V103" i="1"/>
  <c r="X103" i="1"/>
  <c r="Z103" i="1"/>
  <c r="AB103" i="1"/>
  <c r="AD103" i="1"/>
  <c r="AJ103" i="1" s="1"/>
  <c r="AG103" i="1"/>
  <c r="AE103" i="1"/>
  <c r="AK103" i="1" s="1"/>
  <c r="AC103" i="1"/>
  <c r="AA103" i="1"/>
  <c r="Y103" i="1"/>
  <c r="W103" i="1"/>
  <c r="U103" i="1"/>
  <c r="R103" i="1"/>
  <c r="P103" i="1"/>
  <c r="N103" i="1"/>
  <c r="O99" i="1"/>
  <c r="Q99" i="1"/>
  <c r="T99" i="1"/>
  <c r="V99" i="1"/>
  <c r="X99" i="1"/>
  <c r="Z99" i="1"/>
  <c r="AB99" i="1"/>
  <c r="AD99" i="1"/>
  <c r="AJ99" i="1" s="1"/>
  <c r="AG99" i="1"/>
  <c r="AE99" i="1"/>
  <c r="AK99" i="1" s="1"/>
  <c r="AC99" i="1"/>
  <c r="AA99" i="1"/>
  <c r="Y99" i="1"/>
  <c r="W99" i="1"/>
  <c r="U99" i="1"/>
  <c r="R99" i="1"/>
  <c r="P99" i="1"/>
  <c r="N99" i="1"/>
  <c r="O95" i="1"/>
  <c r="Q95" i="1"/>
  <c r="T95" i="1"/>
  <c r="V95" i="1"/>
  <c r="X95" i="1"/>
  <c r="Z95" i="1"/>
  <c r="AB95" i="1"/>
  <c r="AD95" i="1"/>
  <c r="AJ95" i="1" s="1"/>
  <c r="AG95" i="1"/>
  <c r="AE95" i="1"/>
  <c r="AK95" i="1" s="1"/>
  <c r="AC95" i="1"/>
  <c r="AA95" i="1"/>
  <c r="Y95" i="1"/>
  <c r="W95" i="1"/>
  <c r="U95" i="1"/>
  <c r="R95" i="1"/>
  <c r="P95" i="1"/>
  <c r="N95" i="1"/>
  <c r="O91" i="1"/>
  <c r="Q91" i="1"/>
  <c r="T91" i="1"/>
  <c r="V91" i="1"/>
  <c r="X91" i="1"/>
  <c r="Z91" i="1"/>
  <c r="AB91" i="1"/>
  <c r="AD91" i="1"/>
  <c r="AJ91" i="1" s="1"/>
  <c r="AG91" i="1"/>
  <c r="AE91" i="1"/>
  <c r="AK91" i="1" s="1"/>
  <c r="AC91" i="1"/>
  <c r="AA91" i="1"/>
  <c r="Y91" i="1"/>
  <c r="W91" i="1"/>
  <c r="U91" i="1"/>
  <c r="R91" i="1"/>
  <c r="P91" i="1"/>
  <c r="N91" i="1"/>
  <c r="O87" i="1"/>
  <c r="Q87" i="1"/>
  <c r="T87" i="1"/>
  <c r="V87" i="1"/>
  <c r="X87" i="1"/>
  <c r="Z87" i="1"/>
  <c r="AB87" i="1"/>
  <c r="AD87" i="1"/>
  <c r="AJ87" i="1" s="1"/>
  <c r="AG87" i="1"/>
  <c r="AE87" i="1"/>
  <c r="AK87" i="1" s="1"/>
  <c r="AC87" i="1"/>
  <c r="AA87" i="1"/>
  <c r="Y87" i="1"/>
  <c r="W87" i="1"/>
  <c r="U87" i="1"/>
  <c r="R87" i="1"/>
  <c r="P87" i="1"/>
  <c r="N87" i="1"/>
  <c r="O83" i="1"/>
  <c r="Q83" i="1"/>
  <c r="T83" i="1"/>
  <c r="V83" i="1"/>
  <c r="X83" i="1"/>
  <c r="Z83" i="1"/>
  <c r="AB83" i="1"/>
  <c r="AD83" i="1"/>
  <c r="AJ83" i="1" s="1"/>
  <c r="AG83" i="1"/>
  <c r="AE83" i="1"/>
  <c r="AK83" i="1" s="1"/>
  <c r="AC83" i="1"/>
  <c r="AA83" i="1"/>
  <c r="Y83" i="1"/>
  <c r="W83" i="1"/>
  <c r="U83" i="1"/>
  <c r="R83" i="1"/>
  <c r="P83" i="1"/>
  <c r="N83" i="1"/>
  <c r="O79" i="1"/>
  <c r="Q79" i="1"/>
  <c r="T79" i="1"/>
  <c r="V79" i="1"/>
  <c r="X79" i="1"/>
  <c r="Z79" i="1"/>
  <c r="AB79" i="1"/>
  <c r="AD79" i="1"/>
  <c r="AJ79" i="1" s="1"/>
  <c r="AG79" i="1"/>
  <c r="AE79" i="1"/>
  <c r="AK79" i="1" s="1"/>
  <c r="AC79" i="1"/>
  <c r="AA79" i="1"/>
  <c r="Y79" i="1"/>
  <c r="W79" i="1"/>
  <c r="U79" i="1"/>
  <c r="R79" i="1"/>
  <c r="P79" i="1"/>
  <c r="N79" i="1"/>
  <c r="O75" i="1"/>
  <c r="Q75" i="1"/>
  <c r="T75" i="1"/>
  <c r="V75" i="1"/>
  <c r="X75" i="1"/>
  <c r="Z75" i="1"/>
  <c r="AB75" i="1"/>
  <c r="AD75" i="1"/>
  <c r="AJ75" i="1" s="1"/>
  <c r="AG75" i="1"/>
  <c r="AE75" i="1"/>
  <c r="AK75" i="1" s="1"/>
  <c r="AC75" i="1"/>
  <c r="AA75" i="1"/>
  <c r="Y75" i="1"/>
  <c r="W75" i="1"/>
  <c r="U75" i="1"/>
  <c r="R75" i="1"/>
  <c r="P75" i="1"/>
  <c r="N75" i="1"/>
  <c r="O71" i="1"/>
  <c r="Q71" i="1"/>
  <c r="T71" i="1"/>
  <c r="V71" i="1"/>
  <c r="X71" i="1"/>
  <c r="Z71" i="1"/>
  <c r="AB71" i="1"/>
  <c r="AD71" i="1"/>
  <c r="AJ71" i="1" s="1"/>
  <c r="AG71" i="1"/>
  <c r="AE71" i="1"/>
  <c r="AK71" i="1" s="1"/>
  <c r="AC71" i="1"/>
  <c r="AA71" i="1"/>
  <c r="Y71" i="1"/>
  <c r="W71" i="1"/>
  <c r="U71" i="1"/>
  <c r="R71" i="1"/>
  <c r="P71" i="1"/>
  <c r="N71" i="1"/>
  <c r="O67" i="1"/>
  <c r="Q67" i="1"/>
  <c r="T67" i="1"/>
  <c r="V67" i="1"/>
  <c r="X67" i="1"/>
  <c r="Z67" i="1"/>
  <c r="AB67" i="1"/>
  <c r="AD67" i="1"/>
  <c r="AJ67" i="1" s="1"/>
  <c r="AG67" i="1"/>
  <c r="AE67" i="1"/>
  <c r="AK67" i="1" s="1"/>
  <c r="AC67" i="1"/>
  <c r="AA67" i="1"/>
  <c r="Y67" i="1"/>
  <c r="W67" i="1"/>
  <c r="U67" i="1"/>
  <c r="R67" i="1"/>
  <c r="P67" i="1"/>
  <c r="N67" i="1"/>
  <c r="O63" i="1"/>
  <c r="Q63" i="1"/>
  <c r="T63" i="1"/>
  <c r="V63" i="1"/>
  <c r="X63" i="1"/>
  <c r="Z63" i="1"/>
  <c r="AB63" i="1"/>
  <c r="AD63" i="1"/>
  <c r="AJ63" i="1" s="1"/>
  <c r="AG63" i="1"/>
  <c r="AE63" i="1"/>
  <c r="AK63" i="1" s="1"/>
  <c r="AC63" i="1"/>
  <c r="AA63" i="1"/>
  <c r="Y63" i="1"/>
  <c r="W63" i="1"/>
  <c r="U63" i="1"/>
  <c r="R63" i="1"/>
  <c r="P63" i="1"/>
  <c r="N63" i="1"/>
  <c r="O59" i="1"/>
  <c r="Q59" i="1"/>
  <c r="T59" i="1"/>
  <c r="V59" i="1"/>
  <c r="X59" i="1"/>
  <c r="Z59" i="1"/>
  <c r="AB59" i="1"/>
  <c r="AD59" i="1"/>
  <c r="AJ59" i="1" s="1"/>
  <c r="AG59" i="1"/>
  <c r="AE59" i="1"/>
  <c r="AK59" i="1" s="1"/>
  <c r="AC59" i="1"/>
  <c r="AA59" i="1"/>
  <c r="Y59" i="1"/>
  <c r="W59" i="1"/>
  <c r="U59" i="1"/>
  <c r="R59" i="1"/>
  <c r="P59" i="1"/>
  <c r="N59" i="1"/>
  <c r="O55" i="1"/>
  <c r="Q55" i="1"/>
  <c r="T55" i="1"/>
  <c r="V55" i="1"/>
  <c r="X55" i="1"/>
  <c r="Z55" i="1"/>
  <c r="AB55" i="1"/>
  <c r="AD55" i="1"/>
  <c r="AJ55" i="1" s="1"/>
  <c r="AG55" i="1"/>
  <c r="AE55" i="1"/>
  <c r="AK55" i="1" s="1"/>
  <c r="AC55" i="1"/>
  <c r="AA55" i="1"/>
  <c r="Y55" i="1"/>
  <c r="W55" i="1"/>
  <c r="U55" i="1"/>
  <c r="R55" i="1"/>
  <c r="P55" i="1"/>
  <c r="N55" i="1"/>
  <c r="O51" i="1"/>
  <c r="Q51" i="1"/>
  <c r="T51" i="1"/>
  <c r="V51" i="1"/>
  <c r="X51" i="1"/>
  <c r="Z51" i="1"/>
  <c r="AB51" i="1"/>
  <c r="AD51" i="1"/>
  <c r="AJ51" i="1" s="1"/>
  <c r="AG51" i="1"/>
  <c r="AE51" i="1"/>
  <c r="AK51" i="1" s="1"/>
  <c r="AC51" i="1"/>
  <c r="AA51" i="1"/>
  <c r="Y51" i="1"/>
  <c r="W51" i="1"/>
  <c r="U51" i="1"/>
  <c r="R51" i="1"/>
  <c r="P51" i="1"/>
  <c r="N51" i="1"/>
  <c r="O47" i="1"/>
  <c r="Q47" i="1"/>
  <c r="T47" i="1"/>
  <c r="V47" i="1"/>
  <c r="X47" i="1"/>
  <c r="Z47" i="1"/>
  <c r="AB47" i="1"/>
  <c r="AD47" i="1"/>
  <c r="AJ47" i="1" s="1"/>
  <c r="AG47" i="1"/>
  <c r="AE47" i="1"/>
  <c r="AK47" i="1" s="1"/>
  <c r="AC47" i="1"/>
  <c r="AA47" i="1"/>
  <c r="Y47" i="1"/>
  <c r="W47" i="1"/>
  <c r="U47" i="1"/>
  <c r="R47" i="1"/>
  <c r="P47" i="1"/>
  <c r="N47" i="1"/>
  <c r="O43" i="1"/>
  <c r="Q43" i="1"/>
  <c r="T43" i="1"/>
  <c r="V43" i="1"/>
  <c r="X43" i="1"/>
  <c r="Z43" i="1"/>
  <c r="AB43" i="1"/>
  <c r="AD43" i="1"/>
  <c r="AJ43" i="1" s="1"/>
  <c r="AG43" i="1"/>
  <c r="AE43" i="1"/>
  <c r="AK43" i="1" s="1"/>
  <c r="AC43" i="1"/>
  <c r="AA43" i="1"/>
  <c r="Y43" i="1"/>
  <c r="W43" i="1"/>
  <c r="U43" i="1"/>
  <c r="R43" i="1"/>
  <c r="P43" i="1"/>
  <c r="N43" i="1"/>
  <c r="O39" i="1"/>
  <c r="Q39" i="1"/>
  <c r="T39" i="1"/>
  <c r="V39" i="1"/>
  <c r="X39" i="1"/>
  <c r="Z39" i="1"/>
  <c r="AB39" i="1"/>
  <c r="AD39" i="1"/>
  <c r="AJ39" i="1" s="1"/>
  <c r="AG39" i="1"/>
  <c r="AE39" i="1"/>
  <c r="AK39" i="1" s="1"/>
  <c r="AC39" i="1"/>
  <c r="AA39" i="1"/>
  <c r="Y39" i="1"/>
  <c r="W39" i="1"/>
  <c r="U39" i="1"/>
  <c r="R39" i="1"/>
  <c r="P39" i="1"/>
  <c r="N39" i="1"/>
  <c r="O35" i="1"/>
  <c r="Q35" i="1"/>
  <c r="T35" i="1"/>
  <c r="V35" i="1"/>
  <c r="X35" i="1"/>
  <c r="Z35" i="1"/>
  <c r="AB35" i="1"/>
  <c r="AD35" i="1"/>
  <c r="AJ35" i="1" s="1"/>
  <c r="AG35" i="1"/>
  <c r="AE35" i="1"/>
  <c r="AK35" i="1" s="1"/>
  <c r="AC35" i="1"/>
  <c r="AA35" i="1"/>
  <c r="Y35" i="1"/>
  <c r="W35" i="1"/>
  <c r="U35" i="1"/>
  <c r="R35" i="1"/>
  <c r="P35" i="1"/>
  <c r="N35" i="1"/>
  <c r="O31" i="1"/>
  <c r="Q31" i="1"/>
  <c r="T31" i="1"/>
  <c r="V31" i="1"/>
  <c r="X31" i="1"/>
  <c r="Z31" i="1"/>
  <c r="AB31" i="1"/>
  <c r="AD31" i="1"/>
  <c r="AJ31" i="1" s="1"/>
  <c r="AG31" i="1"/>
  <c r="AE31" i="1"/>
  <c r="AK31" i="1" s="1"/>
  <c r="AC31" i="1"/>
  <c r="AA31" i="1"/>
  <c r="Y31" i="1"/>
  <c r="W31" i="1"/>
  <c r="U31" i="1"/>
  <c r="R31" i="1"/>
  <c r="P31" i="1"/>
  <c r="N31" i="1"/>
  <c r="O27" i="1"/>
  <c r="Q27" i="1"/>
  <c r="T27" i="1"/>
  <c r="V27" i="1"/>
  <c r="X27" i="1"/>
  <c r="Z27" i="1"/>
  <c r="AB27" i="1"/>
  <c r="AD27" i="1"/>
  <c r="AJ27" i="1" s="1"/>
  <c r="AG27" i="1"/>
  <c r="AE27" i="1"/>
  <c r="AK27" i="1" s="1"/>
  <c r="AC27" i="1"/>
  <c r="AA27" i="1"/>
  <c r="Y27" i="1"/>
  <c r="W27" i="1"/>
  <c r="U27" i="1"/>
  <c r="R27" i="1"/>
  <c r="P27" i="1"/>
  <c r="N27" i="1"/>
  <c r="AT28" i="1"/>
  <c r="AT29" i="1" s="1"/>
  <c r="AT30" i="1" s="1"/>
  <c r="AU27" i="1"/>
  <c r="O23" i="1"/>
  <c r="Q23" i="1"/>
  <c r="T23" i="1"/>
  <c r="V23" i="1"/>
  <c r="X23" i="1"/>
  <c r="Z23" i="1"/>
  <c r="AB23" i="1"/>
  <c r="AD23" i="1"/>
  <c r="AJ23" i="1" s="1"/>
  <c r="AG23" i="1"/>
  <c r="AE23" i="1"/>
  <c r="AK23" i="1" s="1"/>
  <c r="AC23" i="1"/>
  <c r="AA23" i="1"/>
  <c r="Y23" i="1"/>
  <c r="W23" i="1"/>
  <c r="U23" i="1"/>
  <c r="R23" i="1"/>
  <c r="P23" i="1"/>
  <c r="N23" i="1"/>
  <c r="AT4" i="1"/>
  <c r="AT16" i="3" l="1"/>
  <c r="AT17" i="3" s="1"/>
  <c r="AT18" i="3" s="1"/>
  <c r="AU15" i="3"/>
  <c r="AT16" i="2"/>
  <c r="AT17" i="2" s="1"/>
  <c r="AT18" i="2" s="1"/>
  <c r="AU15" i="2"/>
  <c r="AT32" i="1"/>
  <c r="AT33" i="1" s="1"/>
  <c r="AT34" i="1" s="1"/>
  <c r="AU31" i="1"/>
  <c r="AV19" i="1"/>
  <c r="AS19" i="1"/>
  <c r="AL19" i="1"/>
  <c r="AM19" i="1" s="1"/>
  <c r="K19" i="1"/>
  <c r="AH19" i="1" s="1"/>
  <c r="I19" i="1"/>
  <c r="F19" i="1"/>
  <c r="D19" i="1"/>
  <c r="AQ18" i="1"/>
  <c r="AP18" i="1"/>
  <c r="AJ18" i="1"/>
  <c r="AI18" i="1"/>
  <c r="AQ17" i="1"/>
  <c r="AP17" i="1"/>
  <c r="AJ17" i="1"/>
  <c r="AI17" i="1"/>
  <c r="M17" i="1"/>
  <c r="AB17" i="1" s="1"/>
  <c r="AQ16" i="1"/>
  <c r="AP16" i="1"/>
  <c r="AJ16" i="1"/>
  <c r="AI16" i="1"/>
  <c r="M16" i="1"/>
  <c r="AB16" i="1" s="1"/>
  <c r="AV15" i="1"/>
  <c r="AS15" i="1"/>
  <c r="AL15" i="1"/>
  <c r="AM15" i="1" s="1"/>
  <c r="K15" i="1"/>
  <c r="I15" i="1"/>
  <c r="F15" i="1"/>
  <c r="D15" i="1"/>
  <c r="AQ14" i="1"/>
  <c r="AP14" i="1"/>
  <c r="AJ14" i="1"/>
  <c r="AI14" i="1"/>
  <c r="M14" i="1"/>
  <c r="AB14" i="1" s="1"/>
  <c r="AQ13" i="1"/>
  <c r="AP13" i="1"/>
  <c r="AJ13" i="1"/>
  <c r="AI13" i="1"/>
  <c r="M13" i="1"/>
  <c r="AB13" i="1" s="1"/>
  <c r="AQ12" i="1"/>
  <c r="AP12" i="1"/>
  <c r="AJ12" i="1"/>
  <c r="AI12" i="1"/>
  <c r="M12" i="1"/>
  <c r="AB12" i="1" s="1"/>
  <c r="AV11" i="1"/>
  <c r="AS11" i="1"/>
  <c r="AL11" i="1"/>
  <c r="AM11" i="1" s="1"/>
  <c r="K11" i="1"/>
  <c r="AH11" i="1" s="1"/>
  <c r="I11" i="1"/>
  <c r="F11" i="1"/>
  <c r="D11" i="1"/>
  <c r="AQ10" i="1"/>
  <c r="AP10" i="1"/>
  <c r="AJ10" i="1"/>
  <c r="AI10" i="1"/>
  <c r="M10" i="1"/>
  <c r="AQ9" i="1"/>
  <c r="AP9" i="1"/>
  <c r="AJ9" i="1"/>
  <c r="AI9" i="1"/>
  <c r="M9" i="1"/>
  <c r="AQ8" i="1"/>
  <c r="AP8" i="1"/>
  <c r="AJ8" i="1"/>
  <c r="AI8" i="1"/>
  <c r="M8" i="1"/>
  <c r="AV7" i="1"/>
  <c r="AS7" i="1"/>
  <c r="AL7" i="1"/>
  <c r="AM7" i="1" s="1"/>
  <c r="K7" i="1"/>
  <c r="I7" i="1"/>
  <c r="F7" i="1"/>
  <c r="D7" i="1"/>
  <c r="AQ6" i="1"/>
  <c r="AP6" i="1"/>
  <c r="AJ6" i="1"/>
  <c r="AI6" i="1"/>
  <c r="M6" i="1"/>
  <c r="AQ5" i="1"/>
  <c r="AP5" i="1"/>
  <c r="AJ5" i="1"/>
  <c r="AI5" i="1"/>
  <c r="M5" i="1"/>
  <c r="AB5" i="1" s="1"/>
  <c r="AT5" i="1"/>
  <c r="AT6" i="1" s="1"/>
  <c r="AQ4" i="1"/>
  <c r="AP4" i="1"/>
  <c r="AJ4" i="1"/>
  <c r="AI4" i="1"/>
  <c r="M4" i="1"/>
  <c r="AT20" i="3" l="1"/>
  <c r="AT21" i="3" s="1"/>
  <c r="AT22" i="3" s="1"/>
  <c r="AU19" i="3"/>
  <c r="AT20" i="2"/>
  <c r="AT21" i="2" s="1"/>
  <c r="AT22" i="2" s="1"/>
  <c r="AU19" i="2"/>
  <c r="AT36" i="1"/>
  <c r="AT37" i="1" s="1"/>
  <c r="AT38" i="1" s="1"/>
  <c r="AU35" i="1"/>
  <c r="AG6" i="1"/>
  <c r="AB6" i="1"/>
  <c r="AD8" i="1"/>
  <c r="AB8" i="1"/>
  <c r="Z4" i="1"/>
  <c r="AB4" i="1"/>
  <c r="Q9" i="1"/>
  <c r="AB9" i="1"/>
  <c r="AG10" i="1"/>
  <c r="AB10" i="1"/>
  <c r="AB15" i="1"/>
  <c r="Z18" i="1"/>
  <c r="AB18" i="1"/>
  <c r="AB19" i="1" s="1"/>
  <c r="O8" i="1"/>
  <c r="T8" i="1"/>
  <c r="X4" i="1"/>
  <c r="O18" i="1"/>
  <c r="AP19" i="1"/>
  <c r="AQ15" i="1"/>
  <c r="AP15" i="1"/>
  <c r="AE10" i="1"/>
  <c r="AK10" i="1" s="1"/>
  <c r="Q10" i="1"/>
  <c r="T10" i="1"/>
  <c r="AI11" i="1"/>
  <c r="Z10" i="1"/>
  <c r="O10" i="1"/>
  <c r="AD10" i="1"/>
  <c r="AP11" i="1"/>
  <c r="O9" i="1"/>
  <c r="AG9" i="1"/>
  <c r="AE9" i="1" s="1"/>
  <c r="AK9" i="1" s="1"/>
  <c r="AD9" i="1"/>
  <c r="AO11" i="1"/>
  <c r="T9" i="1"/>
  <c r="AQ11" i="1"/>
  <c r="Z9" i="1"/>
  <c r="Q8" i="1"/>
  <c r="AG8" i="1"/>
  <c r="Z8" i="1"/>
  <c r="AP7" i="1"/>
  <c r="AI7" i="1"/>
  <c r="Q4" i="1"/>
  <c r="AD5" i="1"/>
  <c r="Q5" i="1"/>
  <c r="Z5" i="1"/>
  <c r="O5" i="1"/>
  <c r="T5" i="1"/>
  <c r="T6" i="1"/>
  <c r="AG4" i="1"/>
  <c r="AE4" i="1" s="1"/>
  <c r="AK4" i="1" s="1"/>
  <c r="T4" i="1"/>
  <c r="M7" i="1"/>
  <c r="O4" i="1"/>
  <c r="AD4" i="1"/>
  <c r="X5" i="1"/>
  <c r="X6" i="1"/>
  <c r="AG5" i="1"/>
  <c r="AE5" i="1" s="1"/>
  <c r="AK5" i="1" s="1"/>
  <c r="AO7" i="1"/>
  <c r="AH7" i="1"/>
  <c r="AE6" i="1"/>
  <c r="AK6" i="1" s="1"/>
  <c r="AD6" i="1"/>
  <c r="Q6" i="1"/>
  <c r="Z6" i="1"/>
  <c r="O6" i="1"/>
  <c r="X12" i="1"/>
  <c r="X13" i="1"/>
  <c r="X14" i="1"/>
  <c r="M15" i="1"/>
  <c r="AA15" i="1" s="1"/>
  <c r="X16" i="1"/>
  <c r="X17" i="1"/>
  <c r="X18" i="1"/>
  <c r="M19" i="1"/>
  <c r="O12" i="1"/>
  <c r="Z12" i="1"/>
  <c r="O13" i="1"/>
  <c r="Z13" i="1"/>
  <c r="O14" i="1"/>
  <c r="Z14" i="1"/>
  <c r="O16" i="1"/>
  <c r="Z16" i="1"/>
  <c r="O17" i="1"/>
  <c r="Z17" i="1"/>
  <c r="X8" i="1"/>
  <c r="X9" i="1"/>
  <c r="X10" i="1"/>
  <c r="M11" i="1"/>
  <c r="Q12" i="1"/>
  <c r="AD12" i="1"/>
  <c r="Q13" i="1"/>
  <c r="AD13" i="1"/>
  <c r="Q14" i="1"/>
  <c r="AD14" i="1"/>
  <c r="Q16" i="1"/>
  <c r="AD16" i="1"/>
  <c r="Q17" i="1"/>
  <c r="AD17" i="1"/>
  <c r="Q18" i="1"/>
  <c r="AD18" i="1"/>
  <c r="T12" i="1"/>
  <c r="AG12" i="1"/>
  <c r="AE12" i="1" s="1"/>
  <c r="AK12" i="1" s="1"/>
  <c r="T13" i="1"/>
  <c r="AG13" i="1"/>
  <c r="AE13" i="1" s="1"/>
  <c r="AK13" i="1" s="1"/>
  <c r="T14" i="1"/>
  <c r="AG14" i="1"/>
  <c r="AE14" i="1" s="1"/>
  <c r="AK14" i="1" s="1"/>
  <c r="T16" i="1"/>
  <c r="AG16" i="1"/>
  <c r="AE16" i="1" s="1"/>
  <c r="AK16" i="1" s="1"/>
  <c r="T17" i="1"/>
  <c r="AG17" i="1"/>
  <c r="AE17" i="1" s="1"/>
  <c r="AK17" i="1" s="1"/>
  <c r="T18" i="1"/>
  <c r="AG18" i="1"/>
  <c r="AE18" i="1" s="1"/>
  <c r="AK18" i="1" s="1"/>
  <c r="AU7" i="1"/>
  <c r="AT8" i="1"/>
  <c r="AT9" i="1" s="1"/>
  <c r="AT10" i="1" s="1"/>
  <c r="AN15" i="1"/>
  <c r="AF15" i="1"/>
  <c r="L15" i="1"/>
  <c r="AN19" i="1"/>
  <c r="AF19" i="1"/>
  <c r="L19" i="1"/>
  <c r="AN7" i="1"/>
  <c r="AF7" i="1"/>
  <c r="L7" i="1"/>
  <c r="AI15" i="1"/>
  <c r="AO15" i="1"/>
  <c r="AQ19" i="1"/>
  <c r="AQ7" i="1"/>
  <c r="AN11" i="1"/>
  <c r="AF11" i="1"/>
  <c r="L11" i="1"/>
  <c r="AH15" i="1"/>
  <c r="AI19" i="1"/>
  <c r="AO19" i="1"/>
  <c r="V4" i="1"/>
  <c r="V5" i="1"/>
  <c r="V6" i="1"/>
  <c r="V8" i="1"/>
  <c r="V9" i="1"/>
  <c r="V10" i="1"/>
  <c r="V12" i="1"/>
  <c r="V13" i="1"/>
  <c r="V14" i="1"/>
  <c r="V16" i="1"/>
  <c r="V17" i="1"/>
  <c r="V18" i="1"/>
  <c r="AT24" i="3" l="1"/>
  <c r="AT25" i="3" s="1"/>
  <c r="AT26" i="3" s="1"/>
  <c r="AU23" i="3"/>
  <c r="AT24" i="2"/>
  <c r="AT25" i="2" s="1"/>
  <c r="AT26" i="2" s="1"/>
  <c r="AU23" i="2"/>
  <c r="AT40" i="1"/>
  <c r="AT41" i="1" s="1"/>
  <c r="AT42" i="1" s="1"/>
  <c r="AU39" i="1"/>
  <c r="AB11" i="1"/>
  <c r="AA11" i="1" s="1"/>
  <c r="AB7" i="1"/>
  <c r="AA7" i="1" s="1"/>
  <c r="T11" i="1"/>
  <c r="R11" i="1" s="1"/>
  <c r="O11" i="1"/>
  <c r="N11" i="1" s="1"/>
  <c r="Q11" i="1"/>
  <c r="P11" i="1" s="1"/>
  <c r="AD11" i="1"/>
  <c r="AJ11" i="1" s="1"/>
  <c r="Q7" i="1"/>
  <c r="P7" i="1" s="1"/>
  <c r="Z15" i="1"/>
  <c r="Y15" i="1" s="1"/>
  <c r="AG11" i="1"/>
  <c r="Z11" i="1"/>
  <c r="Y11" i="1" s="1"/>
  <c r="X11" i="1"/>
  <c r="W11" i="1" s="1"/>
  <c r="AE8" i="1"/>
  <c r="AK8" i="1" s="1"/>
  <c r="Z7" i="1"/>
  <c r="Y7" i="1" s="1"/>
  <c r="AD7" i="1"/>
  <c r="AJ7" i="1" s="1"/>
  <c r="X7" i="1"/>
  <c r="T7" i="1"/>
  <c r="R7" i="1" s="1"/>
  <c r="AG7" i="1"/>
  <c r="AG19" i="1"/>
  <c r="Q15" i="1"/>
  <c r="P15" i="1" s="1"/>
  <c r="T19" i="1"/>
  <c r="R19" i="1" s="1"/>
  <c r="AD19" i="1"/>
  <c r="AJ19" i="1" s="1"/>
  <c r="O15" i="1"/>
  <c r="N15" i="1" s="1"/>
  <c r="X19" i="1"/>
  <c r="W19" i="1" s="1"/>
  <c r="X15" i="1"/>
  <c r="W15" i="1" s="1"/>
  <c r="AG15" i="1"/>
  <c r="Q19" i="1"/>
  <c r="P19" i="1" s="1"/>
  <c r="Z19" i="1"/>
  <c r="Y19" i="1" s="1"/>
  <c r="AE19" i="1"/>
  <c r="AK19" i="1" s="1"/>
  <c r="AE15" i="1"/>
  <c r="AK15" i="1" s="1"/>
  <c r="O7" i="1"/>
  <c r="N7" i="1" s="1"/>
  <c r="T15" i="1"/>
  <c r="R15" i="1" s="1"/>
  <c r="AD15" i="1"/>
  <c r="AJ15" i="1" s="1"/>
  <c r="O19" i="1"/>
  <c r="N19" i="1" s="1"/>
  <c r="AE7" i="1"/>
  <c r="AK7" i="1" s="1"/>
  <c r="V15" i="1"/>
  <c r="U15" i="1" s="1"/>
  <c r="V7" i="1"/>
  <c r="U7" i="1" s="1"/>
  <c r="V19" i="1"/>
  <c r="U19" i="1" s="1"/>
  <c r="V11" i="1"/>
  <c r="U11" i="1" s="1"/>
  <c r="AT12" i="1"/>
  <c r="AT13" i="1" s="1"/>
  <c r="AT14" i="1" s="1"/>
  <c r="AU11" i="1"/>
  <c r="AT28" i="3" l="1"/>
  <c r="AT29" i="3" s="1"/>
  <c r="AT30" i="3" s="1"/>
  <c r="AU27" i="3"/>
  <c r="AT28" i="2"/>
  <c r="AT29" i="2" s="1"/>
  <c r="AT30" i="2" s="1"/>
  <c r="AU27" i="2"/>
  <c r="AT44" i="1"/>
  <c r="AT45" i="1" s="1"/>
  <c r="AT46" i="1" s="1"/>
  <c r="AU43" i="1"/>
  <c r="AC11" i="1"/>
  <c r="AC7" i="1"/>
  <c r="AC19" i="1"/>
  <c r="AA19" i="1" s="1"/>
  <c r="AC15" i="1"/>
  <c r="AE11" i="1"/>
  <c r="AK11" i="1" s="1"/>
  <c r="W7" i="1"/>
  <c r="AT16" i="1"/>
  <c r="AT17" i="1" s="1"/>
  <c r="AT18" i="1" s="1"/>
  <c r="AU15" i="1"/>
  <c r="AT32" i="3" l="1"/>
  <c r="AT33" i="3" s="1"/>
  <c r="AT34" i="3" s="1"/>
  <c r="AU31" i="3"/>
  <c r="AT32" i="2"/>
  <c r="AT33" i="2" s="1"/>
  <c r="AT34" i="2" s="1"/>
  <c r="AU31" i="2"/>
  <c r="AT48" i="1"/>
  <c r="AT49" i="1" s="1"/>
  <c r="AT50" i="1" s="1"/>
  <c r="AU47" i="1"/>
  <c r="AU19" i="1"/>
  <c r="AT36" i="3" l="1"/>
  <c r="AT37" i="3" s="1"/>
  <c r="AT38" i="3" s="1"/>
  <c r="AU35" i="3"/>
  <c r="AT36" i="2"/>
  <c r="AT37" i="2" s="1"/>
  <c r="AT38" i="2" s="1"/>
  <c r="AU35" i="2"/>
  <c r="AT52" i="1"/>
  <c r="AT53" i="1" s="1"/>
  <c r="AT54" i="1" s="1"/>
  <c r="AU51" i="1"/>
  <c r="AT40" i="3" l="1"/>
  <c r="AT41" i="3" s="1"/>
  <c r="AT42" i="3" s="1"/>
  <c r="AU39" i="3"/>
  <c r="AT40" i="2"/>
  <c r="AT41" i="2" s="1"/>
  <c r="AT42" i="2" s="1"/>
  <c r="AU39" i="2"/>
  <c r="AT56" i="1"/>
  <c r="AT57" i="1" s="1"/>
  <c r="AT58" i="1" s="1"/>
  <c r="AU55" i="1"/>
  <c r="AT44" i="3" l="1"/>
  <c r="AT45" i="3" s="1"/>
  <c r="AT46" i="3" s="1"/>
  <c r="AU43" i="3"/>
  <c r="AT44" i="2"/>
  <c r="AT45" i="2" s="1"/>
  <c r="AT46" i="2" s="1"/>
  <c r="AU43" i="2"/>
  <c r="AT60" i="1"/>
  <c r="AT61" i="1" s="1"/>
  <c r="AT62" i="1" s="1"/>
  <c r="AU59" i="1"/>
  <c r="AT48" i="3" l="1"/>
  <c r="AT49" i="3" s="1"/>
  <c r="AT50" i="3" s="1"/>
  <c r="AU47" i="3"/>
  <c r="AT48" i="2"/>
  <c r="AT49" i="2" s="1"/>
  <c r="AT50" i="2" s="1"/>
  <c r="AU47" i="2"/>
  <c r="AT64" i="1"/>
  <c r="AT65" i="1" s="1"/>
  <c r="AT66" i="1" s="1"/>
  <c r="AU63" i="1"/>
  <c r="AT52" i="3" l="1"/>
  <c r="AT53" i="3" s="1"/>
  <c r="AT54" i="3" s="1"/>
  <c r="AU51" i="3"/>
  <c r="AT52" i="2"/>
  <c r="AT53" i="2" s="1"/>
  <c r="AT54" i="2" s="1"/>
  <c r="AU51" i="2"/>
  <c r="AT68" i="1"/>
  <c r="AT69" i="1" s="1"/>
  <c r="AT70" i="1" s="1"/>
  <c r="AU67" i="1"/>
  <c r="AT56" i="3" l="1"/>
  <c r="AT57" i="3" s="1"/>
  <c r="AT58" i="3" s="1"/>
  <c r="AU55" i="3"/>
  <c r="AT56" i="2"/>
  <c r="AT57" i="2" s="1"/>
  <c r="AT58" i="2" s="1"/>
  <c r="AU55" i="2"/>
  <c r="AT72" i="1"/>
  <c r="AT73" i="1" s="1"/>
  <c r="AT74" i="1" s="1"/>
  <c r="AU71" i="1"/>
  <c r="AT60" i="3" l="1"/>
  <c r="AT61" i="3" s="1"/>
  <c r="AT62" i="3" s="1"/>
  <c r="AU59" i="3"/>
  <c r="AT60" i="2"/>
  <c r="AT61" i="2" s="1"/>
  <c r="AT62" i="2" s="1"/>
  <c r="AU59" i="2"/>
  <c r="AT76" i="1"/>
  <c r="AT77" i="1" s="1"/>
  <c r="AT78" i="1" s="1"/>
  <c r="AU75" i="1"/>
  <c r="AT64" i="3" l="1"/>
  <c r="AT65" i="3" s="1"/>
  <c r="AT66" i="3" s="1"/>
  <c r="AU63" i="3"/>
  <c r="AT64" i="2"/>
  <c r="AT65" i="2" s="1"/>
  <c r="AT66" i="2" s="1"/>
  <c r="AU63" i="2"/>
  <c r="AT80" i="1"/>
  <c r="AT81" i="1" s="1"/>
  <c r="AT82" i="1" s="1"/>
  <c r="AU79" i="1"/>
  <c r="AT68" i="3" l="1"/>
  <c r="AT69" i="3" s="1"/>
  <c r="AT70" i="3" s="1"/>
  <c r="AU67" i="3"/>
  <c r="AT68" i="2"/>
  <c r="AT69" i="2" s="1"/>
  <c r="AT70" i="2" s="1"/>
  <c r="AU67" i="2"/>
  <c r="AT84" i="1"/>
  <c r="AT85" i="1" s="1"/>
  <c r="AT86" i="1" s="1"/>
  <c r="AU83" i="1"/>
  <c r="AT72" i="3" l="1"/>
  <c r="AT73" i="3" s="1"/>
  <c r="AT74" i="3" s="1"/>
  <c r="AU71" i="3"/>
  <c r="AT72" i="2"/>
  <c r="AT73" i="2" s="1"/>
  <c r="AT74" i="2" s="1"/>
  <c r="AU71" i="2"/>
  <c r="AT88" i="1"/>
  <c r="AT89" i="1" s="1"/>
  <c r="AT90" i="1" s="1"/>
  <c r="AU87" i="1"/>
  <c r="AT76" i="3" l="1"/>
  <c r="AT77" i="3" s="1"/>
  <c r="AT78" i="3" s="1"/>
  <c r="AU75" i="3"/>
  <c r="AT76" i="2"/>
  <c r="AT77" i="2" s="1"/>
  <c r="AT78" i="2" s="1"/>
  <c r="AU75" i="2"/>
  <c r="AT92" i="1"/>
  <c r="AT93" i="1" s="1"/>
  <c r="AT94" i="1" s="1"/>
  <c r="AU91" i="1"/>
  <c r="AT80" i="3" l="1"/>
  <c r="AT81" i="3" s="1"/>
  <c r="AT82" i="3" s="1"/>
  <c r="AU79" i="3"/>
  <c r="AT80" i="2"/>
  <c r="AT81" i="2" s="1"/>
  <c r="AT82" i="2" s="1"/>
  <c r="AU79" i="2"/>
  <c r="AT96" i="1"/>
  <c r="AT97" i="1" s="1"/>
  <c r="AT98" i="1" s="1"/>
  <c r="AU95" i="1"/>
  <c r="AT84" i="3" l="1"/>
  <c r="AT85" i="3" s="1"/>
  <c r="AT86" i="3" s="1"/>
  <c r="AU83" i="3"/>
  <c r="AT84" i="2"/>
  <c r="AT85" i="2" s="1"/>
  <c r="AT86" i="2" s="1"/>
  <c r="AU83" i="2"/>
  <c r="AT100" i="1"/>
  <c r="AT101" i="1" s="1"/>
  <c r="AT102" i="1" s="1"/>
  <c r="AU99" i="1"/>
  <c r="AT88" i="3" l="1"/>
  <c r="AT89" i="3" s="1"/>
  <c r="AT90" i="3" s="1"/>
  <c r="AU87" i="3"/>
  <c r="AT88" i="2"/>
  <c r="AT89" i="2" s="1"/>
  <c r="AT90" i="2" s="1"/>
  <c r="AU87" i="2"/>
  <c r="AT104" i="1"/>
  <c r="AT105" i="1" s="1"/>
  <c r="AT106" i="1" s="1"/>
  <c r="AU103" i="1"/>
  <c r="AT92" i="3" l="1"/>
  <c r="AT93" i="3" s="1"/>
  <c r="AT94" i="3" s="1"/>
  <c r="AU91" i="3"/>
  <c r="AT92" i="2"/>
  <c r="AT93" i="2" s="1"/>
  <c r="AT94" i="2" s="1"/>
  <c r="AU91" i="2"/>
  <c r="AT108" i="1"/>
  <c r="AT109" i="1" s="1"/>
  <c r="AT110" i="1" s="1"/>
  <c r="AU107" i="1"/>
  <c r="AT96" i="3" l="1"/>
  <c r="AT97" i="3" s="1"/>
  <c r="AT98" i="3" s="1"/>
  <c r="AU95" i="3"/>
  <c r="AT96" i="2"/>
  <c r="AT97" i="2" s="1"/>
  <c r="AT98" i="2" s="1"/>
  <c r="AU95" i="2"/>
  <c r="AT112" i="1"/>
  <c r="AT113" i="1" s="1"/>
  <c r="AT114" i="1" s="1"/>
  <c r="AU111" i="1"/>
  <c r="AT100" i="3" l="1"/>
  <c r="AT101" i="3" s="1"/>
  <c r="AT102" i="3" s="1"/>
  <c r="AU99" i="3"/>
  <c r="AT100" i="2"/>
  <c r="AT101" i="2" s="1"/>
  <c r="AT102" i="2" s="1"/>
  <c r="AU99" i="2"/>
  <c r="AT116" i="1"/>
  <c r="AT117" i="1" s="1"/>
  <c r="AT118" i="1" s="1"/>
  <c r="AU115" i="1"/>
  <c r="AT104" i="3" l="1"/>
  <c r="AT105" i="3" s="1"/>
  <c r="AT106" i="3" s="1"/>
  <c r="AU103" i="3"/>
  <c r="AT104" i="2"/>
  <c r="AT105" i="2" s="1"/>
  <c r="AT106" i="2" s="1"/>
  <c r="AU103" i="2"/>
  <c r="AT120" i="1"/>
  <c r="AT121" i="1" s="1"/>
  <c r="AT122" i="1" s="1"/>
  <c r="AU119" i="1"/>
  <c r="AT108" i="3" l="1"/>
  <c r="AT109" i="3" s="1"/>
  <c r="AT110" i="3" s="1"/>
  <c r="AU107" i="3"/>
  <c r="AT108" i="2"/>
  <c r="AT109" i="2" s="1"/>
  <c r="AT110" i="2" s="1"/>
  <c r="AU107" i="2"/>
  <c r="AT124" i="1"/>
  <c r="AT125" i="1" s="1"/>
  <c r="AT126" i="1" s="1"/>
  <c r="AU127" i="1" s="1"/>
  <c r="AU123" i="1"/>
  <c r="AT112" i="3" l="1"/>
  <c r="AT113" i="3" s="1"/>
  <c r="AT114" i="3" s="1"/>
  <c r="AU111" i="3"/>
  <c r="AT112" i="2"/>
  <c r="AT113" i="2" s="1"/>
  <c r="AT114" i="2" s="1"/>
  <c r="AU115" i="2" s="1"/>
  <c r="AU111" i="2"/>
  <c r="AT116" i="3" l="1"/>
  <c r="AT117" i="3" s="1"/>
  <c r="AT118" i="3" s="1"/>
  <c r="AU119" i="3" s="1"/>
  <c r="AU115" i="3"/>
</calcChain>
</file>

<file path=xl/sharedStrings.xml><?xml version="1.0" encoding="utf-8"?>
<sst xmlns="http://schemas.openxmlformats.org/spreadsheetml/2006/main" count="611" uniqueCount="62">
  <si>
    <t>Дата</t>
  </si>
  <si>
    <t>Смяна</t>
  </si>
  <si>
    <t>Диспечер</t>
  </si>
  <si>
    <t xml:space="preserve">Подадена руда
 от МГТЛ 
за денонощието </t>
  </si>
  <si>
    <t>Състояние 
на склад №2</t>
  </si>
  <si>
    <t xml:space="preserve">Натрошена 
руда от 
Цех ССТ </t>
  </si>
  <si>
    <t>Класа 
 +15,0мм.</t>
  </si>
  <si>
    <t>Класа     +12,5мм.</t>
  </si>
  <si>
    <t>Превозена руда
 до междинни бункери</t>
  </si>
  <si>
    <t>Състояние на междинни бункери</t>
  </si>
  <si>
    <t xml:space="preserve">Преработена
 руда
 в цех МФЦ </t>
  </si>
  <si>
    <t>Влага на преработената руда</t>
  </si>
  <si>
    <t>Суха преработена руда</t>
  </si>
  <si>
    <t xml:space="preserve">Грано
диорити </t>
  </si>
  <si>
    <t>Дайки</t>
  </si>
  <si>
    <t>Шисти</t>
  </si>
  <si>
    <t>Показания на Гранулометър PSI500i руда, +0,20мм</t>
  </si>
  <si>
    <t>Смилане 
 класа     + 0,20мм</t>
  </si>
  <si>
    <t>Смилане 
 класа       -0,08мм</t>
  </si>
  <si>
    <t>Плътност на пулпа</t>
  </si>
  <si>
    <t>Съдържание 
на мед в рудите по Химия</t>
  </si>
  <si>
    <t>Метал  мед в рудите по Химия</t>
  </si>
  <si>
    <t xml:space="preserve">Съдържание 
на мед в рудите по Куриер </t>
  </si>
  <si>
    <t xml:space="preserve">Метал  мед в рудите по Куриер </t>
  </si>
  <si>
    <t>Коригирана съдържание 
на мед в рудите</t>
  </si>
  <si>
    <t xml:space="preserve">Съдържание
 на мед в отпадъка по Куриер </t>
  </si>
  <si>
    <t>Метал мед в отпадъка по Куриер</t>
  </si>
  <si>
    <t>Съдържание
 на мед
в медния к-т Куриер</t>
  </si>
  <si>
    <t>Метал мед в концентрата по Куриер</t>
  </si>
  <si>
    <t>Технологично 
извличане по Куриер</t>
  </si>
  <si>
    <t xml:space="preserve">Товарно 
извличане </t>
  </si>
  <si>
    <t>Добит
 меден 
концентрат</t>
  </si>
  <si>
    <t>Влага на медния концентрат</t>
  </si>
  <si>
    <t>Съдържание
 на мед
в медния к-т</t>
  </si>
  <si>
    <t>Съдържание
 на мед
в медния к-т  /химия-товарен/</t>
  </si>
  <si>
    <t xml:space="preserve">Метал мед
 в медния концентрат </t>
  </si>
  <si>
    <t>Метал мед
 в медния концентрат /химия/</t>
  </si>
  <si>
    <t>Литрово
 тегло 
в сгъстителя</t>
  </si>
  <si>
    <t>Меден 
концентрат, автомобилна везна</t>
  </si>
  <si>
    <t>Меден концентрат в склад</t>
  </si>
  <si>
    <t>Добит
 молибденов
 концентрат</t>
  </si>
  <si>
    <t>Съдържание
 на Мо в молибденовия к-т</t>
  </si>
  <si>
    <t>последни данни за 
съдържания в 
8-ма пречистка</t>
  </si>
  <si>
    <t>последни данни за 
съдържания във 
2-ра пречистка</t>
  </si>
  <si>
    <t>тона</t>
  </si>
  <si>
    <t xml:space="preserve">метра </t>
  </si>
  <si>
    <t>%</t>
  </si>
  <si>
    <t xml:space="preserve">% </t>
  </si>
  <si>
    <t>кг/литър</t>
  </si>
  <si>
    <t>тон</t>
  </si>
  <si>
    <t>кг.</t>
  </si>
  <si>
    <t>Мо %</t>
  </si>
  <si>
    <t>Cu %</t>
  </si>
  <si>
    <t>Мария Лачева</t>
  </si>
  <si>
    <t>Николинка Мутафова</t>
  </si>
  <si>
    <t>Димитър Цончев</t>
  </si>
  <si>
    <t>Общо</t>
  </si>
  <si>
    <t>Цвета Владова</t>
  </si>
  <si>
    <t>Георги Томов</t>
  </si>
  <si>
    <t>Иванка Копаранска</t>
  </si>
  <si>
    <t>Юлияна Цветкова</t>
  </si>
  <si>
    <t>Гергана Колева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</si>
</sst>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%"/>
    <numFmt numFmtId="166" formatCode="0.000%"/>
    <numFmt numFmtId="167" formatCode="0.000"/>
  </numFmts>
  <fonts count="17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b/>
      <sz val="10"/>
      <color theme="1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  <font>
      <b/>
      <sz val="10"/>
      <color theme="0" tint="-0.499984740745262"/>
      <name val="Times New Roman"/>
      <family val="1"/>
      <charset val="204"/>
    </font>
    <font>
      <b/>
      <sz val="10"/>
      <color theme="6" tint="-0.499984740745262"/>
      <name val="Times New Roman"/>
      <family val="1"/>
      <charset val="204"/>
    </font>
    <font>
      <sz val="10"/>
      <color theme="0" tint="-0.499984740745262"/>
      <name val="Times New Roman"/>
      <family val="1"/>
      <charset val="204"/>
    </font>
    <font>
      <sz val="10"/>
      <color theme="6" tint="-0.499984740745262"/>
      <name val="Times New Roman"/>
      <family val="1"/>
      <charset val="204"/>
    </font>
    <font>
      <sz val="10"/>
      <color theme="0" tint="-0.499984740745262"/>
      <name val="Calibri"/>
      <family val="2"/>
      <charset val="204"/>
      <scheme val="minor"/>
    </font>
    <font>
      <sz val="10"/>
      <color theme="6" tint="-0.499984740745262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b/>
      <sz val="10"/>
      <color rgb="FFFF0000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FF0000"/>
      <name val="Calibri"/>
      <family val="2"/>
      <charset val="204"/>
      <scheme val="minor"/>
    </font>
    <font>
      <sz val="10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9" fontId="12" fillId="0" borderId="0" applyFont="0" applyFill="0" applyBorder="0" applyAlignment="0" applyProtection="0"/>
  </cellStyleXfs>
  <cellXfs count="155">
    <xf numFmtId="0" fontId="0" fillId="0" borderId="0" xfId="0"/>
    <xf numFmtId="0" fontId="2" fillId="0" borderId="3" xfId="0" applyFont="1" applyBorder="1" applyAlignment="1">
      <alignment vertical="center"/>
    </xf>
    <xf numFmtId="164" fontId="2" fillId="0" borderId="3" xfId="0" applyNumberFormat="1" applyFont="1" applyBorder="1" applyAlignment="1">
      <alignment horizontal="center" vertical="center" wrapText="1"/>
    </xf>
    <xf numFmtId="2" fontId="2" fillId="0" borderId="3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64" fontId="2" fillId="0" borderId="6" xfId="0" applyNumberFormat="1" applyFont="1" applyBorder="1" applyAlignment="1">
      <alignment horizontal="center" vertical="center"/>
    </xf>
    <xf numFmtId="2" fontId="2" fillId="0" borderId="6" xfId="0" applyNumberFormat="1" applyFont="1" applyBorder="1" applyAlignment="1">
      <alignment horizontal="center" vertical="center"/>
    </xf>
    <xf numFmtId="1" fontId="2" fillId="0" borderId="6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horizontal="left"/>
    </xf>
    <xf numFmtId="1" fontId="3" fillId="0" borderId="3" xfId="0" applyNumberFormat="1" applyFont="1" applyBorder="1"/>
    <xf numFmtId="164" fontId="3" fillId="0" borderId="3" xfId="0" applyNumberFormat="1" applyFont="1" applyBorder="1"/>
    <xf numFmtId="165" fontId="3" fillId="0" borderId="3" xfId="0" applyNumberFormat="1" applyFont="1" applyBorder="1"/>
    <xf numFmtId="10" fontId="3" fillId="0" borderId="3" xfId="0" applyNumberFormat="1" applyFont="1" applyBorder="1"/>
    <xf numFmtId="165" fontId="3" fillId="0" borderId="2" xfId="0" applyNumberFormat="1" applyFont="1" applyBorder="1"/>
    <xf numFmtId="166" fontId="3" fillId="0" borderId="3" xfId="0" applyNumberFormat="1" applyFont="1" applyBorder="1"/>
    <xf numFmtId="167" fontId="3" fillId="0" borderId="9" xfId="0" applyNumberFormat="1" applyFont="1" applyBorder="1"/>
    <xf numFmtId="167" fontId="3" fillId="0" borderId="3" xfId="0" applyNumberFormat="1" applyFont="1" applyBorder="1"/>
    <xf numFmtId="2" fontId="3" fillId="0" borderId="3" xfId="0" applyNumberFormat="1" applyFont="1" applyBorder="1"/>
    <xf numFmtId="165" fontId="2" fillId="3" borderId="5" xfId="0" applyNumberFormat="1" applyFont="1" applyFill="1" applyBorder="1"/>
    <xf numFmtId="0" fontId="4" fillId="0" borderId="0" xfId="0" applyFont="1"/>
    <xf numFmtId="0" fontId="2" fillId="0" borderId="3" xfId="0" applyFont="1" applyBorder="1" applyAlignment="1">
      <alignment horizontal="center"/>
    </xf>
    <xf numFmtId="164" fontId="3" fillId="0" borderId="2" xfId="0" applyNumberFormat="1" applyFont="1" applyBorder="1"/>
    <xf numFmtId="3" fontId="3" fillId="0" borderId="9" xfId="0" applyNumberFormat="1" applyFont="1" applyBorder="1"/>
    <xf numFmtId="10" fontId="3" fillId="0" borderId="0" xfId="0" applyNumberFormat="1" applyFont="1"/>
    <xf numFmtId="166" fontId="3" fillId="0" borderId="10" xfId="0" applyNumberFormat="1" applyFont="1" applyBorder="1" applyAlignment="1">
      <alignment horizontal="right"/>
    </xf>
    <xf numFmtId="10" fontId="3" fillId="0" borderId="9" xfId="0" applyNumberFormat="1" applyFont="1" applyBorder="1"/>
    <xf numFmtId="10" fontId="3" fillId="2" borderId="9" xfId="0" applyNumberFormat="1" applyFont="1" applyFill="1" applyBorder="1"/>
    <xf numFmtId="2" fontId="3" fillId="0" borderId="2" xfId="0" applyNumberFormat="1" applyFont="1" applyBorder="1"/>
    <xf numFmtId="4" fontId="3" fillId="0" borderId="3" xfId="0" applyNumberFormat="1" applyFont="1" applyBorder="1"/>
    <xf numFmtId="0" fontId="5" fillId="0" borderId="0" xfId="0" applyFont="1"/>
    <xf numFmtId="0" fontId="2" fillId="0" borderId="10" xfId="0" applyFont="1" applyBorder="1" applyAlignment="1">
      <alignment horizontal="center"/>
    </xf>
    <xf numFmtId="1" fontId="3" fillId="0" borderId="7" xfId="0" applyNumberFormat="1" applyFont="1" applyBorder="1"/>
    <xf numFmtId="164" fontId="3" fillId="0" borderId="7" xfId="0" applyNumberFormat="1" applyFont="1" applyBorder="1"/>
    <xf numFmtId="165" fontId="3" fillId="0" borderId="7" xfId="0" applyNumberFormat="1" applyFont="1" applyBorder="1"/>
    <xf numFmtId="164" fontId="3" fillId="0" borderId="9" xfId="0" applyNumberFormat="1" applyFont="1" applyBorder="1"/>
    <xf numFmtId="10" fontId="3" fillId="0" borderId="7" xfId="0" applyNumberFormat="1" applyFont="1" applyBorder="1"/>
    <xf numFmtId="165" fontId="3" fillId="0" borderId="9" xfId="0" applyNumberFormat="1" applyFont="1" applyBorder="1"/>
    <xf numFmtId="166" fontId="3" fillId="0" borderId="7" xfId="0" applyNumberFormat="1" applyFont="1" applyBorder="1"/>
    <xf numFmtId="2" fontId="3" fillId="0" borderId="9" xfId="0" applyNumberFormat="1" applyFont="1" applyBorder="1"/>
    <xf numFmtId="167" fontId="3" fillId="0" borderId="7" xfId="0" applyNumberFormat="1" applyFont="1" applyBorder="1"/>
    <xf numFmtId="1" fontId="3" fillId="0" borderId="9" xfId="0" applyNumberFormat="1" applyFont="1" applyBorder="1"/>
    <xf numFmtId="4" fontId="3" fillId="0" borderId="7" xfId="0" applyNumberFormat="1" applyFont="1" applyBorder="1"/>
    <xf numFmtId="2" fontId="3" fillId="0" borderId="7" xfId="0" applyNumberFormat="1" applyFont="1" applyBorder="1"/>
    <xf numFmtId="166" fontId="3" fillId="0" borderId="9" xfId="0" applyNumberFormat="1" applyFont="1" applyBorder="1"/>
    <xf numFmtId="4" fontId="3" fillId="0" borderId="9" xfId="0" applyNumberFormat="1" applyFont="1" applyBorder="1"/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left"/>
    </xf>
    <xf numFmtId="1" fontId="2" fillId="3" borderId="5" xfId="0" applyNumberFormat="1" applyFont="1" applyFill="1" applyBorder="1"/>
    <xf numFmtId="164" fontId="2" fillId="3" borderId="5" xfId="0" applyNumberFormat="1" applyFont="1" applyFill="1" applyBorder="1"/>
    <xf numFmtId="10" fontId="2" fillId="3" borderId="5" xfId="0" applyNumberFormat="1" applyFont="1" applyFill="1" applyBorder="1"/>
    <xf numFmtId="3" fontId="2" fillId="3" borderId="5" xfId="0" applyNumberFormat="1" applyFont="1" applyFill="1" applyBorder="1"/>
    <xf numFmtId="166" fontId="2" fillId="3" borderId="5" xfId="0" applyNumberFormat="1" applyFont="1" applyFill="1" applyBorder="1"/>
    <xf numFmtId="167" fontId="2" fillId="3" borderId="5" xfId="0" applyNumberFormat="1" applyFont="1" applyFill="1" applyBorder="1"/>
    <xf numFmtId="10" fontId="2" fillId="3" borderId="6" xfId="0" applyNumberFormat="1" applyFont="1" applyFill="1" applyBorder="1"/>
    <xf numFmtId="2" fontId="2" fillId="3" borderId="5" xfId="0" applyNumberFormat="1" applyFont="1" applyFill="1" applyBorder="1"/>
    <xf numFmtId="4" fontId="2" fillId="3" borderId="5" xfId="0" applyNumberFormat="1" applyFont="1" applyFill="1" applyBorder="1"/>
    <xf numFmtId="10" fontId="3" fillId="2" borderId="10" xfId="0" applyNumberFormat="1" applyFont="1" applyFill="1" applyBorder="1"/>
    <xf numFmtId="0" fontId="4" fillId="0" borderId="0" xfId="0" applyFont="1" applyAlignment="1">
      <alignment horizontal="center" vertical="center"/>
    </xf>
    <xf numFmtId="10" fontId="5" fillId="0" borderId="0" xfId="0" applyNumberFormat="1" applyFont="1"/>
    <xf numFmtId="164" fontId="5" fillId="0" borderId="0" xfId="0" applyNumberFormat="1" applyFont="1"/>
    <xf numFmtId="2" fontId="5" fillId="0" borderId="0" xfId="0" applyNumberFormat="1" applyFont="1"/>
    <xf numFmtId="1" fontId="5" fillId="0" borderId="0" xfId="0" applyNumberFormat="1" applyFont="1"/>
    <xf numFmtId="0" fontId="2" fillId="0" borderId="11" xfId="0" applyFont="1" applyBorder="1" applyAlignment="1">
      <alignment horizontal="center" vertical="center" textRotation="90"/>
    </xf>
    <xf numFmtId="0" fontId="2" fillId="0" borderId="13" xfId="0" applyFont="1" applyBorder="1" applyAlignment="1">
      <alignment horizontal="center" vertical="center" textRotation="90"/>
    </xf>
    <xf numFmtId="0" fontId="2" fillId="0" borderId="13" xfId="0" applyFont="1" applyBorder="1" applyAlignment="1">
      <alignment horizontal="center" vertical="center"/>
    </xf>
    <xf numFmtId="164" fontId="2" fillId="0" borderId="13" xfId="0" applyNumberFormat="1" applyFont="1" applyBorder="1" applyAlignment="1">
      <alignment horizontal="center" vertical="center"/>
    </xf>
    <xf numFmtId="2" fontId="2" fillId="0" borderId="13" xfId="0" applyNumberFormat="1" applyFont="1" applyBorder="1" applyAlignment="1">
      <alignment horizontal="center" vertical="center"/>
    </xf>
    <xf numFmtId="1" fontId="2" fillId="0" borderId="13" xfId="0" applyNumberFormat="1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167" fontId="2" fillId="0" borderId="3" xfId="0" applyNumberFormat="1" applyFont="1" applyBorder="1" applyAlignment="1">
      <alignment horizontal="center" vertical="center" wrapText="1"/>
    </xf>
    <xf numFmtId="167" fontId="6" fillId="0" borderId="3" xfId="0" applyNumberFormat="1" applyFont="1" applyBorder="1" applyAlignment="1">
      <alignment horizontal="center" vertical="center" wrapText="1"/>
    </xf>
    <xf numFmtId="167" fontId="7" fillId="0" borderId="3" xfId="0" applyNumberFormat="1" applyFont="1" applyBorder="1" applyAlignment="1">
      <alignment horizontal="center" vertical="center" wrapText="1"/>
    </xf>
    <xf numFmtId="167" fontId="2" fillId="0" borderId="6" xfId="0" applyNumberFormat="1" applyFont="1" applyBorder="1" applyAlignment="1">
      <alignment horizontal="center" vertical="center"/>
    </xf>
    <xf numFmtId="167" fontId="6" fillId="0" borderId="6" xfId="0" applyNumberFormat="1" applyFont="1" applyBorder="1" applyAlignment="1">
      <alignment horizontal="center" vertical="center"/>
    </xf>
    <xf numFmtId="167" fontId="7" fillId="0" borderId="6" xfId="0" applyNumberFormat="1" applyFont="1" applyBorder="1" applyAlignment="1">
      <alignment horizontal="center" vertical="center"/>
    </xf>
    <xf numFmtId="167" fontId="2" fillId="0" borderId="13" xfId="0" applyNumberFormat="1" applyFont="1" applyBorder="1" applyAlignment="1">
      <alignment horizontal="center" vertical="center"/>
    </xf>
    <xf numFmtId="167" fontId="7" fillId="0" borderId="13" xfId="0" applyNumberFormat="1" applyFont="1" applyBorder="1" applyAlignment="1">
      <alignment horizontal="center" vertical="center"/>
    </xf>
    <xf numFmtId="167" fontId="8" fillId="0" borderId="3" xfId="0" applyNumberFormat="1" applyFont="1" applyBorder="1"/>
    <xf numFmtId="167" fontId="9" fillId="0" borderId="3" xfId="0" applyNumberFormat="1" applyFont="1" applyBorder="1"/>
    <xf numFmtId="167" fontId="9" fillId="0" borderId="7" xfId="0" applyNumberFormat="1" applyFont="1" applyBorder="1"/>
    <xf numFmtId="167" fontId="9" fillId="0" borderId="9" xfId="0" applyNumberFormat="1" applyFont="1" applyBorder="1"/>
    <xf numFmtId="167" fontId="6" fillId="3" borderId="5" xfId="0" applyNumberFormat="1" applyFont="1" applyFill="1" applyBorder="1"/>
    <xf numFmtId="167" fontId="7" fillId="3" borderId="5" xfId="0" applyNumberFormat="1" applyFont="1" applyFill="1" applyBorder="1"/>
    <xf numFmtId="167" fontId="5" fillId="0" borderId="0" xfId="0" applyNumberFormat="1" applyFont="1"/>
    <xf numFmtId="167" fontId="10" fillId="0" borderId="0" xfId="0" applyNumberFormat="1" applyFont="1"/>
    <xf numFmtId="167" fontId="11" fillId="0" borderId="0" xfId="0" applyNumberFormat="1" applyFont="1"/>
    <xf numFmtId="167" fontId="8" fillId="0" borderId="10" xfId="0" applyNumberFormat="1" applyFont="1" applyBorder="1"/>
    <xf numFmtId="10" fontId="2" fillId="0" borderId="3" xfId="0" applyNumberFormat="1" applyFont="1" applyBorder="1" applyAlignment="1">
      <alignment horizontal="center" vertical="center" wrapText="1"/>
    </xf>
    <xf numFmtId="10" fontId="2" fillId="0" borderId="6" xfId="0" applyNumberFormat="1" applyFont="1" applyBorder="1" applyAlignment="1">
      <alignment horizontal="center" vertical="center"/>
    </xf>
    <xf numFmtId="10" fontId="2" fillId="0" borderId="14" xfId="0" applyNumberFormat="1" applyFont="1" applyBorder="1" applyAlignment="1">
      <alignment horizontal="center" vertical="center"/>
    </xf>
    <xf numFmtId="10" fontId="3" fillId="0" borderId="13" xfId="0" applyNumberFormat="1" applyFont="1" applyBorder="1"/>
    <xf numFmtId="2" fontId="2" fillId="0" borderId="14" xfId="0" applyNumberFormat="1" applyFont="1" applyBorder="1" applyAlignment="1">
      <alignment horizontal="center" vertical="center"/>
    </xf>
    <xf numFmtId="167" fontId="6" fillId="0" borderId="14" xfId="0" applyNumberFormat="1" applyFont="1" applyBorder="1" applyAlignment="1">
      <alignment horizontal="center" vertical="center"/>
    </xf>
    <xf numFmtId="164" fontId="2" fillId="0" borderId="3" xfId="2" applyNumberFormat="1" applyFont="1" applyBorder="1" applyAlignment="1">
      <alignment horizontal="center" vertical="center" wrapText="1"/>
    </xf>
    <xf numFmtId="3" fontId="3" fillId="0" borderId="10" xfId="0" applyNumberFormat="1" applyFont="1" applyBorder="1"/>
    <xf numFmtId="0" fontId="2" fillId="0" borderId="3" xfId="0" applyFont="1" applyBorder="1" applyAlignment="1">
      <alignment horizontal="center" vertical="center" wrapText="1"/>
    </xf>
    <xf numFmtId="2" fontId="13" fillId="0" borderId="3" xfId="0" applyNumberFormat="1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13" xfId="0" applyFont="1" applyBorder="1" applyAlignment="1">
      <alignment horizontal="center" vertical="center"/>
    </xf>
    <xf numFmtId="10" fontId="14" fillId="0" borderId="2" xfId="0" applyNumberFormat="1" applyFont="1" applyBorder="1"/>
    <xf numFmtId="2" fontId="14" fillId="0" borderId="2" xfId="0" applyNumberFormat="1" applyFont="1" applyBorder="1"/>
    <xf numFmtId="10" fontId="14" fillId="0" borderId="7" xfId="0" applyNumberFormat="1" applyFont="1" applyBorder="1"/>
    <xf numFmtId="2" fontId="14" fillId="0" borderId="7" xfId="0" applyNumberFormat="1" applyFont="1" applyBorder="1"/>
    <xf numFmtId="10" fontId="14" fillId="0" borderId="9" xfId="0" applyNumberFormat="1" applyFont="1" applyBorder="1"/>
    <xf numFmtId="2" fontId="14" fillId="0" borderId="9" xfId="0" applyNumberFormat="1" applyFont="1" applyBorder="1"/>
    <xf numFmtId="10" fontId="13" fillId="3" borderId="5" xfId="0" applyNumberFormat="1" applyFont="1" applyFill="1" applyBorder="1"/>
    <xf numFmtId="2" fontId="13" fillId="3" borderId="5" xfId="0" applyNumberFormat="1" applyFont="1" applyFill="1" applyBorder="1"/>
    <xf numFmtId="0" fontId="15" fillId="0" borderId="0" xfId="0" applyFont="1"/>
    <xf numFmtId="165" fontId="2" fillId="0" borderId="13" xfId="0" applyNumberFormat="1" applyFont="1" applyBorder="1" applyAlignment="1">
      <alignment horizontal="center" vertical="center"/>
    </xf>
    <xf numFmtId="10" fontId="14" fillId="0" borderId="3" xfId="0" applyNumberFormat="1" applyFont="1" applyBorder="1"/>
    <xf numFmtId="10" fontId="14" fillId="0" borderId="13" xfId="0" applyNumberFormat="1" applyFont="1" applyBorder="1"/>
    <xf numFmtId="166" fontId="13" fillId="0" borderId="3" xfId="0" applyNumberFormat="1" applyFont="1" applyBorder="1" applyAlignment="1">
      <alignment horizontal="center" vertical="center" wrapText="1"/>
    </xf>
    <xf numFmtId="166" fontId="13" fillId="0" borderId="6" xfId="0" applyNumberFormat="1" applyFont="1" applyBorder="1" applyAlignment="1">
      <alignment horizontal="center" vertical="center"/>
    </xf>
    <xf numFmtId="166" fontId="13" fillId="0" borderId="13" xfId="0" applyNumberFormat="1" applyFont="1" applyBorder="1" applyAlignment="1">
      <alignment horizontal="center" vertical="center"/>
    </xf>
    <xf numFmtId="166" fontId="14" fillId="0" borderId="3" xfId="0" applyNumberFormat="1" applyFont="1" applyBorder="1"/>
    <xf numFmtId="166" fontId="14" fillId="0" borderId="7" xfId="0" applyNumberFormat="1" applyFont="1" applyBorder="1"/>
    <xf numFmtId="166" fontId="14" fillId="0" borderId="9" xfId="0" applyNumberFormat="1" applyFont="1" applyBorder="1"/>
    <xf numFmtId="166" fontId="13" fillId="3" borderId="5" xfId="0" applyNumberFormat="1" applyFont="1" applyFill="1" applyBorder="1"/>
    <xf numFmtId="166" fontId="15" fillId="0" borderId="0" xfId="0" applyNumberFormat="1" applyFont="1"/>
    <xf numFmtId="167" fontId="3" fillId="0" borderId="10" xfId="0" applyNumberFormat="1" applyFont="1" applyBorder="1"/>
    <xf numFmtId="0" fontId="2" fillId="0" borderId="1" xfId="0" applyFont="1" applyBorder="1" applyAlignment="1">
      <alignment horizontal="center" vertical="center" textRotation="90"/>
    </xf>
    <xf numFmtId="0" fontId="2" fillId="0" borderId="4" xfId="0" applyFont="1" applyBorder="1" applyAlignment="1">
      <alignment horizontal="center" vertical="center" textRotation="90"/>
    </xf>
    <xf numFmtId="0" fontId="2" fillId="0" borderId="2" xfId="0" applyFont="1" applyBorder="1" applyAlignment="1">
      <alignment horizontal="center" vertical="center" textRotation="90"/>
    </xf>
    <xf numFmtId="0" fontId="2" fillId="0" borderId="5" xfId="0" applyFont="1" applyBorder="1" applyAlignment="1">
      <alignment horizontal="center" vertical="center" textRotation="90"/>
    </xf>
    <xf numFmtId="0" fontId="2" fillId="0" borderId="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167" fontId="16" fillId="0" borderId="3" xfId="0" applyNumberFormat="1" applyFont="1" applyBorder="1"/>
    <xf numFmtId="167" fontId="8" fillId="0" borderId="9" xfId="0" applyNumberFormat="1" applyFont="1" applyBorder="1"/>
    <xf numFmtId="167" fontId="14" fillId="0" borderId="3" xfId="0" applyNumberFormat="1" applyFont="1" applyBorder="1"/>
    <xf numFmtId="164" fontId="3" fillId="0" borderId="3" xfId="0" applyNumberFormat="1" applyFont="1" applyBorder="1" applyAlignment="1">
      <alignment horizontal="right"/>
    </xf>
    <xf numFmtId="164" fontId="3" fillId="0" borderId="7" xfId="0" applyNumberFormat="1" applyFont="1" applyBorder="1" applyAlignment="1">
      <alignment horizontal="right"/>
    </xf>
    <xf numFmtId="164" fontId="3" fillId="0" borderId="9" xfId="0" applyNumberFormat="1" applyFont="1" applyBorder="1" applyAlignment="1">
      <alignment horizontal="right"/>
    </xf>
    <xf numFmtId="167" fontId="9" fillId="0" borderId="10" xfId="0" applyNumberFormat="1" applyFont="1" applyBorder="1"/>
    <xf numFmtId="0" fontId="2" fillId="3" borderId="13" xfId="0" applyFont="1" applyFill="1" applyBorder="1" applyAlignment="1">
      <alignment horizontal="center"/>
    </xf>
    <xf numFmtId="167" fontId="6" fillId="3" borderId="13" xfId="0" applyNumberFormat="1" applyFont="1" applyFill="1" applyBorder="1"/>
    <xf numFmtId="1" fontId="2" fillId="3" borderId="6" xfId="0" applyNumberFormat="1" applyFont="1" applyFill="1" applyBorder="1"/>
    <xf numFmtId="164" fontId="2" fillId="3" borderId="6" xfId="0" applyNumberFormat="1" applyFont="1" applyFill="1" applyBorder="1"/>
    <xf numFmtId="167" fontId="2" fillId="3" borderId="6" xfId="0" applyNumberFormat="1" applyFont="1" applyFill="1" applyBorder="1"/>
    <xf numFmtId="4" fontId="2" fillId="3" borderId="6" xfId="0" applyNumberFormat="1" applyFont="1" applyFill="1" applyBorder="1"/>
    <xf numFmtId="2" fontId="2" fillId="3" borderId="6" xfId="0" applyNumberFormat="1" applyFont="1" applyFill="1" applyBorder="1"/>
    <xf numFmtId="0" fontId="13" fillId="0" borderId="6" xfId="0" applyFont="1" applyBorder="1" applyAlignment="1">
      <alignment horizontal="center" vertical="center"/>
    </xf>
    <xf numFmtId="0" fontId="3" fillId="0" borderId="15" xfId="0" applyFont="1" applyBorder="1" applyAlignment="1">
      <alignment horizontal="left"/>
    </xf>
    <xf numFmtId="0" fontId="2" fillId="0" borderId="3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textRotation="90"/>
    </xf>
    <xf numFmtId="0" fontId="2" fillId="0" borderId="4" xfId="0" applyFont="1" applyBorder="1" applyAlignment="1">
      <alignment horizontal="center" vertical="center" textRotation="90"/>
    </xf>
    <xf numFmtId="0" fontId="2" fillId="0" borderId="2" xfId="0" applyFont="1" applyBorder="1" applyAlignment="1">
      <alignment horizontal="center" vertical="center" textRotation="90"/>
    </xf>
    <xf numFmtId="0" fontId="2" fillId="0" borderId="5" xfId="0" applyFont="1" applyBorder="1" applyAlignment="1">
      <alignment horizontal="center" vertical="center" textRotation="90"/>
    </xf>
    <xf numFmtId="0" fontId="2" fillId="0" borderId="13" xfId="0" applyFont="1" applyBorder="1" applyAlignment="1">
      <alignment horizontal="center" vertical="center"/>
    </xf>
  </cellXfs>
  <cellStyles count="3">
    <cellStyle name="Normal" xfId="0" builtinId="0"/>
    <cellStyle name="Normal 2" xfId="1" xr:uid="{00000000-0005-0000-0000-000001000000}"/>
    <cellStyle name="Percent" xfId="2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PULSE_Reports/MFC/Dispecheri/2025/Doklad_Dispecheri_2025.xlsx" TargetMode="External"/><Relationship Id="rId2" Type="http://schemas.openxmlformats.org/officeDocument/2006/relationships/externalLinkPath" Target="file:///W:\PULSE_Reports\MFC\Dispecheri\2025\Doklad_Dispecheri_2025.xlsx" TargetMode="External"/><Relationship Id="rId1" Type="http://schemas.openxmlformats.org/officeDocument/2006/relationships/externalLinkPath" Target="/PULSE_Reports/MFC/Dispecheri/2025/Doklad_Dispecheri_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Януари "/>
      <sheetName val="Февруари"/>
      <sheetName val="Март"/>
      <sheetName val="Април"/>
      <sheetName val="Май"/>
      <sheetName val="Юни"/>
      <sheetName val="Юли"/>
      <sheetName val="Август"/>
      <sheetName val="Септември"/>
      <sheetName val="Октомври"/>
      <sheetName val="Ноември"/>
      <sheetName val="Декември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127">
          <cell r="AU127">
            <v>1441.6199999999994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127"/>
  <sheetViews>
    <sheetView zoomScale="110" zoomScaleNormal="110" workbookViewId="0">
      <pane xSplit="3" ySplit="2" topLeftCell="D113" activePane="bottomRight" state="frozen"/>
      <selection pane="bottomRight" sqref="A1:XFD127"/>
      <selection pane="bottomLeft" activeCell="A3" sqref="A3"/>
      <selection pane="topRight" activeCell="D1" sqref="D1"/>
    </sheetView>
  </sheetViews>
  <sheetFormatPr defaultColWidth="9.140625" defaultRowHeight="12.75"/>
  <cols>
    <col min="1" max="1" width="3.28515625" style="59" bestFit="1" customWidth="1"/>
    <col min="2" max="2" width="5.85546875" style="21" customWidth="1"/>
    <col min="3" max="3" width="16" style="31" customWidth="1"/>
    <col min="4" max="4" width="13.140625" style="31" customWidth="1"/>
    <col min="5" max="5" width="10.7109375" style="31" customWidth="1"/>
    <col min="6" max="6" width="11.28515625" style="31" customWidth="1"/>
    <col min="7" max="7" width="9.42578125" style="61" customWidth="1"/>
    <col min="8" max="8" width="8.85546875" style="31" customWidth="1"/>
    <col min="9" max="9" width="12.7109375" style="31" customWidth="1"/>
    <col min="10" max="10" width="10.85546875" style="61" customWidth="1"/>
    <col min="11" max="11" width="11.28515625" style="31" customWidth="1"/>
    <col min="12" max="12" width="10.42578125" style="31" customWidth="1"/>
    <col min="13" max="13" width="12.5703125" style="31" customWidth="1"/>
    <col min="14" max="14" width="8.5703125" style="31" bestFit="1" customWidth="1"/>
    <col min="15" max="15" width="10.7109375" style="31" hidden="1" customWidth="1"/>
    <col min="16" max="16" width="8.5703125" style="31" customWidth="1"/>
    <col min="17" max="17" width="0.7109375" style="31" hidden="1" customWidth="1"/>
    <col min="18" max="18" width="7.7109375" style="31" bestFit="1" customWidth="1"/>
    <col min="19" max="19" width="13.5703125" style="31" customWidth="1"/>
    <col min="20" max="20" width="8.42578125" style="31" hidden="1" customWidth="1"/>
    <col min="21" max="21" width="9" style="31" customWidth="1"/>
    <col min="22" max="22" width="6.7109375" style="31" hidden="1" customWidth="1"/>
    <col min="23" max="23" width="9" style="31" customWidth="1"/>
    <col min="24" max="24" width="7.42578125" style="31" hidden="1" customWidth="1"/>
    <col min="25" max="25" width="9.85546875" style="31" customWidth="1"/>
    <col min="26" max="26" width="14.42578125" style="31" hidden="1" customWidth="1"/>
    <col min="27" max="27" width="12.140625" style="120" customWidth="1"/>
    <col min="28" max="28" width="0.42578125" style="31" hidden="1" customWidth="1"/>
    <col min="29" max="29" width="12.28515625" style="31" customWidth="1"/>
    <col min="30" max="30" width="7.5703125" style="31" hidden="1" customWidth="1"/>
    <col min="31" max="31" width="11.7109375" style="31" hidden="1" customWidth="1"/>
    <col min="32" max="32" width="12.28515625" style="31" customWidth="1"/>
    <col min="33" max="33" width="0.42578125" style="31" hidden="1" customWidth="1"/>
    <col min="34" max="34" width="12.85546875" style="60" customWidth="1"/>
    <col min="35" max="35" width="15" style="62" hidden="1" customWidth="1"/>
    <col min="36" max="36" width="11" style="31" customWidth="1"/>
    <col min="37" max="37" width="10" style="31" customWidth="1"/>
    <col min="38" max="38" width="12" style="31" customWidth="1"/>
    <col min="39" max="39" width="8.85546875" style="61" customWidth="1"/>
    <col min="40" max="40" width="12.5703125" style="62" customWidth="1"/>
    <col min="41" max="41" width="12.28515625" style="62" customWidth="1"/>
    <col min="42" max="42" width="8.5703125" style="31" customWidth="1"/>
    <col min="43" max="43" width="11.7109375" style="109" customWidth="1"/>
    <col min="44" max="44" width="11.85546875" style="31" customWidth="1"/>
    <col min="45" max="45" width="12.7109375" style="85" customWidth="1"/>
    <col min="46" max="46" width="11.5703125" style="86" customWidth="1"/>
    <col min="47" max="47" width="11.5703125" style="87" customWidth="1"/>
    <col min="48" max="48" width="12.140625" style="63" customWidth="1"/>
    <col min="49" max="49" width="14.85546875" style="31" customWidth="1"/>
    <col min="50" max="50" width="6.42578125" style="31" bestFit="1" customWidth="1"/>
    <col min="51" max="51" width="10.42578125" style="31" customWidth="1"/>
    <col min="52" max="52" width="6.42578125" style="31" bestFit="1" customWidth="1"/>
    <col min="53" max="53" width="11.140625" style="31" customWidth="1"/>
    <col min="54" max="16384" width="9.140625" style="31"/>
  </cols>
  <sheetData>
    <row r="1" spans="1:53" s="21" customFormat="1" ht="66" customHeight="1">
      <c r="A1" s="150" t="s">
        <v>0</v>
      </c>
      <c r="B1" s="152" t="s">
        <v>1</v>
      </c>
      <c r="C1" s="145" t="s">
        <v>2</v>
      </c>
      <c r="D1" s="97" t="s">
        <v>3</v>
      </c>
      <c r="E1" s="97" t="s">
        <v>4</v>
      </c>
      <c r="F1" s="97" t="s">
        <v>5</v>
      </c>
      <c r="G1" s="2" t="s">
        <v>6</v>
      </c>
      <c r="H1" s="97" t="s">
        <v>7</v>
      </c>
      <c r="I1" s="97" t="s">
        <v>8</v>
      </c>
      <c r="J1" s="95" t="s">
        <v>9</v>
      </c>
      <c r="K1" s="97" t="s">
        <v>10</v>
      </c>
      <c r="L1" s="97" t="s">
        <v>11</v>
      </c>
      <c r="M1" s="97" t="s">
        <v>12</v>
      </c>
      <c r="N1" s="97" t="s">
        <v>13</v>
      </c>
      <c r="O1" s="97"/>
      <c r="P1" s="1" t="s">
        <v>14</v>
      </c>
      <c r="Q1" s="1"/>
      <c r="R1" s="1" t="s">
        <v>15</v>
      </c>
      <c r="S1" s="99" t="s">
        <v>16</v>
      </c>
      <c r="T1" s="1"/>
      <c r="U1" s="97" t="s">
        <v>17</v>
      </c>
      <c r="V1" s="97"/>
      <c r="W1" s="97" t="s">
        <v>18</v>
      </c>
      <c r="X1" s="97"/>
      <c r="Y1" s="97" t="s">
        <v>19</v>
      </c>
      <c r="Z1" s="97"/>
      <c r="AA1" s="113" t="s">
        <v>20</v>
      </c>
      <c r="AB1" s="99" t="s">
        <v>21</v>
      </c>
      <c r="AC1" s="97" t="s">
        <v>22</v>
      </c>
      <c r="AD1" s="97" t="s">
        <v>23</v>
      </c>
      <c r="AE1" s="97" t="s">
        <v>24</v>
      </c>
      <c r="AF1" s="97" t="s">
        <v>25</v>
      </c>
      <c r="AG1" s="97" t="s">
        <v>26</v>
      </c>
      <c r="AH1" s="89" t="s">
        <v>27</v>
      </c>
      <c r="AI1" s="3" t="s">
        <v>28</v>
      </c>
      <c r="AJ1" s="97" t="s">
        <v>29</v>
      </c>
      <c r="AK1" s="97" t="s">
        <v>30</v>
      </c>
      <c r="AL1" s="97" t="s">
        <v>31</v>
      </c>
      <c r="AM1" s="2" t="s">
        <v>32</v>
      </c>
      <c r="AN1" s="3" t="s">
        <v>33</v>
      </c>
      <c r="AO1" s="98" t="s">
        <v>34</v>
      </c>
      <c r="AP1" s="97" t="s">
        <v>35</v>
      </c>
      <c r="AQ1" s="99" t="s">
        <v>36</v>
      </c>
      <c r="AR1" s="97" t="s">
        <v>37</v>
      </c>
      <c r="AS1" s="71" t="s">
        <v>38</v>
      </c>
      <c r="AT1" s="72" t="s">
        <v>39</v>
      </c>
      <c r="AU1" s="73" t="s">
        <v>39</v>
      </c>
      <c r="AV1" s="4" t="s">
        <v>40</v>
      </c>
      <c r="AW1" s="97" t="s">
        <v>41</v>
      </c>
      <c r="AX1" s="144" t="s">
        <v>42</v>
      </c>
      <c r="AY1" s="144"/>
      <c r="AZ1" s="144" t="s">
        <v>43</v>
      </c>
      <c r="BA1" s="144"/>
    </row>
    <row r="2" spans="1:53" s="21" customFormat="1" ht="13.5" thickBot="1">
      <c r="A2" s="151"/>
      <c r="B2" s="153"/>
      <c r="C2" s="146"/>
      <c r="D2" s="5" t="s">
        <v>44</v>
      </c>
      <c r="E2" s="5" t="s">
        <v>45</v>
      </c>
      <c r="F2" s="5" t="s">
        <v>44</v>
      </c>
      <c r="G2" s="7" t="s">
        <v>46</v>
      </c>
      <c r="H2" s="5" t="s">
        <v>46</v>
      </c>
      <c r="I2" s="5" t="s">
        <v>44</v>
      </c>
      <c r="J2" s="5" t="s">
        <v>45</v>
      </c>
      <c r="K2" s="5" t="s">
        <v>44</v>
      </c>
      <c r="L2" s="5" t="s">
        <v>46</v>
      </c>
      <c r="M2" s="5" t="s">
        <v>44</v>
      </c>
      <c r="N2" s="5" t="s">
        <v>46</v>
      </c>
      <c r="O2" s="6"/>
      <c r="P2" s="5" t="s">
        <v>46</v>
      </c>
      <c r="Q2" s="5"/>
      <c r="R2" s="5" t="s">
        <v>46</v>
      </c>
      <c r="S2" s="5" t="s">
        <v>46</v>
      </c>
      <c r="T2" s="5"/>
      <c r="U2" s="5" t="s">
        <v>46</v>
      </c>
      <c r="V2" s="5"/>
      <c r="W2" s="5" t="s">
        <v>47</v>
      </c>
      <c r="X2" s="5"/>
      <c r="Y2" s="5" t="s">
        <v>47</v>
      </c>
      <c r="Z2" s="5"/>
      <c r="AA2" s="114" t="s">
        <v>46</v>
      </c>
      <c r="AB2" s="5" t="s">
        <v>46</v>
      </c>
      <c r="AC2" s="5" t="s">
        <v>46</v>
      </c>
      <c r="AD2" s="5" t="s">
        <v>46</v>
      </c>
      <c r="AE2" s="5" t="s">
        <v>46</v>
      </c>
      <c r="AF2" s="5" t="s">
        <v>46</v>
      </c>
      <c r="AG2" s="5" t="s">
        <v>44</v>
      </c>
      <c r="AH2" s="90" t="s">
        <v>46</v>
      </c>
      <c r="AI2" s="8" t="s">
        <v>44</v>
      </c>
      <c r="AJ2" s="5" t="s">
        <v>46</v>
      </c>
      <c r="AK2" s="5" t="s">
        <v>46</v>
      </c>
      <c r="AL2" s="5" t="s">
        <v>44</v>
      </c>
      <c r="AM2" s="7" t="s">
        <v>46</v>
      </c>
      <c r="AN2" s="8" t="s">
        <v>46</v>
      </c>
      <c r="AO2" s="5" t="s">
        <v>46</v>
      </c>
      <c r="AP2" s="5" t="s">
        <v>44</v>
      </c>
      <c r="AQ2" s="5" t="s">
        <v>44</v>
      </c>
      <c r="AR2" s="5" t="s">
        <v>48</v>
      </c>
      <c r="AS2" s="74" t="s">
        <v>49</v>
      </c>
      <c r="AT2" s="75" t="s">
        <v>49</v>
      </c>
      <c r="AU2" s="76" t="s">
        <v>49</v>
      </c>
      <c r="AV2" s="9" t="s">
        <v>50</v>
      </c>
      <c r="AW2" s="5" t="s">
        <v>46</v>
      </c>
      <c r="AX2" s="5" t="s">
        <v>51</v>
      </c>
      <c r="AY2" s="5" t="s">
        <v>52</v>
      </c>
      <c r="AZ2" s="5" t="s">
        <v>51</v>
      </c>
      <c r="BA2" s="5" t="s">
        <v>52</v>
      </c>
    </row>
    <row r="3" spans="1:53" s="21" customFormat="1" ht="13.5" thickBot="1">
      <c r="A3" s="64"/>
      <c r="B3" s="65"/>
      <c r="C3" s="70"/>
      <c r="D3" s="66"/>
      <c r="E3" s="66"/>
      <c r="F3" s="66"/>
      <c r="G3" s="67"/>
      <c r="H3" s="66"/>
      <c r="I3" s="66"/>
      <c r="J3" s="67"/>
      <c r="K3" s="66"/>
      <c r="L3" s="66"/>
      <c r="M3" s="66"/>
      <c r="N3" s="66"/>
      <c r="O3" s="6"/>
      <c r="P3" s="66"/>
      <c r="Q3" s="6"/>
      <c r="R3" s="66"/>
      <c r="S3" s="110"/>
      <c r="T3" s="6"/>
      <c r="U3" s="70"/>
      <c r="V3" s="6"/>
      <c r="W3" s="66"/>
      <c r="X3" s="6"/>
      <c r="Y3" s="66"/>
      <c r="Z3" s="70"/>
      <c r="AA3" s="115"/>
      <c r="AB3" s="66"/>
      <c r="AC3" s="66"/>
      <c r="AD3" s="6"/>
      <c r="AE3" s="70"/>
      <c r="AF3" s="66"/>
      <c r="AG3" s="66"/>
      <c r="AH3" s="91"/>
      <c r="AI3" s="93"/>
      <c r="AJ3" s="70"/>
      <c r="AK3" s="70"/>
      <c r="AL3" s="66"/>
      <c r="AM3" s="67"/>
      <c r="AN3" s="68"/>
      <c r="AO3" s="68"/>
      <c r="AP3" s="66"/>
      <c r="AQ3" s="100"/>
      <c r="AR3" s="66"/>
      <c r="AS3" s="77"/>
      <c r="AT3" s="94">
        <f>[1]Декември!AU127</f>
        <v>1441.6199999999994</v>
      </c>
      <c r="AU3" s="78"/>
      <c r="AV3" s="69"/>
      <c r="AW3" s="66"/>
      <c r="AX3" s="66"/>
      <c r="AY3" s="66"/>
      <c r="AZ3" s="66"/>
      <c r="BA3" s="66"/>
    </row>
    <row r="4" spans="1:53" ht="13.5" thickBot="1">
      <c r="A4" s="147">
        <v>1</v>
      </c>
      <c r="B4" s="22">
        <v>1</v>
      </c>
      <c r="C4" s="10" t="s">
        <v>53</v>
      </c>
      <c r="D4" s="11">
        <v>10200</v>
      </c>
      <c r="E4" s="11">
        <v>5</v>
      </c>
      <c r="F4" s="11">
        <v>14204</v>
      </c>
      <c r="G4" s="12">
        <v>0.9</v>
      </c>
      <c r="H4" s="12">
        <v>7.3</v>
      </c>
      <c r="I4" s="11">
        <v>13837</v>
      </c>
      <c r="J4" s="12">
        <v>3</v>
      </c>
      <c r="K4" s="11">
        <v>16058</v>
      </c>
      <c r="L4" s="13">
        <v>4.8000000000000001E-2</v>
      </c>
      <c r="M4" s="23">
        <f>ROUND(K4*(1-L4),0)</f>
        <v>15287</v>
      </c>
      <c r="N4" s="14">
        <v>0.70199999999999996</v>
      </c>
      <c r="O4" s="24">
        <f t="shared" ref="O4:O6" si="0">M4*N4</f>
        <v>10731.474</v>
      </c>
      <c r="P4" s="13">
        <v>0.19800000000000001</v>
      </c>
      <c r="Q4" s="24">
        <f t="shared" ref="Q4:Q6" si="1">M4*P4</f>
        <v>3026.826</v>
      </c>
      <c r="R4" s="15">
        <v>0.1</v>
      </c>
      <c r="S4" s="111"/>
      <c r="T4" s="24">
        <f t="shared" ref="T4:T6" si="2">M4*R4</f>
        <v>1528.7</v>
      </c>
      <c r="U4" s="25">
        <v>0.24199999999999999</v>
      </c>
      <c r="V4" s="24">
        <f t="shared" ref="V4:V6" si="3">M4*U4</f>
        <v>3699.4539999999997</v>
      </c>
      <c r="W4" s="15">
        <v>0.49199999999999999</v>
      </c>
      <c r="X4" s="24">
        <f>M4*W4</f>
        <v>7521.2039999999997</v>
      </c>
      <c r="Y4" s="15">
        <v>0.41</v>
      </c>
      <c r="Z4" s="96">
        <f t="shared" ref="Z4:Z6" si="4">Y4*M4</f>
        <v>6267.67</v>
      </c>
      <c r="AA4" s="116">
        <v>2.7200000000000002E-3</v>
      </c>
      <c r="AB4" s="18">
        <f>M4*AA4</f>
        <v>41.580640000000002</v>
      </c>
      <c r="AC4" s="16">
        <v>2.47E-3</v>
      </c>
      <c r="AD4" s="18">
        <f>M4*AC4</f>
        <v>37.758890000000001</v>
      </c>
      <c r="AE4" s="26">
        <f>IF(M4&gt;0,(AG4+AP4)/M4,0)</f>
        <v>2.5474268136324988E-3</v>
      </c>
      <c r="AF4" s="16">
        <v>2.9999999999999997E-4</v>
      </c>
      <c r="AG4" s="23">
        <f t="shared" ref="AG4:AG6" si="5">AF4*M4</f>
        <v>4.5860999999999992</v>
      </c>
      <c r="AH4" s="92">
        <v>0.21049999999999999</v>
      </c>
      <c r="AI4" s="29">
        <f>AL4*(1-AM4)*AH4</f>
        <v>33.007873500000002</v>
      </c>
      <c r="AJ4" s="27">
        <f>IF(AND(AH4&gt;0,AF4&gt;0,AC4&gt;0),((AC4-AF4)*AH4)/((AH4-AF4)*AC4),0)</f>
        <v>0.8797963766915643</v>
      </c>
      <c r="AK4" s="58">
        <f t="shared" ref="AK4:AK67" si="6">IF(AND(AE4&gt;0,AN4&gt;0,AF4&gt;0),((AN4*(AE4-AF4))/(AE4*(AN4-AF4))),0)</f>
        <v>0.88344374903916667</v>
      </c>
      <c r="AL4" s="11">
        <v>171</v>
      </c>
      <c r="AM4" s="13">
        <v>8.3000000000000004E-2</v>
      </c>
      <c r="AN4" s="14">
        <v>0.21909999999999999</v>
      </c>
      <c r="AO4" s="101">
        <v>0.22889999999999999</v>
      </c>
      <c r="AP4" s="29">
        <f>AL4*(1-AM4)*AN4</f>
        <v>34.356413700000004</v>
      </c>
      <c r="AQ4" s="102">
        <f>AL4*(1-AM4)*AO4</f>
        <v>35.893122300000002</v>
      </c>
      <c r="AR4" s="18">
        <v>1.66</v>
      </c>
      <c r="AS4" s="18"/>
      <c r="AT4" s="88">
        <f>AT3+AL4-AS4</f>
        <v>1612.6199999999994</v>
      </c>
      <c r="AU4" s="80"/>
      <c r="AV4" s="11"/>
      <c r="AW4" s="30"/>
      <c r="AX4" s="19"/>
      <c r="AY4" s="19"/>
      <c r="AZ4" s="19"/>
      <c r="BA4" s="19"/>
    </row>
    <row r="5" spans="1:53">
      <c r="A5" s="148"/>
      <c r="B5" s="32">
        <v>2</v>
      </c>
      <c r="C5" s="10" t="s">
        <v>54</v>
      </c>
      <c r="D5" s="33">
        <v>17500</v>
      </c>
      <c r="E5" s="33">
        <v>8</v>
      </c>
      <c r="F5" s="33">
        <v>16708</v>
      </c>
      <c r="G5" s="34">
        <v>0.6</v>
      </c>
      <c r="H5" s="34">
        <v>6.5</v>
      </c>
      <c r="I5" s="33">
        <v>16484</v>
      </c>
      <c r="J5" s="34">
        <v>3.3</v>
      </c>
      <c r="K5" s="33">
        <v>16154</v>
      </c>
      <c r="L5" s="35">
        <v>4.9000000000000002E-2</v>
      </c>
      <c r="M5" s="36">
        <f>ROUND(K5*(1-L5),0)</f>
        <v>15362</v>
      </c>
      <c r="N5" s="37">
        <v>0.59</v>
      </c>
      <c r="O5" s="24">
        <f t="shared" si="0"/>
        <v>9063.58</v>
      </c>
      <c r="P5" s="35">
        <v>0.33900000000000002</v>
      </c>
      <c r="Q5" s="24">
        <f t="shared" si="1"/>
        <v>5207.7180000000008</v>
      </c>
      <c r="R5" s="38">
        <v>7.0999999999999994E-2</v>
      </c>
      <c r="S5" s="105"/>
      <c r="T5" s="24">
        <f t="shared" si="2"/>
        <v>1090.702</v>
      </c>
      <c r="U5" s="27">
        <v>0.27600000000000002</v>
      </c>
      <c r="V5" s="24">
        <f t="shared" si="3"/>
        <v>4239.9120000000003</v>
      </c>
      <c r="W5" s="38">
        <v>0.46500000000000002</v>
      </c>
      <c r="X5" s="24">
        <f>M5*W5</f>
        <v>7143.33</v>
      </c>
      <c r="Y5" s="38">
        <v>0.4</v>
      </c>
      <c r="Z5" s="24">
        <f t="shared" si="4"/>
        <v>6144.8</v>
      </c>
      <c r="AA5" s="117">
        <v>2.4499999999999999E-3</v>
      </c>
      <c r="AB5" s="18">
        <f t="shared" ref="AB5:AB6" si="7">M5*AA5</f>
        <v>37.636899999999997</v>
      </c>
      <c r="AC5" s="39">
        <v>2.3400000000000001E-3</v>
      </c>
      <c r="AD5" s="17">
        <f>M5*AC5</f>
        <v>35.94708</v>
      </c>
      <c r="AE5" s="26">
        <f>IF(M5&gt;0,(AG5+AP5)/M5,0)</f>
        <v>2.6066588920713456E-3</v>
      </c>
      <c r="AF5" s="39">
        <v>2.9999999999999997E-4</v>
      </c>
      <c r="AG5" s="36">
        <f t="shared" si="5"/>
        <v>4.6086</v>
      </c>
      <c r="AH5" s="27">
        <v>0.20979999999999999</v>
      </c>
      <c r="AI5" s="40">
        <f>AL5*(1-AM5)*AH5</f>
        <v>35.283534600000003</v>
      </c>
      <c r="AJ5" s="27">
        <f>IF(AND(AH5&gt;0,AF5&gt;0,AC5&gt;0),((AC5-AF5)*AH5)/((AH5-AF5)*AC5),0)</f>
        <v>0.87304326540603383</v>
      </c>
      <c r="AK5" s="28">
        <f t="shared" si="6"/>
        <v>0.88617189667435092</v>
      </c>
      <c r="AL5" s="33">
        <v>183</v>
      </c>
      <c r="AM5" s="35">
        <v>8.1000000000000003E-2</v>
      </c>
      <c r="AN5" s="37">
        <v>0.2107</v>
      </c>
      <c r="AO5" s="103">
        <v>0.2213</v>
      </c>
      <c r="AP5" s="40">
        <f>AL5*(1-AM5)*AN5</f>
        <v>35.434893900000006</v>
      </c>
      <c r="AQ5" s="104">
        <f t="shared" ref="AQ5:AQ6" si="8">AL5*(1-AM5)*AO5</f>
        <v>37.217570100000003</v>
      </c>
      <c r="AR5" s="41">
        <v>1.65</v>
      </c>
      <c r="AS5" s="41"/>
      <c r="AT5" s="88">
        <f>AT4+AL5-AS5</f>
        <v>1795.6199999999994</v>
      </c>
      <c r="AU5" s="81"/>
      <c r="AV5" s="42"/>
      <c r="AW5" s="43"/>
      <c r="AX5" s="44"/>
      <c r="AY5" s="44"/>
      <c r="AZ5" s="44"/>
      <c r="BA5" s="44"/>
    </row>
    <row r="6" spans="1:53">
      <c r="A6" s="148"/>
      <c r="B6" s="32">
        <v>3</v>
      </c>
      <c r="C6" s="10" t="s">
        <v>55</v>
      </c>
      <c r="D6" s="42">
        <v>14570</v>
      </c>
      <c r="E6" s="42">
        <v>8</v>
      </c>
      <c r="F6" s="42">
        <v>17413</v>
      </c>
      <c r="G6" s="36">
        <v>0.8</v>
      </c>
      <c r="H6" s="36">
        <v>6.5</v>
      </c>
      <c r="I6" s="42">
        <v>16908</v>
      </c>
      <c r="J6" s="36">
        <v>2.5</v>
      </c>
      <c r="K6" s="42">
        <v>16221</v>
      </c>
      <c r="L6" s="38">
        <v>5.3999999999999999E-2</v>
      </c>
      <c r="M6" s="36">
        <f>ROUND(K6*(1-L6),0)</f>
        <v>15345</v>
      </c>
      <c r="N6" s="27">
        <v>0.54800000000000004</v>
      </c>
      <c r="O6" s="24">
        <f t="shared" si="0"/>
        <v>8409.0600000000013</v>
      </c>
      <c r="P6" s="38">
        <v>0.40100000000000002</v>
      </c>
      <c r="Q6" s="24">
        <f t="shared" si="1"/>
        <v>6153.3450000000003</v>
      </c>
      <c r="R6" s="38">
        <v>5.0999999999999997E-2</v>
      </c>
      <c r="S6" s="105"/>
      <c r="T6" s="24">
        <f t="shared" si="2"/>
        <v>782.59499999999991</v>
      </c>
      <c r="U6" s="27">
        <v>0.26900000000000002</v>
      </c>
      <c r="V6" s="24">
        <f t="shared" si="3"/>
        <v>4127.8050000000003</v>
      </c>
      <c r="W6" s="38">
        <v>0.45800000000000002</v>
      </c>
      <c r="X6" s="24">
        <f>M6*W6</f>
        <v>7028.01</v>
      </c>
      <c r="Y6" s="38">
        <v>0.43</v>
      </c>
      <c r="Z6" s="24">
        <f t="shared" si="4"/>
        <v>6598.3499999999995</v>
      </c>
      <c r="AA6" s="118">
        <v>2.4499999999999999E-3</v>
      </c>
      <c r="AB6" s="121">
        <f t="shared" si="7"/>
        <v>37.59525</v>
      </c>
      <c r="AC6" s="45">
        <v>2.4399999999999999E-3</v>
      </c>
      <c r="AD6" s="17">
        <f>M6*AC6</f>
        <v>37.441800000000001</v>
      </c>
      <c r="AE6" s="26">
        <f>IF(M6&gt;0,(AG6+AP6)/M6,0)</f>
        <v>2.812501661779081E-3</v>
      </c>
      <c r="AF6" s="45">
        <v>2.9E-4</v>
      </c>
      <c r="AG6" s="36">
        <f t="shared" si="5"/>
        <v>4.4500500000000001</v>
      </c>
      <c r="AH6" s="27">
        <v>0.2102</v>
      </c>
      <c r="AI6" s="40">
        <f>AL6*(1-AM6)*AH6</f>
        <v>36.782898000000003</v>
      </c>
      <c r="AJ6" s="27">
        <f>IF(AND(AH6&gt;0,AF6&gt;0,AC6&gt;0),((AC6-AF6)*AH6)/((AH6-AF6)*AC6),0)</f>
        <v>0.88236488549737568</v>
      </c>
      <c r="AK6" s="28">
        <f t="shared" si="6"/>
        <v>0.89806634239525251</v>
      </c>
      <c r="AL6" s="42">
        <v>190</v>
      </c>
      <c r="AM6" s="38">
        <v>7.9000000000000001E-2</v>
      </c>
      <c r="AN6" s="27">
        <v>0.22120000000000001</v>
      </c>
      <c r="AO6" s="105">
        <v>0.23119999999999999</v>
      </c>
      <c r="AP6" s="40">
        <f>AL6*(1-AM6)*AN6</f>
        <v>38.707788000000001</v>
      </c>
      <c r="AQ6" s="106">
        <f t="shared" si="8"/>
        <v>40.457687999999997</v>
      </c>
      <c r="AR6" s="17">
        <v>1.6</v>
      </c>
      <c r="AS6" s="17"/>
      <c r="AT6" s="88">
        <f>AT5+AL6-AS6</f>
        <v>1985.6199999999994</v>
      </c>
      <c r="AU6" s="82"/>
      <c r="AV6" s="42"/>
      <c r="AW6" s="46"/>
      <c r="AX6" s="40"/>
      <c r="AY6" s="40"/>
      <c r="AZ6" s="40"/>
      <c r="BA6" s="40"/>
    </row>
    <row r="7" spans="1:53" s="21" customFormat="1" ht="13.5" thickBot="1">
      <c r="A7" s="149"/>
      <c r="B7" s="47" t="s">
        <v>56</v>
      </c>
      <c r="C7" s="48"/>
      <c r="D7" s="49">
        <f>SUM(D4:D6)</f>
        <v>42270</v>
      </c>
      <c r="E7" s="49"/>
      <c r="F7" s="49">
        <f>SUM(F4:F6)</f>
        <v>48325</v>
      </c>
      <c r="G7" s="50"/>
      <c r="H7" s="50"/>
      <c r="I7" s="49">
        <f>SUM(I4:I6)</f>
        <v>47229</v>
      </c>
      <c r="J7" s="50"/>
      <c r="K7" s="49">
        <f>SUM(K4:K6)</f>
        <v>48433</v>
      </c>
      <c r="L7" s="20">
        <f>IF(K7&gt;0,(K4*L4+K5*L5+K6*L6)/K7,0)</f>
        <v>5.0343030578324698E-2</v>
      </c>
      <c r="M7" s="50">
        <f>M4+M5+M6</f>
        <v>45994</v>
      </c>
      <c r="N7" s="51">
        <f>IF(M7&gt;0,O7/M7,0)</f>
        <v>0.61321289733443496</v>
      </c>
      <c r="O7" s="52">
        <f>O4+O5+O6</f>
        <v>28204.114000000001</v>
      </c>
      <c r="P7" s="20">
        <f>IF(M7&gt;0,Q7/M7,0)</f>
        <v>0.31282099839109456</v>
      </c>
      <c r="Q7" s="52">
        <f>Q4+Q5+Q6</f>
        <v>14387.889000000003</v>
      </c>
      <c r="R7" s="20">
        <f>IF(M7&gt;0,T7/M7,0)</f>
        <v>7.3966104274470576E-2</v>
      </c>
      <c r="S7" s="107"/>
      <c r="T7" s="52">
        <f>T4+T5+T6</f>
        <v>3401.9969999999998</v>
      </c>
      <c r="U7" s="20">
        <f>IF(M7&gt;0,V7/M7,0)</f>
        <v>0.26236402574248818</v>
      </c>
      <c r="V7" s="52">
        <f>V4+V5+V6</f>
        <v>12067.171</v>
      </c>
      <c r="W7" s="20">
        <f>IF(M7&gt;0,X7/M7,0)</f>
        <v>0.47163856155150674</v>
      </c>
      <c r="X7" s="52">
        <f>X4+X5+X6</f>
        <v>21692.544000000002</v>
      </c>
      <c r="Y7" s="20">
        <f>IF(M7&gt;0,Z7/M7,0)</f>
        <v>0.41333260860112186</v>
      </c>
      <c r="Z7" s="52">
        <f>Z4+Z5+Z6</f>
        <v>19010.82</v>
      </c>
      <c r="AA7" s="119">
        <f>IF(M7&gt;0,AB7/M7,0)</f>
        <v>2.5397397486628692E-3</v>
      </c>
      <c r="AB7" s="54">
        <f t="shared" ref="AB7" si="9">SUM(AB4:AB6)</f>
        <v>116.81279000000001</v>
      </c>
      <c r="AC7" s="53">
        <f>IF(M7&gt;0,AD7/M7,0)</f>
        <v>2.4165710744879767E-3</v>
      </c>
      <c r="AD7" s="54">
        <f>SUM(AD4:AD6)</f>
        <v>111.14777000000001</v>
      </c>
      <c r="AE7" s="53">
        <f>IF(M7&gt;0,(AE4*M4+AE5*M5+AE6*M6)/M7,0)</f>
        <v>2.6556473800930561E-3</v>
      </c>
      <c r="AF7" s="53">
        <f>IF(K7&gt;0,(K4*AF4+K5*AF5+K6*AF6)/K7,0)</f>
        <v>2.9665083723907253E-4</v>
      </c>
      <c r="AG7" s="50">
        <f>SUM(AG4:AG6)</f>
        <v>13.644749999999998</v>
      </c>
      <c r="AH7" s="51">
        <f>IF(K7&gt;0,(K4*AH4+K5*AH5+K6*AH6)/K7,0)</f>
        <v>0.21016605207193439</v>
      </c>
      <c r="AI7" s="56">
        <f>SUM(AI4:AI6)</f>
        <v>105.07430610000002</v>
      </c>
      <c r="AJ7" s="51">
        <f>IF(AND(AD7&gt;0),((AD4*AJ4+AD5*AJ5+AD6*AJ6)/AD7),0)</f>
        <v>0.87847754646560072</v>
      </c>
      <c r="AK7" s="55">
        <f t="shared" si="6"/>
        <v>0.88951034221732794</v>
      </c>
      <c r="AL7" s="49">
        <f>SUM(AL4:AL6)</f>
        <v>544</v>
      </c>
      <c r="AM7" s="20">
        <f>IF(AL7&gt;0,(AM4*AL4+AM5*AL5+AM6*AL6)/AL7,0)</f>
        <v>8.0930147058823537E-2</v>
      </c>
      <c r="AN7" s="51">
        <f>IF(K7&gt;0,(AN4*K4+AN5*K5+AN6*K6)/K7,0)</f>
        <v>0.21700164763694177</v>
      </c>
      <c r="AO7" s="107">
        <f>IF(K7&gt;0,(AO4*K4+AO5*K5+AO6*K6)/K7,0)</f>
        <v>0.22713545722957487</v>
      </c>
      <c r="AP7" s="56">
        <f>SUM(AP4:AP6)</f>
        <v>108.4990956</v>
      </c>
      <c r="AQ7" s="108">
        <f t="shared" ref="AQ7" si="10">SUM(AQ4:AQ6)</f>
        <v>113.5683804</v>
      </c>
      <c r="AR7" s="54"/>
      <c r="AS7" s="54">
        <f>SUM(AS4:AS6)</f>
        <v>0</v>
      </c>
      <c r="AT7" s="83"/>
      <c r="AU7" s="84">
        <f>AT6</f>
        <v>1985.6199999999994</v>
      </c>
      <c r="AV7" s="49">
        <f>SUM(AV4:AV6)</f>
        <v>0</v>
      </c>
      <c r="AW7" s="57"/>
      <c r="AX7" s="56"/>
      <c r="AY7" s="56"/>
      <c r="AZ7" s="56"/>
      <c r="BA7" s="56"/>
    </row>
    <row r="8" spans="1:53" ht="13.5" thickBot="1">
      <c r="A8" s="147">
        <v>2</v>
      </c>
      <c r="B8" s="22">
        <v>1</v>
      </c>
      <c r="C8" s="10" t="s">
        <v>57</v>
      </c>
      <c r="D8" s="11">
        <v>11300</v>
      </c>
      <c r="E8" s="11">
        <v>5</v>
      </c>
      <c r="F8" s="11">
        <v>12057</v>
      </c>
      <c r="G8" s="12">
        <v>0.7</v>
      </c>
      <c r="H8" s="12">
        <v>4.5999999999999996</v>
      </c>
      <c r="I8" s="11">
        <v>11914</v>
      </c>
      <c r="J8" s="12">
        <v>4.0999999999999996</v>
      </c>
      <c r="K8" s="11">
        <v>16337</v>
      </c>
      <c r="L8" s="13">
        <v>0.05</v>
      </c>
      <c r="M8" s="23">
        <f>ROUND(K8*(1-L8),0)</f>
        <v>15520</v>
      </c>
      <c r="N8" s="14">
        <v>0.49099999999999999</v>
      </c>
      <c r="O8" s="24">
        <f t="shared" ref="O8:O10" si="11">M8*N8</f>
        <v>7620.32</v>
      </c>
      <c r="P8" s="13">
        <v>0.42799999999999999</v>
      </c>
      <c r="Q8" s="24">
        <f t="shared" ref="Q8:Q10" si="12">M8*P8</f>
        <v>6642.5599999999995</v>
      </c>
      <c r="R8" s="15">
        <v>8.1000000000000003E-2</v>
      </c>
      <c r="S8" s="112"/>
      <c r="T8" s="24">
        <f t="shared" ref="T8:T10" si="13">M8*R8</f>
        <v>1257.1200000000001</v>
      </c>
      <c r="U8" s="25">
        <v>0.255</v>
      </c>
      <c r="V8" s="24">
        <f t="shared" ref="V8:V10" si="14">M8*U8</f>
        <v>3957.6</v>
      </c>
      <c r="W8" s="15">
        <v>0.502</v>
      </c>
      <c r="X8" s="24">
        <f t="shared" ref="X8:X10" si="15">M8*W8</f>
        <v>7791.04</v>
      </c>
      <c r="Y8" s="15">
        <v>0.43</v>
      </c>
      <c r="Z8" s="24">
        <f t="shared" ref="Z8:Z10" si="16">Y8*M8</f>
        <v>6673.5999999999995</v>
      </c>
      <c r="AA8" s="116">
        <v>2.4299999999999999E-3</v>
      </c>
      <c r="AB8" s="18">
        <f>M8*AA8</f>
        <v>37.7136</v>
      </c>
      <c r="AC8" s="16">
        <v>2.4199999999999998E-3</v>
      </c>
      <c r="AD8" s="17">
        <f t="shared" ref="AD8:AD10" si="17">M8*AC8</f>
        <v>37.558399999999999</v>
      </c>
      <c r="AE8" s="26">
        <f>IF(M8&gt;0,(AG8+AP8)/M8,0)</f>
        <v>2.5911870360824743E-3</v>
      </c>
      <c r="AF8" s="16">
        <v>2.9E-4</v>
      </c>
      <c r="AG8" s="23">
        <f t="shared" ref="AG8:AG10" si="18">AF8*M8</f>
        <v>4.5007999999999999</v>
      </c>
      <c r="AH8" s="92">
        <v>0.21249999999999999</v>
      </c>
      <c r="AI8" s="29">
        <f t="shared" ref="AI8:AI10" si="19">AL8*(1-AM8)*AH8</f>
        <v>34.528275000000001</v>
      </c>
      <c r="AJ8" s="27">
        <f t="shared" ref="AJ8:AJ10" si="20">IF(AND(AH8&gt;0,AF8&gt;0,AC8&gt;0),((AC8-AF8)*AH8)/((AH8-AF8)*AC8),0)</f>
        <v>0.88136809748335221</v>
      </c>
      <c r="AK8" s="58">
        <f t="shared" si="6"/>
        <v>0.88925544862628314</v>
      </c>
      <c r="AL8" s="11">
        <v>177</v>
      </c>
      <c r="AM8" s="13">
        <v>8.2000000000000003E-2</v>
      </c>
      <c r="AN8" s="14">
        <v>0.2198</v>
      </c>
      <c r="AO8" s="101">
        <v>0.2203</v>
      </c>
      <c r="AP8" s="29">
        <f>AL8*(1-AM8)*AN8</f>
        <v>35.714422800000001</v>
      </c>
      <c r="AQ8" s="102">
        <f t="shared" ref="AQ8:AQ18" si="21">AL8*(1-AM8)*AO8</f>
        <v>35.795665800000002</v>
      </c>
      <c r="AR8" s="18">
        <v>1.55</v>
      </c>
      <c r="AS8" s="18"/>
      <c r="AT8" s="79">
        <f>AT6+AL8-AS8</f>
        <v>2162.6199999999994</v>
      </c>
      <c r="AU8" s="80"/>
      <c r="AV8" s="11"/>
      <c r="AW8" s="30"/>
      <c r="AX8" s="19"/>
      <c r="AY8" s="19"/>
      <c r="AZ8" s="19"/>
      <c r="BA8" s="19"/>
    </row>
    <row r="9" spans="1:53">
      <c r="A9" s="148"/>
      <c r="B9" s="32">
        <v>2</v>
      </c>
      <c r="C9" s="10" t="s">
        <v>54</v>
      </c>
      <c r="D9" s="33">
        <v>20400</v>
      </c>
      <c r="E9" s="33">
        <v>7</v>
      </c>
      <c r="F9" s="33">
        <v>16122</v>
      </c>
      <c r="G9" s="34">
        <v>1</v>
      </c>
      <c r="H9" s="34">
        <v>6.3</v>
      </c>
      <c r="I9" s="33">
        <v>16059</v>
      </c>
      <c r="J9" s="34">
        <v>4</v>
      </c>
      <c r="K9" s="33">
        <v>16152</v>
      </c>
      <c r="L9" s="35">
        <v>4.2000000000000003E-2</v>
      </c>
      <c r="M9" s="36">
        <f>ROUND(K9*(1-L9),0)</f>
        <v>15474</v>
      </c>
      <c r="N9" s="37">
        <v>0.623</v>
      </c>
      <c r="O9" s="24">
        <f t="shared" si="11"/>
        <v>9640.3019999999997</v>
      </c>
      <c r="P9" s="35">
        <v>0.28399999999999997</v>
      </c>
      <c r="Q9" s="24">
        <f t="shared" si="12"/>
        <v>4394.616</v>
      </c>
      <c r="R9" s="38">
        <v>9.2999999999999999E-2</v>
      </c>
      <c r="S9" s="105"/>
      <c r="T9" s="24">
        <f t="shared" si="13"/>
        <v>1439.0819999999999</v>
      </c>
      <c r="U9" s="27">
        <v>0.26900000000000002</v>
      </c>
      <c r="V9" s="24">
        <f t="shared" si="14"/>
        <v>4162.5060000000003</v>
      </c>
      <c r="W9" s="38">
        <v>0.47099999999999997</v>
      </c>
      <c r="X9" s="24">
        <f t="shared" si="15"/>
        <v>7288.2539999999999</v>
      </c>
      <c r="Y9" s="38">
        <v>0.42</v>
      </c>
      <c r="Z9" s="24">
        <f t="shared" si="16"/>
        <v>6499.08</v>
      </c>
      <c r="AA9" s="117">
        <v>2.64E-3</v>
      </c>
      <c r="AB9" s="18">
        <f t="shared" ref="AB9:AB10" si="22">M9*AA9</f>
        <v>40.85136</v>
      </c>
      <c r="AC9" s="39">
        <v>2.4099999999999998E-3</v>
      </c>
      <c r="AD9" s="17">
        <f t="shared" si="17"/>
        <v>37.292339999999996</v>
      </c>
      <c r="AE9" s="26">
        <f>IF(M9&gt;0,(AG9+AP9)/M9,0)</f>
        <v>2.6842749903063204E-3</v>
      </c>
      <c r="AF9" s="39">
        <v>2.9E-4</v>
      </c>
      <c r="AG9" s="36">
        <f t="shared" si="18"/>
        <v>4.4874600000000004</v>
      </c>
      <c r="AH9" s="27">
        <v>0.2019</v>
      </c>
      <c r="AI9" s="40">
        <f t="shared" si="19"/>
        <v>35.586086399999999</v>
      </c>
      <c r="AJ9" s="27">
        <f t="shared" si="20"/>
        <v>0.88093338253614439</v>
      </c>
      <c r="AK9" s="28">
        <f t="shared" si="6"/>
        <v>0.89319566599571143</v>
      </c>
      <c r="AL9" s="33">
        <v>192</v>
      </c>
      <c r="AM9" s="35">
        <v>8.2000000000000003E-2</v>
      </c>
      <c r="AN9" s="37">
        <v>0.2102</v>
      </c>
      <c r="AO9" s="103">
        <v>0.21920000000000001</v>
      </c>
      <c r="AP9" s="40">
        <f>AL9*(1-AM9)*AN9</f>
        <v>37.049011200000002</v>
      </c>
      <c r="AQ9" s="104">
        <f t="shared" si="21"/>
        <v>38.635315200000001</v>
      </c>
      <c r="AR9" s="41">
        <v>1.55</v>
      </c>
      <c r="AS9" s="41"/>
      <c r="AT9" s="88">
        <f>AT8+AL9-AS9</f>
        <v>2354.6199999999994</v>
      </c>
      <c r="AU9" s="82"/>
      <c r="AV9" s="42"/>
      <c r="AW9" s="43"/>
      <c r="AX9" s="44"/>
      <c r="AY9" s="44"/>
      <c r="AZ9" s="44"/>
      <c r="BA9" s="44"/>
    </row>
    <row r="10" spans="1:53">
      <c r="A10" s="148"/>
      <c r="B10" s="32">
        <v>3</v>
      </c>
      <c r="C10" s="10" t="s">
        <v>55</v>
      </c>
      <c r="D10" s="42">
        <v>19105</v>
      </c>
      <c r="E10" s="42">
        <v>3</v>
      </c>
      <c r="F10" s="42">
        <v>17830</v>
      </c>
      <c r="G10" s="36">
        <v>0.5</v>
      </c>
      <c r="H10" s="36">
        <v>5.5</v>
      </c>
      <c r="I10" s="42">
        <v>18111</v>
      </c>
      <c r="J10" s="36">
        <v>3.3</v>
      </c>
      <c r="K10" s="42">
        <v>16199</v>
      </c>
      <c r="L10" s="38">
        <v>5.0999999999999997E-2</v>
      </c>
      <c r="M10" s="36">
        <f>ROUND(K10*(1-L10),0)</f>
        <v>15373</v>
      </c>
      <c r="N10" s="27">
        <v>0.55200000000000005</v>
      </c>
      <c r="O10" s="24">
        <f t="shared" si="11"/>
        <v>8485.8960000000006</v>
      </c>
      <c r="P10" s="38">
        <v>0.372</v>
      </c>
      <c r="Q10" s="24">
        <f t="shared" si="12"/>
        <v>5718.7560000000003</v>
      </c>
      <c r="R10" s="38">
        <v>7.5999999999999998E-2</v>
      </c>
      <c r="S10" s="105"/>
      <c r="T10" s="24">
        <f t="shared" si="13"/>
        <v>1168.348</v>
      </c>
      <c r="U10" s="27">
        <v>0.27300000000000002</v>
      </c>
      <c r="V10" s="24">
        <f t="shared" si="14"/>
        <v>4196.8290000000006</v>
      </c>
      <c r="W10" s="38">
        <v>0.46800000000000003</v>
      </c>
      <c r="X10" s="24">
        <f t="shared" si="15"/>
        <v>7194.5640000000003</v>
      </c>
      <c r="Y10" s="38">
        <v>0.43</v>
      </c>
      <c r="Z10" s="24">
        <f t="shared" si="16"/>
        <v>6610.39</v>
      </c>
      <c r="AA10" s="118">
        <v>2.5699999999999998E-3</v>
      </c>
      <c r="AB10" s="121">
        <f t="shared" si="22"/>
        <v>39.508609999999997</v>
      </c>
      <c r="AC10" s="45">
        <v>2.4499999999999999E-3</v>
      </c>
      <c r="AD10" s="17">
        <f t="shared" si="17"/>
        <v>37.663849999999996</v>
      </c>
      <c r="AE10" s="26">
        <f>IF(M10&gt;0,(AG10+AP10)/M10,0)</f>
        <v>2.5024279450985491E-3</v>
      </c>
      <c r="AF10" s="45">
        <v>2.9999999999999997E-4</v>
      </c>
      <c r="AG10" s="36">
        <f t="shared" si="18"/>
        <v>4.6118999999999994</v>
      </c>
      <c r="AH10" s="27">
        <v>0.21049999999999999</v>
      </c>
      <c r="AI10" s="40">
        <f t="shared" si="19"/>
        <v>33.164695999999999</v>
      </c>
      <c r="AJ10" s="27">
        <f t="shared" si="20"/>
        <v>0.87880347191207597</v>
      </c>
      <c r="AK10" s="28">
        <f t="shared" si="6"/>
        <v>0.88134678676597722</v>
      </c>
      <c r="AL10" s="42">
        <v>172</v>
      </c>
      <c r="AM10" s="38">
        <v>8.4000000000000005E-2</v>
      </c>
      <c r="AN10" s="27">
        <v>0.21490000000000001</v>
      </c>
      <c r="AO10" s="105">
        <v>0.22720000000000001</v>
      </c>
      <c r="AP10" s="40">
        <f>AL10*(1-AM10)*AN10</f>
        <v>33.857924799999999</v>
      </c>
      <c r="AQ10" s="106">
        <f t="shared" si="21"/>
        <v>35.795814399999998</v>
      </c>
      <c r="AR10" s="17">
        <v>1.55</v>
      </c>
      <c r="AS10" s="17"/>
      <c r="AT10" s="88">
        <f>AT9+AL10-AS10</f>
        <v>2526.6199999999994</v>
      </c>
      <c r="AU10" s="82"/>
      <c r="AV10" s="42"/>
      <c r="AW10" s="46"/>
      <c r="AX10" s="40"/>
      <c r="AY10" s="40"/>
      <c r="AZ10" s="40"/>
      <c r="BA10" s="40"/>
    </row>
    <row r="11" spans="1:53" s="21" customFormat="1" ht="13.5" thickBot="1">
      <c r="A11" s="149"/>
      <c r="B11" s="47" t="s">
        <v>56</v>
      </c>
      <c r="C11" s="48"/>
      <c r="D11" s="49">
        <f t="shared" ref="D11" si="23">SUM(D8:D10)</f>
        <v>50805</v>
      </c>
      <c r="E11" s="49"/>
      <c r="F11" s="49">
        <f t="shared" ref="F11" si="24">SUM(F8:F10)</f>
        <v>46009</v>
      </c>
      <c r="G11" s="50"/>
      <c r="H11" s="50"/>
      <c r="I11" s="49">
        <f t="shared" ref="I11:K11" si="25">SUM(I8:I10)</f>
        <v>46084</v>
      </c>
      <c r="J11" s="50"/>
      <c r="K11" s="49">
        <f t="shared" si="25"/>
        <v>48688</v>
      </c>
      <c r="L11" s="20">
        <f t="shared" ref="L11" si="26">IF(K11&gt;0,(K8*L8+K9*L9+K10*L10)/K11,0)</f>
        <v>4.7678750410778833E-2</v>
      </c>
      <c r="M11" s="50">
        <f t="shared" ref="M11" si="27">M8+M9+M10</f>
        <v>46367</v>
      </c>
      <c r="N11" s="51">
        <f t="shared" ref="N11" si="28">IF(M11&gt;0,O11/M11,0)</f>
        <v>0.55527677011667786</v>
      </c>
      <c r="O11" s="52">
        <f t="shared" ref="O11" si="29">O8+O9+O10</f>
        <v>25746.518</v>
      </c>
      <c r="P11" s="20">
        <f t="shared" ref="P11" si="30">IF(M11&gt;0,Q11/M11,0)</f>
        <v>0.36137623741022712</v>
      </c>
      <c r="Q11" s="52">
        <f t="shared" ref="Q11" si="31">Q8+Q9+Q10</f>
        <v>16755.932000000001</v>
      </c>
      <c r="R11" s="20">
        <f t="shared" ref="R11" si="32">IF(M11&gt;0,T11/M11,0)</f>
        <v>8.33469924730951E-2</v>
      </c>
      <c r="S11" s="107"/>
      <c r="T11" s="52">
        <f t="shared" ref="T11" si="33">T8+T9+T10</f>
        <v>3864.55</v>
      </c>
      <c r="U11" s="20">
        <f t="shared" ref="U11" si="34">IF(M11&gt;0,V11/M11,0)</f>
        <v>0.2656401104233615</v>
      </c>
      <c r="V11" s="52">
        <f t="shared" ref="V11" si="35">V8+V9+V10</f>
        <v>12316.935000000001</v>
      </c>
      <c r="W11" s="20">
        <f t="shared" ref="W11" si="36">IF(M11&gt;0,X11/M11,0)</f>
        <v>0.48038169387711088</v>
      </c>
      <c r="X11" s="52">
        <f t="shared" ref="X11" si="37">X8+X9+X10</f>
        <v>22273.858</v>
      </c>
      <c r="Y11" s="20">
        <f t="shared" ref="Y11" si="38">IF(M11&gt;0,Z11/M11,0)</f>
        <v>0.42666271270515665</v>
      </c>
      <c r="Z11" s="52">
        <f t="shared" ref="Z11" si="39">Z8+Z9+Z10</f>
        <v>19783.07</v>
      </c>
      <c r="AA11" s="119">
        <f>IF(M11&gt;0,AB11/M11,0)</f>
        <v>2.5465000970517821E-3</v>
      </c>
      <c r="AB11" s="54">
        <f t="shared" ref="AB11" si="40">SUM(AB8:AB10)</f>
        <v>118.07356999999999</v>
      </c>
      <c r="AC11" s="53">
        <f t="shared" ref="AC11" si="41">IF(M11&gt;0,AD11/M11,0)</f>
        <v>2.4266092263894581E-3</v>
      </c>
      <c r="AD11" s="54">
        <f t="shared" ref="AD11" si="42">SUM(AD8:AD10)</f>
        <v>112.51459</v>
      </c>
      <c r="AE11" s="53">
        <f t="shared" ref="AE11" si="43">IF(M11&gt;0,(AE8*M8+AE9*M9+AE10*M10)/M11,0)</f>
        <v>2.5928250436733019E-3</v>
      </c>
      <c r="AF11" s="53">
        <f t="shared" ref="AF11" si="44">IF(K11&gt;0,(K8*AF8+K9*AF9+K10*AF10)/K11,0)</f>
        <v>2.9332710318764378E-4</v>
      </c>
      <c r="AG11" s="50">
        <f t="shared" ref="AG11" si="45">SUM(AG8:AG10)</f>
        <v>13.600159999999999</v>
      </c>
      <c r="AH11" s="51">
        <f t="shared" ref="AH11" si="46">IF(K11&gt;0,(K8*AH8+K9*AH9+K10*AH10)/K11,0)</f>
        <v>0.2083180824843904</v>
      </c>
      <c r="AI11" s="56">
        <f t="shared" ref="AI11" si="47">SUM(AI8:AI10)</f>
        <v>103.2790574</v>
      </c>
      <c r="AJ11" s="51">
        <f t="shared" ref="AJ11" si="48">IF(AND(AD11&gt;0),((AD8*AJ8+AD9*AJ9+AD10*AJ10)/AD11),0)</f>
        <v>0.88036551452555911</v>
      </c>
      <c r="AK11" s="55">
        <f t="shared" si="6"/>
        <v>0.88808139406247855</v>
      </c>
      <c r="AL11" s="49">
        <f t="shared" ref="AL11" si="49">SUM(AL8:AL10)</f>
        <v>541</v>
      </c>
      <c r="AM11" s="20">
        <f t="shared" ref="AM11" si="50">IF(AL11&gt;0,(AM8*AL8+AM9*AL9+AM10*AL10)/AL11,0)</f>
        <v>8.2635859519408508E-2</v>
      </c>
      <c r="AN11" s="51">
        <f>IF(K11&gt;0,(AN8*K8+AN9*K9+AN10*K10)/K11,0)</f>
        <v>0.21498496754847188</v>
      </c>
      <c r="AO11" s="107">
        <f>IF(K11&gt;0,(AO8*K8+AO9*K9+AO10*K10)/K11,0)</f>
        <v>0.22223078171212618</v>
      </c>
      <c r="AP11" s="56">
        <f t="shared" ref="AP11" si="51">SUM(AP8:AP10)</f>
        <v>106.6213588</v>
      </c>
      <c r="AQ11" s="108">
        <f t="shared" ref="AQ11:AQ19" si="52">SUM(AQ8:AQ10)</f>
        <v>110.2267954</v>
      </c>
      <c r="AR11" s="54"/>
      <c r="AS11" s="54">
        <f t="shared" ref="AS11" si="53">SUM(AS8:AS10)</f>
        <v>0</v>
      </c>
      <c r="AT11" s="83"/>
      <c r="AU11" s="84">
        <f>AT10</f>
        <v>2526.6199999999994</v>
      </c>
      <c r="AV11" s="49">
        <f t="shared" ref="AV11" si="54">SUM(AV8:AV10)</f>
        <v>0</v>
      </c>
      <c r="AW11" s="57"/>
      <c r="AX11" s="56"/>
      <c r="AY11" s="56"/>
      <c r="AZ11" s="56"/>
      <c r="BA11" s="56"/>
    </row>
    <row r="12" spans="1:53" ht="13.5" thickBot="1">
      <c r="A12" s="147">
        <v>3</v>
      </c>
      <c r="B12" s="22">
        <v>1</v>
      </c>
      <c r="C12" s="10" t="s">
        <v>57</v>
      </c>
      <c r="D12" s="11">
        <v>11759</v>
      </c>
      <c r="E12" s="11">
        <v>2</v>
      </c>
      <c r="F12" s="11">
        <v>13799</v>
      </c>
      <c r="G12" s="12">
        <v>0.5</v>
      </c>
      <c r="H12" s="12">
        <v>5.8</v>
      </c>
      <c r="I12" s="11">
        <v>13119</v>
      </c>
      <c r="J12" s="12">
        <v>4.9000000000000004</v>
      </c>
      <c r="K12" s="11">
        <v>16298</v>
      </c>
      <c r="L12" s="13">
        <v>4.3999999999999997E-2</v>
      </c>
      <c r="M12" s="23">
        <f>ROUND(K12*(1-L12),0)</f>
        <v>15581</v>
      </c>
      <c r="N12" s="14">
        <v>0.64</v>
      </c>
      <c r="O12" s="24">
        <f t="shared" ref="O12:O14" si="55">M12*N12</f>
        <v>9971.84</v>
      </c>
      <c r="P12" s="13">
        <v>0.317</v>
      </c>
      <c r="Q12" s="24">
        <f t="shared" ref="Q12:Q14" si="56">M12*P12</f>
        <v>4939.1769999999997</v>
      </c>
      <c r="R12" s="15">
        <v>4.2999999999999997E-2</v>
      </c>
      <c r="S12" s="112"/>
      <c r="T12" s="24">
        <f t="shared" ref="T12:T14" si="57">M12*R12</f>
        <v>669.98299999999995</v>
      </c>
      <c r="U12" s="25">
        <v>0.28399999999999997</v>
      </c>
      <c r="V12" s="24">
        <f t="shared" ref="V12:V14" si="58">M12*U12</f>
        <v>4425.0039999999999</v>
      </c>
      <c r="W12" s="15">
        <v>0.45900000000000002</v>
      </c>
      <c r="X12" s="24">
        <f t="shared" ref="X12:X14" si="59">M12*W12</f>
        <v>7151.6790000000001</v>
      </c>
      <c r="Y12" s="15">
        <v>0.43</v>
      </c>
      <c r="Z12" s="24">
        <f t="shared" ref="Z12:Z14" si="60">Y12*M12</f>
        <v>6699.83</v>
      </c>
      <c r="AA12" s="116">
        <v>2.65E-3</v>
      </c>
      <c r="AB12" s="18">
        <f t="shared" ref="AB12:AB18" si="61">M12*AA12</f>
        <v>41.289650000000002</v>
      </c>
      <c r="AC12" s="16">
        <v>2.4399999999999999E-3</v>
      </c>
      <c r="AD12" s="17">
        <f t="shared" ref="AD12:AD14" si="62">M12*AC12</f>
        <v>38.01764</v>
      </c>
      <c r="AE12" s="26">
        <f>IF(M12&gt;0,(AG12+AP12)/M12,0)</f>
        <v>2.6140800975547143E-3</v>
      </c>
      <c r="AF12" s="16">
        <v>3.1E-4</v>
      </c>
      <c r="AG12" s="23">
        <f t="shared" ref="AG12:AG14" si="63">AF12*M12</f>
        <v>4.8301100000000003</v>
      </c>
      <c r="AH12" s="92">
        <v>0.20799999999999999</v>
      </c>
      <c r="AI12" s="29">
        <f t="shared" ref="AI12:AI14" si="64">AL12*(1-AM12)*AH12</f>
        <v>35.057152000000002</v>
      </c>
      <c r="AJ12" s="27">
        <f t="shared" ref="AJ12:AJ14" si="65">IF(AND(AH12&gt;0,AF12&gt;0,AC12&gt;0),((AC12-AF12)*AH12)/((AH12-AF12)*AC12),0)</f>
        <v>0.87425379407676485</v>
      </c>
      <c r="AK12" s="58">
        <f t="shared" si="6"/>
        <v>0.88269611298760853</v>
      </c>
      <c r="AL12" s="11">
        <v>184</v>
      </c>
      <c r="AM12" s="13">
        <v>8.4000000000000005E-2</v>
      </c>
      <c r="AN12" s="14">
        <v>0.21299999999999999</v>
      </c>
      <c r="AO12" s="101">
        <v>0.22450000000000001</v>
      </c>
      <c r="AP12" s="29">
        <f>AL12*(1-AM12)*AN12</f>
        <v>35.899872000000002</v>
      </c>
      <c r="AQ12" s="102">
        <f t="shared" ref="AQ12" si="66">AL12*(1-AM12)*AO12</f>
        <v>37.838128000000005</v>
      </c>
      <c r="AR12" s="18">
        <v>1.55</v>
      </c>
      <c r="AS12" s="18"/>
      <c r="AT12" s="79">
        <f>AT10+AL12-AS12</f>
        <v>2710.6199999999994</v>
      </c>
      <c r="AU12" s="80"/>
      <c r="AV12" s="11"/>
      <c r="AW12" s="30"/>
      <c r="AX12" s="19"/>
      <c r="AY12" s="19"/>
      <c r="AZ12" s="19"/>
      <c r="BA12" s="19"/>
    </row>
    <row r="13" spans="1:53">
      <c r="A13" s="148"/>
      <c r="B13" s="32">
        <v>2</v>
      </c>
      <c r="C13" s="10" t="s">
        <v>58</v>
      </c>
      <c r="D13" s="33">
        <v>18500</v>
      </c>
      <c r="E13" s="33">
        <v>5</v>
      </c>
      <c r="F13" s="33">
        <v>16383</v>
      </c>
      <c r="G13" s="34">
        <v>0.9</v>
      </c>
      <c r="H13" s="34">
        <v>6.2</v>
      </c>
      <c r="I13" s="33">
        <v>16756</v>
      </c>
      <c r="J13" s="34">
        <v>3.7</v>
      </c>
      <c r="K13" s="33">
        <v>15982</v>
      </c>
      <c r="L13" s="35">
        <v>0.05</v>
      </c>
      <c r="M13" s="36">
        <f>ROUND(K13*(1-L13),0)</f>
        <v>15183</v>
      </c>
      <c r="N13" s="37">
        <v>0.66300000000000003</v>
      </c>
      <c r="O13" s="24">
        <f t="shared" si="55"/>
        <v>10066.329</v>
      </c>
      <c r="P13" s="35">
        <v>0.17199999999999999</v>
      </c>
      <c r="Q13" s="24">
        <f t="shared" si="56"/>
        <v>2611.4759999999997</v>
      </c>
      <c r="R13" s="38">
        <v>0.16500000000000001</v>
      </c>
      <c r="S13" s="105"/>
      <c r="T13" s="24">
        <f t="shared" si="57"/>
        <v>2505.1950000000002</v>
      </c>
      <c r="U13" s="27">
        <v>0.26200000000000001</v>
      </c>
      <c r="V13" s="24">
        <f t="shared" si="58"/>
        <v>3977.9460000000004</v>
      </c>
      <c r="W13" s="38">
        <v>0.48299999999999998</v>
      </c>
      <c r="X13" s="24">
        <f t="shared" si="59"/>
        <v>7333.3890000000001</v>
      </c>
      <c r="Y13" s="38">
        <v>0.45</v>
      </c>
      <c r="Z13" s="24">
        <f t="shared" si="60"/>
        <v>6832.35</v>
      </c>
      <c r="AA13" s="117">
        <v>2.64E-3</v>
      </c>
      <c r="AB13" s="18">
        <f t="shared" si="61"/>
        <v>40.083120000000001</v>
      </c>
      <c r="AC13" s="39">
        <v>2.4099999999999998E-3</v>
      </c>
      <c r="AD13" s="17">
        <f t="shared" si="62"/>
        <v>36.591029999999996</v>
      </c>
      <c r="AE13" s="26">
        <f>IF(M13&gt;0,(AG13+AP13)/M13,0)</f>
        <v>2.6328500296384115E-3</v>
      </c>
      <c r="AF13" s="39">
        <v>3.1E-4</v>
      </c>
      <c r="AG13" s="36">
        <f t="shared" si="63"/>
        <v>4.7067300000000003</v>
      </c>
      <c r="AH13" s="27">
        <v>0.20349999999999999</v>
      </c>
      <c r="AI13" s="40">
        <f t="shared" si="64"/>
        <v>33.553079999999994</v>
      </c>
      <c r="AJ13" s="27">
        <f t="shared" si="65"/>
        <v>0.87269871279237254</v>
      </c>
      <c r="AK13" s="28">
        <f t="shared" si="6"/>
        <v>0.88353736018508067</v>
      </c>
      <c r="AL13" s="33">
        <v>180</v>
      </c>
      <c r="AM13" s="35">
        <v>8.4000000000000005E-2</v>
      </c>
      <c r="AN13" s="37">
        <v>0.21390000000000001</v>
      </c>
      <c r="AO13" s="103">
        <v>0.2263</v>
      </c>
      <c r="AP13" s="40">
        <f>AL13*(1-AM13)*AN13</f>
        <v>35.267831999999999</v>
      </c>
      <c r="AQ13" s="104">
        <f t="shared" si="21"/>
        <v>37.312343999999996</v>
      </c>
      <c r="AR13" s="41">
        <v>1.5</v>
      </c>
      <c r="AS13" s="41"/>
      <c r="AT13" s="88">
        <f>AT12+AL13-AS13</f>
        <v>2890.6199999999994</v>
      </c>
      <c r="AU13" s="82"/>
      <c r="AV13" s="42"/>
      <c r="AW13" s="43"/>
      <c r="AX13" s="44"/>
      <c r="AY13" s="44"/>
      <c r="AZ13" s="44"/>
      <c r="BA13" s="44"/>
    </row>
    <row r="14" spans="1:53">
      <c r="A14" s="148"/>
      <c r="B14" s="32">
        <v>3</v>
      </c>
      <c r="C14" s="10" t="s">
        <v>55</v>
      </c>
      <c r="D14" s="42">
        <v>19616</v>
      </c>
      <c r="E14" s="42">
        <v>2</v>
      </c>
      <c r="F14" s="42">
        <v>19304</v>
      </c>
      <c r="G14" s="36">
        <v>0.6</v>
      </c>
      <c r="H14" s="36">
        <v>7.1</v>
      </c>
      <c r="I14" s="42">
        <v>18785</v>
      </c>
      <c r="J14" s="36">
        <v>3.2</v>
      </c>
      <c r="K14" s="42">
        <v>15916</v>
      </c>
      <c r="L14" s="38">
        <v>4.9000000000000002E-2</v>
      </c>
      <c r="M14" s="36">
        <f>ROUND(K14*(1-L14),0)</f>
        <v>15136</v>
      </c>
      <c r="N14" s="27">
        <v>0.628</v>
      </c>
      <c r="O14" s="24">
        <f t="shared" si="55"/>
        <v>9505.4079999999994</v>
      </c>
      <c r="P14" s="38">
        <v>0.29299999999999998</v>
      </c>
      <c r="Q14" s="24">
        <f t="shared" si="56"/>
        <v>4434.848</v>
      </c>
      <c r="R14" s="38">
        <v>7.9000000000000001E-2</v>
      </c>
      <c r="S14" s="105"/>
      <c r="T14" s="24">
        <f t="shared" si="57"/>
        <v>1195.7439999999999</v>
      </c>
      <c r="U14" s="27">
        <v>0.27500000000000002</v>
      </c>
      <c r="V14" s="24">
        <f t="shared" si="58"/>
        <v>4162.4000000000005</v>
      </c>
      <c r="W14" s="38">
        <v>0.47099999999999997</v>
      </c>
      <c r="X14" s="24">
        <f t="shared" si="59"/>
        <v>7129.0559999999996</v>
      </c>
      <c r="Y14" s="38">
        <v>0.43</v>
      </c>
      <c r="Z14" s="24">
        <f t="shared" si="60"/>
        <v>6508.48</v>
      </c>
      <c r="AA14" s="118">
        <v>2.47E-3</v>
      </c>
      <c r="AB14" s="121">
        <f t="shared" si="61"/>
        <v>37.385919999999999</v>
      </c>
      <c r="AC14" s="45">
        <v>2.3700000000000001E-3</v>
      </c>
      <c r="AD14" s="17">
        <f t="shared" si="62"/>
        <v>35.872320000000002</v>
      </c>
      <c r="AE14" s="26">
        <f>IF(M14&gt;0,(AG14+AP14)/M14,0)</f>
        <v>2.3157769556025371E-3</v>
      </c>
      <c r="AF14" s="45">
        <v>2.9999999999999997E-4</v>
      </c>
      <c r="AG14" s="36">
        <f t="shared" si="63"/>
        <v>4.5407999999999999</v>
      </c>
      <c r="AH14" s="27">
        <v>0.2064</v>
      </c>
      <c r="AI14" s="40">
        <f t="shared" si="64"/>
        <v>30.349056000000004</v>
      </c>
      <c r="AJ14" s="27">
        <f t="shared" si="65"/>
        <v>0.87468907191421141</v>
      </c>
      <c r="AK14" s="28">
        <f t="shared" si="6"/>
        <v>0.87171415480964831</v>
      </c>
      <c r="AL14" s="42">
        <v>160</v>
      </c>
      <c r="AM14" s="38">
        <v>8.1000000000000003E-2</v>
      </c>
      <c r="AN14" s="27">
        <v>0.20749999999999999</v>
      </c>
      <c r="AO14" s="105">
        <v>0.21460000000000001</v>
      </c>
      <c r="AP14" s="40">
        <f>AL14*(1-AM14)*AN14</f>
        <v>30.510800000000003</v>
      </c>
      <c r="AQ14" s="106">
        <f t="shared" si="21"/>
        <v>31.554784000000005</v>
      </c>
      <c r="AR14" s="17">
        <v>1.5</v>
      </c>
      <c r="AS14" s="17"/>
      <c r="AT14" s="88">
        <f>AT13+AL14-AS14</f>
        <v>3050.6199999999994</v>
      </c>
      <c r="AU14" s="82"/>
      <c r="AV14" s="42"/>
      <c r="AW14" s="46"/>
      <c r="AX14" s="40"/>
      <c r="AY14" s="40"/>
      <c r="AZ14" s="40"/>
      <c r="BA14" s="40"/>
    </row>
    <row r="15" spans="1:53" s="21" customFormat="1" ht="13.5" thickBot="1">
      <c r="A15" s="149"/>
      <c r="B15" s="47" t="s">
        <v>56</v>
      </c>
      <c r="C15" s="48"/>
      <c r="D15" s="49">
        <f t="shared" ref="D15" si="67">SUM(D12:D14)</f>
        <v>49875</v>
      </c>
      <c r="E15" s="49"/>
      <c r="F15" s="49">
        <f t="shared" ref="F15" si="68">SUM(F12:F14)</f>
        <v>49486</v>
      </c>
      <c r="G15" s="50"/>
      <c r="H15" s="50"/>
      <c r="I15" s="49">
        <f t="shared" ref="I15:K15" si="69">SUM(I12:I14)</f>
        <v>48660</v>
      </c>
      <c r="J15" s="50"/>
      <c r="K15" s="49">
        <f t="shared" si="69"/>
        <v>48196</v>
      </c>
      <c r="L15" s="20">
        <f t="shared" ref="L15" si="70">IF(K15&gt;0,(K12*L12+K13*L13+K14*L14)/K15,0)</f>
        <v>4.7640800066395553E-2</v>
      </c>
      <c r="M15" s="50">
        <f t="shared" ref="M15" si="71">M12+M13+M14</f>
        <v>45900</v>
      </c>
      <c r="N15" s="51">
        <f t="shared" ref="N15" si="72">IF(M15&gt;0,O15/M15,0)</f>
        <v>0.64365091503267979</v>
      </c>
      <c r="O15" s="52">
        <f t="shared" ref="O15" si="73">O12+O13+O14</f>
        <v>29543.577000000001</v>
      </c>
      <c r="P15" s="20">
        <f t="shared" ref="P15" si="74">IF(M15&gt;0,Q15/M15,0)</f>
        <v>0.26112202614379088</v>
      </c>
      <c r="Q15" s="52">
        <f t="shared" ref="Q15" si="75">Q12+Q13+Q14</f>
        <v>11985.501</v>
      </c>
      <c r="R15" s="20">
        <f t="shared" ref="R15" si="76">IF(M15&gt;0,T15/M15,0)</f>
        <v>9.5227058823529401E-2</v>
      </c>
      <c r="S15" s="107"/>
      <c r="T15" s="52">
        <f t="shared" ref="T15" si="77">T12+T13+T14</f>
        <v>4370.9219999999996</v>
      </c>
      <c r="U15" s="20">
        <f t="shared" ref="U15" si="78">IF(M15&gt;0,V15/M15,0)</f>
        <v>0.27375490196078434</v>
      </c>
      <c r="V15" s="52">
        <f t="shared" ref="V15" si="79">V12+V13+V14</f>
        <v>12565.350000000002</v>
      </c>
      <c r="W15" s="20">
        <f t="shared" ref="W15" si="80">IF(M15&gt;0,X15/M15,0)</f>
        <v>0.47089594771241827</v>
      </c>
      <c r="X15" s="52">
        <f t="shared" ref="X15" si="81">X12+X13+X14</f>
        <v>21614.124</v>
      </c>
      <c r="Y15" s="20">
        <f t="shared" ref="Y15" si="82">IF(M15&gt;0,Z15/M15,0)</f>
        <v>0.43661568627450981</v>
      </c>
      <c r="Z15" s="52">
        <f t="shared" ref="Z15" si="83">Z12+Z13+Z14</f>
        <v>20040.66</v>
      </c>
      <c r="AA15" s="119">
        <f>IF(M15&gt;0,AB15/M15,0)</f>
        <v>2.587335294117647E-3</v>
      </c>
      <c r="AB15" s="54">
        <f t="shared" ref="AB15" si="84">SUM(AB12:AB14)</f>
        <v>118.75869</v>
      </c>
      <c r="AC15" s="53">
        <f t="shared" ref="AC15" si="85">IF(M15&gt;0,AD15/M15,0)</f>
        <v>2.4069932461873635E-3</v>
      </c>
      <c r="AD15" s="54">
        <f t="shared" ref="AD15" si="86">SUM(AD12:AD14)</f>
        <v>110.48098999999999</v>
      </c>
      <c r="AE15" s="53">
        <f t="shared" ref="AE15" si="87">IF(M15&gt;0,(AE12*M12+AE13*M13+AE14*M14)/M15,0)</f>
        <v>2.5219203485838783E-3</v>
      </c>
      <c r="AF15" s="53">
        <f t="shared" ref="AF15" si="88">IF(K15&gt;0,(K12*AF12+K13*AF13+K14*AF14)/K15,0)</f>
        <v>3.0669765125736578E-4</v>
      </c>
      <c r="AG15" s="50">
        <f t="shared" ref="AG15" si="89">SUM(AG12:AG14)</f>
        <v>14.077640000000002</v>
      </c>
      <c r="AH15" s="51">
        <f t="shared" ref="AH15" si="90">IF(K15&gt;0,(K12*AH12+K13*AH13+K14*AH14)/K15,0)</f>
        <v>0.20597940492986969</v>
      </c>
      <c r="AI15" s="56">
        <f t="shared" ref="AI15" si="91">SUM(AI12:AI14)</f>
        <v>98.959288000000001</v>
      </c>
      <c r="AJ15" s="51">
        <f t="shared" ref="AJ15" si="92">IF(AND(AD15&gt;0),((AD12*AJ12+AD13*AJ13+AD14*AJ14)/AD15),0)</f>
        <v>0.87388008634608783</v>
      </c>
      <c r="AK15" s="55">
        <f t="shared" si="6"/>
        <v>0.87966297015593853</v>
      </c>
      <c r="AL15" s="49">
        <f t="shared" ref="AL15" si="93">SUM(AL12:AL14)</f>
        <v>524</v>
      </c>
      <c r="AM15" s="20">
        <f t="shared" ref="AM15" si="94">IF(AL15&gt;0,(AM12*AL12+AM13*AL13+AM14*AL14)/AL15,0)</f>
        <v>8.308396946564886E-2</v>
      </c>
      <c r="AN15" s="51">
        <f>IF(K15&gt;0,(AN12*K12+AN13*K13+AN14*K14)/K15,0)</f>
        <v>0.21148215204581292</v>
      </c>
      <c r="AO15" s="107">
        <f>IF(K15&gt;0,(AO12*K12+AO13*K13+AO14*K14)/K15,0)</f>
        <v>0.22182756245331561</v>
      </c>
      <c r="AP15" s="56">
        <f t="shared" ref="AP15" si="95">SUM(AP12:AP14)</f>
        <v>101.678504</v>
      </c>
      <c r="AQ15" s="108">
        <f t="shared" si="52"/>
        <v>106.70525600000002</v>
      </c>
      <c r="AR15" s="54"/>
      <c r="AS15" s="54">
        <f t="shared" ref="AS15" si="96">SUM(AS12:AS14)</f>
        <v>0</v>
      </c>
      <c r="AT15" s="83"/>
      <c r="AU15" s="84">
        <f>AT14</f>
        <v>3050.6199999999994</v>
      </c>
      <c r="AV15" s="49">
        <f t="shared" ref="AV15" si="97">SUM(AV12:AV14)</f>
        <v>0</v>
      </c>
      <c r="AW15" s="57"/>
      <c r="AX15" s="56"/>
      <c r="AY15" s="56"/>
      <c r="AZ15" s="56"/>
      <c r="BA15" s="56"/>
    </row>
    <row r="16" spans="1:53" ht="13.5" thickBot="1">
      <c r="A16" s="147">
        <v>4</v>
      </c>
      <c r="B16" s="22">
        <v>1</v>
      </c>
      <c r="C16" s="10" t="s">
        <v>57</v>
      </c>
      <c r="D16" s="11">
        <v>11570</v>
      </c>
      <c r="E16" s="11">
        <v>4</v>
      </c>
      <c r="F16" s="11">
        <v>19230</v>
      </c>
      <c r="G16" s="12">
        <v>0.5</v>
      </c>
      <c r="H16" s="12">
        <v>4.8</v>
      </c>
      <c r="I16" s="11">
        <v>19611</v>
      </c>
      <c r="J16" s="12">
        <v>1.9</v>
      </c>
      <c r="K16" s="11">
        <v>16403</v>
      </c>
      <c r="L16" s="13">
        <v>5.0999999999999997E-2</v>
      </c>
      <c r="M16" s="23">
        <f>ROUND(K16*(1-L16),0)</f>
        <v>15566</v>
      </c>
      <c r="N16" s="14">
        <v>0.63800000000000001</v>
      </c>
      <c r="O16" s="24">
        <f t="shared" ref="O16:O18" si="98">M16*N16</f>
        <v>9931.1080000000002</v>
      </c>
      <c r="P16" s="13">
        <v>0.30599999999999999</v>
      </c>
      <c r="Q16" s="24">
        <f t="shared" ref="Q16:Q18" si="99">M16*P16</f>
        <v>4763.1959999999999</v>
      </c>
      <c r="R16" s="15">
        <v>5.6000000000000001E-2</v>
      </c>
      <c r="S16" s="112"/>
      <c r="T16" s="24">
        <f t="shared" ref="T16:T18" si="100">M16*R16</f>
        <v>871.69600000000003</v>
      </c>
      <c r="U16" s="25">
        <v>0.27200000000000002</v>
      </c>
      <c r="V16" s="24">
        <f t="shared" ref="V16:V18" si="101">M16*U16</f>
        <v>4233.9520000000002</v>
      </c>
      <c r="W16" s="15">
        <v>0.46</v>
      </c>
      <c r="X16" s="24">
        <f t="shared" ref="X16:X18" si="102">M16*W16</f>
        <v>7160.3600000000006</v>
      </c>
      <c r="Y16" s="15">
        <v>0.44</v>
      </c>
      <c r="Z16" s="24">
        <f t="shared" ref="Z16:Z18" si="103">Y16*M16</f>
        <v>6849.04</v>
      </c>
      <c r="AA16" s="116">
        <v>2.5899999999999999E-3</v>
      </c>
      <c r="AB16" s="18">
        <f t="shared" ref="AB16" si="104">M16*AA16</f>
        <v>40.315939999999998</v>
      </c>
      <c r="AC16" s="16">
        <v>2.5899999999999999E-3</v>
      </c>
      <c r="AD16" s="17">
        <f t="shared" ref="AD16:AD18" si="105">M16*AC16</f>
        <v>40.315939999999998</v>
      </c>
      <c r="AE16" s="26">
        <f>IF(M16&gt;0,(AG16+AP16)/M16,0)</f>
        <v>2.4307580110497239E-3</v>
      </c>
      <c r="AF16" s="16">
        <v>2.9E-4</v>
      </c>
      <c r="AG16" s="23">
        <f t="shared" ref="AG16:AG18" si="106">AF16*M16</f>
        <v>4.5141400000000003</v>
      </c>
      <c r="AH16" s="92">
        <v>0.20860000000000001</v>
      </c>
      <c r="AI16" s="29">
        <f t="shared" ref="AI16:AI18" si="107">AL16*(1-AM16)*AH16</f>
        <v>32.757709599999998</v>
      </c>
      <c r="AJ16" s="27">
        <f t="shared" ref="AJ16:AJ18" si="108">IF(AND(AH16&gt;0,AF16&gt;0,AC16&gt;0),((AC16-AF16)*AH16)/((AH16-AF16)*AC16),0)</f>
        <v>0.88926716549010254</v>
      </c>
      <c r="AK16" s="58">
        <f t="shared" si="6"/>
        <v>0.88190088869897854</v>
      </c>
      <c r="AL16" s="11">
        <v>172</v>
      </c>
      <c r="AM16" s="13">
        <v>8.6999999999999994E-2</v>
      </c>
      <c r="AN16" s="14">
        <v>0.2122</v>
      </c>
      <c r="AO16" s="101">
        <v>0.22450000000000001</v>
      </c>
      <c r="AP16" s="29">
        <f>AL16*(1-AM16)*AN16</f>
        <v>33.323039200000004</v>
      </c>
      <c r="AQ16" s="102">
        <f t="shared" ref="AQ16" si="109">AL16*(1-AM16)*AO16</f>
        <v>35.254581999999999</v>
      </c>
      <c r="AR16" s="18">
        <v>1.5</v>
      </c>
      <c r="AS16" s="18"/>
      <c r="AT16" s="79">
        <f>AT14+AL16-AS16</f>
        <v>3222.6199999999994</v>
      </c>
      <c r="AU16" s="80"/>
      <c r="AV16" s="11"/>
      <c r="AW16" s="30"/>
      <c r="AX16" s="19"/>
      <c r="AY16" s="19"/>
      <c r="AZ16" s="19"/>
      <c r="BA16" s="19"/>
    </row>
    <row r="17" spans="1:54">
      <c r="A17" s="148"/>
      <c r="B17" s="32">
        <v>2</v>
      </c>
      <c r="C17" s="10" t="s">
        <v>59</v>
      </c>
      <c r="D17" s="33">
        <v>18800</v>
      </c>
      <c r="E17" s="33">
        <v>7</v>
      </c>
      <c r="F17" s="33">
        <v>17316</v>
      </c>
      <c r="G17" s="34">
        <v>0.3</v>
      </c>
      <c r="H17" s="34">
        <v>5.4</v>
      </c>
      <c r="I17" s="33">
        <v>16910</v>
      </c>
      <c r="J17" s="34">
        <v>2.2999999999999998</v>
      </c>
      <c r="K17" s="33">
        <v>16423</v>
      </c>
      <c r="L17" s="35">
        <v>4.5999999999999999E-2</v>
      </c>
      <c r="M17" s="36">
        <f>ROUND(K17*(1-L17),0)</f>
        <v>15668</v>
      </c>
      <c r="N17" s="37">
        <v>0.66500000000000004</v>
      </c>
      <c r="O17" s="24">
        <f t="shared" si="98"/>
        <v>10419.220000000001</v>
      </c>
      <c r="P17" s="35">
        <v>0.21299999999999999</v>
      </c>
      <c r="Q17" s="24">
        <f t="shared" si="99"/>
        <v>3337.2840000000001</v>
      </c>
      <c r="R17" s="38">
        <v>0.122</v>
      </c>
      <c r="S17" s="105"/>
      <c r="T17" s="24">
        <f t="shared" si="100"/>
        <v>1911.4959999999999</v>
      </c>
      <c r="U17" s="27">
        <v>0.27</v>
      </c>
      <c r="V17" s="24">
        <f t="shared" si="101"/>
        <v>4230.3600000000006</v>
      </c>
      <c r="W17" s="38">
        <v>0.46100000000000002</v>
      </c>
      <c r="X17" s="24">
        <f t="shared" si="102"/>
        <v>7222.9480000000003</v>
      </c>
      <c r="Y17" s="38">
        <v>0.44</v>
      </c>
      <c r="Z17" s="24">
        <f t="shared" si="103"/>
        <v>6893.92</v>
      </c>
      <c r="AA17" s="117">
        <v>2.5699999999999998E-3</v>
      </c>
      <c r="AB17" s="18">
        <f t="shared" si="61"/>
        <v>40.266759999999998</v>
      </c>
      <c r="AC17" s="39">
        <v>2.5300000000000001E-3</v>
      </c>
      <c r="AD17" s="17">
        <f t="shared" si="105"/>
        <v>39.640039999999999</v>
      </c>
      <c r="AE17" s="26">
        <f>IF(M17&gt;0,(AG17+AP17)/M17,0)</f>
        <v>2.6391452706152666E-3</v>
      </c>
      <c r="AF17" s="39">
        <v>2.9E-4</v>
      </c>
      <c r="AG17" s="36">
        <f t="shared" si="106"/>
        <v>4.5437200000000004</v>
      </c>
      <c r="AH17" s="27">
        <v>0.20519999999999999</v>
      </c>
      <c r="AI17" s="40">
        <f t="shared" si="107"/>
        <v>35.408696400000004</v>
      </c>
      <c r="AJ17" s="27">
        <f t="shared" si="108"/>
        <v>0.88662852658923064</v>
      </c>
      <c r="AK17" s="28">
        <f t="shared" si="6"/>
        <v>0.89132777701024946</v>
      </c>
      <c r="AL17" s="33">
        <v>189</v>
      </c>
      <c r="AM17" s="35">
        <v>8.6999999999999994E-2</v>
      </c>
      <c r="AN17" s="37">
        <v>0.21329999999999999</v>
      </c>
      <c r="AO17" s="103">
        <v>0.2261</v>
      </c>
      <c r="AP17" s="40">
        <f>AL17*(1-AM17)*AN17</f>
        <v>36.806408099999999</v>
      </c>
      <c r="AQ17" s="104">
        <f t="shared" si="21"/>
        <v>39.015137700000004</v>
      </c>
      <c r="AR17" s="41">
        <v>1.6</v>
      </c>
      <c r="AS17" s="41"/>
      <c r="AT17" s="88">
        <f>AT16+AL17-AS17</f>
        <v>3411.6199999999994</v>
      </c>
      <c r="AU17" s="82"/>
      <c r="AV17" s="42"/>
      <c r="AW17" s="43"/>
      <c r="AX17" s="44"/>
      <c r="AY17" s="44"/>
      <c r="AZ17" s="44"/>
      <c r="BA17" s="44"/>
    </row>
    <row r="18" spans="1:54">
      <c r="A18" s="148"/>
      <c r="B18" s="32">
        <v>3</v>
      </c>
      <c r="C18" s="10" t="s">
        <v>53</v>
      </c>
      <c r="D18" s="42">
        <v>19820</v>
      </c>
      <c r="E18" s="42">
        <v>3</v>
      </c>
      <c r="F18" s="42">
        <v>18274</v>
      </c>
      <c r="G18" s="36">
        <v>0.5</v>
      </c>
      <c r="H18" s="36">
        <v>4</v>
      </c>
      <c r="I18" s="42">
        <v>18257</v>
      </c>
      <c r="J18" s="36">
        <v>1.6</v>
      </c>
      <c r="K18" s="42">
        <v>16319</v>
      </c>
      <c r="L18" s="38">
        <v>4.4999999999999998E-2</v>
      </c>
      <c r="M18" s="36">
        <f>ROUND(K18*(1-L18),0)</f>
        <v>15585</v>
      </c>
      <c r="N18" s="27">
        <v>0.627</v>
      </c>
      <c r="O18" s="24">
        <f t="shared" si="98"/>
        <v>9771.7950000000001</v>
      </c>
      <c r="P18" s="38">
        <v>0.28799999999999998</v>
      </c>
      <c r="Q18" s="24">
        <f t="shared" si="99"/>
        <v>4488.4799999999996</v>
      </c>
      <c r="R18" s="38">
        <v>8.5000000000000006E-2</v>
      </c>
      <c r="S18" s="105"/>
      <c r="T18" s="24">
        <f t="shared" si="100"/>
        <v>1324.7250000000001</v>
      </c>
      <c r="U18" s="27">
        <v>0.27</v>
      </c>
      <c r="V18" s="24">
        <f t="shared" si="101"/>
        <v>4207.9500000000007</v>
      </c>
      <c r="W18" s="38">
        <v>0.46700000000000003</v>
      </c>
      <c r="X18" s="24">
        <f t="shared" si="102"/>
        <v>7278.1950000000006</v>
      </c>
      <c r="Y18" s="38">
        <v>0.43</v>
      </c>
      <c r="Z18" s="24">
        <f t="shared" si="103"/>
        <v>6701.55</v>
      </c>
      <c r="AA18" s="118">
        <v>2.5300000000000001E-3</v>
      </c>
      <c r="AB18" s="121">
        <f t="shared" si="61"/>
        <v>39.430050000000001</v>
      </c>
      <c r="AC18" s="45">
        <v>2.5500000000000002E-3</v>
      </c>
      <c r="AD18" s="17">
        <f t="shared" si="105"/>
        <v>39.741750000000003</v>
      </c>
      <c r="AE18" s="26">
        <f>IF(M18&gt;0,(AG18+AP18)/M18,0)</f>
        <v>2.5825644658325313E-3</v>
      </c>
      <c r="AF18" s="45">
        <v>2.9E-4</v>
      </c>
      <c r="AG18" s="36">
        <f t="shared" si="106"/>
        <v>4.5196500000000004</v>
      </c>
      <c r="AH18" s="27">
        <v>0.20799999999999999</v>
      </c>
      <c r="AI18" s="40">
        <f t="shared" si="107"/>
        <v>34.598511999999999</v>
      </c>
      <c r="AJ18" s="27">
        <f t="shared" si="108"/>
        <v>0.88751190621162057</v>
      </c>
      <c r="AK18" s="28">
        <f t="shared" si="6"/>
        <v>0.8889086240122972</v>
      </c>
      <c r="AL18" s="42">
        <v>181</v>
      </c>
      <c r="AM18" s="38">
        <v>8.1000000000000003E-2</v>
      </c>
      <c r="AN18" s="27">
        <v>0.21479999999999999</v>
      </c>
      <c r="AO18" s="105">
        <v>0.2238</v>
      </c>
      <c r="AP18" s="40">
        <f>AL18*(1-AM18)*AN18</f>
        <v>35.7296172</v>
      </c>
      <c r="AQ18" s="106">
        <f t="shared" si="21"/>
        <v>37.226668199999999</v>
      </c>
      <c r="AR18" s="17">
        <v>1.6</v>
      </c>
      <c r="AS18" s="17"/>
      <c r="AT18" s="88">
        <f>AT17+AL18-AS18</f>
        <v>3592.6199999999994</v>
      </c>
      <c r="AU18" s="82"/>
      <c r="AV18" s="42"/>
      <c r="AW18" s="46"/>
      <c r="AX18" s="40"/>
      <c r="AY18" s="40"/>
      <c r="AZ18" s="40"/>
      <c r="BA18" s="40"/>
    </row>
    <row r="19" spans="1:54" s="21" customFormat="1">
      <c r="A19" s="149"/>
      <c r="B19" s="47" t="s">
        <v>56</v>
      </c>
      <c r="C19" s="48"/>
      <c r="D19" s="49">
        <f t="shared" ref="D19" si="110">SUM(D16:D18)</f>
        <v>50190</v>
      </c>
      <c r="E19" s="49"/>
      <c r="F19" s="49">
        <f t="shared" ref="F19" si="111">SUM(F16:F18)</f>
        <v>54820</v>
      </c>
      <c r="G19" s="50"/>
      <c r="H19" s="50"/>
      <c r="I19" s="49">
        <f t="shared" ref="I19:K19" si="112">SUM(I16:I18)</f>
        <v>54778</v>
      </c>
      <c r="J19" s="50"/>
      <c r="K19" s="49">
        <f t="shared" si="112"/>
        <v>49145</v>
      </c>
      <c r="L19" s="20">
        <f t="shared" ref="L19" si="113">IF(K19&gt;0,(K16*L16+K17*L17+K18*L18)/K19,0)</f>
        <v>4.7336778919523856E-2</v>
      </c>
      <c r="M19" s="50">
        <f t="shared" ref="M19" si="114">M16+M17+M18</f>
        <v>46819</v>
      </c>
      <c r="N19" s="51">
        <f t="shared" ref="N19" si="115">IF(M19&gt;0,O19/M19,0)</f>
        <v>0.64337390802879169</v>
      </c>
      <c r="O19" s="52">
        <f t="shared" ref="O19" si="116">O16+O17+O18</f>
        <v>30122.123</v>
      </c>
      <c r="P19" s="20">
        <f t="shared" ref="P19" si="117">IF(M19&gt;0,Q19/M19,0)</f>
        <v>0.26888570879343854</v>
      </c>
      <c r="Q19" s="52">
        <f t="shared" ref="Q19" si="118">Q16+Q17+Q18</f>
        <v>12588.96</v>
      </c>
      <c r="R19" s="20">
        <f t="shared" ref="R19" si="119">IF(M19&gt;0,T19/M19,0)</f>
        <v>8.7740383177769721E-2</v>
      </c>
      <c r="S19" s="107"/>
      <c r="T19" s="52">
        <f t="shared" ref="T19" si="120">T16+T17+T18</f>
        <v>4107.9170000000004</v>
      </c>
      <c r="U19" s="20">
        <f t="shared" ref="U19" si="121">IF(M19&gt;0,V19/M19,0)</f>
        <v>0.27066494371943017</v>
      </c>
      <c r="V19" s="52">
        <f t="shared" ref="V19" si="122">V16+V17+V18</f>
        <v>12672.262000000002</v>
      </c>
      <c r="W19" s="20">
        <f t="shared" ref="W19" si="123">IF(M19&gt;0,X19/M19,0)</f>
        <v>0.46266479420747986</v>
      </c>
      <c r="X19" s="52">
        <f t="shared" ref="X19" si="124">X16+X17+X18</f>
        <v>21661.503000000001</v>
      </c>
      <c r="Y19" s="20">
        <f t="shared" ref="Y19" si="125">IF(M19&gt;0,Z19/M19,0)</f>
        <v>0.43667122322134172</v>
      </c>
      <c r="Z19" s="52">
        <f t="shared" ref="Z19" si="126">Z16+Z17+Z18</f>
        <v>20444.509999999998</v>
      </c>
      <c r="AA19" s="119">
        <f>IF(M19&gt;0,AC19/M19,0)</f>
        <v>5.4606161283671613E-8</v>
      </c>
      <c r="AB19" s="54">
        <f t="shared" ref="AB19" si="127">SUM(AB16:AB18)</f>
        <v>120.01274999999998</v>
      </c>
      <c r="AC19" s="53">
        <f t="shared" ref="AC19" si="128">IF(M19&gt;0,AD19/M19,0)</f>
        <v>2.5566058651402212E-3</v>
      </c>
      <c r="AD19" s="54">
        <f t="shared" ref="AD19" si="129">SUM(AD16:AD18)</f>
        <v>119.69773000000001</v>
      </c>
      <c r="AE19" s="53">
        <f t="shared" ref="AE19" si="130">IF(M19&gt;0,(AE16*M16+AE17*M17+AE18*M18)/M19,0)</f>
        <v>2.5510278839787266E-3</v>
      </c>
      <c r="AF19" s="53">
        <f t="shared" ref="AF19" si="131">IF(K19&gt;0,(K16*AF16+K17*AF17+K18*AF18)/K19,0)</f>
        <v>2.9E-4</v>
      </c>
      <c r="AG19" s="50">
        <f t="shared" ref="AG19" si="132">SUM(AG16:AG18)</f>
        <v>13.577510000000002</v>
      </c>
      <c r="AH19" s="51">
        <f t="shared" ref="AH19" si="133">IF(K19&gt;0,(K16*AH16+K17*AH17+K18*AH18)/K19,0)</f>
        <v>0.20726457218435243</v>
      </c>
      <c r="AI19" s="56">
        <f t="shared" ref="AI19" si="134">SUM(AI16:AI18)</f>
        <v>102.76491799999999</v>
      </c>
      <c r="AJ19" s="51">
        <f t="shared" ref="AJ19" si="135">IF(AND(AD19&gt;0),((AD16*AJ16+AD17*AJ17+AD18*AJ18)/AD19),0)</f>
        <v>0.88781055618759752</v>
      </c>
      <c r="AK19" s="55">
        <f t="shared" si="6"/>
        <v>0.88752626238543531</v>
      </c>
      <c r="AL19" s="49">
        <f t="shared" ref="AL19" si="136">SUM(AL16:AL18)</f>
        <v>542</v>
      </c>
      <c r="AM19" s="20">
        <f t="shared" ref="AM19" si="137">IF(AL19&gt;0,(AM16*AL16+AM17*AL17+AM18*AL18)/AL19,0)</f>
        <v>8.4996309963099634E-2</v>
      </c>
      <c r="AN19" s="51">
        <f>IF(K19&gt;0,(AN16*K16+AN17*K17+AN18*K18)/K19,0)</f>
        <v>0.21343094312747993</v>
      </c>
      <c r="AO19" s="107">
        <f>IF(K19&gt;0,(AO16*K16+AO17*K17+AO18*K18)/K19,0)</f>
        <v>0.22480223827449383</v>
      </c>
      <c r="AP19" s="56">
        <f t="shared" ref="AP19" si="138">SUM(AP16:AP18)</f>
        <v>105.85906450000002</v>
      </c>
      <c r="AQ19" s="108">
        <f t="shared" si="52"/>
        <v>111.4963879</v>
      </c>
      <c r="AR19" s="54"/>
      <c r="AS19" s="54">
        <f t="shared" ref="AS19" si="139">SUM(AS16:AS18)</f>
        <v>0</v>
      </c>
      <c r="AT19" s="83"/>
      <c r="AU19" s="84">
        <f>AT18</f>
        <v>3592.6199999999994</v>
      </c>
      <c r="AV19" s="49">
        <f t="shared" ref="AV19" si="140">SUM(AV16:AV18)</f>
        <v>0</v>
      </c>
      <c r="AW19" s="57"/>
      <c r="AX19" s="56"/>
      <c r="AY19" s="56"/>
      <c r="AZ19" s="56"/>
      <c r="BA19" s="56"/>
    </row>
    <row r="20" spans="1:54">
      <c r="A20" s="147">
        <v>5</v>
      </c>
      <c r="B20" s="22">
        <v>1</v>
      </c>
      <c r="C20" s="10" t="s">
        <v>54</v>
      </c>
      <c r="D20" s="11">
        <v>6081</v>
      </c>
      <c r="E20" s="11">
        <v>3</v>
      </c>
      <c r="F20" s="11">
        <v>10483</v>
      </c>
      <c r="G20" s="12">
        <v>0.6</v>
      </c>
      <c r="H20" s="12">
        <v>6.5</v>
      </c>
      <c r="I20" s="11">
        <v>10656</v>
      </c>
      <c r="J20" s="12">
        <v>3.5</v>
      </c>
      <c r="K20" s="11">
        <v>16160</v>
      </c>
      <c r="L20" s="13">
        <v>3.9E-2</v>
      </c>
      <c r="M20" s="23">
        <f>ROUND(K20*(1-L20),0)</f>
        <v>15530</v>
      </c>
      <c r="N20" s="14">
        <v>0.623</v>
      </c>
      <c r="O20" s="24">
        <f t="shared" ref="O20:O22" si="141">M20*N20</f>
        <v>9675.19</v>
      </c>
      <c r="P20" s="13">
        <v>0.30299999999999999</v>
      </c>
      <c r="Q20" s="24">
        <f t="shared" ref="Q20:Q22" si="142">M20*P20</f>
        <v>4705.59</v>
      </c>
      <c r="R20" s="15">
        <v>7.3999999999999996E-2</v>
      </c>
      <c r="S20" s="112"/>
      <c r="T20" s="24">
        <f t="shared" ref="T20:T22" si="143">M20*R20</f>
        <v>1149.22</v>
      </c>
      <c r="U20" s="25">
        <v>0.26300000000000001</v>
      </c>
      <c r="V20" s="24">
        <f t="shared" ref="V20:V22" si="144">M20*U20</f>
        <v>4084.3900000000003</v>
      </c>
      <c r="W20" s="15">
        <v>0.46899999999999997</v>
      </c>
      <c r="X20" s="24">
        <f t="shared" ref="X20:X22" si="145">M20*W20</f>
        <v>7283.57</v>
      </c>
      <c r="Y20" s="15">
        <v>0.42</v>
      </c>
      <c r="Z20" s="24">
        <f t="shared" ref="Z20:Z22" si="146">Y20*M20</f>
        <v>6522.5999999999995</v>
      </c>
      <c r="AA20" s="116">
        <v>2.8700000000000002E-3</v>
      </c>
      <c r="AB20" s="18">
        <f t="shared" ref="AB20:AB74" si="147">M20*AA20</f>
        <v>44.571100000000001</v>
      </c>
      <c r="AC20" s="16">
        <v>2.8E-3</v>
      </c>
      <c r="AD20" s="17">
        <f t="shared" ref="AD20:AD22" si="148">M20*AC20</f>
        <v>43.484000000000002</v>
      </c>
      <c r="AE20" s="26">
        <f>IF(M20&gt;0,(AG20+AP20)/M20,0)</f>
        <v>2.7418179137153895E-3</v>
      </c>
      <c r="AF20" s="16">
        <v>2.9999999999999997E-4</v>
      </c>
      <c r="AG20" s="23">
        <f t="shared" ref="AG20:AG22" si="149">AF20*M20</f>
        <v>4.6589999999999998</v>
      </c>
      <c r="AH20" s="92">
        <v>0.20699999999999999</v>
      </c>
      <c r="AI20" s="29">
        <f t="shared" ref="AI20:AI22" si="150">AL20*(1-AM20)*AH20</f>
        <v>36.905201999999996</v>
      </c>
      <c r="AJ20" s="27">
        <f t="shared" ref="AJ20:AJ22" si="151">IF(AND(AH20&gt;0,AF20&gt;0,AC20&gt;0),((AC20-AF20)*AH20)/((AH20-AF20)*AC20),0)</f>
        <v>0.89415301679452619</v>
      </c>
      <c r="AK20" s="58">
        <f t="shared" si="6"/>
        <v>0.89184143003873162</v>
      </c>
      <c r="AL20" s="11">
        <v>194</v>
      </c>
      <c r="AM20" s="13">
        <v>8.1000000000000003E-2</v>
      </c>
      <c r="AN20" s="14">
        <v>0.2127</v>
      </c>
      <c r="AO20" s="101">
        <v>0.21529999999999999</v>
      </c>
      <c r="AP20" s="29">
        <f>AL20*(1-AM20)*AN20</f>
        <v>37.921432199999998</v>
      </c>
      <c r="AQ20" s="102">
        <f t="shared" ref="AQ20:AQ70" si="152">AL20*(1-AM20)*AO20</f>
        <v>38.384975799999999</v>
      </c>
      <c r="AR20" s="18">
        <v>1.55</v>
      </c>
      <c r="AS20" s="18">
        <v>1006.42</v>
      </c>
      <c r="AT20" s="79">
        <f>AT18+AL20-AS20-AU20+AU20+AU20</f>
        <v>2780.1999999999994</v>
      </c>
      <c r="AU20" s="128"/>
      <c r="AV20" s="11"/>
      <c r="AW20" s="30"/>
      <c r="AX20" s="19"/>
      <c r="AY20" s="19"/>
      <c r="AZ20" s="19"/>
      <c r="BA20" s="19"/>
    </row>
    <row r="21" spans="1:54">
      <c r="A21" s="148"/>
      <c r="B21" s="32">
        <v>2</v>
      </c>
      <c r="C21" s="10" t="s">
        <v>59</v>
      </c>
      <c r="D21" s="33">
        <v>18800</v>
      </c>
      <c r="E21" s="33">
        <v>6</v>
      </c>
      <c r="F21" s="33">
        <v>18007</v>
      </c>
      <c r="G21" s="34">
        <v>0.5</v>
      </c>
      <c r="H21" s="34">
        <v>4.9000000000000004</v>
      </c>
      <c r="I21" s="33">
        <v>17671</v>
      </c>
      <c r="J21" s="34">
        <v>3.5</v>
      </c>
      <c r="K21" s="33">
        <v>16181</v>
      </c>
      <c r="L21" s="35">
        <v>4.7E-2</v>
      </c>
      <c r="M21" s="36">
        <f>ROUND(K21*(1-L21),0)</f>
        <v>15420</v>
      </c>
      <c r="N21" s="37">
        <v>0.71</v>
      </c>
      <c r="O21" s="24">
        <f t="shared" si="141"/>
        <v>10948.199999999999</v>
      </c>
      <c r="P21" s="35">
        <v>0.188</v>
      </c>
      <c r="Q21" s="24">
        <f t="shared" si="142"/>
        <v>2898.96</v>
      </c>
      <c r="R21" s="38">
        <v>0.10199999999999999</v>
      </c>
      <c r="S21" s="105"/>
      <c r="T21" s="24">
        <f t="shared" si="143"/>
        <v>1572.84</v>
      </c>
      <c r="U21" s="27">
        <v>0.26100000000000001</v>
      </c>
      <c r="V21" s="24">
        <f t="shared" si="144"/>
        <v>4024.6200000000003</v>
      </c>
      <c r="W21" s="38">
        <v>0.47299999999999998</v>
      </c>
      <c r="X21" s="24">
        <f t="shared" si="145"/>
        <v>7293.66</v>
      </c>
      <c r="Y21" s="38">
        <v>0.43</v>
      </c>
      <c r="Z21" s="24">
        <f t="shared" si="146"/>
        <v>6630.5999999999995</v>
      </c>
      <c r="AA21" s="117">
        <v>2.66E-3</v>
      </c>
      <c r="AB21" s="18">
        <f t="shared" si="147"/>
        <v>41.017200000000003</v>
      </c>
      <c r="AC21" s="39">
        <v>2.5600000000000002E-3</v>
      </c>
      <c r="AD21" s="17">
        <f t="shared" si="148"/>
        <v>39.475200000000001</v>
      </c>
      <c r="AE21" s="26">
        <f>IF(M21&gt;0,(AG21+AP21)/M21,0)</f>
        <v>2.5390493190661479E-3</v>
      </c>
      <c r="AF21" s="39">
        <v>2.9E-4</v>
      </c>
      <c r="AG21" s="36">
        <f t="shared" si="149"/>
        <v>4.4718</v>
      </c>
      <c r="AH21" s="27">
        <v>0.2009</v>
      </c>
      <c r="AI21" s="40">
        <f t="shared" si="150"/>
        <v>34.304679499999999</v>
      </c>
      <c r="AJ21" s="27">
        <f t="shared" si="151"/>
        <v>0.8880005825980759</v>
      </c>
      <c r="AK21" s="28">
        <f t="shared" si="6"/>
        <v>0.88705061368561178</v>
      </c>
      <c r="AL21" s="33">
        <v>185</v>
      </c>
      <c r="AM21" s="35">
        <v>7.6999999999999999E-2</v>
      </c>
      <c r="AN21" s="37">
        <v>0.2031</v>
      </c>
      <c r="AO21" s="103">
        <v>0.2162</v>
      </c>
      <c r="AP21" s="40">
        <f>AL21*(1-AM21)*AN21</f>
        <v>34.6803405</v>
      </c>
      <c r="AQ21" s="104">
        <f t="shared" si="152"/>
        <v>36.917231000000001</v>
      </c>
      <c r="AR21" s="41">
        <v>1.65</v>
      </c>
      <c r="AS21" s="41"/>
      <c r="AT21" s="129">
        <f>AT20+AL21-AS21</f>
        <v>2965.1999999999994</v>
      </c>
      <c r="AU21" s="82"/>
      <c r="AV21" s="42"/>
      <c r="AW21" s="43"/>
      <c r="AX21" s="44"/>
      <c r="AY21" s="44"/>
      <c r="AZ21" s="44"/>
      <c r="BA21" s="44"/>
    </row>
    <row r="22" spans="1:54">
      <c r="A22" s="148"/>
      <c r="B22" s="32">
        <v>3</v>
      </c>
      <c r="C22" s="10" t="s">
        <v>53</v>
      </c>
      <c r="D22" s="42">
        <v>23700</v>
      </c>
      <c r="E22" s="42">
        <v>3</v>
      </c>
      <c r="F22" s="42">
        <v>19076</v>
      </c>
      <c r="G22" s="36">
        <v>0.4</v>
      </c>
      <c r="H22" s="36">
        <v>6.6</v>
      </c>
      <c r="I22" s="42">
        <v>19481</v>
      </c>
      <c r="J22" s="36">
        <v>2.2000000000000002</v>
      </c>
      <c r="K22" s="42">
        <v>15887</v>
      </c>
      <c r="L22" s="38">
        <v>3.6999999999999998E-2</v>
      </c>
      <c r="M22" s="36">
        <f>ROUND(K22*(1-L22),0)</f>
        <v>15299</v>
      </c>
      <c r="N22" s="27">
        <v>0.70499999999999996</v>
      </c>
      <c r="O22" s="24">
        <f t="shared" si="141"/>
        <v>10785.795</v>
      </c>
      <c r="P22" s="38">
        <v>0.224</v>
      </c>
      <c r="Q22" s="24">
        <f t="shared" si="142"/>
        <v>3426.9760000000001</v>
      </c>
      <c r="R22" s="38">
        <v>7.0999999999999994E-2</v>
      </c>
      <c r="S22" s="105"/>
      <c r="T22" s="24">
        <f t="shared" si="143"/>
        <v>1086.2289999999998</v>
      </c>
      <c r="U22" s="27">
        <v>0.25900000000000001</v>
      </c>
      <c r="V22" s="24">
        <f t="shared" si="144"/>
        <v>3962.4410000000003</v>
      </c>
      <c r="W22" s="38">
        <v>0.46400000000000002</v>
      </c>
      <c r="X22" s="24">
        <f t="shared" si="145"/>
        <v>7098.7360000000008</v>
      </c>
      <c r="Y22" s="38">
        <v>0.44</v>
      </c>
      <c r="Z22" s="24">
        <f t="shared" si="146"/>
        <v>6731.56</v>
      </c>
      <c r="AA22" s="118">
        <v>2.3999999999999998E-3</v>
      </c>
      <c r="AB22" s="121">
        <f t="shared" si="147"/>
        <v>36.717599999999997</v>
      </c>
      <c r="AC22" s="45">
        <v>2.4499999999999999E-3</v>
      </c>
      <c r="AD22" s="17">
        <f t="shared" si="148"/>
        <v>37.482549999999996</v>
      </c>
      <c r="AE22" s="26">
        <f>IF(M22&gt;0,(AG22+AP22)/M22,0)</f>
        <v>2.3182654421857636E-3</v>
      </c>
      <c r="AF22" s="45">
        <v>2.7999999999999998E-4</v>
      </c>
      <c r="AG22" s="36">
        <f t="shared" si="149"/>
        <v>4.2837199999999998</v>
      </c>
      <c r="AH22" s="27">
        <v>0.19719999999999999</v>
      </c>
      <c r="AI22" s="40">
        <f t="shared" si="150"/>
        <v>31.454583199999998</v>
      </c>
      <c r="AJ22" s="27">
        <f t="shared" si="151"/>
        <v>0.8869736803923276</v>
      </c>
      <c r="AK22" s="28">
        <f t="shared" si="6"/>
        <v>0.88048109026774435</v>
      </c>
      <c r="AL22" s="42">
        <v>173</v>
      </c>
      <c r="AM22" s="38">
        <v>7.8E-2</v>
      </c>
      <c r="AN22" s="27">
        <v>0.19550000000000001</v>
      </c>
      <c r="AO22" s="105">
        <v>0.21279999999999999</v>
      </c>
      <c r="AP22" s="40">
        <f>AL22*(1-AM22)*AN22</f>
        <v>31.183423000000001</v>
      </c>
      <c r="AQ22" s="106">
        <f t="shared" si="152"/>
        <v>33.942876800000001</v>
      </c>
      <c r="AR22" s="17">
        <v>1.6</v>
      </c>
      <c r="AS22" s="17"/>
      <c r="AT22" s="129">
        <f>AT21+AL22-AS22</f>
        <v>3138.1999999999994</v>
      </c>
      <c r="AU22" s="82"/>
      <c r="AV22" s="42"/>
      <c r="AW22" s="46"/>
      <c r="AX22" s="40"/>
      <c r="AY22" s="40"/>
      <c r="AZ22" s="40"/>
      <c r="BA22" s="40"/>
    </row>
    <row r="23" spans="1:54">
      <c r="A23" s="149"/>
      <c r="B23" s="47" t="s">
        <v>56</v>
      </c>
      <c r="C23" s="48"/>
      <c r="D23" s="49">
        <f t="shared" ref="D23" si="153">SUM(D20:D22)</f>
        <v>48581</v>
      </c>
      <c r="E23" s="49"/>
      <c r="F23" s="49">
        <f t="shared" ref="F23" si="154">SUM(F20:F22)</f>
        <v>47566</v>
      </c>
      <c r="G23" s="50"/>
      <c r="H23" s="50"/>
      <c r="I23" s="49">
        <f t="shared" ref="I23:K23" si="155">SUM(I20:I22)</f>
        <v>47808</v>
      </c>
      <c r="J23" s="50"/>
      <c r="K23" s="49">
        <f t="shared" si="155"/>
        <v>48228</v>
      </c>
      <c r="L23" s="20">
        <f t="shared" ref="L23" si="156">IF(K23&gt;0,(K20*L20+K21*L21+K22*L22)/K23,0)</f>
        <v>4.1025255038566806E-2</v>
      </c>
      <c r="M23" s="50">
        <f t="shared" ref="M23" si="157">M20+M21+M22</f>
        <v>46249</v>
      </c>
      <c r="N23" s="51">
        <f t="shared" ref="N23" si="158">IF(M23&gt;0,O23/M23,0)</f>
        <v>0.67913219745291786</v>
      </c>
      <c r="O23" s="52">
        <f t="shared" ref="O23" si="159">O20+O21+O22</f>
        <v>31409.184999999998</v>
      </c>
      <c r="P23" s="20">
        <f t="shared" ref="P23" si="160">IF(M23&gt;0,Q23/M23,0)</f>
        <v>0.23852463837055937</v>
      </c>
      <c r="Q23" s="52">
        <f t="shared" ref="Q23" si="161">Q20+Q21+Q22</f>
        <v>11031.526</v>
      </c>
      <c r="R23" s="20">
        <f t="shared" ref="R23" si="162">IF(M23&gt;0,T23/M23,0)</f>
        <v>8.2343164176522737E-2</v>
      </c>
      <c r="S23" s="107"/>
      <c r="T23" s="52">
        <f t="shared" ref="T23" si="163">T20+T21+T22</f>
        <v>3808.2889999999998</v>
      </c>
      <c r="U23" s="20">
        <f t="shared" ref="U23" si="164">IF(M23&gt;0,V23/M23,0)</f>
        <v>0.26100998940517633</v>
      </c>
      <c r="V23" s="52">
        <f t="shared" ref="V23" si="165">V20+V21+V22</f>
        <v>12071.451000000001</v>
      </c>
      <c r="W23" s="20">
        <f t="shared" ref="W23" si="166">IF(M23&gt;0,X23/M23,0)</f>
        <v>0.4686796687495946</v>
      </c>
      <c r="X23" s="52">
        <f t="shared" ref="X23" si="167">X20+X21+X22</f>
        <v>21675.966</v>
      </c>
      <c r="Y23" s="20">
        <f t="shared" ref="Y23" si="168">IF(M23&gt;0,Z23/M23,0)</f>
        <v>0.42995005297411831</v>
      </c>
      <c r="Z23" s="52">
        <f t="shared" ref="Z23" si="169">Z20+Z21+Z22</f>
        <v>19884.759999999998</v>
      </c>
      <c r="AA23" s="119">
        <f>IF(M23&gt;0,AB23/M23,0)</f>
        <v>2.6445090704663885E-3</v>
      </c>
      <c r="AB23" s="54">
        <f t="shared" ref="AB23" si="170">SUM(AB20:AB22)</f>
        <v>122.30590000000001</v>
      </c>
      <c r="AC23" s="53">
        <f t="shared" ref="AC23" si="171">IF(M23&gt;0,AD23/M23,0)</f>
        <v>2.6042022530216873E-3</v>
      </c>
      <c r="AD23" s="54">
        <f t="shared" ref="AD23" si="172">SUM(AD20:AD22)</f>
        <v>120.44175000000001</v>
      </c>
      <c r="AE23" s="53">
        <f t="shared" ref="AE23" si="173">IF(M23&gt;0,(AE20*M20+AE21*M21+AE22*M22)/M23,0)</f>
        <v>2.5341026984367228E-3</v>
      </c>
      <c r="AF23" s="53">
        <f t="shared" ref="AF23" si="174">IF(K23&gt;0,(K20*AF20+K21*AF21+K22*AF22)/K23,0)</f>
        <v>2.900566061209256E-4</v>
      </c>
      <c r="AG23" s="50">
        <f t="shared" ref="AG23" si="175">SUM(AG20:AG22)</f>
        <v>13.41452</v>
      </c>
      <c r="AH23" s="51">
        <f t="shared" ref="AH23" si="176">IF(K23&gt;0,(K20*AH20+K21*AH21+K22*AH22)/K23,0)</f>
        <v>0.20172512440905696</v>
      </c>
      <c r="AI23" s="56">
        <f t="shared" ref="AI23" si="177">SUM(AI20:AI22)</f>
        <v>102.6644647</v>
      </c>
      <c r="AJ23" s="51">
        <f t="shared" ref="AJ23" si="178">IF(AND(AD23&gt;0),((AD20*AJ20+AD21*AJ21+AD22*AJ22)/AD23),0)</f>
        <v>0.88990226150365781</v>
      </c>
      <c r="AK23" s="55">
        <f t="shared" si="6"/>
        <v>0.88680078284785435</v>
      </c>
      <c r="AL23" s="49">
        <f t="shared" ref="AL23" si="179">SUM(AL20:AL22)</f>
        <v>552</v>
      </c>
      <c r="AM23" s="20">
        <f t="shared" ref="AM23" si="180">IF(AL23&gt;0,(AM20*AL20+AM21*AL21+AM22*AL22)/AL23,0)</f>
        <v>7.8719202898550736E-2</v>
      </c>
      <c r="AN23" s="51">
        <f>IF(K23&gt;0,(AN20*K20+AN21*K21+AN22*K22)/K23,0)</f>
        <v>0.20381317077216554</v>
      </c>
      <c r="AO23" s="107">
        <f>IF(K23&gt;0,(AO20*K20+AO21*K21+AO22*K22)/K23,0)</f>
        <v>0.21477842332255123</v>
      </c>
      <c r="AP23" s="56">
        <f t="shared" ref="AP23:AQ35" si="181">SUM(AP20:AP22)</f>
        <v>103.7851957</v>
      </c>
      <c r="AQ23" s="108">
        <f t="shared" si="181"/>
        <v>109.24508359999999</v>
      </c>
      <c r="AR23" s="54"/>
      <c r="AS23" s="54">
        <f t="shared" ref="AS23" si="182">SUM(AS20:AS22)</f>
        <v>1006.42</v>
      </c>
      <c r="AT23" s="83"/>
      <c r="AU23" s="84">
        <f>AT22</f>
        <v>3138.1999999999994</v>
      </c>
      <c r="AV23" s="49">
        <f t="shared" ref="AV23" si="183">SUM(AV20:AV22)</f>
        <v>0</v>
      </c>
      <c r="AW23" s="57"/>
      <c r="AX23" s="56"/>
      <c r="AY23" s="56"/>
      <c r="AZ23" s="56"/>
      <c r="BA23" s="56"/>
      <c r="BB23" s="21"/>
    </row>
    <row r="24" spans="1:54">
      <c r="A24" s="147">
        <v>6</v>
      </c>
      <c r="B24" s="22">
        <v>1</v>
      </c>
      <c r="C24" s="10" t="s">
        <v>54</v>
      </c>
      <c r="D24" s="11">
        <v>5117</v>
      </c>
      <c r="E24" s="11">
        <v>2</v>
      </c>
      <c r="F24" s="11">
        <v>12179</v>
      </c>
      <c r="G24" s="12">
        <v>0.7</v>
      </c>
      <c r="H24" s="12">
        <v>7.2</v>
      </c>
      <c r="I24" s="11">
        <v>12557</v>
      </c>
      <c r="J24" s="12">
        <v>3.5</v>
      </c>
      <c r="K24" s="11">
        <v>14740</v>
      </c>
      <c r="L24" s="13">
        <v>3.9E-2</v>
      </c>
      <c r="M24" s="23">
        <f>ROUND(K24*(1-L24),0)</f>
        <v>14165</v>
      </c>
      <c r="N24" s="14">
        <v>0.68300000000000005</v>
      </c>
      <c r="O24" s="24">
        <f t="shared" ref="O24:O26" si="184">M24*N24</f>
        <v>9674.6950000000015</v>
      </c>
      <c r="P24" s="13">
        <v>0.25700000000000001</v>
      </c>
      <c r="Q24" s="24">
        <f t="shared" ref="Q24:Q26" si="185">M24*P24</f>
        <v>3640.4050000000002</v>
      </c>
      <c r="R24" s="15">
        <v>0.06</v>
      </c>
      <c r="S24" s="112"/>
      <c r="T24" s="24">
        <f t="shared" ref="T24:T26" si="186">M24*R24</f>
        <v>849.9</v>
      </c>
      <c r="U24" s="25">
        <v>0.248</v>
      </c>
      <c r="V24" s="24">
        <f t="shared" ref="V24:V26" si="187">M24*U24</f>
        <v>3512.92</v>
      </c>
      <c r="W24" s="15">
        <v>0.48499999999999999</v>
      </c>
      <c r="X24" s="24">
        <f t="shared" ref="X24:X26" si="188">M24*W24</f>
        <v>6870.0249999999996</v>
      </c>
      <c r="Y24" s="15">
        <v>0.42</v>
      </c>
      <c r="Z24" s="24">
        <f t="shared" ref="Z24:Z26" si="189">Y24*M24</f>
        <v>5949.3</v>
      </c>
      <c r="AA24" s="116">
        <v>2.7299999999999998E-3</v>
      </c>
      <c r="AB24" s="18">
        <f t="shared" ref="AB24" si="190">M24*AA24</f>
        <v>38.670449999999995</v>
      </c>
      <c r="AC24" s="16">
        <v>2.7200000000000002E-3</v>
      </c>
      <c r="AD24" s="17">
        <f t="shared" ref="AD24:AD26" si="191">M24*AC24</f>
        <v>38.528800000000004</v>
      </c>
      <c r="AE24" s="26">
        <f>IF(M24&gt;0,(AG24+AP24)/M24,0)</f>
        <v>2.6141820261207198E-3</v>
      </c>
      <c r="AF24" s="16">
        <v>2.9E-4</v>
      </c>
      <c r="AG24" s="23">
        <f t="shared" ref="AG24:AG26" si="192">AF24*M24</f>
        <v>4.10785</v>
      </c>
      <c r="AH24" s="92">
        <v>0.20669999999999999</v>
      </c>
      <c r="AI24" s="29">
        <f t="shared" ref="AI24:AI26" si="193">AL24*(1-AM24)*AH24</f>
        <v>32.969890200000002</v>
      </c>
      <c r="AJ24" s="27">
        <f t="shared" ref="AJ24:AJ26" si="194">IF(AND(AH24&gt;0,AF24&gt;0,AC24&gt;0),((AC24-AF24)*AH24)/((AH24-AF24)*AC24),0)</f>
        <v>0.89463752896149029</v>
      </c>
      <c r="AK24" s="58">
        <f t="shared" si="6"/>
        <v>0.89031756908989457</v>
      </c>
      <c r="AL24" s="11">
        <v>173</v>
      </c>
      <c r="AM24" s="13">
        <v>7.8E-2</v>
      </c>
      <c r="AN24" s="14">
        <v>0.2064</v>
      </c>
      <c r="AO24" s="101">
        <v>0.21779999999999999</v>
      </c>
      <c r="AP24" s="29">
        <f>AL24*(1-AM24)*AN24</f>
        <v>32.922038399999998</v>
      </c>
      <c r="AQ24" s="102">
        <f t="shared" ref="AQ24" si="195">AL24*(1-AM24)*AO24</f>
        <v>34.740406800000002</v>
      </c>
      <c r="AR24" s="18">
        <v>1.5</v>
      </c>
      <c r="AS24" s="18">
        <v>1010.02</v>
      </c>
      <c r="AT24" s="79">
        <f>AT22+AL24-AS24</f>
        <v>2301.1799999999994</v>
      </c>
      <c r="AU24" s="80"/>
      <c r="AV24" s="11"/>
      <c r="AW24" s="30"/>
      <c r="AX24" s="19"/>
      <c r="AY24" s="19"/>
      <c r="AZ24" s="19"/>
      <c r="BA24" s="19"/>
    </row>
    <row r="25" spans="1:54">
      <c r="A25" s="148"/>
      <c r="B25" s="32">
        <v>2</v>
      </c>
      <c r="C25" s="10" t="s">
        <v>55</v>
      </c>
      <c r="D25" s="33">
        <v>19492</v>
      </c>
      <c r="E25" s="33">
        <v>7</v>
      </c>
      <c r="F25" s="33">
        <v>20638</v>
      </c>
      <c r="G25" s="34">
        <v>0.8</v>
      </c>
      <c r="H25" s="34">
        <v>5.5</v>
      </c>
      <c r="I25" s="33">
        <v>20189</v>
      </c>
      <c r="J25" s="34">
        <v>2</v>
      </c>
      <c r="K25" s="33">
        <v>14738</v>
      </c>
      <c r="L25" s="35">
        <v>5.0999999999999997E-2</v>
      </c>
      <c r="M25" s="36">
        <f>ROUND(K25*(1-L25),0)</f>
        <v>13986</v>
      </c>
      <c r="N25" s="37">
        <v>0.60399999999999998</v>
      </c>
      <c r="O25" s="24">
        <f t="shared" si="184"/>
        <v>8447.5439999999999</v>
      </c>
      <c r="P25" s="35">
        <v>0.309</v>
      </c>
      <c r="Q25" s="24">
        <f t="shared" si="185"/>
        <v>4321.674</v>
      </c>
      <c r="R25" s="38">
        <v>8.6999999999999994E-2</v>
      </c>
      <c r="S25" s="105"/>
      <c r="T25" s="24">
        <f t="shared" si="186"/>
        <v>1216.7819999999999</v>
      </c>
      <c r="U25" s="27">
        <v>0.22800000000000001</v>
      </c>
      <c r="V25" s="24">
        <f t="shared" si="187"/>
        <v>3188.808</v>
      </c>
      <c r="W25" s="38">
        <v>0.48899999999999999</v>
      </c>
      <c r="X25" s="24">
        <f t="shared" si="188"/>
        <v>6839.1539999999995</v>
      </c>
      <c r="Y25" s="38">
        <v>0.42</v>
      </c>
      <c r="Z25" s="24">
        <f t="shared" si="189"/>
        <v>5874.12</v>
      </c>
      <c r="AA25" s="117">
        <v>2.8E-3</v>
      </c>
      <c r="AB25" s="18">
        <f t="shared" si="147"/>
        <v>39.160800000000002</v>
      </c>
      <c r="AC25" s="39">
        <v>2.7299999999999998E-3</v>
      </c>
      <c r="AD25" s="17">
        <f t="shared" si="191"/>
        <v>38.181779999999996</v>
      </c>
      <c r="AE25" s="26">
        <f>IF(M25&gt;0,(AG25+AP25)/M25,0)</f>
        <v>2.418241305591306E-3</v>
      </c>
      <c r="AF25" s="39">
        <v>2.9E-4</v>
      </c>
      <c r="AG25" s="36">
        <f t="shared" si="192"/>
        <v>4.0559399999999997</v>
      </c>
      <c r="AH25" s="27">
        <v>0.2046</v>
      </c>
      <c r="AI25" s="40">
        <f t="shared" si="193"/>
        <v>29.520301800000002</v>
      </c>
      <c r="AJ25" s="27">
        <f t="shared" si="194"/>
        <v>0.89504152545609161</v>
      </c>
      <c r="AK25" s="28">
        <f t="shared" si="6"/>
        <v>0.8813170228661017</v>
      </c>
      <c r="AL25" s="33">
        <v>157</v>
      </c>
      <c r="AM25" s="35">
        <v>8.1000000000000003E-2</v>
      </c>
      <c r="AN25" s="37">
        <v>0.20630000000000001</v>
      </c>
      <c r="AO25" s="103">
        <v>0.22539999999999999</v>
      </c>
      <c r="AP25" s="40">
        <f>AL25*(1-AM25)*AN25</f>
        <v>29.765582900000005</v>
      </c>
      <c r="AQ25" s="104">
        <f t="shared" si="152"/>
        <v>32.521388200000004</v>
      </c>
      <c r="AR25" s="41">
        <v>1.5</v>
      </c>
      <c r="AS25" s="41"/>
      <c r="AT25" s="129">
        <f>AT24+AL25-AS25</f>
        <v>2458.1799999999994</v>
      </c>
      <c r="AU25" s="82"/>
      <c r="AV25" s="42"/>
      <c r="AW25" s="43"/>
      <c r="AX25" s="44"/>
      <c r="AY25" s="44"/>
      <c r="AZ25" s="44"/>
      <c r="BA25" s="44"/>
    </row>
    <row r="26" spans="1:54">
      <c r="A26" s="148"/>
      <c r="B26" s="32">
        <v>3</v>
      </c>
      <c r="C26" s="10" t="s">
        <v>53</v>
      </c>
      <c r="D26" s="42">
        <v>22100</v>
      </c>
      <c r="E26" s="42">
        <v>3</v>
      </c>
      <c r="F26" s="42">
        <v>16093</v>
      </c>
      <c r="G26" s="36">
        <v>0.4</v>
      </c>
      <c r="H26" s="36">
        <v>4.5</v>
      </c>
      <c r="I26" s="42">
        <v>16592</v>
      </c>
      <c r="J26" s="36">
        <v>1</v>
      </c>
      <c r="K26" s="42">
        <v>14723</v>
      </c>
      <c r="L26" s="38">
        <v>5.1999999999999998E-2</v>
      </c>
      <c r="M26" s="36">
        <f>ROUND(K26*(1-L26),0)</f>
        <v>13957</v>
      </c>
      <c r="N26" s="27">
        <v>0.72599999999999998</v>
      </c>
      <c r="O26" s="24">
        <f t="shared" si="184"/>
        <v>10132.781999999999</v>
      </c>
      <c r="P26" s="38">
        <v>0.20599999999999999</v>
      </c>
      <c r="Q26" s="24">
        <f t="shared" si="185"/>
        <v>2875.1419999999998</v>
      </c>
      <c r="R26" s="38">
        <v>6.8000000000000005E-2</v>
      </c>
      <c r="S26" s="105"/>
      <c r="T26" s="24">
        <f t="shared" si="186"/>
        <v>949.07600000000002</v>
      </c>
      <c r="U26" s="27">
        <v>0.23899999999999999</v>
      </c>
      <c r="V26" s="24">
        <f t="shared" si="187"/>
        <v>3335.723</v>
      </c>
      <c r="W26" s="38">
        <v>0.47</v>
      </c>
      <c r="X26" s="24">
        <f t="shared" si="188"/>
        <v>6559.79</v>
      </c>
      <c r="Y26" s="38">
        <v>0.4</v>
      </c>
      <c r="Z26" s="24">
        <f t="shared" si="189"/>
        <v>5582.8</v>
      </c>
      <c r="AA26" s="118">
        <v>2.5799999999999998E-3</v>
      </c>
      <c r="AB26" s="121">
        <f t="shared" si="147"/>
        <v>36.009059999999998</v>
      </c>
      <c r="AC26" s="45">
        <v>2.66E-3</v>
      </c>
      <c r="AD26" s="17">
        <f t="shared" si="191"/>
        <v>37.125619999999998</v>
      </c>
      <c r="AE26" s="26">
        <f>IF(M26&gt;0,(AG26+AP26)/M26,0)</f>
        <v>2.3574937880633377E-3</v>
      </c>
      <c r="AF26" s="45">
        <v>2.7999999999999998E-4</v>
      </c>
      <c r="AG26" s="36">
        <f t="shared" si="192"/>
        <v>3.9079599999999997</v>
      </c>
      <c r="AH26" s="27">
        <v>0.2044</v>
      </c>
      <c r="AI26" s="40">
        <f t="shared" si="193"/>
        <v>28.521158400000001</v>
      </c>
      <c r="AJ26" s="27">
        <f t="shared" si="194"/>
        <v>0.89596419031116892</v>
      </c>
      <c r="AK26" s="28">
        <f t="shared" si="6"/>
        <v>0.88241881846317127</v>
      </c>
      <c r="AL26" s="42">
        <v>152</v>
      </c>
      <c r="AM26" s="38">
        <v>8.2000000000000003E-2</v>
      </c>
      <c r="AN26" s="27">
        <v>0.20780000000000001</v>
      </c>
      <c r="AO26" s="105">
        <v>0.2203</v>
      </c>
      <c r="AP26" s="40">
        <f>AL26*(1-AM26)*AN26</f>
        <v>28.995580800000003</v>
      </c>
      <c r="AQ26" s="106">
        <f t="shared" si="152"/>
        <v>30.739780799999998</v>
      </c>
      <c r="AR26" s="17">
        <v>1.55</v>
      </c>
      <c r="AS26" s="17"/>
      <c r="AT26" s="129">
        <f>AT25+AL26-AS26</f>
        <v>2610.1799999999994</v>
      </c>
      <c r="AU26" s="82"/>
      <c r="AV26" s="42"/>
      <c r="AW26" s="46"/>
      <c r="AX26" s="40"/>
      <c r="AY26" s="40"/>
      <c r="AZ26" s="40"/>
      <c r="BA26" s="40"/>
    </row>
    <row r="27" spans="1:54">
      <c r="A27" s="149"/>
      <c r="B27" s="47" t="s">
        <v>56</v>
      </c>
      <c r="C27" s="48"/>
      <c r="D27" s="49">
        <f t="shared" ref="D27" si="196">SUM(D24:D26)</f>
        <v>46709</v>
      </c>
      <c r="E27" s="49"/>
      <c r="F27" s="49">
        <f t="shared" ref="F27" si="197">SUM(F24:F26)</f>
        <v>48910</v>
      </c>
      <c r="G27" s="50"/>
      <c r="H27" s="50"/>
      <c r="I27" s="49">
        <f t="shared" ref="I27:K27" si="198">SUM(I24:I26)</f>
        <v>49338</v>
      </c>
      <c r="J27" s="50"/>
      <c r="K27" s="49">
        <f t="shared" si="198"/>
        <v>44201</v>
      </c>
      <c r="L27" s="20">
        <f t="shared" ref="L27" si="199">IF(K27&gt;0,(K24*L24+K25*L25+K26*L26)/K27,0)</f>
        <v>4.7331372593380244E-2</v>
      </c>
      <c r="M27" s="50">
        <f t="shared" ref="M27" si="200">M24+M25+M26</f>
        <v>42108</v>
      </c>
      <c r="N27" s="51">
        <f t="shared" ref="N27" si="201">IF(M27&gt;0,O27/M27,0)</f>
        <v>0.67101313289636177</v>
      </c>
      <c r="O27" s="52">
        <f t="shared" ref="O27" si="202">O24+O25+O26</f>
        <v>28255.021000000001</v>
      </c>
      <c r="P27" s="20">
        <f t="shared" ref="P27" si="203">IF(M27&gt;0,Q27/M27,0)</f>
        <v>0.25736726987745795</v>
      </c>
      <c r="Q27" s="52">
        <f t="shared" ref="Q27" si="204">Q24+Q25+Q26</f>
        <v>10837.221</v>
      </c>
      <c r="R27" s="20">
        <f t="shared" ref="R27" si="205">IF(M27&gt;0,T27/M27,0)</f>
        <v>7.161959722618029E-2</v>
      </c>
      <c r="S27" s="107"/>
      <c r="T27" s="52">
        <f t="shared" ref="T27" si="206">T24+T25+T26</f>
        <v>3015.7579999999998</v>
      </c>
      <c r="U27" s="20">
        <f t="shared" ref="U27" si="207">IF(M27&gt;0,V27/M27,0)</f>
        <v>0.2383739669421488</v>
      </c>
      <c r="V27" s="52">
        <f t="shared" ref="V27" si="208">V24+V25+V26</f>
        <v>10037.451000000001</v>
      </c>
      <c r="W27" s="20">
        <f t="shared" ref="W27" si="209">IF(M27&gt;0,X27/M27,0)</f>
        <v>0.48135672556283843</v>
      </c>
      <c r="X27" s="52">
        <f t="shared" ref="X27" si="210">X24+X25+X26</f>
        <v>20268.969000000001</v>
      </c>
      <c r="Y27" s="20">
        <f t="shared" ref="Y27" si="211">IF(M27&gt;0,Z27/M27,0)</f>
        <v>0.4133708558943669</v>
      </c>
      <c r="Z27" s="52">
        <f t="shared" ref="Z27" si="212">Z24+Z25+Z26</f>
        <v>17406.22</v>
      </c>
      <c r="AA27" s="119">
        <f>IF(M27&gt;0,AB27/M27,0)</f>
        <v>2.7035316329438583E-3</v>
      </c>
      <c r="AB27" s="54">
        <f t="shared" ref="AB27" si="213">SUM(AB24:AB26)</f>
        <v>113.84030999999999</v>
      </c>
      <c r="AC27" s="53">
        <f t="shared" ref="AC27" si="214">IF(M27&gt;0,AD27/M27,0)</f>
        <v>2.7034340267882585E-3</v>
      </c>
      <c r="AD27" s="54">
        <f t="shared" ref="AD27" si="215">SUM(AD24:AD26)</f>
        <v>113.83619999999999</v>
      </c>
      <c r="AE27" s="53">
        <f t="shared" ref="AE27" si="216">IF(M27&gt;0,(AE24*M24+AE25*M25+AE26*M26)/M27,0)</f>
        <v>2.4640199510781798E-3</v>
      </c>
      <c r="AF27" s="53">
        <f t="shared" ref="AF27" si="217">IF(K27&gt;0,(K24*AF24+K25*AF25+K26*AF26)/K27,0)</f>
        <v>2.8666907988507043E-4</v>
      </c>
      <c r="AG27" s="50">
        <f t="shared" ref="AG27" si="218">SUM(AG24:AG26)</f>
        <v>12.071749999999998</v>
      </c>
      <c r="AH27" s="51">
        <f t="shared" ref="AH27" si="219">IF(K27&gt;0,(K24*AH24+K25*AH25+K26*AH26)/K27,0)</f>
        <v>0.20523368249587112</v>
      </c>
      <c r="AI27" s="56">
        <f t="shared" ref="AI27" si="220">SUM(AI24:AI26)</f>
        <v>91.011350400000012</v>
      </c>
      <c r="AJ27" s="51">
        <f t="shared" ref="AJ27" si="221">IF(AND(AD27&gt;0),((AD24*AJ24+AD25*AJ25+AD26*AJ26)/AD27),0)</f>
        <v>0.89520569998630051</v>
      </c>
      <c r="AK27" s="55">
        <f t="shared" si="6"/>
        <v>0.88488441493797643</v>
      </c>
      <c r="AL27" s="49">
        <f t="shared" ref="AL27" si="222">SUM(AL24:AL26)</f>
        <v>482</v>
      </c>
      <c r="AM27" s="20">
        <f t="shared" ref="AM27" si="223">IF(AL27&gt;0,(AM24*AL24+AM25*AL25+AM26*AL26)/AL27,0)</f>
        <v>8.023858921161825E-2</v>
      </c>
      <c r="AN27" s="51">
        <f>IF(K27&gt;0,(AN24*K24+AN25*K25+AN26*K26)/K27,0)</f>
        <v>0.20683298567905703</v>
      </c>
      <c r="AO27" s="107">
        <f>IF(K27&gt;0,(AO24*K24+AO25*K25+AO26*K26)/K27,0)</f>
        <v>0.22116680844324788</v>
      </c>
      <c r="AP27" s="56">
        <f t="shared" ref="AP27" si="224">SUM(AP24:AP26)</f>
        <v>91.683202100000003</v>
      </c>
      <c r="AQ27" s="108">
        <f t="shared" si="181"/>
        <v>98.001575800000012</v>
      </c>
      <c r="AR27" s="54"/>
      <c r="AS27" s="54">
        <f t="shared" ref="AS27" si="225">SUM(AS24:AS26)</f>
        <v>1010.02</v>
      </c>
      <c r="AT27" s="83"/>
      <c r="AU27" s="84">
        <f>AT26</f>
        <v>2610.1799999999994</v>
      </c>
      <c r="AV27" s="49">
        <f t="shared" ref="AV27" si="226">SUM(AV24:AV26)</f>
        <v>0</v>
      </c>
      <c r="AW27" s="57"/>
      <c r="AX27" s="56"/>
      <c r="AY27" s="56"/>
      <c r="AZ27" s="56"/>
      <c r="BA27" s="56"/>
      <c r="BB27" s="21"/>
    </row>
    <row r="28" spans="1:54">
      <c r="A28" s="147">
        <v>7</v>
      </c>
      <c r="B28" s="22">
        <v>1</v>
      </c>
      <c r="C28" s="10" t="s">
        <v>54</v>
      </c>
      <c r="D28" s="11">
        <v>1331</v>
      </c>
      <c r="E28" s="11">
        <v>5</v>
      </c>
      <c r="F28" s="11">
        <v>5724</v>
      </c>
      <c r="G28" s="12">
        <v>0.8</v>
      </c>
      <c r="H28" s="12">
        <v>7.2</v>
      </c>
      <c r="I28" s="11">
        <v>6257</v>
      </c>
      <c r="J28" s="12">
        <v>5.2</v>
      </c>
      <c r="K28" s="11">
        <v>14681</v>
      </c>
      <c r="L28" s="13">
        <v>5.0999999999999997E-2</v>
      </c>
      <c r="M28" s="23">
        <f>ROUND(K28*(1-L28),0)</f>
        <v>13932</v>
      </c>
      <c r="N28" s="14">
        <v>0.73899999999999999</v>
      </c>
      <c r="O28" s="24">
        <f t="shared" ref="O28:O30" si="227">M28*N28</f>
        <v>10295.748</v>
      </c>
      <c r="P28" s="13">
        <v>0.20599999999999999</v>
      </c>
      <c r="Q28" s="24">
        <f t="shared" ref="Q28:Q30" si="228">M28*P28</f>
        <v>2869.9919999999997</v>
      </c>
      <c r="R28" s="15">
        <v>5.5E-2</v>
      </c>
      <c r="S28" s="112"/>
      <c r="T28" s="24">
        <f t="shared" ref="T28:T30" si="229">M28*R28</f>
        <v>766.26</v>
      </c>
      <c r="U28" s="25">
        <v>0.22900000000000001</v>
      </c>
      <c r="V28" s="24">
        <f t="shared" ref="V28:V30" si="230">M28*U28</f>
        <v>3190.4280000000003</v>
      </c>
      <c r="W28" s="15">
        <v>0.48899999999999999</v>
      </c>
      <c r="X28" s="24">
        <f t="shared" ref="X28:X30" si="231">M28*W28</f>
        <v>6812.7479999999996</v>
      </c>
      <c r="Y28" s="15">
        <v>0.4</v>
      </c>
      <c r="Z28" s="24">
        <f t="shared" ref="Z28:Z30" si="232">Y28*M28</f>
        <v>5572.8</v>
      </c>
      <c r="AA28" s="116">
        <v>2.7399999999999998E-3</v>
      </c>
      <c r="AB28" s="18">
        <f t="shared" ref="AB28" si="233">M28*AA28</f>
        <v>38.173679999999997</v>
      </c>
      <c r="AC28" s="16">
        <v>2.7899999999999999E-3</v>
      </c>
      <c r="AD28" s="17">
        <f t="shared" ref="AD28:AD30" si="234">M28*AC28</f>
        <v>38.870280000000001</v>
      </c>
      <c r="AE28" s="26">
        <f>IF(M28&gt;0,(AG28+AP28)/M28,0)</f>
        <v>2.672817075796727E-3</v>
      </c>
      <c r="AF28" s="16">
        <v>2.7E-4</v>
      </c>
      <c r="AG28" s="23">
        <f t="shared" ref="AG28:AG30" si="235">AF28*M28</f>
        <v>3.7616399999999999</v>
      </c>
      <c r="AH28" s="92">
        <v>0.2046</v>
      </c>
      <c r="AI28" s="29">
        <f t="shared" ref="AI28:AI30" si="236">AL28*(1-AM28)*AH28</f>
        <v>32.976405</v>
      </c>
      <c r="AJ28" s="27">
        <f t="shared" ref="AJ28:AJ30" si="237">IF(AND(AH28&gt;0,AF28&gt;0,AC28&gt;0),((AC28-AF28)*AH28)/((AH28-AF28)*AC28),0)</f>
        <v>0.90441932168550876</v>
      </c>
      <c r="AK28" s="58">
        <f t="shared" si="6"/>
        <v>0.9001531417321289</v>
      </c>
      <c r="AL28" s="11">
        <v>175</v>
      </c>
      <c r="AM28" s="13">
        <v>7.9000000000000001E-2</v>
      </c>
      <c r="AN28" s="14">
        <v>0.2077</v>
      </c>
      <c r="AO28" s="101">
        <v>0.21870000000000001</v>
      </c>
      <c r="AP28" s="29">
        <f>AL28*(1-AM28)*AN28</f>
        <v>33.4760475</v>
      </c>
      <c r="AQ28" s="102">
        <f t="shared" ref="AQ28" si="238">AL28*(1-AM28)*AO28</f>
        <v>35.248972500000001</v>
      </c>
      <c r="AR28" s="18">
        <v>1.55</v>
      </c>
      <c r="AS28" s="18">
        <v>1004.08</v>
      </c>
      <c r="AT28" s="79">
        <f>AT26+AL28-AS28</f>
        <v>1781.0999999999995</v>
      </c>
      <c r="AU28" s="80"/>
      <c r="AV28" s="11"/>
      <c r="AW28" s="30"/>
      <c r="AX28" s="19"/>
      <c r="AY28" s="19"/>
      <c r="AZ28" s="19"/>
      <c r="BA28" s="19"/>
    </row>
    <row r="29" spans="1:54">
      <c r="A29" s="148"/>
      <c r="B29" s="32">
        <v>2</v>
      </c>
      <c r="C29" s="10" t="s">
        <v>55</v>
      </c>
      <c r="D29" s="33">
        <v>23799</v>
      </c>
      <c r="E29" s="33">
        <v>3</v>
      </c>
      <c r="F29" s="33">
        <v>19596</v>
      </c>
      <c r="G29" s="34">
        <v>0.8</v>
      </c>
      <c r="H29" s="34">
        <v>6.1</v>
      </c>
      <c r="I29" s="33">
        <v>19250</v>
      </c>
      <c r="J29" s="34">
        <v>2.5</v>
      </c>
      <c r="K29" s="33">
        <v>14579</v>
      </c>
      <c r="L29" s="35">
        <v>5.1999999999999998E-2</v>
      </c>
      <c r="M29" s="36">
        <f>ROUND(K29*(1-L29),0)</f>
        <v>13821</v>
      </c>
      <c r="N29" s="37">
        <v>0.49</v>
      </c>
      <c r="O29" s="24">
        <f t="shared" si="227"/>
        <v>6772.29</v>
      </c>
      <c r="P29" s="35">
        <v>0.49</v>
      </c>
      <c r="Q29" s="24">
        <f t="shared" si="228"/>
        <v>6772.29</v>
      </c>
      <c r="R29" s="38">
        <v>0.02</v>
      </c>
      <c r="S29" s="105"/>
      <c r="T29" s="24">
        <f t="shared" si="229"/>
        <v>276.42</v>
      </c>
      <c r="U29" s="27">
        <v>0.21099999999999999</v>
      </c>
      <c r="V29" s="24">
        <f t="shared" si="230"/>
        <v>2916.2309999999998</v>
      </c>
      <c r="W29" s="38">
        <v>0.51900000000000002</v>
      </c>
      <c r="X29" s="24">
        <f t="shared" si="231"/>
        <v>7173.0990000000002</v>
      </c>
      <c r="Y29" s="38">
        <v>0.37</v>
      </c>
      <c r="Z29" s="24">
        <f t="shared" si="232"/>
        <v>5113.7699999999995</v>
      </c>
      <c r="AA29" s="117">
        <v>2.96E-3</v>
      </c>
      <c r="AB29" s="18">
        <f t="shared" si="147"/>
        <v>40.910159999999998</v>
      </c>
      <c r="AC29" s="39">
        <v>2.8E-3</v>
      </c>
      <c r="AD29" s="17">
        <f t="shared" si="234"/>
        <v>38.698799999999999</v>
      </c>
      <c r="AE29" s="26">
        <f>IF(M29&gt;0,(AG29+AP29)/M29,0)</f>
        <v>2.345552420230085E-3</v>
      </c>
      <c r="AF29" s="39">
        <v>2.7999999999999998E-4</v>
      </c>
      <c r="AG29" s="36">
        <f t="shared" si="235"/>
        <v>3.8698799999999998</v>
      </c>
      <c r="AH29" s="27">
        <v>0.19819999999999999</v>
      </c>
      <c r="AI29" s="40">
        <f t="shared" si="236"/>
        <v>28.291067999999999</v>
      </c>
      <c r="AJ29" s="27">
        <f t="shared" si="237"/>
        <v>0.90127324171382384</v>
      </c>
      <c r="AK29" s="28">
        <f t="shared" si="6"/>
        <v>0.88185974013493595</v>
      </c>
      <c r="AL29" s="33">
        <v>156</v>
      </c>
      <c r="AM29" s="35">
        <v>8.5000000000000006E-2</v>
      </c>
      <c r="AN29" s="37">
        <v>0.2</v>
      </c>
      <c r="AO29" s="103">
        <v>0.21210000000000001</v>
      </c>
      <c r="AP29" s="40">
        <f>AL29*(1-AM29)*AN29</f>
        <v>28.548000000000002</v>
      </c>
      <c r="AQ29" s="104">
        <f t="shared" si="152"/>
        <v>30.275154000000004</v>
      </c>
      <c r="AR29" s="41">
        <v>1.55</v>
      </c>
      <c r="AS29" s="41"/>
      <c r="AT29" s="129">
        <f>AT28+AL29-AS29</f>
        <v>1937.0999999999995</v>
      </c>
      <c r="AU29" s="82"/>
      <c r="AV29" s="42"/>
      <c r="AW29" s="43"/>
      <c r="AX29" s="44"/>
      <c r="AY29" s="44"/>
      <c r="AZ29" s="44"/>
      <c r="BA29" s="44"/>
    </row>
    <row r="30" spans="1:54">
      <c r="A30" s="148"/>
      <c r="B30" s="32">
        <v>3</v>
      </c>
      <c r="C30" s="10" t="s">
        <v>57</v>
      </c>
      <c r="D30" s="42">
        <v>13300</v>
      </c>
      <c r="E30" s="42">
        <v>2</v>
      </c>
      <c r="F30" s="42">
        <v>17114</v>
      </c>
      <c r="G30" s="36">
        <v>0.7</v>
      </c>
      <c r="H30" s="36">
        <v>6.9</v>
      </c>
      <c r="I30" s="42">
        <v>17355</v>
      </c>
      <c r="J30" s="36">
        <v>1.6</v>
      </c>
      <c r="K30" s="42">
        <v>14921</v>
      </c>
      <c r="L30" s="38">
        <v>5.0999999999999997E-2</v>
      </c>
      <c r="M30" s="36">
        <f>ROUND(K30*(1-L30),0)</f>
        <v>14160</v>
      </c>
      <c r="N30" s="27">
        <v>0.56399999999999995</v>
      </c>
      <c r="O30" s="24">
        <f t="shared" si="227"/>
        <v>7986.2399999999989</v>
      </c>
      <c r="P30" s="38">
        <v>0.4</v>
      </c>
      <c r="Q30" s="24">
        <f t="shared" si="228"/>
        <v>5664</v>
      </c>
      <c r="R30" s="38">
        <v>3.5999999999999997E-2</v>
      </c>
      <c r="S30" s="105"/>
      <c r="T30" s="24">
        <f t="shared" si="229"/>
        <v>509.75999999999993</v>
      </c>
      <c r="U30" s="27">
        <v>0.223</v>
      </c>
      <c r="V30" s="24">
        <f t="shared" si="230"/>
        <v>3157.68</v>
      </c>
      <c r="W30" s="38">
        <v>0.49299999999999999</v>
      </c>
      <c r="X30" s="24">
        <f t="shared" si="231"/>
        <v>6980.88</v>
      </c>
      <c r="Y30" s="38">
        <v>0.41</v>
      </c>
      <c r="Z30" s="24">
        <f t="shared" si="232"/>
        <v>5805.5999999999995</v>
      </c>
      <c r="AA30" s="118">
        <v>2.5999999999999999E-3</v>
      </c>
      <c r="AB30" s="121">
        <f t="shared" si="147"/>
        <v>36.815999999999995</v>
      </c>
      <c r="AC30" s="45">
        <v>2.5000000000000001E-3</v>
      </c>
      <c r="AD30" s="17">
        <f t="shared" si="234"/>
        <v>35.4</v>
      </c>
      <c r="AE30" s="26">
        <f>IF(M30&gt;0,(AG30+AP30)/M30,0)</f>
        <v>2.3845932203389827E-3</v>
      </c>
      <c r="AF30" s="45">
        <v>2.7E-4</v>
      </c>
      <c r="AG30" s="36">
        <f t="shared" si="235"/>
        <v>3.8231999999999999</v>
      </c>
      <c r="AH30" s="27">
        <v>0.2084</v>
      </c>
      <c r="AI30" s="40">
        <f t="shared" si="236"/>
        <v>29.714505600000003</v>
      </c>
      <c r="AJ30" s="27">
        <f t="shared" si="237"/>
        <v>0.89315716138951606</v>
      </c>
      <c r="AK30" s="28">
        <f t="shared" si="6"/>
        <v>0.88791474581227936</v>
      </c>
      <c r="AL30" s="42">
        <v>156</v>
      </c>
      <c r="AM30" s="38">
        <v>8.5999999999999993E-2</v>
      </c>
      <c r="AN30" s="27">
        <v>0.21</v>
      </c>
      <c r="AO30" s="105">
        <v>0.22409999999999999</v>
      </c>
      <c r="AP30" s="40">
        <f>AL30*(1-AM30)*AN30</f>
        <v>29.942640000000001</v>
      </c>
      <c r="AQ30" s="106">
        <f t="shared" si="152"/>
        <v>31.953074399999998</v>
      </c>
      <c r="AR30" s="17">
        <v>1.55</v>
      </c>
      <c r="AS30" s="17"/>
      <c r="AT30" s="129">
        <f>AT29+AL30-AS30</f>
        <v>2093.0999999999995</v>
      </c>
      <c r="AU30" s="82"/>
      <c r="AV30" s="42"/>
      <c r="AW30" s="46"/>
      <c r="AX30" s="40"/>
      <c r="AY30" s="40"/>
      <c r="AZ30" s="40"/>
      <c r="BA30" s="40"/>
    </row>
    <row r="31" spans="1:54">
      <c r="A31" s="149"/>
      <c r="B31" s="47" t="s">
        <v>56</v>
      </c>
      <c r="C31" s="48"/>
      <c r="D31" s="49">
        <f t="shared" ref="D31" si="239">SUM(D28:D30)</f>
        <v>38430</v>
      </c>
      <c r="E31" s="49"/>
      <c r="F31" s="49">
        <f t="shared" ref="F31" si="240">SUM(F28:F30)</f>
        <v>42434</v>
      </c>
      <c r="G31" s="50"/>
      <c r="H31" s="50"/>
      <c r="I31" s="49">
        <f t="shared" ref="I31:K31" si="241">SUM(I28:I30)</f>
        <v>42862</v>
      </c>
      <c r="J31" s="50"/>
      <c r="K31" s="49">
        <f t="shared" si="241"/>
        <v>44181</v>
      </c>
      <c r="L31" s="20">
        <f t="shared" ref="L31" si="242">IF(K31&gt;0,(K28*L28+K29*L29+K30*L30)/K31,0)</f>
        <v>5.1329983477060276E-2</v>
      </c>
      <c r="M31" s="50">
        <f t="shared" ref="M31" si="243">M28+M29+M30</f>
        <v>41913</v>
      </c>
      <c r="N31" s="51">
        <f t="shared" ref="N31" si="244">IF(M31&gt;0,O31/M31,0)</f>
        <v>0.59776866366043946</v>
      </c>
      <c r="O31" s="52">
        <f t="shared" ref="O31" si="245">O28+O29+O30</f>
        <v>25054.277999999998</v>
      </c>
      <c r="P31" s="20">
        <f t="shared" ref="P31" si="246">IF(M31&gt;0,Q31/M31,0)</f>
        <v>0.36519175434829287</v>
      </c>
      <c r="Q31" s="52">
        <f t="shared" ref="Q31" si="247">Q28+Q29+Q30</f>
        <v>15306.281999999999</v>
      </c>
      <c r="R31" s="20">
        <f t="shared" ref="R31" si="248">IF(M31&gt;0,T31/M31,0)</f>
        <v>3.7039581991267626E-2</v>
      </c>
      <c r="S31" s="107"/>
      <c r="T31" s="52">
        <f t="shared" ref="T31" si="249">T28+T29+T30</f>
        <v>1552.44</v>
      </c>
      <c r="U31" s="20">
        <f t="shared" ref="U31" si="250">IF(M31&gt;0,V31/M31,0)</f>
        <v>0.22103736310929784</v>
      </c>
      <c r="V31" s="52">
        <f t="shared" ref="V31" si="251">V28+V29+V30</f>
        <v>9264.3389999999999</v>
      </c>
      <c r="W31" s="20">
        <f t="shared" ref="W31" si="252">IF(M31&gt;0,X31/M31,0)</f>
        <v>0.5002440054398396</v>
      </c>
      <c r="X31" s="52">
        <f t="shared" ref="X31" si="253">X28+X29+X30</f>
        <v>20966.726999999999</v>
      </c>
      <c r="Y31" s="20">
        <f t="shared" ref="Y31" si="254">IF(M31&gt;0,Z31/M31,0)</f>
        <v>0.3934857919977095</v>
      </c>
      <c r="Z31" s="52">
        <f t="shared" ref="Z31" si="255">Z28+Z29+Z30</f>
        <v>16492.169999999998</v>
      </c>
      <c r="AA31" s="119">
        <f>IF(M31&gt;0,AB31/M31,0)</f>
        <v>2.7652480137427523E-3</v>
      </c>
      <c r="AB31" s="54">
        <f t="shared" ref="AB31" si="256">SUM(AB28:AB30)</f>
        <v>115.89983999999998</v>
      </c>
      <c r="AC31" s="53">
        <f t="shared" ref="AC31" si="257">IF(M31&gt;0,AD31/M31,0)</f>
        <v>2.6953231694223749E-3</v>
      </c>
      <c r="AD31" s="54">
        <f t="shared" ref="AD31" si="258">SUM(AD28:AD30)</f>
        <v>112.96907999999999</v>
      </c>
      <c r="AE31" s="53">
        <f t="shared" ref="AE31" si="259">IF(M31&gt;0,(AE28*M28+AE29*M29+AE30*M30)/M31,0)</f>
        <v>2.4675257676615848E-3</v>
      </c>
      <c r="AF31" s="53">
        <f t="shared" ref="AF31" si="260">IF(K31&gt;0,(K28*AF28+K29*AF29+K30*AF30)/K31,0)</f>
        <v>2.7329983477060275E-4</v>
      </c>
      <c r="AG31" s="50">
        <f t="shared" ref="AG31" si="261">SUM(AG28:AG30)</f>
        <v>11.45472</v>
      </c>
      <c r="AH31" s="51">
        <f t="shared" ref="AH31" si="262">IF(K31&gt;0,(K28*AH28+K29*AH29+K30*AH30)/K31,0)</f>
        <v>0.20377145831918694</v>
      </c>
      <c r="AI31" s="56">
        <f t="shared" ref="AI31" si="263">SUM(AI28:AI30)</f>
        <v>90.981978599999991</v>
      </c>
      <c r="AJ31" s="51">
        <f t="shared" ref="AJ31" si="264">IF(AND(AD31&gt;0),((AD28*AJ28+AD29*AJ29+AD30*AJ30)/AD31),0)</f>
        <v>0.89981248595588814</v>
      </c>
      <c r="AK31" s="55">
        <f t="shared" si="6"/>
        <v>0.89042303557770452</v>
      </c>
      <c r="AL31" s="49">
        <f t="shared" ref="AL31" si="265">SUM(AL28:AL30)</f>
        <v>487</v>
      </c>
      <c r="AM31" s="20">
        <f t="shared" ref="AM31" si="266">IF(AL31&gt;0,(AM28*AL28+AM29*AL29+AM30*AL30)/AL31,0)</f>
        <v>8.3164271047227928E-2</v>
      </c>
      <c r="AN31" s="51">
        <f>IF(K31&gt;0,(AN28*K28+AN29*K29+AN30*K30)/K31,0)</f>
        <v>0.20593589325728254</v>
      </c>
      <c r="AO31" s="107">
        <f>IF(L31&gt;0,(AO28*K28+AO29*K29+AO30*K30)/K31,0)</f>
        <v>0.21834582060161606</v>
      </c>
      <c r="AP31" s="56">
        <f t="shared" ref="AP31" si="267">SUM(AP28:AP30)</f>
        <v>91.966687500000006</v>
      </c>
      <c r="AQ31" s="108">
        <f t="shared" si="181"/>
        <v>97.477200900000014</v>
      </c>
      <c r="AR31" s="54"/>
      <c r="AS31" s="54">
        <f t="shared" ref="AS31" si="268">SUM(AS28:AS30)</f>
        <v>1004.08</v>
      </c>
      <c r="AT31" s="83"/>
      <c r="AU31" s="84">
        <f>AT30</f>
        <v>2093.0999999999995</v>
      </c>
      <c r="AV31" s="49">
        <f t="shared" ref="AV31" si="269">SUM(AV28:AV30)</f>
        <v>0</v>
      </c>
      <c r="AW31" s="57"/>
      <c r="AX31" s="56"/>
      <c r="AY31" s="56"/>
      <c r="AZ31" s="56"/>
      <c r="BA31" s="56"/>
      <c r="BB31" s="21"/>
    </row>
    <row r="32" spans="1:54">
      <c r="A32" s="147">
        <v>8</v>
      </c>
      <c r="B32" s="22">
        <v>1</v>
      </c>
      <c r="C32" s="10" t="s">
        <v>58</v>
      </c>
      <c r="D32" s="11">
        <v>3366</v>
      </c>
      <c r="E32" s="11">
        <v>4</v>
      </c>
      <c r="F32" s="11">
        <v>11322</v>
      </c>
      <c r="G32" s="12">
        <v>0.1</v>
      </c>
      <c r="H32" s="12">
        <v>5.4</v>
      </c>
      <c r="I32" s="11">
        <v>11154</v>
      </c>
      <c r="J32" s="12">
        <v>3.7</v>
      </c>
      <c r="K32" s="11">
        <v>15437</v>
      </c>
      <c r="L32" s="13">
        <v>5.1999999999999998E-2</v>
      </c>
      <c r="M32" s="23">
        <f>ROUND(K32*(1-L32),0)</f>
        <v>14634</v>
      </c>
      <c r="N32" s="14">
        <v>0.71299999999999997</v>
      </c>
      <c r="O32" s="24">
        <f t="shared" ref="O32:O34" si="270">M32*N32</f>
        <v>10434.041999999999</v>
      </c>
      <c r="P32" s="13">
        <v>0.24399999999999999</v>
      </c>
      <c r="Q32" s="24">
        <f t="shared" ref="Q32:Q34" si="271">M32*P32</f>
        <v>3570.6959999999999</v>
      </c>
      <c r="R32" s="15">
        <v>4.2999999999999997E-2</v>
      </c>
      <c r="S32" s="112"/>
      <c r="T32" s="24">
        <f t="shared" ref="T32:T34" si="272">M32*R32</f>
        <v>629.26199999999994</v>
      </c>
      <c r="U32" s="25">
        <v>0.217</v>
      </c>
      <c r="V32" s="24">
        <f t="shared" ref="V32:V34" si="273">M32*U32</f>
        <v>3175.578</v>
      </c>
      <c r="W32" s="15">
        <v>0.498</v>
      </c>
      <c r="X32" s="24">
        <f t="shared" ref="X32:X34" si="274">M32*W32</f>
        <v>7287.732</v>
      </c>
      <c r="Y32" s="15">
        <v>0.4</v>
      </c>
      <c r="Z32" s="24">
        <f t="shared" ref="Z32:Z34" si="275">Y32*M32</f>
        <v>5853.6</v>
      </c>
      <c r="AA32" s="116">
        <v>2.6700000000000001E-3</v>
      </c>
      <c r="AB32" s="18">
        <f t="shared" ref="AB32" si="276">M32*AA32</f>
        <v>39.072780000000002</v>
      </c>
      <c r="AC32" s="16">
        <v>2.49E-3</v>
      </c>
      <c r="AD32" s="17">
        <f t="shared" ref="AD32:AD34" si="277">M32*AC32</f>
        <v>36.438659999999999</v>
      </c>
      <c r="AE32" s="26">
        <f>IF(M32&gt;0,(AG32+AP32)/M32,0)</f>
        <v>2.5285110701107009E-3</v>
      </c>
      <c r="AF32" s="16">
        <v>2.7999999999999998E-4</v>
      </c>
      <c r="AG32" s="23">
        <f t="shared" ref="AG32:AG34" si="278">AF32*M32</f>
        <v>4.0975199999999994</v>
      </c>
      <c r="AH32" s="92">
        <v>0.20899999999999999</v>
      </c>
      <c r="AI32" s="29">
        <f t="shared" ref="AI32:AI34" si="279">AL32*(1-AM32)*AH32</f>
        <v>31.047785999999999</v>
      </c>
      <c r="AJ32" s="27">
        <f t="shared" ref="AJ32:AJ34" si="280">IF(AND(AH32&gt;0,AF32&gt;0,AC32&gt;0),((AC32-AF32)*AH32)/((AH32-AF32)*AC32),0)</f>
        <v>0.88874085841256933</v>
      </c>
      <c r="AK32" s="58">
        <f t="shared" si="6"/>
        <v>0.89038844082916202</v>
      </c>
      <c r="AL32" s="11">
        <v>162</v>
      </c>
      <c r="AM32" s="13">
        <v>8.3000000000000004E-2</v>
      </c>
      <c r="AN32" s="14">
        <v>0.2215</v>
      </c>
      <c r="AO32" s="101">
        <v>0.23</v>
      </c>
      <c r="AP32" s="29">
        <f>AL32*(1-AM32)*AN32</f>
        <v>32.904710999999999</v>
      </c>
      <c r="AQ32" s="102">
        <f t="shared" ref="AQ32" si="281">AL32*(1-AM32)*AO32</f>
        <v>34.16742</v>
      </c>
      <c r="AR32" s="18">
        <v>1.55</v>
      </c>
      <c r="AS32" s="18">
        <v>1004.22</v>
      </c>
      <c r="AT32" s="79">
        <f>AT30+AL32-AS32</f>
        <v>1250.8799999999994</v>
      </c>
      <c r="AU32" s="80"/>
      <c r="AV32" s="11"/>
      <c r="AW32" s="30"/>
      <c r="AX32" s="19"/>
      <c r="AY32" s="19"/>
      <c r="AZ32" s="19"/>
      <c r="BA32" s="19"/>
    </row>
    <row r="33" spans="1:54">
      <c r="A33" s="148"/>
      <c r="B33" s="32">
        <v>2</v>
      </c>
      <c r="C33" s="10" t="s">
        <v>55</v>
      </c>
      <c r="D33" s="33">
        <v>17574</v>
      </c>
      <c r="E33" s="33">
        <v>9</v>
      </c>
      <c r="F33" s="33">
        <v>16818</v>
      </c>
      <c r="G33" s="34">
        <v>1.1000000000000001</v>
      </c>
      <c r="H33" s="34">
        <v>7.9</v>
      </c>
      <c r="I33" s="33">
        <v>16853</v>
      </c>
      <c r="J33" s="34">
        <v>3</v>
      </c>
      <c r="K33" s="33">
        <v>16091</v>
      </c>
      <c r="L33" s="35">
        <v>5.0999999999999997E-2</v>
      </c>
      <c r="M33" s="36">
        <f>ROUND(K33*(1-L33),0)</f>
        <v>15270</v>
      </c>
      <c r="N33" s="37">
        <v>0.66100000000000003</v>
      </c>
      <c r="O33" s="24">
        <f t="shared" si="270"/>
        <v>10093.470000000001</v>
      </c>
      <c r="P33" s="35">
        <v>0.313</v>
      </c>
      <c r="Q33" s="24">
        <f t="shared" si="271"/>
        <v>4779.51</v>
      </c>
      <c r="R33" s="38">
        <v>2.5999999999999999E-2</v>
      </c>
      <c r="S33" s="105"/>
      <c r="T33" s="24">
        <f t="shared" si="272"/>
        <v>397.02</v>
      </c>
      <c r="U33" s="27">
        <v>0.222</v>
      </c>
      <c r="V33" s="24">
        <f t="shared" si="273"/>
        <v>3389.94</v>
      </c>
      <c r="W33" s="38">
        <v>0.48</v>
      </c>
      <c r="X33" s="24">
        <f t="shared" si="274"/>
        <v>7329.5999999999995</v>
      </c>
      <c r="Y33" s="38">
        <v>0.39</v>
      </c>
      <c r="Z33" s="24">
        <f t="shared" si="275"/>
        <v>5955.3</v>
      </c>
      <c r="AA33" s="117">
        <v>2.8500000000000001E-3</v>
      </c>
      <c r="AB33" s="18">
        <f t="shared" si="147"/>
        <v>43.519500000000001</v>
      </c>
      <c r="AC33" s="39">
        <v>2.5400000000000002E-3</v>
      </c>
      <c r="AD33" s="17">
        <f t="shared" si="277"/>
        <v>38.785800000000002</v>
      </c>
      <c r="AE33" s="26">
        <f>IF(M33&gt;0,(AG33+AP33)/M33,0)</f>
        <v>2.3651391748526519E-3</v>
      </c>
      <c r="AF33" s="39">
        <v>2.7999999999999998E-4</v>
      </c>
      <c r="AG33" s="36">
        <f t="shared" si="278"/>
        <v>4.2755999999999998</v>
      </c>
      <c r="AH33" s="27">
        <v>0.20330000000000001</v>
      </c>
      <c r="AI33" s="40">
        <f t="shared" si="279"/>
        <v>30.707245200000003</v>
      </c>
      <c r="AJ33" s="27">
        <f t="shared" si="280"/>
        <v>0.89099091901267258</v>
      </c>
      <c r="AK33" s="28">
        <f t="shared" si="6"/>
        <v>0.88278631353050574</v>
      </c>
      <c r="AL33" s="33">
        <v>164</v>
      </c>
      <c r="AM33" s="35">
        <v>7.9000000000000001E-2</v>
      </c>
      <c r="AN33" s="37">
        <v>0.21079999999999999</v>
      </c>
      <c r="AO33" s="103">
        <v>0.21829999999999999</v>
      </c>
      <c r="AP33" s="40">
        <f>AL33*(1-AM33)*AN33</f>
        <v>31.840075200000001</v>
      </c>
      <c r="AQ33" s="104">
        <f t="shared" si="152"/>
        <v>32.9729052</v>
      </c>
      <c r="AR33" s="41">
        <v>1.55</v>
      </c>
      <c r="AS33" s="41"/>
      <c r="AT33" s="129">
        <f>AT32+AL33-AS33</f>
        <v>1414.8799999999994</v>
      </c>
      <c r="AU33" s="82"/>
      <c r="AV33" s="42"/>
      <c r="AW33" s="43"/>
      <c r="AX33" s="44"/>
      <c r="AY33" s="44"/>
      <c r="AZ33" s="44"/>
      <c r="BA33" s="44"/>
    </row>
    <row r="34" spans="1:54">
      <c r="A34" s="148"/>
      <c r="B34" s="32">
        <v>3</v>
      </c>
      <c r="C34" s="10" t="s">
        <v>57</v>
      </c>
      <c r="D34" s="42">
        <v>19400</v>
      </c>
      <c r="E34" s="42">
        <v>5</v>
      </c>
      <c r="F34" s="42">
        <v>18213</v>
      </c>
      <c r="G34" s="36">
        <v>1.1000000000000001</v>
      </c>
      <c r="H34" s="36">
        <v>6.7</v>
      </c>
      <c r="I34" s="42">
        <v>18472</v>
      </c>
      <c r="J34" s="36">
        <v>1.6</v>
      </c>
      <c r="K34" s="42">
        <v>16098</v>
      </c>
      <c r="L34" s="38">
        <v>6.2E-2</v>
      </c>
      <c r="M34" s="36">
        <f>ROUND(K34*(1-L34),0)</f>
        <v>15100</v>
      </c>
      <c r="N34" s="27">
        <v>0.67500000000000004</v>
      </c>
      <c r="O34" s="24">
        <f t="shared" si="270"/>
        <v>10192.5</v>
      </c>
      <c r="P34" s="38">
        <v>0.27200000000000002</v>
      </c>
      <c r="Q34" s="24">
        <f t="shared" si="271"/>
        <v>4107.2000000000007</v>
      </c>
      <c r="R34" s="38">
        <v>5.2999999999999999E-2</v>
      </c>
      <c r="S34" s="105"/>
      <c r="T34" s="24">
        <f t="shared" si="272"/>
        <v>800.3</v>
      </c>
      <c r="U34" s="27">
        <v>0.23499999999999999</v>
      </c>
      <c r="V34" s="24">
        <f t="shared" si="273"/>
        <v>3548.5</v>
      </c>
      <c r="W34" s="38">
        <v>0.47699999999999998</v>
      </c>
      <c r="X34" s="24">
        <f t="shared" si="274"/>
        <v>7202.7</v>
      </c>
      <c r="Y34" s="38">
        <v>0.41</v>
      </c>
      <c r="Z34" s="24">
        <f t="shared" si="275"/>
        <v>6191</v>
      </c>
      <c r="AA34" s="118">
        <v>2.31E-3</v>
      </c>
      <c r="AB34" s="121">
        <f t="shared" si="147"/>
        <v>34.881</v>
      </c>
      <c r="AC34" s="45">
        <v>2.4199999999999998E-3</v>
      </c>
      <c r="AD34" s="17">
        <f t="shared" si="277"/>
        <v>36.541999999999994</v>
      </c>
      <c r="AE34" s="26">
        <f>IF(M34&gt;0,(AG34+AP34)/M34,0)</f>
        <v>2.4304014900662254E-3</v>
      </c>
      <c r="AF34" s="45">
        <v>2.7999999999999998E-4</v>
      </c>
      <c r="AG34" s="36">
        <f t="shared" si="278"/>
        <v>4.2279999999999998</v>
      </c>
      <c r="AH34" s="27">
        <v>0.20599999999999999</v>
      </c>
      <c r="AI34" s="40">
        <f t="shared" si="279"/>
        <v>31.477830000000001</v>
      </c>
      <c r="AJ34" s="27">
        <f t="shared" si="280"/>
        <v>0.88550111440889745</v>
      </c>
      <c r="AK34" s="28">
        <f t="shared" si="6"/>
        <v>0.88596008005485782</v>
      </c>
      <c r="AL34" s="42">
        <v>167</v>
      </c>
      <c r="AM34" s="38">
        <v>8.5000000000000006E-2</v>
      </c>
      <c r="AN34" s="27">
        <v>0.21249999999999999</v>
      </c>
      <c r="AO34" s="105">
        <v>0.2208</v>
      </c>
      <c r="AP34" s="40">
        <f>AL34*(1-AM34)*AN34</f>
        <v>32.471062500000002</v>
      </c>
      <c r="AQ34" s="106">
        <f t="shared" si="152"/>
        <v>33.739344000000003</v>
      </c>
      <c r="AR34" s="17">
        <v>1.55</v>
      </c>
      <c r="AS34" s="17"/>
      <c r="AT34" s="129">
        <f>AT33+AL34-AS34</f>
        <v>1581.8799999999994</v>
      </c>
      <c r="AU34" s="82"/>
      <c r="AV34" s="42"/>
      <c r="AW34" s="46"/>
      <c r="AX34" s="40"/>
      <c r="AY34" s="40"/>
      <c r="AZ34" s="40"/>
      <c r="BA34" s="40"/>
    </row>
    <row r="35" spans="1:54">
      <c r="A35" s="149"/>
      <c r="B35" s="47" t="s">
        <v>56</v>
      </c>
      <c r="C35" s="48"/>
      <c r="D35" s="49">
        <f t="shared" ref="D35" si="282">SUM(D32:D34)</f>
        <v>40340</v>
      </c>
      <c r="E35" s="49"/>
      <c r="F35" s="49">
        <f t="shared" ref="F35" si="283">SUM(F32:F34)</f>
        <v>46353</v>
      </c>
      <c r="G35" s="50"/>
      <c r="H35" s="50"/>
      <c r="I35" s="49">
        <f t="shared" ref="I35:K35" si="284">SUM(I32:I34)</f>
        <v>46479</v>
      </c>
      <c r="J35" s="50"/>
      <c r="K35" s="49">
        <f t="shared" si="284"/>
        <v>47626</v>
      </c>
      <c r="L35" s="20">
        <f t="shared" ref="L35" si="285">IF(K35&gt;0,(K32*L32+K33*L33+K34*L34)/K35,0)</f>
        <v>5.5042224835174063E-2</v>
      </c>
      <c r="M35" s="50">
        <f t="shared" ref="M35" si="286">M32+M33+M34</f>
        <v>45004</v>
      </c>
      <c r="N35" s="51">
        <f t="shared" ref="N35" si="287">IF(M35&gt;0,O35/M35,0)</f>
        <v>0.6826062572215803</v>
      </c>
      <c r="O35" s="52">
        <f t="shared" ref="O35" si="288">O32+O33+O34</f>
        <v>30720.012000000002</v>
      </c>
      <c r="P35" s="20">
        <f t="shared" ref="P35" si="289">IF(M35&gt;0,Q35/M35,0)</f>
        <v>0.27680663940983025</v>
      </c>
      <c r="Q35" s="52">
        <f t="shared" ref="Q35" si="290">Q32+Q33+Q34</f>
        <v>12457.406000000001</v>
      </c>
      <c r="R35" s="20">
        <f t="shared" ref="R35" si="291">IF(M35&gt;0,T35/M35,0)</f>
        <v>4.0587103368589457E-2</v>
      </c>
      <c r="S35" s="107"/>
      <c r="T35" s="52">
        <f t="shared" ref="T35" si="292">T32+T33+T34</f>
        <v>1826.5819999999999</v>
      </c>
      <c r="U35" s="20">
        <f t="shared" ref="U35" si="293">IF(M35&gt;0,V35/M35,0)</f>
        <v>0.22473597902408673</v>
      </c>
      <c r="V35" s="52">
        <f t="shared" ref="V35" si="294">V32+V33+V34</f>
        <v>10114.018</v>
      </c>
      <c r="W35" s="20">
        <f t="shared" ref="W35" si="295">IF(M35&gt;0,X35/M35,0)</f>
        <v>0.48484650253310813</v>
      </c>
      <c r="X35" s="52">
        <f t="shared" ref="X35" si="296">X32+X33+X34</f>
        <v>21820.031999999999</v>
      </c>
      <c r="Y35" s="20">
        <f t="shared" ref="Y35" si="297">IF(M35&gt;0,Z35/M35,0)</f>
        <v>0.39996222557994848</v>
      </c>
      <c r="Z35" s="52">
        <f t="shared" ref="Z35" si="298">Z32+Z33+Z34</f>
        <v>17999.900000000001</v>
      </c>
      <c r="AA35" s="119">
        <f>IF(M35&gt;0,AB35/M35,0)</f>
        <v>2.6102853079726248E-3</v>
      </c>
      <c r="AB35" s="54">
        <f t="shared" ref="AB35" si="299">SUM(AB32:AB34)</f>
        <v>117.47328</v>
      </c>
      <c r="AC35" s="53">
        <f t="shared" ref="AC35" si="300">IF(M35&gt;0,AD35/M35,0)</f>
        <v>2.4834783574793351E-3</v>
      </c>
      <c r="AD35" s="54">
        <f t="shared" ref="AD35" si="301">SUM(AD32:AD34)</f>
        <v>111.76646</v>
      </c>
      <c r="AE35" s="53">
        <f t="shared" ref="AE35" si="302">IF(M35&gt;0,(AE32*M32+AE33*M33+AE34*M34)/M35,0)</f>
        <v>2.4401601790951912E-3</v>
      </c>
      <c r="AF35" s="53">
        <f t="shared" ref="AF35" si="303">IF(K35&gt;0,(K32*AF32+K33*AF33+K34*AF34)/K35,0)</f>
        <v>2.7999999999999992E-4</v>
      </c>
      <c r="AG35" s="50">
        <f t="shared" ref="AG35" si="304">SUM(AG32:AG34)</f>
        <v>12.60112</v>
      </c>
      <c r="AH35" s="51">
        <f t="shared" ref="AH35" si="305">IF(K35&gt;0,(K32*AH32+K33*AH33+K34*AH34)/K35,0)</f>
        <v>0.20606016251627263</v>
      </c>
      <c r="AI35" s="56">
        <f t="shared" ref="AI35" si="306">SUM(AI32:AI34)</f>
        <v>93.232861200000002</v>
      </c>
      <c r="AJ35" s="51">
        <f t="shared" ref="AJ35" si="307">IF(AND(AD35&gt;0),((AD32*AJ32+AD33*AJ33+AD34*AJ34)/AD35),0)</f>
        <v>0.88846245355874565</v>
      </c>
      <c r="AK35" s="55">
        <f t="shared" si="6"/>
        <v>0.88640867176994198</v>
      </c>
      <c r="AL35" s="49">
        <f t="shared" ref="AL35" si="308">SUM(AL32:AL34)</f>
        <v>493</v>
      </c>
      <c r="AM35" s="20">
        <f t="shared" ref="AM35" si="309">IF(AL35&gt;0,(AM32*AL32+AM33*AL33+AM34*AL34)/AL35,0)</f>
        <v>8.2346855983772824E-2</v>
      </c>
      <c r="AN35" s="51">
        <f>IF(K35&gt;0,(AN32*K32+AN33*K33+AN34*K34)/K35,0)</f>
        <v>0.21484280225087135</v>
      </c>
      <c r="AO35" s="107">
        <f>IF(L35&gt;0,(AO32*K32+AO33*K33+AO34*K34)/K35,0)</f>
        <v>0.22293733884852815</v>
      </c>
      <c r="AP35" s="56">
        <f t="shared" ref="AP35" si="310">SUM(AP32:AP34)</f>
        <v>97.215848699999995</v>
      </c>
      <c r="AQ35" s="108">
        <f t="shared" si="181"/>
        <v>100.87966920000001</v>
      </c>
      <c r="AR35" s="54"/>
      <c r="AS35" s="54">
        <f t="shared" ref="AS35" si="311">SUM(AS32:AS34)</f>
        <v>1004.22</v>
      </c>
      <c r="AT35" s="83"/>
      <c r="AU35" s="84">
        <f>AT34</f>
        <v>1581.8799999999994</v>
      </c>
      <c r="AV35" s="49">
        <f t="shared" ref="AV35" si="312">SUM(AV32:AV34)</f>
        <v>0</v>
      </c>
      <c r="AW35" s="57"/>
      <c r="AX35" s="56"/>
      <c r="AY35" s="56"/>
      <c r="AZ35" s="56"/>
      <c r="BA35" s="56"/>
      <c r="BB35" s="21"/>
    </row>
    <row r="36" spans="1:54">
      <c r="A36" s="147">
        <v>9</v>
      </c>
      <c r="B36" s="22">
        <v>1</v>
      </c>
      <c r="C36" s="10" t="s">
        <v>58</v>
      </c>
      <c r="D36" s="11">
        <v>5892</v>
      </c>
      <c r="E36" s="11">
        <v>5</v>
      </c>
      <c r="F36" s="11">
        <v>11337</v>
      </c>
      <c r="G36" s="12">
        <v>0.6</v>
      </c>
      <c r="H36" s="12">
        <v>5.7</v>
      </c>
      <c r="I36" s="11">
        <v>10951</v>
      </c>
      <c r="J36" s="12">
        <v>3.8</v>
      </c>
      <c r="K36" s="11">
        <v>16065</v>
      </c>
      <c r="L36" s="13">
        <v>0.05</v>
      </c>
      <c r="M36" s="23">
        <f>ROUND(K36*(1-L36),0)</f>
        <v>15262</v>
      </c>
      <c r="N36" s="14">
        <v>0.71099999999999997</v>
      </c>
      <c r="O36" s="24">
        <f t="shared" ref="O36:O38" si="313">M36*N36</f>
        <v>10851.281999999999</v>
      </c>
      <c r="P36" s="13">
        <v>0.19600000000000001</v>
      </c>
      <c r="Q36" s="24">
        <f t="shared" ref="Q36:Q38" si="314">M36*P36</f>
        <v>2991.3520000000003</v>
      </c>
      <c r="R36" s="15">
        <v>9.2999999999999999E-2</v>
      </c>
      <c r="S36" s="112"/>
      <c r="T36" s="24">
        <f t="shared" ref="T36:T38" si="315">M36*R36</f>
        <v>1419.366</v>
      </c>
      <c r="U36" s="25">
        <v>0.22800000000000001</v>
      </c>
      <c r="V36" s="24">
        <f t="shared" ref="V36:V38" si="316">M36*U36</f>
        <v>3479.7360000000003</v>
      </c>
      <c r="W36" s="15">
        <v>0.49</v>
      </c>
      <c r="X36" s="24">
        <f t="shared" ref="X36:X38" si="317">M36*W36</f>
        <v>7478.38</v>
      </c>
      <c r="Y36" s="15">
        <v>0.42</v>
      </c>
      <c r="Z36" s="24">
        <f t="shared" ref="Z36:Z38" si="318">Y36*M36</f>
        <v>6410.04</v>
      </c>
      <c r="AA36" s="116">
        <v>2.7799999999999999E-3</v>
      </c>
      <c r="AB36" s="18">
        <f t="shared" ref="AB36" si="319">M36*AA36</f>
        <v>42.428359999999998</v>
      </c>
      <c r="AC36" s="16">
        <v>2.6800000000000001E-3</v>
      </c>
      <c r="AD36" s="17">
        <f t="shared" ref="AD36:AD38" si="320">M36*AC36</f>
        <v>40.902160000000002</v>
      </c>
      <c r="AE36" s="26">
        <f>IF(M36&gt;0,(AG36+AP36)/M36,0)</f>
        <v>2.634563097890185E-3</v>
      </c>
      <c r="AF36" s="16">
        <v>2.9E-4</v>
      </c>
      <c r="AG36" s="23">
        <f t="shared" ref="AG36:AG38" si="321">AF36*M36</f>
        <v>4.42598</v>
      </c>
      <c r="AH36" s="92">
        <v>0.20649999999999999</v>
      </c>
      <c r="AI36" s="29">
        <f t="shared" ref="AI36:AI38" si="322">AL36*(1-AM36)*AH36</f>
        <v>34.690760999999995</v>
      </c>
      <c r="AJ36" s="27">
        <f t="shared" ref="AJ36:AJ38" si="323">IF(AND(AH36&gt;0,AF36&gt;0,AC36&gt;0),((AC36-AF36)*AH36)/((AH36-AF36)*AC36),0)</f>
        <v>0.89304520026317191</v>
      </c>
      <c r="AK36" s="58">
        <f t="shared" si="6"/>
        <v>0.89113810936888649</v>
      </c>
      <c r="AL36" s="11">
        <v>183</v>
      </c>
      <c r="AM36" s="13">
        <v>8.2000000000000003E-2</v>
      </c>
      <c r="AN36" s="14">
        <v>0.21299999999999999</v>
      </c>
      <c r="AO36" s="101">
        <v>0.2213</v>
      </c>
      <c r="AP36" s="29">
        <f>AL36*(1-AM36)*AN36</f>
        <v>35.782722</v>
      </c>
      <c r="AQ36" s="102">
        <f t="shared" ref="AQ36" si="324">AL36*(1-AM36)*AO36</f>
        <v>37.177072199999998</v>
      </c>
      <c r="AR36" s="18">
        <v>1.6</v>
      </c>
      <c r="AS36" s="18">
        <v>1002.14</v>
      </c>
      <c r="AT36" s="79">
        <f>AT34+AL36-AS36+AU36</f>
        <v>911.89999999999941</v>
      </c>
      <c r="AU36" s="80">
        <v>149.16</v>
      </c>
      <c r="AV36" s="11"/>
      <c r="AW36" s="30"/>
      <c r="AX36" s="19"/>
      <c r="AY36" s="19"/>
      <c r="AZ36" s="19"/>
      <c r="BA36" s="19"/>
    </row>
    <row r="37" spans="1:54">
      <c r="A37" s="148"/>
      <c r="B37" s="32">
        <v>2</v>
      </c>
      <c r="C37" s="10" t="s">
        <v>53</v>
      </c>
      <c r="D37" s="33">
        <v>21848</v>
      </c>
      <c r="E37" s="33">
        <v>8</v>
      </c>
      <c r="F37" s="33">
        <v>18986</v>
      </c>
      <c r="G37" s="34">
        <v>0.8</v>
      </c>
      <c r="H37" s="34">
        <v>8.3000000000000007</v>
      </c>
      <c r="I37" s="33">
        <v>18704</v>
      </c>
      <c r="J37" s="34">
        <v>2.4</v>
      </c>
      <c r="K37" s="33">
        <v>15827</v>
      </c>
      <c r="L37" s="35">
        <v>5.1999999999999998E-2</v>
      </c>
      <c r="M37" s="36">
        <f>ROUND(K37*(1-L37),0)</f>
        <v>15004</v>
      </c>
      <c r="N37" s="37">
        <v>0.77300000000000002</v>
      </c>
      <c r="O37" s="24">
        <f t="shared" si="313"/>
        <v>11598.092000000001</v>
      </c>
      <c r="P37" s="35">
        <v>0.13300000000000001</v>
      </c>
      <c r="Q37" s="24">
        <f t="shared" si="314"/>
        <v>1995.5320000000002</v>
      </c>
      <c r="R37" s="38">
        <v>9.4E-2</v>
      </c>
      <c r="S37" s="105"/>
      <c r="T37" s="24">
        <f t="shared" si="315"/>
        <v>1410.376</v>
      </c>
      <c r="U37" s="27">
        <v>0.22600000000000001</v>
      </c>
      <c r="V37" s="24">
        <f t="shared" si="316"/>
        <v>3390.904</v>
      </c>
      <c r="W37" s="38">
        <v>0.49</v>
      </c>
      <c r="X37" s="24">
        <f t="shared" si="317"/>
        <v>7351.96</v>
      </c>
      <c r="Y37" s="38">
        <v>0.4</v>
      </c>
      <c r="Z37" s="24">
        <f t="shared" si="318"/>
        <v>6001.6</v>
      </c>
      <c r="AA37" s="117">
        <v>2.4099999999999998E-3</v>
      </c>
      <c r="AB37" s="18">
        <f t="shared" si="147"/>
        <v>36.159639999999996</v>
      </c>
      <c r="AC37" s="39">
        <v>2.4299999999999999E-3</v>
      </c>
      <c r="AD37" s="17">
        <f t="shared" si="320"/>
        <v>36.459719999999997</v>
      </c>
      <c r="AE37" s="26">
        <f>IF(M37&gt;0,(AG37+AP37)/M37,0)</f>
        <v>2.4442871234337509E-3</v>
      </c>
      <c r="AF37" s="39">
        <v>2.9E-4</v>
      </c>
      <c r="AG37" s="36">
        <f t="shared" si="321"/>
        <v>4.3511600000000001</v>
      </c>
      <c r="AH37" s="27">
        <v>0.2029</v>
      </c>
      <c r="AI37" s="40">
        <f t="shared" si="322"/>
        <v>30.447174</v>
      </c>
      <c r="AJ37" s="27">
        <f t="shared" si="323"/>
        <v>0.88191894135441962</v>
      </c>
      <c r="AK37" s="28">
        <f t="shared" si="6"/>
        <v>0.88254419845557031</v>
      </c>
      <c r="AL37" s="33">
        <v>164</v>
      </c>
      <c r="AM37" s="35">
        <v>8.5000000000000006E-2</v>
      </c>
      <c r="AN37" s="37">
        <v>0.21540000000000001</v>
      </c>
      <c r="AO37" s="103">
        <v>0.22450000000000001</v>
      </c>
      <c r="AP37" s="40">
        <f>AL37*(1-AM37)*AN37</f>
        <v>32.322924</v>
      </c>
      <c r="AQ37" s="104">
        <f t="shared" si="152"/>
        <v>33.688470000000002</v>
      </c>
      <c r="AR37" s="41">
        <v>1.63</v>
      </c>
      <c r="AS37" s="41"/>
      <c r="AT37" s="129">
        <f>AT36+AL37-AS37</f>
        <v>1075.8999999999994</v>
      </c>
      <c r="AU37" s="82"/>
      <c r="AV37" s="42"/>
      <c r="AW37" s="43"/>
      <c r="AX37" s="44"/>
      <c r="AY37" s="44"/>
      <c r="AZ37" s="44"/>
      <c r="BA37" s="44"/>
    </row>
    <row r="38" spans="1:54">
      <c r="A38" s="148"/>
      <c r="B38" s="32">
        <v>3</v>
      </c>
      <c r="C38" s="10" t="s">
        <v>57</v>
      </c>
      <c r="D38" s="42">
        <v>16471</v>
      </c>
      <c r="E38" s="42">
        <v>7</v>
      </c>
      <c r="F38" s="42">
        <v>19001</v>
      </c>
      <c r="G38" s="36">
        <v>1</v>
      </c>
      <c r="H38" s="36">
        <v>6.3</v>
      </c>
      <c r="I38" s="42">
        <v>19235</v>
      </c>
      <c r="J38" s="36">
        <v>1.3</v>
      </c>
      <c r="K38" s="42">
        <v>15741</v>
      </c>
      <c r="L38" s="38">
        <v>6.0999999999999999E-2</v>
      </c>
      <c r="M38" s="36">
        <f>ROUND(K38*(1-L38),0)</f>
        <v>14781</v>
      </c>
      <c r="N38" s="27">
        <v>0.69099999999999995</v>
      </c>
      <c r="O38" s="24">
        <f t="shared" si="313"/>
        <v>10213.670999999998</v>
      </c>
      <c r="P38" s="38">
        <v>0.27</v>
      </c>
      <c r="Q38" s="24">
        <f t="shared" si="314"/>
        <v>3990.8700000000003</v>
      </c>
      <c r="R38" s="38">
        <v>3.9E-2</v>
      </c>
      <c r="S38" s="105"/>
      <c r="T38" s="24">
        <f t="shared" si="315"/>
        <v>576.45899999999995</v>
      </c>
      <c r="U38" s="27">
        <v>0.23100000000000001</v>
      </c>
      <c r="V38" s="24">
        <f t="shared" si="316"/>
        <v>3414.4110000000001</v>
      </c>
      <c r="W38" s="38">
        <v>0.48499999999999999</v>
      </c>
      <c r="X38" s="24">
        <f t="shared" si="317"/>
        <v>7168.7849999999999</v>
      </c>
      <c r="Y38" s="38">
        <v>0.43</v>
      </c>
      <c r="Z38" s="24">
        <f t="shared" si="318"/>
        <v>6355.83</v>
      </c>
      <c r="AA38" s="118">
        <v>2.5799999999999998E-3</v>
      </c>
      <c r="AB38" s="121">
        <f t="shared" si="147"/>
        <v>38.134979999999999</v>
      </c>
      <c r="AC38" s="45">
        <v>2.5200000000000001E-3</v>
      </c>
      <c r="AD38" s="17">
        <f t="shared" si="320"/>
        <v>37.24812</v>
      </c>
      <c r="AE38" s="26">
        <f>IF(M38&gt;0,(AG38+AP38)/M38,0)</f>
        <v>2.7973864826466412E-3</v>
      </c>
      <c r="AF38" s="45">
        <v>2.9E-4</v>
      </c>
      <c r="AG38" s="36">
        <f t="shared" si="321"/>
        <v>4.2864899999999997</v>
      </c>
      <c r="AH38" s="27">
        <v>0.19850000000000001</v>
      </c>
      <c r="AI38" s="40">
        <f t="shared" si="322"/>
        <v>36.080154</v>
      </c>
      <c r="AJ38" s="27">
        <f t="shared" si="323"/>
        <v>0.88621535760933379</v>
      </c>
      <c r="AK38" s="28">
        <f t="shared" si="6"/>
        <v>0.89760844544443519</v>
      </c>
      <c r="AL38" s="42">
        <v>198</v>
      </c>
      <c r="AM38" s="38">
        <v>8.2000000000000003E-2</v>
      </c>
      <c r="AN38" s="27">
        <v>0.2039</v>
      </c>
      <c r="AO38" s="105">
        <v>0.21410000000000001</v>
      </c>
      <c r="AP38" s="40">
        <f>AL38*(1-AM38)*AN38</f>
        <v>37.061679600000005</v>
      </c>
      <c r="AQ38" s="106">
        <f t="shared" si="152"/>
        <v>38.915672400000005</v>
      </c>
      <c r="AR38" s="17">
        <v>1.7</v>
      </c>
      <c r="AS38" s="17"/>
      <c r="AT38" s="129">
        <f>AT37+AL38-AS38</f>
        <v>1273.8999999999994</v>
      </c>
      <c r="AU38" s="82"/>
      <c r="AV38" s="42"/>
      <c r="AW38" s="46"/>
      <c r="AX38" s="40"/>
      <c r="AY38" s="40"/>
      <c r="AZ38" s="40"/>
      <c r="BA38" s="40"/>
    </row>
    <row r="39" spans="1:54">
      <c r="A39" s="149"/>
      <c r="B39" s="47" t="s">
        <v>56</v>
      </c>
      <c r="C39" s="48"/>
      <c r="D39" s="49">
        <f t="shared" ref="D39" si="325">SUM(D36:D38)</f>
        <v>44211</v>
      </c>
      <c r="E39" s="49"/>
      <c r="F39" s="49">
        <f t="shared" ref="F39" si="326">SUM(F36:F38)</f>
        <v>49324</v>
      </c>
      <c r="G39" s="50"/>
      <c r="H39" s="50"/>
      <c r="I39" s="49">
        <f t="shared" ref="I39:K39" si="327">SUM(I36:I38)</f>
        <v>48890</v>
      </c>
      <c r="J39" s="50"/>
      <c r="K39" s="49">
        <f t="shared" si="327"/>
        <v>47633</v>
      </c>
      <c r="L39" s="20">
        <f t="shared" ref="L39" si="328">IF(K39&gt;0,(K36*L36+K37*L37+K38*L38)/K39,0)</f>
        <v>5.4299645203955242E-2</v>
      </c>
      <c r="M39" s="50">
        <f t="shared" ref="M39" si="329">M36+M37+M38</f>
        <v>45047</v>
      </c>
      <c r="N39" s="51">
        <f t="shared" ref="N39" si="330">IF(M39&gt;0,O39/M39,0)</f>
        <v>0.72508813017515039</v>
      </c>
      <c r="O39" s="52">
        <f t="shared" ref="O39" si="331">O36+O37+O38</f>
        <v>32663.044999999998</v>
      </c>
      <c r="P39" s="20">
        <f t="shared" ref="P39" si="332">IF(M39&gt;0,Q39/M39,0)</f>
        <v>0.19929748928896487</v>
      </c>
      <c r="Q39" s="52">
        <f t="shared" ref="Q39" si="333">Q36+Q37+Q38</f>
        <v>8977.7540000000008</v>
      </c>
      <c r="R39" s="20">
        <f t="shared" ref="R39" si="334">IF(M39&gt;0,T39/M39,0)</f>
        <v>7.5614380535884748E-2</v>
      </c>
      <c r="S39" s="107"/>
      <c r="T39" s="52">
        <f t="shared" ref="T39" si="335">T36+T37+T38</f>
        <v>3406.201</v>
      </c>
      <c r="U39" s="20">
        <f t="shared" ref="U39" si="336">IF(M39&gt;0,V39/M39,0)</f>
        <v>0.22831822318911357</v>
      </c>
      <c r="V39" s="52">
        <f t="shared" ref="V39" si="337">V36+V37+V38</f>
        <v>10285.050999999999</v>
      </c>
      <c r="W39" s="20">
        <f t="shared" ref="W39" si="338">IF(M39&gt;0,X39/M39,0)</f>
        <v>0.48835938020289921</v>
      </c>
      <c r="X39" s="52">
        <f t="shared" ref="X39" si="339">X36+X37+X38</f>
        <v>21999.125</v>
      </c>
      <c r="Y39" s="20">
        <f t="shared" ref="Y39" si="340">IF(M39&gt;0,Z39/M39,0)</f>
        <v>0.41661975270273272</v>
      </c>
      <c r="Z39" s="52">
        <f t="shared" ref="Z39" si="341">Z36+Z37+Z38</f>
        <v>18767.47</v>
      </c>
      <c r="AA39" s="119">
        <f>IF(M39&gt;0,AB39/M39,0)</f>
        <v>2.5911377006237928E-3</v>
      </c>
      <c r="AB39" s="54">
        <f t="shared" ref="AB39" si="342">SUM(AB36:AB38)</f>
        <v>116.72297999999999</v>
      </c>
      <c r="AC39" s="53">
        <f t="shared" ref="AC39" si="343">IF(M39&gt;0,AD39/M39,0)</f>
        <v>2.5442315803494127E-3</v>
      </c>
      <c r="AD39" s="54">
        <f t="shared" ref="AD39" si="344">SUM(AD36:AD38)</f>
        <v>114.61</v>
      </c>
      <c r="AE39" s="53">
        <f t="shared" ref="AE39" si="345">IF(M39&gt;0,(AE36*M36+AE37*M37+AE38*M38)/M39,0)</f>
        <v>2.6246133061025153E-3</v>
      </c>
      <c r="AF39" s="53">
        <f t="shared" ref="AF39" si="346">IF(K39&gt;0,(K36*AF36+K37*AF37+K38*AF38)/K39,0)</f>
        <v>2.9E-4</v>
      </c>
      <c r="AG39" s="50">
        <f t="shared" ref="AG39" si="347">SUM(AG36:AG38)</f>
        <v>13.06363</v>
      </c>
      <c r="AH39" s="51">
        <f t="shared" ref="AH39" si="348">IF(K39&gt;0,(K36*AH36+K37*AH37+K38*AH38)/K39,0)</f>
        <v>0.20266011588604538</v>
      </c>
      <c r="AI39" s="56">
        <f t="shared" ref="AI39" si="349">SUM(AI36:AI38)</f>
        <v>101.21808899999999</v>
      </c>
      <c r="AJ39" s="51">
        <f t="shared" ref="AJ39" si="350">IF(AND(AD39&gt;0),((AD36*AJ36+AD37*AJ37+AD38*AJ38)/AD39),0)</f>
        <v>0.88728602494503306</v>
      </c>
      <c r="AK39" s="55">
        <f t="shared" si="6"/>
        <v>0.89073298117006672</v>
      </c>
      <c r="AL39" s="49">
        <f t="shared" ref="AL39" si="351">SUM(AL36:AL38)</f>
        <v>545</v>
      </c>
      <c r="AM39" s="20">
        <f t="shared" ref="AM39" si="352">IF(AL39&gt;0,(AM36*AL36+AM37*AL37+AM38*AL38)/AL39,0)</f>
        <v>8.2902752293577991E-2</v>
      </c>
      <c r="AN39" s="51">
        <f>IF(K39&gt;0,(AN36*K36+AN37*K37+AN38*K38)/K39,0)</f>
        <v>0.21079022316461277</v>
      </c>
      <c r="AO39" s="107">
        <f>IF(L39&gt;0,(AO36*K36+AO37*K37+AO38*K38)/K39,0)</f>
        <v>0.21998392081120233</v>
      </c>
      <c r="AP39" s="56">
        <f t="shared" ref="AP39:AQ51" si="353">SUM(AP36:AP38)</f>
        <v>105.16732560000001</v>
      </c>
      <c r="AQ39" s="108">
        <f t="shared" si="353"/>
        <v>109.7812146</v>
      </c>
      <c r="AR39" s="54"/>
      <c r="AS39" s="54">
        <f t="shared" ref="AS39" si="354">SUM(AS36:AS38)</f>
        <v>1002.14</v>
      </c>
      <c r="AT39" s="83"/>
      <c r="AU39" s="84">
        <f>AT38</f>
        <v>1273.8999999999994</v>
      </c>
      <c r="AV39" s="49">
        <f t="shared" ref="AV39" si="355">SUM(AV36:AV38)</f>
        <v>0</v>
      </c>
      <c r="AW39" s="57"/>
      <c r="AX39" s="56"/>
      <c r="AY39" s="56"/>
      <c r="AZ39" s="56"/>
      <c r="BA39" s="56"/>
      <c r="BB39" s="21"/>
    </row>
    <row r="40" spans="1:54">
      <c r="A40" s="147">
        <v>10</v>
      </c>
      <c r="B40" s="22">
        <v>1</v>
      </c>
      <c r="C40" s="10" t="s">
        <v>59</v>
      </c>
      <c r="D40" s="11">
        <v>12500</v>
      </c>
      <c r="E40" s="11">
        <v>5</v>
      </c>
      <c r="F40" s="11">
        <v>14800</v>
      </c>
      <c r="G40" s="12">
        <v>0.6</v>
      </c>
      <c r="H40" s="12">
        <v>5.3</v>
      </c>
      <c r="I40" s="11">
        <v>14168</v>
      </c>
      <c r="J40" s="12">
        <v>2.8</v>
      </c>
      <c r="K40" s="11">
        <v>15615</v>
      </c>
      <c r="L40" s="13">
        <v>0.06</v>
      </c>
      <c r="M40" s="23">
        <f>ROUND(K40*(1-L40),0)</f>
        <v>14678</v>
      </c>
      <c r="N40" s="14">
        <v>0.77900000000000003</v>
      </c>
      <c r="O40" s="24">
        <f t="shared" ref="O40:O42" si="356">M40*N40</f>
        <v>11434.162</v>
      </c>
      <c r="P40" s="13">
        <v>0.17899999999999999</v>
      </c>
      <c r="Q40" s="24">
        <f t="shared" ref="Q40:Q42" si="357">M40*P40</f>
        <v>2627.3620000000001</v>
      </c>
      <c r="R40" s="15">
        <v>4.2000000000000003E-2</v>
      </c>
      <c r="S40" s="112"/>
      <c r="T40" s="24">
        <f t="shared" ref="T40:T42" si="358">M40*R40</f>
        <v>616.476</v>
      </c>
      <c r="U40" s="25">
        <v>0.23</v>
      </c>
      <c r="V40" s="24">
        <f t="shared" ref="V40:V42" si="359">M40*U40</f>
        <v>3375.94</v>
      </c>
      <c r="W40" s="15">
        <v>0.47399999999999998</v>
      </c>
      <c r="X40" s="24">
        <f t="shared" ref="X40:X42" si="360">M40*W40</f>
        <v>6957.3719999999994</v>
      </c>
      <c r="Y40" s="15">
        <v>0.42</v>
      </c>
      <c r="Z40" s="24">
        <f t="shared" ref="Z40:Z42" si="361">Y40*M40</f>
        <v>6164.76</v>
      </c>
      <c r="AA40" s="116">
        <v>2.7299999999999998E-3</v>
      </c>
      <c r="AB40" s="18">
        <f t="shared" ref="AB40" si="362">M40*AA40</f>
        <v>40.07094</v>
      </c>
      <c r="AC40" s="16">
        <v>2.5500000000000002E-3</v>
      </c>
      <c r="AD40" s="17">
        <f t="shared" ref="AD40:AD42" si="363">M40*AC40</f>
        <v>37.428900000000006</v>
      </c>
      <c r="AE40" s="26">
        <f>IF(M40&gt;0,(AG40+AP40)/M40,0)</f>
        <v>2.447068742335468E-3</v>
      </c>
      <c r="AF40" s="16">
        <v>2.9E-4</v>
      </c>
      <c r="AG40" s="23">
        <f t="shared" ref="AG40:AG42" si="364">AF40*M40</f>
        <v>4.2566199999999998</v>
      </c>
      <c r="AH40" s="92">
        <v>0.20180000000000001</v>
      </c>
      <c r="AI40" s="29">
        <f t="shared" ref="AI40:AI42" si="365">AL40*(1-AM40)*AH40</f>
        <v>30.053065000000004</v>
      </c>
      <c r="AJ40" s="27">
        <f t="shared" ref="AJ40:AJ42" si="366">IF(AND(AH40&gt;0,AF40&gt;0,AC40&gt;0),((AC40-AF40)*AH40)/((AH40-AF40)*AC40),0)</f>
        <v>0.88754997805782043</v>
      </c>
      <c r="AK40" s="58">
        <f t="shared" si="6"/>
        <v>0.88269491730847538</v>
      </c>
      <c r="AL40" s="11">
        <v>161</v>
      </c>
      <c r="AM40" s="13">
        <v>7.4999999999999997E-2</v>
      </c>
      <c r="AN40" s="14">
        <v>0.21260000000000001</v>
      </c>
      <c r="AO40" s="101">
        <v>0.22450000000000001</v>
      </c>
      <c r="AP40" s="29">
        <f>AL40*(1-AM40)*AN40</f>
        <v>31.661455000000004</v>
      </c>
      <c r="AQ40" s="102">
        <f t="shared" ref="AQ40" si="367">AL40*(1-AM40)*AO40</f>
        <v>33.433662500000004</v>
      </c>
      <c r="AR40" s="18">
        <v>1.55</v>
      </c>
      <c r="AS40" s="18"/>
      <c r="AT40" s="79">
        <f>AT38+AL40-AS40</f>
        <v>1434.8999999999994</v>
      </c>
      <c r="AU40" s="80"/>
      <c r="AV40" s="11"/>
      <c r="AW40" s="30"/>
      <c r="AX40" s="19"/>
      <c r="AY40" s="19"/>
      <c r="AZ40" s="19"/>
      <c r="BA40" s="19"/>
    </row>
    <row r="41" spans="1:54">
      <c r="A41" s="148"/>
      <c r="B41" s="32">
        <v>2</v>
      </c>
      <c r="C41" s="10" t="s">
        <v>53</v>
      </c>
      <c r="D41" s="33">
        <v>19069</v>
      </c>
      <c r="E41" s="33">
        <v>8</v>
      </c>
      <c r="F41" s="33">
        <v>17279</v>
      </c>
      <c r="G41" s="34">
        <v>0.8</v>
      </c>
      <c r="H41" s="34">
        <v>5.6</v>
      </c>
      <c r="I41" s="33">
        <v>17578</v>
      </c>
      <c r="J41" s="34">
        <v>1.8</v>
      </c>
      <c r="K41" s="33">
        <v>15578</v>
      </c>
      <c r="L41" s="35">
        <v>6.6000000000000003E-2</v>
      </c>
      <c r="M41" s="36">
        <f>ROUND(K41*(1-L41),0)</f>
        <v>14550</v>
      </c>
      <c r="N41" s="37">
        <v>0.73499999999999999</v>
      </c>
      <c r="O41" s="24">
        <f t="shared" si="356"/>
        <v>10694.25</v>
      </c>
      <c r="P41" s="35">
        <v>0.215</v>
      </c>
      <c r="Q41" s="24">
        <f t="shared" si="357"/>
        <v>3128.25</v>
      </c>
      <c r="R41" s="38">
        <v>0.05</v>
      </c>
      <c r="S41" s="105"/>
      <c r="T41" s="24">
        <f t="shared" si="358"/>
        <v>727.5</v>
      </c>
      <c r="U41" s="27">
        <v>0.23699999999999999</v>
      </c>
      <c r="V41" s="24">
        <f t="shared" si="359"/>
        <v>3448.35</v>
      </c>
      <c r="W41" s="38">
        <v>0.48399999999999999</v>
      </c>
      <c r="X41" s="24">
        <f t="shared" si="360"/>
        <v>7042.2</v>
      </c>
      <c r="Y41" s="38">
        <v>0.4</v>
      </c>
      <c r="Z41" s="24">
        <f t="shared" si="361"/>
        <v>5820</v>
      </c>
      <c r="AA41" s="117">
        <v>2.4299999999999999E-3</v>
      </c>
      <c r="AB41" s="18">
        <f t="shared" si="147"/>
        <v>35.356499999999997</v>
      </c>
      <c r="AC41" s="39">
        <v>2.4099999999999998E-3</v>
      </c>
      <c r="AD41" s="17">
        <f t="shared" si="363"/>
        <v>35.0655</v>
      </c>
      <c r="AE41" s="26">
        <f>IF(M41&gt;0,(AG41+AP41)/M41,0)</f>
        <v>2.565525360824742E-3</v>
      </c>
      <c r="AF41" s="39">
        <v>2.7999999999999998E-4</v>
      </c>
      <c r="AG41" s="36">
        <f t="shared" si="364"/>
        <v>4.0739999999999998</v>
      </c>
      <c r="AH41" s="27">
        <v>0.20519999999999999</v>
      </c>
      <c r="AI41" s="40">
        <f t="shared" si="365"/>
        <v>32.294376</v>
      </c>
      <c r="AJ41" s="27">
        <f t="shared" si="366"/>
        <v>0.88502506392536151</v>
      </c>
      <c r="AK41" s="28">
        <f t="shared" si="6"/>
        <v>0.89204263304756815</v>
      </c>
      <c r="AL41" s="33">
        <v>172</v>
      </c>
      <c r="AM41" s="35">
        <v>8.5000000000000006E-2</v>
      </c>
      <c r="AN41" s="37">
        <v>0.21129999999999999</v>
      </c>
      <c r="AO41" s="103">
        <v>0.2213</v>
      </c>
      <c r="AP41" s="40">
        <f>AL41*(1-AM41)*AN41</f>
        <v>33.254393999999998</v>
      </c>
      <c r="AQ41" s="104">
        <f t="shared" si="152"/>
        <v>34.828193999999996</v>
      </c>
      <c r="AR41" s="41">
        <v>1.6</v>
      </c>
      <c r="AS41" s="41"/>
      <c r="AT41" s="129">
        <f>AT40+AL41-AS41</f>
        <v>1606.8999999999994</v>
      </c>
      <c r="AU41" s="82"/>
      <c r="AV41" s="42"/>
      <c r="AW41" s="43"/>
      <c r="AX41" s="44"/>
      <c r="AY41" s="44"/>
      <c r="AZ41" s="44"/>
      <c r="BA41" s="44"/>
    </row>
    <row r="42" spans="1:54">
      <c r="A42" s="148"/>
      <c r="B42" s="32">
        <v>3</v>
      </c>
      <c r="C42" s="10" t="s">
        <v>54</v>
      </c>
      <c r="D42" s="42">
        <v>17612</v>
      </c>
      <c r="E42" s="42">
        <v>6</v>
      </c>
      <c r="F42" s="42">
        <v>15799</v>
      </c>
      <c r="G42" s="36">
        <v>0.7</v>
      </c>
      <c r="H42" s="36">
        <v>6</v>
      </c>
      <c r="I42" s="42">
        <v>16016</v>
      </c>
      <c r="J42" s="36">
        <v>1.9</v>
      </c>
      <c r="K42" s="42">
        <v>15557</v>
      </c>
      <c r="L42" s="38">
        <v>6.8000000000000005E-2</v>
      </c>
      <c r="M42" s="36">
        <f>ROUND(K42*(1-L42),0)</f>
        <v>14499</v>
      </c>
      <c r="N42" s="27">
        <v>0.72699999999999998</v>
      </c>
      <c r="O42" s="24">
        <f t="shared" si="356"/>
        <v>10540.772999999999</v>
      </c>
      <c r="P42" s="38">
        <v>0.22900000000000001</v>
      </c>
      <c r="Q42" s="24">
        <f t="shared" si="357"/>
        <v>3320.2710000000002</v>
      </c>
      <c r="R42" s="38">
        <v>4.3999999999999997E-2</v>
      </c>
      <c r="S42" s="105"/>
      <c r="T42" s="24">
        <f t="shared" si="358"/>
        <v>637.95600000000002</v>
      </c>
      <c r="U42" s="27">
        <v>0.24099999999999999</v>
      </c>
      <c r="V42" s="24">
        <f t="shared" si="359"/>
        <v>3494.259</v>
      </c>
      <c r="W42" s="38">
        <v>0.48</v>
      </c>
      <c r="X42" s="24">
        <f t="shared" si="360"/>
        <v>6959.5199999999995</v>
      </c>
      <c r="Y42" s="38">
        <v>0.41</v>
      </c>
      <c r="Z42" s="24">
        <f t="shared" si="361"/>
        <v>5944.5899999999992</v>
      </c>
      <c r="AA42" s="118">
        <v>2.3999999999999998E-3</v>
      </c>
      <c r="AB42" s="121">
        <f t="shared" si="147"/>
        <v>34.797599999999996</v>
      </c>
      <c r="AC42" s="45">
        <v>2.4299999999999999E-3</v>
      </c>
      <c r="AD42" s="17">
        <f t="shared" si="363"/>
        <v>35.232569999999996</v>
      </c>
      <c r="AE42" s="26">
        <f>IF(M42&gt;0,(AG42+AP42)/M42,0)</f>
        <v>2.6023128491620114E-3</v>
      </c>
      <c r="AF42" s="45">
        <v>2.7E-4</v>
      </c>
      <c r="AG42" s="36">
        <f t="shared" si="364"/>
        <v>3.91473</v>
      </c>
      <c r="AH42" s="27">
        <v>0.20499999999999999</v>
      </c>
      <c r="AI42" s="40">
        <f t="shared" si="365"/>
        <v>33.200775</v>
      </c>
      <c r="AJ42" s="27">
        <f t="shared" si="366"/>
        <v>0.89006116456905293</v>
      </c>
      <c r="AK42" s="28">
        <f t="shared" si="6"/>
        <v>0.89740658070765889</v>
      </c>
      <c r="AL42" s="42">
        <v>177</v>
      </c>
      <c r="AM42" s="38">
        <v>8.5000000000000006E-2</v>
      </c>
      <c r="AN42" s="27">
        <v>0.20880000000000001</v>
      </c>
      <c r="AO42" s="105">
        <v>0.21440000000000001</v>
      </c>
      <c r="AP42" s="40">
        <f>AL42*(1-AM42)*AN42</f>
        <v>33.816204000000006</v>
      </c>
      <c r="AQ42" s="106">
        <f t="shared" si="152"/>
        <v>34.723152000000006</v>
      </c>
      <c r="AR42" s="17">
        <v>1.55</v>
      </c>
      <c r="AS42" s="17"/>
      <c r="AT42" s="129">
        <f>AT41+AL42-AS42</f>
        <v>1783.8999999999994</v>
      </c>
      <c r="AU42" s="82"/>
      <c r="AV42" s="42"/>
      <c r="AW42" s="46"/>
      <c r="AX42" s="40"/>
      <c r="AY42" s="40"/>
      <c r="AZ42" s="40"/>
      <c r="BA42" s="40"/>
    </row>
    <row r="43" spans="1:54">
      <c r="A43" s="149"/>
      <c r="B43" s="47" t="s">
        <v>56</v>
      </c>
      <c r="C43" s="48"/>
      <c r="D43" s="49">
        <f t="shared" ref="D43" si="368">SUM(D40:D42)</f>
        <v>49181</v>
      </c>
      <c r="E43" s="49"/>
      <c r="F43" s="49">
        <f t="shared" ref="F43" si="369">SUM(F40:F42)</f>
        <v>47878</v>
      </c>
      <c r="G43" s="50"/>
      <c r="H43" s="50"/>
      <c r="I43" s="49">
        <f t="shared" ref="I43:K43" si="370">SUM(I40:I42)</f>
        <v>47762</v>
      </c>
      <c r="J43" s="50"/>
      <c r="K43" s="49">
        <f t="shared" si="370"/>
        <v>46750</v>
      </c>
      <c r="L43" s="20">
        <f t="shared" ref="L43" si="371">IF(K43&gt;0,(K40*L40+K41*L41+K42*L42)/K43,0)</f>
        <v>6.4661475935828883E-2</v>
      </c>
      <c r="M43" s="50">
        <f t="shared" ref="M43" si="372">M40+M41+M42</f>
        <v>43727</v>
      </c>
      <c r="N43" s="51">
        <f t="shared" ref="N43" si="373">IF(M43&gt;0,O43/M43,0)</f>
        <v>0.74711699865071923</v>
      </c>
      <c r="O43" s="52">
        <f t="shared" ref="O43" si="374">O40+O41+O42</f>
        <v>32669.184999999998</v>
      </c>
      <c r="P43" s="20">
        <f t="shared" ref="P43" si="375">IF(M43&gt;0,Q43/M43,0)</f>
        <v>0.20755787042330825</v>
      </c>
      <c r="Q43" s="52">
        <f t="shared" ref="Q43" si="376">Q40+Q41+Q42</f>
        <v>9075.8829999999998</v>
      </c>
      <c r="R43" s="20">
        <f t="shared" ref="R43" si="377">IF(M43&gt;0,T43/M43,0)</f>
        <v>4.5325130925972519E-2</v>
      </c>
      <c r="S43" s="107"/>
      <c r="T43" s="52">
        <f t="shared" ref="T43" si="378">T40+T41+T42</f>
        <v>1981.9320000000002</v>
      </c>
      <c r="U43" s="20">
        <f t="shared" ref="U43" si="379">IF(M43&gt;0,V43/M43,0)</f>
        <v>0.23597660484368924</v>
      </c>
      <c r="V43" s="52">
        <f t="shared" ref="V43" si="380">V40+V41+V42</f>
        <v>10318.548999999999</v>
      </c>
      <c r="W43" s="20">
        <f t="shared" ref="W43" si="381">IF(M43&gt;0,X43/M43,0)</f>
        <v>0.47931694376472206</v>
      </c>
      <c r="X43" s="52">
        <f t="shared" ref="X43" si="382">X40+X41+X42</f>
        <v>20959.092000000001</v>
      </c>
      <c r="Y43" s="20">
        <f t="shared" ref="Y43" si="383">IF(M43&gt;0,Z43/M43,0)</f>
        <v>0.41002927253184529</v>
      </c>
      <c r="Z43" s="52">
        <f t="shared" ref="Z43" si="384">Z40+Z41+Z42</f>
        <v>17929.349999999999</v>
      </c>
      <c r="AA43" s="119">
        <f>IF(M43&gt;0,AB43/M43,0)</f>
        <v>2.5207546824616363E-3</v>
      </c>
      <c r="AB43" s="54">
        <f t="shared" ref="AB43" si="385">SUM(AB40:AB42)</f>
        <v>110.22503999999998</v>
      </c>
      <c r="AC43" s="53">
        <f t="shared" ref="AC43" si="386">IF(M43&gt;0,AD43/M43,0)</f>
        <v>2.4636259061906834E-3</v>
      </c>
      <c r="AD43" s="54">
        <f t="shared" ref="AD43" si="387">SUM(AD40:AD42)</f>
        <v>107.72697000000001</v>
      </c>
      <c r="AE43" s="53">
        <f t="shared" ref="AE43" si="388">IF(M43&gt;0,(AE40*M40+AE41*M41+AE42*M42)/M43,0)</f>
        <v>2.5379605964278361E-3</v>
      </c>
      <c r="AF43" s="53">
        <f t="shared" ref="AF43" si="389">IF(K43&gt;0,(K40*AF40+K41*AF41+K42*AF42)/K43,0)</f>
        <v>2.8001240641711226E-4</v>
      </c>
      <c r="AG43" s="50">
        <f t="shared" ref="AG43" si="390">SUM(AG40:AG42)</f>
        <v>12.24535</v>
      </c>
      <c r="AH43" s="51">
        <f t="shared" ref="AH43" si="391">IF(K43&gt;0,(K40*AH40+K41*AH41+K42*AH42)/K43,0)</f>
        <v>0.20399780962566846</v>
      </c>
      <c r="AI43" s="56">
        <f t="shared" ref="AI43" si="392">SUM(AI40:AI42)</f>
        <v>95.548215999999996</v>
      </c>
      <c r="AJ43" s="51">
        <f t="shared" ref="AJ43" si="393">IF(AND(AD43&gt;0),((AD40*AJ40+AD41*AJ41+AD42*AJ42)/AD43),0)</f>
        <v>0.88754940418136496</v>
      </c>
      <c r="AK43" s="55">
        <f t="shared" si="6"/>
        <v>0.89085308458795054</v>
      </c>
      <c r="AL43" s="49">
        <f t="shared" ref="AL43" si="394">SUM(AL40:AL42)</f>
        <v>510</v>
      </c>
      <c r="AM43" s="20">
        <f t="shared" ref="AM43" si="395">IF(AL43&gt;0,(AM40*AL40+AM41*AL41+AM42*AL42)/AL43,0)</f>
        <v>8.1843137254901971E-2</v>
      </c>
      <c r="AN43" s="51">
        <f>IF(K43&gt;0,(AN40*K40+AN41*K41+AN42*K42)/K43,0)</f>
        <v>0.21090228877005349</v>
      </c>
      <c r="AO43" s="107">
        <f>IF(L43&gt;0,(AO40*K40+AO41*K41+AO42*K42)/K43,0)</f>
        <v>0.22007272085561497</v>
      </c>
      <c r="AP43" s="56">
        <f t="shared" ref="AP43" si="396">SUM(AP40:AP42)</f>
        <v>98.732053000000008</v>
      </c>
      <c r="AQ43" s="108">
        <f t="shared" si="353"/>
        <v>102.98500849999999</v>
      </c>
      <c r="AR43" s="54"/>
      <c r="AS43" s="54">
        <f t="shared" ref="AS43" si="397">SUM(AS40:AS42)</f>
        <v>0</v>
      </c>
      <c r="AT43" s="83"/>
      <c r="AU43" s="84">
        <f>AT42</f>
        <v>1783.8999999999994</v>
      </c>
      <c r="AV43" s="49">
        <f t="shared" ref="AV43" si="398">SUM(AV40:AV42)</f>
        <v>0</v>
      </c>
      <c r="AW43" s="57"/>
      <c r="AX43" s="56"/>
      <c r="AY43" s="56"/>
      <c r="AZ43" s="56"/>
      <c r="BA43" s="56"/>
      <c r="BB43" s="21"/>
    </row>
    <row r="44" spans="1:54">
      <c r="A44" s="147">
        <v>11</v>
      </c>
      <c r="B44" s="22">
        <v>1</v>
      </c>
      <c r="C44" s="10" t="s">
        <v>55</v>
      </c>
      <c r="D44" s="11">
        <v>17444</v>
      </c>
      <c r="E44" s="11">
        <v>1</v>
      </c>
      <c r="F44" s="11">
        <v>15302</v>
      </c>
      <c r="G44" s="12">
        <v>0.5</v>
      </c>
      <c r="H44" s="12">
        <v>5.9</v>
      </c>
      <c r="I44" s="11">
        <v>14605</v>
      </c>
      <c r="J44" s="12">
        <v>1.7</v>
      </c>
      <c r="K44" s="11">
        <v>15544</v>
      </c>
      <c r="L44" s="13">
        <v>6.7000000000000004E-2</v>
      </c>
      <c r="M44" s="23">
        <f>ROUND(K44*(1-L44),0)</f>
        <v>14503</v>
      </c>
      <c r="N44" s="14">
        <v>0.64700000000000002</v>
      </c>
      <c r="O44" s="24">
        <f t="shared" ref="O44:O46" si="399">M44*N44</f>
        <v>9383.4410000000007</v>
      </c>
      <c r="P44" s="13">
        <v>0.28100000000000003</v>
      </c>
      <c r="Q44" s="24">
        <f t="shared" ref="Q44:Q46" si="400">M44*P44</f>
        <v>4075.3430000000003</v>
      </c>
      <c r="R44" s="15">
        <v>7.1999999999999995E-2</v>
      </c>
      <c r="S44" s="112"/>
      <c r="T44" s="24">
        <f t="shared" ref="T44:T46" si="401">M44*R44</f>
        <v>1044.2159999999999</v>
      </c>
      <c r="U44" s="25">
        <v>0.24099999999999999</v>
      </c>
      <c r="V44" s="24">
        <f t="shared" ref="V44:V46" si="402">M44*U44</f>
        <v>3495.223</v>
      </c>
      <c r="W44" s="15">
        <v>0.47299999999999998</v>
      </c>
      <c r="X44" s="24">
        <f t="shared" ref="X44:X46" si="403">M44*W44</f>
        <v>6859.9189999999999</v>
      </c>
      <c r="Y44" s="15">
        <v>0.38</v>
      </c>
      <c r="Z44" s="24">
        <f t="shared" ref="Z44:Z46" si="404">Y44*M44</f>
        <v>5511.14</v>
      </c>
      <c r="AA44" s="116">
        <v>2.4399999999999999E-3</v>
      </c>
      <c r="AB44" s="18">
        <f t="shared" ref="AB44" si="405">M44*AA44</f>
        <v>35.387319999999995</v>
      </c>
      <c r="AC44" s="16">
        <v>2.48E-3</v>
      </c>
      <c r="AD44" s="17">
        <f t="shared" ref="AD44:AD46" si="406">M44*AC44</f>
        <v>35.967440000000003</v>
      </c>
      <c r="AE44" s="26">
        <f>IF(M44&gt;0,(AG44+AP44)/M44,0)</f>
        <v>2.4098530786733777E-3</v>
      </c>
      <c r="AF44" s="16">
        <v>2.5999999999999998E-4</v>
      </c>
      <c r="AG44" s="23">
        <f t="shared" ref="AG44:AG46" si="407">AF44*M44</f>
        <v>3.7707799999999998</v>
      </c>
      <c r="AH44" s="92">
        <v>0.20130000000000001</v>
      </c>
      <c r="AI44" s="29">
        <f t="shared" ref="AI44:AI46" si="408">AL44*(1-AM44)*AH44</f>
        <v>30.3061176</v>
      </c>
      <c r="AJ44" s="27">
        <f t="shared" ref="AJ44:AJ46" si="409">IF(AND(AH44&gt;0,AF44&gt;0,AC44&gt;0),((AC44-AF44)*AH44)/((AH44-AF44)*AC44),0)</f>
        <v>0.89631898001360677</v>
      </c>
      <c r="AK44" s="58">
        <f t="shared" si="6"/>
        <v>0.89323099614566603</v>
      </c>
      <c r="AL44" s="11">
        <v>164</v>
      </c>
      <c r="AM44" s="13">
        <v>8.2000000000000003E-2</v>
      </c>
      <c r="AN44" s="14">
        <v>0.20710000000000001</v>
      </c>
      <c r="AO44" s="101">
        <v>0.21709999999999999</v>
      </c>
      <c r="AP44" s="29">
        <f>AL44*(1-AM44)*AN44</f>
        <v>31.179319199999998</v>
      </c>
      <c r="AQ44" s="102">
        <f t="shared" ref="AQ44" si="410">AL44*(1-AM44)*AO44</f>
        <v>32.684839199999999</v>
      </c>
      <c r="AR44" s="18">
        <v>1.55</v>
      </c>
      <c r="AS44" s="18"/>
      <c r="AT44" s="79">
        <f>AT42+AL44-AS44</f>
        <v>1947.8999999999994</v>
      </c>
      <c r="AU44" s="80"/>
      <c r="AV44" s="11"/>
      <c r="AW44" s="30"/>
      <c r="AX44" s="19"/>
      <c r="AY44" s="19"/>
      <c r="AZ44" s="19"/>
      <c r="BA44" s="19"/>
    </row>
    <row r="45" spans="1:54">
      <c r="A45" s="148"/>
      <c r="B45" s="32">
        <v>2</v>
      </c>
      <c r="C45" s="10" t="s">
        <v>53</v>
      </c>
      <c r="D45" s="33">
        <v>19700</v>
      </c>
      <c r="E45" s="33">
        <v>6</v>
      </c>
      <c r="F45" s="33">
        <v>18108</v>
      </c>
      <c r="G45" s="34">
        <v>0.6</v>
      </c>
      <c r="H45" s="34">
        <v>5.3</v>
      </c>
      <c r="I45" s="33">
        <v>17395</v>
      </c>
      <c r="J45" s="34">
        <v>1.4</v>
      </c>
      <c r="K45" s="33">
        <v>16298</v>
      </c>
      <c r="L45" s="35">
        <v>6.2E-2</v>
      </c>
      <c r="M45" s="36">
        <f>ROUND(K45*(1-L45),0)</f>
        <v>15288</v>
      </c>
      <c r="N45" s="37">
        <v>0.77</v>
      </c>
      <c r="O45" s="24">
        <f t="shared" si="399"/>
        <v>11771.76</v>
      </c>
      <c r="P45" s="35">
        <v>0.182</v>
      </c>
      <c r="Q45" s="24">
        <f t="shared" si="400"/>
        <v>2782.4159999999997</v>
      </c>
      <c r="R45" s="38">
        <v>4.8000000000000001E-2</v>
      </c>
      <c r="S45" s="105"/>
      <c r="T45" s="24">
        <f t="shared" si="401"/>
        <v>733.82400000000007</v>
      </c>
      <c r="U45" s="27">
        <v>0.249</v>
      </c>
      <c r="V45" s="24">
        <f t="shared" si="402"/>
        <v>3806.712</v>
      </c>
      <c r="W45" s="38">
        <v>0.46800000000000003</v>
      </c>
      <c r="X45" s="24">
        <f t="shared" si="403"/>
        <v>7154.7840000000006</v>
      </c>
      <c r="Y45" s="38">
        <v>0.4</v>
      </c>
      <c r="Z45" s="24">
        <f t="shared" si="404"/>
        <v>6115.2000000000007</v>
      </c>
      <c r="AA45" s="117">
        <v>2.5400000000000002E-3</v>
      </c>
      <c r="AB45" s="18">
        <f t="shared" si="147"/>
        <v>38.831520000000005</v>
      </c>
      <c r="AC45" s="39">
        <v>2.7299999999999998E-3</v>
      </c>
      <c r="AD45" s="17">
        <f t="shared" si="406"/>
        <v>41.736239999999995</v>
      </c>
      <c r="AE45" s="26">
        <f>IF(M45&gt;0,(AG45+AP45)/M45,0)</f>
        <v>2.57419001177394E-3</v>
      </c>
      <c r="AF45" s="39">
        <v>2.7E-4</v>
      </c>
      <c r="AG45" s="36">
        <f t="shared" si="407"/>
        <v>4.1277600000000003</v>
      </c>
      <c r="AH45" s="27">
        <v>0.20200000000000001</v>
      </c>
      <c r="AI45" s="40">
        <f t="shared" si="408"/>
        <v>33.676026</v>
      </c>
      <c r="AJ45" s="27">
        <f t="shared" si="409"/>
        <v>0.902304952272731</v>
      </c>
      <c r="AK45" s="28">
        <f t="shared" si="6"/>
        <v>0.8962578798196893</v>
      </c>
      <c r="AL45" s="33">
        <v>183</v>
      </c>
      <c r="AM45" s="35">
        <v>8.8999999999999996E-2</v>
      </c>
      <c r="AN45" s="37">
        <v>0.21129999999999999</v>
      </c>
      <c r="AO45" s="103">
        <v>0.21210000000000001</v>
      </c>
      <c r="AP45" s="40">
        <f>AL45*(1-AM45)*AN45</f>
        <v>35.226456899999995</v>
      </c>
      <c r="AQ45" s="104">
        <f t="shared" si="152"/>
        <v>35.359827299999999</v>
      </c>
      <c r="AR45" s="41">
        <v>1.6</v>
      </c>
      <c r="AS45" s="41"/>
      <c r="AT45" s="129">
        <f>AT44+AL45-AS45</f>
        <v>2130.8999999999996</v>
      </c>
      <c r="AU45" s="82"/>
      <c r="AV45" s="42"/>
      <c r="AW45" s="43"/>
      <c r="AX45" s="44"/>
      <c r="AY45" s="44"/>
      <c r="AZ45" s="44"/>
      <c r="BA45" s="44"/>
    </row>
    <row r="46" spans="1:54">
      <c r="A46" s="148"/>
      <c r="B46" s="32">
        <v>3</v>
      </c>
      <c r="C46" s="10" t="s">
        <v>54</v>
      </c>
      <c r="D46" s="42">
        <v>12064</v>
      </c>
      <c r="E46" s="42">
        <v>6</v>
      </c>
      <c r="F46" s="42">
        <v>16288</v>
      </c>
      <c r="G46" s="36">
        <v>0.9</v>
      </c>
      <c r="H46" s="36">
        <v>6.1</v>
      </c>
      <c r="I46" s="42">
        <v>16150</v>
      </c>
      <c r="J46" s="36">
        <v>1.9</v>
      </c>
      <c r="K46" s="42">
        <v>16351</v>
      </c>
      <c r="L46" s="38">
        <v>5.6000000000000001E-2</v>
      </c>
      <c r="M46" s="36">
        <f>ROUND(K46*(1-L46),0)</f>
        <v>15435</v>
      </c>
      <c r="N46" s="27">
        <v>0.50600000000000001</v>
      </c>
      <c r="O46" s="24">
        <f t="shared" si="399"/>
        <v>7810.11</v>
      </c>
      <c r="P46" s="38">
        <v>0.438</v>
      </c>
      <c r="Q46" s="24">
        <f t="shared" si="400"/>
        <v>6760.53</v>
      </c>
      <c r="R46" s="38">
        <v>5.6000000000000001E-2</v>
      </c>
      <c r="S46" s="105"/>
      <c r="T46" s="24">
        <f t="shared" si="401"/>
        <v>864.36</v>
      </c>
      <c r="U46" s="27">
        <v>0.251</v>
      </c>
      <c r="V46" s="24">
        <f t="shared" si="402"/>
        <v>3874.1849999999999</v>
      </c>
      <c r="W46" s="38">
        <v>0.47599999999999998</v>
      </c>
      <c r="X46" s="24">
        <f t="shared" si="403"/>
        <v>7347.0599999999995</v>
      </c>
      <c r="Y46" s="38">
        <v>0.4</v>
      </c>
      <c r="Z46" s="24">
        <f t="shared" si="404"/>
        <v>6174</v>
      </c>
      <c r="AA46" s="118">
        <v>2.5400000000000002E-3</v>
      </c>
      <c r="AB46" s="121">
        <f t="shared" si="147"/>
        <v>39.204900000000002</v>
      </c>
      <c r="AC46" s="45">
        <v>2.63E-3</v>
      </c>
      <c r="AD46" s="17">
        <f t="shared" si="406"/>
        <v>40.594050000000003</v>
      </c>
      <c r="AE46" s="26">
        <f>IF(M46&gt;0,(AG46+AP46)/M46,0)</f>
        <v>2.5067380758017495E-3</v>
      </c>
      <c r="AF46" s="45">
        <v>2.7E-4</v>
      </c>
      <c r="AG46" s="36">
        <f t="shared" si="407"/>
        <v>4.1674499999999997</v>
      </c>
      <c r="AH46" s="27">
        <v>0.20100000000000001</v>
      </c>
      <c r="AI46" s="40">
        <f t="shared" si="408"/>
        <v>33.028722000000002</v>
      </c>
      <c r="AJ46" s="27">
        <f t="shared" si="409"/>
        <v>0.89854540433122532</v>
      </c>
      <c r="AK46" s="28">
        <f t="shared" si="6"/>
        <v>0.89343846229428192</v>
      </c>
      <c r="AL46" s="42">
        <v>179</v>
      </c>
      <c r="AM46" s="38">
        <v>8.2000000000000003E-2</v>
      </c>
      <c r="AN46" s="27">
        <v>0.21010000000000001</v>
      </c>
      <c r="AO46" s="105">
        <v>0.21759999999999999</v>
      </c>
      <c r="AP46" s="40">
        <f>AL46*(1-AM46)*AN46</f>
        <v>34.5240522</v>
      </c>
      <c r="AQ46" s="106">
        <f t="shared" si="152"/>
        <v>35.756467199999996</v>
      </c>
      <c r="AR46" s="17">
        <v>1.6</v>
      </c>
      <c r="AS46" s="17"/>
      <c r="AT46" s="129">
        <f>AT45+AL46-AS46</f>
        <v>2309.8999999999996</v>
      </c>
      <c r="AU46" s="82"/>
      <c r="AV46" s="42"/>
      <c r="AW46" s="46"/>
      <c r="AX46" s="40"/>
      <c r="AY46" s="40"/>
      <c r="AZ46" s="40"/>
      <c r="BA46" s="40"/>
    </row>
    <row r="47" spans="1:54">
      <c r="A47" s="149"/>
      <c r="B47" s="47" t="s">
        <v>56</v>
      </c>
      <c r="C47" s="48"/>
      <c r="D47" s="49">
        <f t="shared" ref="D47" si="411">SUM(D44:D46)</f>
        <v>49208</v>
      </c>
      <c r="E47" s="49"/>
      <c r="F47" s="49">
        <f t="shared" ref="F47" si="412">SUM(F44:F46)</f>
        <v>49698</v>
      </c>
      <c r="G47" s="50"/>
      <c r="H47" s="50"/>
      <c r="I47" s="49">
        <f t="shared" ref="I47:K47" si="413">SUM(I44:I46)</f>
        <v>48150</v>
      </c>
      <c r="J47" s="50"/>
      <c r="K47" s="49">
        <f t="shared" si="413"/>
        <v>48193</v>
      </c>
      <c r="L47" s="20">
        <f t="shared" ref="L47" si="414">IF(K47&gt;0,(K44*L44+K45*L45+K46*L46)/K47,0)</f>
        <v>6.1576992509285576E-2</v>
      </c>
      <c r="M47" s="50">
        <f t="shared" ref="M47" si="415">M44+M45+M46</f>
        <v>45226</v>
      </c>
      <c r="N47" s="51">
        <f t="shared" ref="N47" si="416">IF(M47&gt;0,O47/M47,0)</f>
        <v>0.6404570600981736</v>
      </c>
      <c r="O47" s="52">
        <f t="shared" ref="O47" si="417">O44+O45+O46</f>
        <v>28965.311000000002</v>
      </c>
      <c r="P47" s="20">
        <f t="shared" ref="P47" si="418">IF(M47&gt;0,Q47/M47,0)</f>
        <v>0.301116371113961</v>
      </c>
      <c r="Q47" s="52">
        <f t="shared" ref="Q47" si="419">Q44+Q45+Q46</f>
        <v>13618.289000000001</v>
      </c>
      <c r="R47" s="20">
        <f t="shared" ref="R47" si="420">IF(M47&gt;0,T47/M47,0)</f>
        <v>5.8426568787865389E-2</v>
      </c>
      <c r="S47" s="107"/>
      <c r="T47" s="52">
        <f t="shared" ref="T47" si="421">T44+T45+T46</f>
        <v>2642.4</v>
      </c>
      <c r="U47" s="20">
        <f t="shared" ref="U47" si="422">IF(M47&gt;0,V47/M47,0)</f>
        <v>0.24711714500508555</v>
      </c>
      <c r="V47" s="52">
        <f t="shared" ref="V47" si="423">V44+V45+V46</f>
        <v>11176.119999999999</v>
      </c>
      <c r="W47" s="20">
        <f t="shared" ref="W47" si="424">IF(M47&gt;0,X47/M47,0)</f>
        <v>0.47233367974174145</v>
      </c>
      <c r="X47" s="52">
        <f t="shared" ref="X47" si="425">X44+X45+X46</f>
        <v>21361.762999999999</v>
      </c>
      <c r="Y47" s="20">
        <f t="shared" ref="Y47" si="426">IF(M47&gt;0,Z47/M47,0)</f>
        <v>0.39358643258302745</v>
      </c>
      <c r="Z47" s="52">
        <f t="shared" ref="Z47" si="427">Z44+Z45+Z46</f>
        <v>17800.34</v>
      </c>
      <c r="AA47" s="119">
        <f>IF(M47&gt;0,AB47/M47,0)</f>
        <v>2.5079321629151376E-3</v>
      </c>
      <c r="AB47" s="54">
        <f t="shared" ref="AB47" si="428">SUM(AB44:AB46)</f>
        <v>113.42374000000001</v>
      </c>
      <c r="AC47" s="53">
        <f t="shared" ref="AC47" si="429">IF(M47&gt;0,AD47/M47,0)</f>
        <v>2.6157018086941141E-3</v>
      </c>
      <c r="AD47" s="54">
        <f t="shared" ref="AD47" si="430">SUM(AD44:AD46)</f>
        <v>118.29773</v>
      </c>
      <c r="AE47" s="53">
        <f t="shared" ref="AE47" si="431">IF(M47&gt;0,(AE44*M44+AE45*M45+AE46*M46)/M47,0)</f>
        <v>2.4984703113253436E-3</v>
      </c>
      <c r="AF47" s="53">
        <f t="shared" ref="AF47" si="432">IF(K47&gt;0,(K44*AF44+K45*AF45+K46*AF46)/K47,0)</f>
        <v>2.6677463532048226E-4</v>
      </c>
      <c r="AG47" s="50">
        <f t="shared" ref="AG47" si="433">SUM(AG44:AG46)</f>
        <v>12.065989999999999</v>
      </c>
      <c r="AH47" s="51">
        <f t="shared" ref="AH47" si="434">IF(K47&gt;0,(K44*AH44+K45*AH45+K46*AH46)/K47,0)</f>
        <v>0.20143494283402152</v>
      </c>
      <c r="AI47" s="56">
        <f t="shared" ref="AI47" si="435">SUM(AI44:AI46)</f>
        <v>97.010865600000002</v>
      </c>
      <c r="AJ47" s="51">
        <f t="shared" ref="AJ47" si="436">IF(AND(AD47&gt;0),((AD44*AJ44+AD45*AJ45+AD46*AJ46)/AD47),0)</f>
        <v>0.89919487251729857</v>
      </c>
      <c r="AK47" s="55">
        <f t="shared" si="6"/>
        <v>0.89436347615802581</v>
      </c>
      <c r="AL47" s="49">
        <f t="shared" ref="AL47" si="437">SUM(AL44:AL46)</f>
        <v>526</v>
      </c>
      <c r="AM47" s="20">
        <f t="shared" ref="AM47" si="438">IF(AL47&gt;0,(AM44*AL44+AM45*AL45+AM46*AL46)/AL47,0)</f>
        <v>8.4435361216730037E-2</v>
      </c>
      <c r="AN47" s="51">
        <f>IF(K47&gt;0,(AN44*K44+AN45*K45+AN46*K46)/K47,0)</f>
        <v>0.20953820886850788</v>
      </c>
      <c r="AO47" s="107">
        <f>IF(L47&gt;0,(AO44*K44+AO45*K45+AO46*K46)/K47,0)</f>
        <v>0.21557873135102609</v>
      </c>
      <c r="AP47" s="56">
        <f t="shared" ref="AP47" si="439">SUM(AP44:AP46)</f>
        <v>100.9298283</v>
      </c>
      <c r="AQ47" s="108">
        <f t="shared" si="353"/>
        <v>103.80113370000001</v>
      </c>
      <c r="AR47" s="54"/>
      <c r="AS47" s="54">
        <f t="shared" ref="AS47" si="440">SUM(AS44:AS46)</f>
        <v>0</v>
      </c>
      <c r="AT47" s="83"/>
      <c r="AU47" s="84">
        <f>AT46</f>
        <v>2309.8999999999996</v>
      </c>
      <c r="AV47" s="49">
        <f t="shared" ref="AV47" si="441">SUM(AV44:AV46)</f>
        <v>0</v>
      </c>
      <c r="AW47" s="57"/>
      <c r="AX47" s="56"/>
      <c r="AY47" s="56"/>
      <c r="AZ47" s="56"/>
      <c r="BA47" s="56"/>
      <c r="BB47" s="21"/>
    </row>
    <row r="48" spans="1:54">
      <c r="A48" s="147">
        <v>12</v>
      </c>
      <c r="B48" s="22">
        <v>1</v>
      </c>
      <c r="C48" s="10" t="s">
        <v>55</v>
      </c>
      <c r="D48" s="11">
        <v>7553</v>
      </c>
      <c r="E48" s="11">
        <v>4</v>
      </c>
      <c r="F48" s="11">
        <v>8586</v>
      </c>
      <c r="G48" s="12">
        <v>1</v>
      </c>
      <c r="H48" s="12">
        <v>7.2</v>
      </c>
      <c r="I48" s="11">
        <v>8136</v>
      </c>
      <c r="J48" s="12">
        <v>4.5</v>
      </c>
      <c r="K48" s="11">
        <v>16144</v>
      </c>
      <c r="L48" s="13">
        <v>6.3E-2</v>
      </c>
      <c r="M48" s="23">
        <f>ROUND(K48*(1-L48),0)</f>
        <v>15127</v>
      </c>
      <c r="N48" s="14">
        <v>0.44600000000000001</v>
      </c>
      <c r="O48" s="24">
        <f t="shared" ref="O48:O50" si="442">M48*N48</f>
        <v>6746.6419999999998</v>
      </c>
      <c r="P48" s="13">
        <v>0.53600000000000003</v>
      </c>
      <c r="Q48" s="24">
        <f t="shared" ref="Q48:Q50" si="443">M48*P48</f>
        <v>8108.0720000000001</v>
      </c>
      <c r="R48" s="15">
        <v>1.7999999999999999E-2</v>
      </c>
      <c r="S48" s="112"/>
      <c r="T48" s="24">
        <f t="shared" ref="T48:T50" si="444">M48*R48</f>
        <v>272.286</v>
      </c>
      <c r="U48" s="25">
        <v>0.23</v>
      </c>
      <c r="V48" s="24">
        <f t="shared" ref="V48:V50" si="445">M48*U48</f>
        <v>3479.21</v>
      </c>
      <c r="W48" s="15">
        <v>0.51800000000000002</v>
      </c>
      <c r="X48" s="24">
        <f t="shared" ref="X48:X50" si="446">M48*W48</f>
        <v>7835.7860000000001</v>
      </c>
      <c r="Y48" s="15">
        <v>0.39</v>
      </c>
      <c r="Z48" s="24">
        <f t="shared" ref="Z48:Z50" si="447">Y48*M48</f>
        <v>5899.5300000000007</v>
      </c>
      <c r="AA48" s="116">
        <v>2.5600000000000002E-3</v>
      </c>
      <c r="AB48" s="18">
        <f t="shared" ref="AB48" si="448">M48*AA48</f>
        <v>38.725120000000004</v>
      </c>
      <c r="AC48" s="16">
        <v>2.65E-3</v>
      </c>
      <c r="AD48" s="17">
        <f t="shared" ref="AD48:AD50" si="449">M48*AC48</f>
        <v>40.086550000000003</v>
      </c>
      <c r="AE48" s="26">
        <f>IF(M48&gt;0,(AG48+AP48)/M48,0)</f>
        <v>2.5146370066768033E-3</v>
      </c>
      <c r="AF48" s="16">
        <v>2.7E-4</v>
      </c>
      <c r="AG48" s="23">
        <f t="shared" ref="AG48:AG50" si="450">AF48*M48</f>
        <v>4.0842900000000002</v>
      </c>
      <c r="AH48" s="92">
        <v>0.20449999999999999</v>
      </c>
      <c r="AI48" s="29">
        <f t="shared" ref="AI48:AI50" si="451">AL48*(1-AM48)*AH48</f>
        <v>33.112639999999999</v>
      </c>
      <c r="AJ48" s="27">
        <f t="shared" ref="AJ48:AJ50" si="452">IF(AND(AH48&gt;0,AF48&gt;0,AC48&gt;0),((AC48-AF48)*AH48)/((AH48-AF48)*AC48),0)</f>
        <v>0.89930054812415527</v>
      </c>
      <c r="AK48" s="58">
        <f t="shared" si="6"/>
        <v>0.89377942709812819</v>
      </c>
      <c r="AL48" s="11">
        <v>176</v>
      </c>
      <c r="AM48" s="13">
        <v>0.08</v>
      </c>
      <c r="AN48" s="14">
        <v>0.2097</v>
      </c>
      <c r="AO48" s="101">
        <v>0.21690000000000001</v>
      </c>
      <c r="AP48" s="29">
        <f>AL48*(1-AM48)*AN48</f>
        <v>33.954624000000003</v>
      </c>
      <c r="AQ48" s="102">
        <f t="shared" ref="AQ48" si="453">AL48*(1-AM48)*AO48</f>
        <v>35.120448000000003</v>
      </c>
      <c r="AR48" s="18">
        <v>1.6</v>
      </c>
      <c r="AS48" s="18">
        <v>1012.86</v>
      </c>
      <c r="AT48" s="79">
        <f>AT46+AL48-AS48-AU48</f>
        <v>1473.0399999999995</v>
      </c>
      <c r="AU48" s="130"/>
      <c r="AV48" s="11"/>
      <c r="AW48" s="30"/>
      <c r="AX48" s="19"/>
      <c r="AY48" s="19"/>
      <c r="AZ48" s="19"/>
      <c r="BA48" s="19"/>
    </row>
    <row r="49" spans="1:54">
      <c r="A49" s="148"/>
      <c r="B49" s="32">
        <v>2</v>
      </c>
      <c r="C49" s="10" t="s">
        <v>57</v>
      </c>
      <c r="D49" s="33">
        <v>18800</v>
      </c>
      <c r="E49" s="33">
        <v>7</v>
      </c>
      <c r="F49" s="33">
        <v>17147</v>
      </c>
      <c r="G49" s="34">
        <v>0.8</v>
      </c>
      <c r="H49" s="34">
        <v>7</v>
      </c>
      <c r="I49" s="33">
        <v>16302</v>
      </c>
      <c r="J49" s="34">
        <v>3.7</v>
      </c>
      <c r="K49" s="33">
        <v>16018</v>
      </c>
      <c r="L49" s="35">
        <v>5.8999999999999997E-2</v>
      </c>
      <c r="M49" s="36">
        <f>ROUND(K49*(1-L49),0)</f>
        <v>15073</v>
      </c>
      <c r="N49" s="37">
        <v>0.40200000000000002</v>
      </c>
      <c r="O49" s="24">
        <f t="shared" si="442"/>
        <v>6059.3460000000005</v>
      </c>
      <c r="P49" s="35">
        <v>0.56599999999999995</v>
      </c>
      <c r="Q49" s="24">
        <f t="shared" si="443"/>
        <v>8531.3179999999993</v>
      </c>
      <c r="R49" s="38">
        <v>3.2000000000000001E-2</v>
      </c>
      <c r="S49" s="105"/>
      <c r="T49" s="24">
        <f t="shared" si="444"/>
        <v>482.33600000000001</v>
      </c>
      <c r="U49" s="27">
        <v>0.24</v>
      </c>
      <c r="V49" s="24">
        <f t="shared" si="445"/>
        <v>3617.52</v>
      </c>
      <c r="W49" s="38">
        <v>0.499</v>
      </c>
      <c r="X49" s="24">
        <f t="shared" si="446"/>
        <v>7521.4269999999997</v>
      </c>
      <c r="Y49" s="38">
        <v>0.41</v>
      </c>
      <c r="Z49" s="24">
        <f t="shared" si="447"/>
        <v>6179.9299999999994</v>
      </c>
      <c r="AA49" s="117">
        <v>2.5699999999999998E-3</v>
      </c>
      <c r="AB49" s="18">
        <f t="shared" si="147"/>
        <v>38.737609999999997</v>
      </c>
      <c r="AC49" s="39">
        <v>2.6199999999999999E-3</v>
      </c>
      <c r="AD49" s="17">
        <f t="shared" si="449"/>
        <v>39.491259999999997</v>
      </c>
      <c r="AE49" s="26">
        <f>IF(M49&gt;0,(AG49+AP49)/M49,0)</f>
        <v>2.6093260134014461E-3</v>
      </c>
      <c r="AF49" s="39">
        <v>2.5999999999999998E-4</v>
      </c>
      <c r="AG49" s="36">
        <f t="shared" si="450"/>
        <v>3.9189799999999995</v>
      </c>
      <c r="AH49" s="27">
        <v>0.2082</v>
      </c>
      <c r="AI49" s="40">
        <f t="shared" si="451"/>
        <v>34.2118404</v>
      </c>
      <c r="AJ49" s="27">
        <f t="shared" si="452"/>
        <v>0.90188963786529741</v>
      </c>
      <c r="AK49" s="28">
        <f t="shared" si="6"/>
        <v>0.90144500107270054</v>
      </c>
      <c r="AL49" s="33">
        <v>179</v>
      </c>
      <c r="AM49" s="35">
        <v>8.2000000000000003E-2</v>
      </c>
      <c r="AN49" s="37">
        <v>0.2155</v>
      </c>
      <c r="AO49" s="103">
        <v>0.22470000000000001</v>
      </c>
      <c r="AP49" s="40">
        <f>AL49*(1-AM49)*AN49</f>
        <v>35.411391000000002</v>
      </c>
      <c r="AQ49" s="104">
        <f t="shared" si="152"/>
        <v>36.923153400000004</v>
      </c>
      <c r="AR49" s="41">
        <v>1.56</v>
      </c>
      <c r="AS49" s="41"/>
      <c r="AT49" s="129">
        <f>AT48+AL49-AS49</f>
        <v>1652.0399999999995</v>
      </c>
      <c r="AU49" s="82"/>
      <c r="AV49" s="42"/>
      <c r="AW49" s="43"/>
      <c r="AX49" s="44"/>
      <c r="AY49" s="44"/>
      <c r="AZ49" s="44"/>
      <c r="BA49" s="44"/>
    </row>
    <row r="50" spans="1:54">
      <c r="A50" s="148"/>
      <c r="B50" s="32">
        <v>3</v>
      </c>
      <c r="C50" s="10" t="s">
        <v>54</v>
      </c>
      <c r="D50" s="42">
        <v>18197</v>
      </c>
      <c r="E50" s="42">
        <v>3</v>
      </c>
      <c r="F50" s="42">
        <v>17443</v>
      </c>
      <c r="G50" s="36">
        <v>1.3</v>
      </c>
      <c r="H50" s="36">
        <v>7.4</v>
      </c>
      <c r="I50" s="42">
        <v>16508</v>
      </c>
      <c r="J50" s="36">
        <v>3.3</v>
      </c>
      <c r="K50" s="42">
        <v>16032</v>
      </c>
      <c r="L50" s="38">
        <v>5.8999999999999997E-2</v>
      </c>
      <c r="M50" s="36">
        <f>ROUND(K50*(1-L50),0)</f>
        <v>15086</v>
      </c>
      <c r="N50" s="27">
        <v>0.68700000000000006</v>
      </c>
      <c r="O50" s="24">
        <f t="shared" si="442"/>
        <v>10364.082</v>
      </c>
      <c r="P50" s="38">
        <v>0.27400000000000002</v>
      </c>
      <c r="Q50" s="24">
        <f t="shared" si="443"/>
        <v>4133.5640000000003</v>
      </c>
      <c r="R50" s="38">
        <v>3.9E-2</v>
      </c>
      <c r="S50" s="105"/>
      <c r="T50" s="24">
        <f t="shared" si="444"/>
        <v>588.35400000000004</v>
      </c>
      <c r="U50" s="27">
        <v>0.247</v>
      </c>
      <c r="V50" s="24">
        <f t="shared" si="445"/>
        <v>3726.2419999999997</v>
      </c>
      <c r="W50" s="38">
        <v>0.49399999999999999</v>
      </c>
      <c r="X50" s="24">
        <f t="shared" si="446"/>
        <v>7452.4839999999995</v>
      </c>
      <c r="Y50" s="38">
        <v>0.41</v>
      </c>
      <c r="Z50" s="24">
        <f t="shared" si="447"/>
        <v>6185.2599999999993</v>
      </c>
      <c r="AA50" s="118">
        <v>2.6099999999999999E-3</v>
      </c>
      <c r="AB50" s="121">
        <f t="shared" si="147"/>
        <v>39.374459999999999</v>
      </c>
      <c r="AC50" s="45">
        <v>2.6900000000000001E-3</v>
      </c>
      <c r="AD50" s="17">
        <f t="shared" si="449"/>
        <v>40.581340000000004</v>
      </c>
      <c r="AE50" s="26">
        <f>IF(M50&gt;0,(AG50+AP50)/M50,0)</f>
        <v>2.6486459498873127E-3</v>
      </c>
      <c r="AF50" s="45">
        <v>2.7E-4</v>
      </c>
      <c r="AG50" s="36">
        <f t="shared" si="450"/>
        <v>4.0732200000000001</v>
      </c>
      <c r="AH50" s="27">
        <v>0.20979999999999999</v>
      </c>
      <c r="AI50" s="40">
        <f t="shared" si="451"/>
        <v>33.896966400000004</v>
      </c>
      <c r="AJ50" s="27">
        <f t="shared" si="452"/>
        <v>0.90078751221755493</v>
      </c>
      <c r="AK50" s="28">
        <f t="shared" si="6"/>
        <v>0.89915419415857079</v>
      </c>
      <c r="AL50" s="42">
        <v>176</v>
      </c>
      <c r="AM50" s="38">
        <v>8.2000000000000003E-2</v>
      </c>
      <c r="AN50" s="27">
        <v>0.22209999999999999</v>
      </c>
      <c r="AO50" s="105">
        <v>0.23050000000000001</v>
      </c>
      <c r="AP50" s="40">
        <f>AL50*(1-AM50)*AN50</f>
        <v>35.884252799999999</v>
      </c>
      <c r="AQ50" s="106">
        <f t="shared" si="152"/>
        <v>37.241424000000002</v>
      </c>
      <c r="AR50" s="17">
        <v>1.55</v>
      </c>
      <c r="AS50" s="17"/>
      <c r="AT50" s="129">
        <f>AT49+AL50-AS50</f>
        <v>1828.0399999999995</v>
      </c>
      <c r="AU50" s="82"/>
      <c r="AV50" s="42"/>
      <c r="AW50" s="46"/>
      <c r="AX50" s="40"/>
      <c r="AY50" s="40"/>
      <c r="AZ50" s="40"/>
      <c r="BA50" s="40"/>
    </row>
    <row r="51" spans="1:54">
      <c r="A51" s="149"/>
      <c r="B51" s="47" t="s">
        <v>56</v>
      </c>
      <c r="C51" s="48"/>
      <c r="D51" s="49">
        <f t="shared" ref="D51" si="454">SUM(D48:D50)</f>
        <v>44550</v>
      </c>
      <c r="E51" s="49"/>
      <c r="F51" s="49">
        <f t="shared" ref="F51" si="455">SUM(F48:F50)</f>
        <v>43176</v>
      </c>
      <c r="G51" s="50"/>
      <c r="H51" s="50"/>
      <c r="I51" s="49">
        <f t="shared" ref="I51:K51" si="456">SUM(I48:I50)</f>
        <v>40946</v>
      </c>
      <c r="J51" s="50"/>
      <c r="K51" s="49">
        <f t="shared" si="456"/>
        <v>48194</v>
      </c>
      <c r="L51" s="20">
        <f t="shared" ref="L51" si="457">IF(K51&gt;0,(K48*L48+K49*L49+K50*L50)/K51,0)</f>
        <v>6.0339917832095281E-2</v>
      </c>
      <c r="M51" s="50">
        <f t="shared" ref="M51" si="458">M48+M49+M50</f>
        <v>45286</v>
      </c>
      <c r="N51" s="51">
        <f t="shared" ref="N51" si="459">IF(M51&gt;0,O51/M51,0)</f>
        <v>0.51163869628582781</v>
      </c>
      <c r="O51" s="52">
        <f t="shared" ref="O51" si="460">O48+O49+O50</f>
        <v>23170.07</v>
      </c>
      <c r="P51" s="20">
        <f t="shared" ref="P51" si="461">IF(M51&gt;0,Q51/M51,0)</f>
        <v>0.45870586936360019</v>
      </c>
      <c r="Q51" s="52">
        <f t="shared" ref="Q51" si="462">Q48+Q49+Q50</f>
        <v>20772.953999999998</v>
      </c>
      <c r="R51" s="20">
        <f t="shared" ref="R51" si="463">IF(M51&gt;0,T51/M51,0)</f>
        <v>2.9655434350571924E-2</v>
      </c>
      <c r="S51" s="107"/>
      <c r="T51" s="52">
        <f t="shared" ref="T51" si="464">T48+T49+T50</f>
        <v>1342.9760000000001</v>
      </c>
      <c r="U51" s="20">
        <f t="shared" ref="U51" si="465">IF(M51&gt;0,V51/M51,0)</f>
        <v>0.23899156472198912</v>
      </c>
      <c r="V51" s="52">
        <f t="shared" ref="V51" si="466">V48+V49+V50</f>
        <v>10822.972</v>
      </c>
      <c r="W51" s="20">
        <f t="shared" ref="W51" si="467">IF(M51&gt;0,X51/M51,0)</f>
        <v>0.5036809830852802</v>
      </c>
      <c r="X51" s="52">
        <f t="shared" ref="X51" si="468">X48+X49+X50</f>
        <v>22809.697</v>
      </c>
      <c r="Y51" s="20">
        <f t="shared" ref="Y51" si="469">IF(M51&gt;0,Z51/M51,0)</f>
        <v>0.40331934814291387</v>
      </c>
      <c r="Z51" s="52">
        <f t="shared" ref="Z51" si="470">Z48+Z49+Z50</f>
        <v>18264.719999999998</v>
      </c>
      <c r="AA51" s="119">
        <f>IF(M51&gt;0,AB51/M51,0)</f>
        <v>2.5799847635030694E-3</v>
      </c>
      <c r="AB51" s="54">
        <f t="shared" ref="AB51" si="471">SUM(AB48:AB50)</f>
        <v>116.83718999999999</v>
      </c>
      <c r="AC51" s="53">
        <f t="shared" ref="AC51" si="472">IF(M51&gt;0,AD51/M51,0)</f>
        <v>2.653339884290951E-3</v>
      </c>
      <c r="AD51" s="54">
        <f t="shared" ref="AD51" si="473">SUM(AD48:AD50)</f>
        <v>120.15915000000001</v>
      </c>
      <c r="AE51" s="53">
        <f t="shared" ref="AE51" si="474">IF(M51&gt;0,(AE48*M48+AE49*M49+AE50*M50)/M51,0)</f>
        <v>2.5907953407234021E-3</v>
      </c>
      <c r="AF51" s="53">
        <f t="shared" ref="AF51" si="475">IF(K51&gt;0,(K48*AF48+K49*AF49+K50*AF50)/K51,0)</f>
        <v>2.6667634975308129E-4</v>
      </c>
      <c r="AG51" s="50">
        <f t="shared" ref="AG51" si="476">SUM(AG48:AG50)</f>
        <v>12.07649</v>
      </c>
      <c r="AH51" s="51">
        <f t="shared" ref="AH51" si="477">IF(K51&gt;0,(K48*AH48+K49*AH49+K50*AH50)/K51,0)</f>
        <v>0.20749282483296677</v>
      </c>
      <c r="AI51" s="56">
        <f t="shared" ref="AI51" si="478">SUM(AI48:AI50)</f>
        <v>101.2214468</v>
      </c>
      <c r="AJ51" s="51">
        <f t="shared" ref="AJ51" si="479">IF(AND(AD51&gt;0),((AD48*AJ48+AD49*AJ49+AD50*AJ50)/AD51),0)</f>
        <v>0.90065366531558699</v>
      </c>
      <c r="AK51" s="55">
        <f t="shared" si="6"/>
        <v>0.8981779402111234</v>
      </c>
      <c r="AL51" s="49">
        <f t="shared" ref="AL51" si="480">SUM(AL48:AL50)</f>
        <v>531</v>
      </c>
      <c r="AM51" s="20">
        <f t="shared" ref="AM51" si="481">IF(AL51&gt;0,(AM48*AL48+AM49*AL49+AM50*AL50)/AL51,0)</f>
        <v>8.1337099811676097E-2</v>
      </c>
      <c r="AN51" s="51">
        <f>IF(K51&gt;0,(AN48*K48+AN49*K49+AN50*K50)/K51,0)</f>
        <v>0.21575264555753829</v>
      </c>
      <c r="AO51" s="107">
        <f>IF(L51&gt;0,(AO48*K48+AO49*K49+AO50*K50)/K51,0)</f>
        <v>0.22401656222766317</v>
      </c>
      <c r="AP51" s="56">
        <f t="shared" ref="AP51" si="482">SUM(AP48:AP50)</f>
        <v>105.2502678</v>
      </c>
      <c r="AQ51" s="108">
        <f t="shared" si="353"/>
        <v>109.28502539999999</v>
      </c>
      <c r="AR51" s="54"/>
      <c r="AS51" s="54">
        <f t="shared" ref="AS51" si="483">SUM(AS48:AS50)</f>
        <v>1012.86</v>
      </c>
      <c r="AT51" s="83"/>
      <c r="AU51" s="84">
        <f>AT50</f>
        <v>1828.0399999999995</v>
      </c>
      <c r="AV51" s="49">
        <f t="shared" ref="AV51" si="484">SUM(AV48:AV50)</f>
        <v>0</v>
      </c>
      <c r="AW51" s="57"/>
      <c r="AX51" s="56"/>
      <c r="AY51" s="56"/>
      <c r="AZ51" s="56"/>
      <c r="BA51" s="56"/>
      <c r="BB51" s="21"/>
    </row>
    <row r="52" spans="1:54">
      <c r="A52" s="147">
        <v>13</v>
      </c>
      <c r="B52" s="22">
        <v>1</v>
      </c>
      <c r="C52" s="10" t="s">
        <v>55</v>
      </c>
      <c r="D52" s="11">
        <v>5684</v>
      </c>
      <c r="E52" s="11">
        <v>2</v>
      </c>
      <c r="F52" s="11">
        <v>9467</v>
      </c>
      <c r="G52" s="12">
        <v>0.6</v>
      </c>
      <c r="H52" s="12">
        <v>5.3</v>
      </c>
      <c r="I52" s="11">
        <v>9185</v>
      </c>
      <c r="J52" s="12">
        <v>5.7</v>
      </c>
      <c r="K52" s="11">
        <v>15868</v>
      </c>
      <c r="L52" s="13">
        <v>5.5E-2</v>
      </c>
      <c r="M52" s="23">
        <f>ROUND(K52*(1-L52),0)</f>
        <v>14995</v>
      </c>
      <c r="N52" s="14">
        <v>0.64300000000000002</v>
      </c>
      <c r="O52" s="24">
        <f t="shared" ref="O52:O54" si="485">M52*N52</f>
        <v>9641.7849999999999</v>
      </c>
      <c r="P52" s="13">
        <v>0.29499999999999998</v>
      </c>
      <c r="Q52" s="24">
        <f t="shared" ref="Q52:Q54" si="486">M52*P52</f>
        <v>4423.5249999999996</v>
      </c>
      <c r="R52" s="15">
        <v>6.2E-2</v>
      </c>
      <c r="S52" s="112"/>
      <c r="T52" s="24">
        <f t="shared" ref="T52:T54" si="487">M52*R52</f>
        <v>929.68999999999994</v>
      </c>
      <c r="U52" s="25">
        <v>0.23300000000000001</v>
      </c>
      <c r="V52" s="24">
        <f t="shared" ref="V52:V54" si="488">M52*U52</f>
        <v>3493.835</v>
      </c>
      <c r="W52" s="15">
        <v>0.48699999999999999</v>
      </c>
      <c r="X52" s="24">
        <f t="shared" ref="X52:X54" si="489">M52*W52</f>
        <v>7302.5649999999996</v>
      </c>
      <c r="Y52" s="15">
        <v>0.38</v>
      </c>
      <c r="Z52" s="24">
        <f t="shared" ref="Z52:Z54" si="490">Y52*M52</f>
        <v>5698.1</v>
      </c>
      <c r="AA52" s="116">
        <v>2.7399999999999998E-3</v>
      </c>
      <c r="AB52" s="18">
        <f t="shared" ref="AB52" si="491">M52*AA52</f>
        <v>41.086299999999994</v>
      </c>
      <c r="AC52" s="16">
        <v>2.7399999999999998E-3</v>
      </c>
      <c r="AD52" s="17">
        <f t="shared" ref="AD52:AD54" si="492">M52*AC52</f>
        <v>41.086299999999994</v>
      </c>
      <c r="AE52" s="26">
        <f>IF(M52&gt;0,(AG52+AP52)/M52,0)</f>
        <v>2.8301057152384131E-3</v>
      </c>
      <c r="AF52" s="16">
        <v>2.7999999999999998E-4</v>
      </c>
      <c r="AG52" s="23">
        <f t="shared" ref="AG52:AG54" si="493">AF52*M52</f>
        <v>4.1985999999999999</v>
      </c>
      <c r="AH52" s="92">
        <v>0.20469999999999999</v>
      </c>
      <c r="AI52" s="29">
        <f t="shared" ref="AI52:AI54" si="494">AL52*(1-AM52)*AH52</f>
        <v>35.922393599999999</v>
      </c>
      <c r="AJ52" s="27">
        <f t="shared" ref="AJ52:AJ54" si="495">IF(AND(AH52&gt;0,AF52&gt;0,AC52&gt;0),((AC52-AF52)*AH52)/((AH52-AF52)*AC52),0)</f>
        <v>0.89903997566195837</v>
      </c>
      <c r="AK52" s="58">
        <f t="shared" si="6"/>
        <v>0.90222311694942681</v>
      </c>
      <c r="AL52" s="11">
        <v>192</v>
      </c>
      <c r="AM52" s="13">
        <v>8.5999999999999993E-2</v>
      </c>
      <c r="AN52" s="14">
        <v>0.21790000000000001</v>
      </c>
      <c r="AO52" s="101">
        <v>0.22470000000000001</v>
      </c>
      <c r="AP52" s="29">
        <f>AL52*(1-AM52)*AN52</f>
        <v>38.238835200000004</v>
      </c>
      <c r="AQ52" s="102">
        <f t="shared" ref="AQ52" si="496">AL52*(1-AM52)*AO52</f>
        <v>39.432153599999999</v>
      </c>
      <c r="AR52" s="18">
        <v>1.58</v>
      </c>
      <c r="AS52" s="18">
        <v>1006.02</v>
      </c>
      <c r="AT52" s="79">
        <f>AT50+AL52-AS52</f>
        <v>1014.0199999999995</v>
      </c>
      <c r="AU52" s="80"/>
      <c r="AV52" s="11"/>
      <c r="AW52" s="30"/>
      <c r="AX52" s="19"/>
      <c r="AY52" s="19"/>
      <c r="AZ52" s="19"/>
      <c r="BA52" s="19"/>
    </row>
    <row r="53" spans="1:54">
      <c r="A53" s="148"/>
      <c r="B53" s="32">
        <v>2</v>
      </c>
      <c r="C53" s="10" t="s">
        <v>57</v>
      </c>
      <c r="D53" s="33">
        <v>18400</v>
      </c>
      <c r="E53" s="33">
        <v>7</v>
      </c>
      <c r="F53" s="33">
        <v>15515</v>
      </c>
      <c r="G53" s="34">
        <v>0.4</v>
      </c>
      <c r="H53" s="34">
        <v>5.5</v>
      </c>
      <c r="I53" s="33">
        <v>14718</v>
      </c>
      <c r="J53" s="34">
        <v>5.8</v>
      </c>
      <c r="K53" s="33">
        <v>15713</v>
      </c>
      <c r="L53" s="35">
        <v>5.8000000000000003E-2</v>
      </c>
      <c r="M53" s="36">
        <f>ROUND(K53*(1-L53),0)</f>
        <v>14802</v>
      </c>
      <c r="N53" s="37">
        <v>0.72299999999999998</v>
      </c>
      <c r="O53" s="24">
        <f t="shared" si="485"/>
        <v>10701.846</v>
      </c>
      <c r="P53" s="35">
        <v>0.248</v>
      </c>
      <c r="Q53" s="24">
        <f t="shared" si="486"/>
        <v>3670.8960000000002</v>
      </c>
      <c r="R53" s="38">
        <v>2.9000000000000001E-2</v>
      </c>
      <c r="S53" s="105"/>
      <c r="T53" s="24">
        <f t="shared" si="487"/>
        <v>429.25800000000004</v>
      </c>
      <c r="U53" s="27">
        <v>0.24199999999999999</v>
      </c>
      <c r="V53" s="24">
        <f t="shared" si="488"/>
        <v>3582.0839999999998</v>
      </c>
      <c r="W53" s="38">
        <v>0.47299999999999998</v>
      </c>
      <c r="X53" s="24">
        <f t="shared" si="489"/>
        <v>7001.3459999999995</v>
      </c>
      <c r="Y53" s="38">
        <v>0.42</v>
      </c>
      <c r="Z53" s="24">
        <f t="shared" si="490"/>
        <v>6216.84</v>
      </c>
      <c r="AA53" s="117">
        <v>2.5999999999999999E-3</v>
      </c>
      <c r="AB53" s="18">
        <f t="shared" si="147"/>
        <v>38.485199999999999</v>
      </c>
      <c r="AC53" s="39">
        <v>2.5799999999999998E-3</v>
      </c>
      <c r="AD53" s="17">
        <f t="shared" si="492"/>
        <v>38.189159999999994</v>
      </c>
      <c r="AE53" s="26">
        <f>IF(M53&gt;0,(AG53+AP53)/M53,0)</f>
        <v>2.6325124983110396E-3</v>
      </c>
      <c r="AF53" s="39">
        <v>2.9E-4</v>
      </c>
      <c r="AG53" s="36">
        <f t="shared" si="493"/>
        <v>4.2925800000000001</v>
      </c>
      <c r="AH53" s="27">
        <v>0.2064</v>
      </c>
      <c r="AI53" s="40">
        <f t="shared" si="494"/>
        <v>33.194280000000006</v>
      </c>
      <c r="AJ53" s="27">
        <f t="shared" si="495"/>
        <v>0.88884576197176279</v>
      </c>
      <c r="AK53" s="28">
        <f t="shared" si="6"/>
        <v>0.89103759947803207</v>
      </c>
      <c r="AL53" s="33">
        <v>175</v>
      </c>
      <c r="AM53" s="35">
        <v>8.1000000000000003E-2</v>
      </c>
      <c r="AN53" s="37">
        <v>0.21560000000000001</v>
      </c>
      <c r="AO53" s="103">
        <v>0.22259999999999999</v>
      </c>
      <c r="AP53" s="40">
        <f>AL53*(1-AM53)*AN53</f>
        <v>34.673870000000008</v>
      </c>
      <c r="AQ53" s="104">
        <f t="shared" si="152"/>
        <v>35.799645000000005</v>
      </c>
      <c r="AR53" s="41">
        <v>1.6</v>
      </c>
      <c r="AS53" s="41"/>
      <c r="AT53" s="129">
        <f>AT52+AL53-AS53</f>
        <v>1189.0199999999995</v>
      </c>
      <c r="AU53" s="82"/>
      <c r="AV53" s="42"/>
      <c r="AW53" s="43"/>
      <c r="AX53" s="44"/>
      <c r="AY53" s="44"/>
      <c r="AZ53" s="44"/>
      <c r="BA53" s="44"/>
    </row>
    <row r="54" spans="1:54">
      <c r="A54" s="148"/>
      <c r="B54" s="32">
        <v>3</v>
      </c>
      <c r="C54" s="10" t="s">
        <v>59</v>
      </c>
      <c r="D54" s="42">
        <v>19100</v>
      </c>
      <c r="E54" s="42">
        <v>2</v>
      </c>
      <c r="F54" s="42">
        <v>16770</v>
      </c>
      <c r="G54" s="36">
        <v>0.7</v>
      </c>
      <c r="H54" s="36">
        <v>6.7</v>
      </c>
      <c r="I54" s="42">
        <v>16996</v>
      </c>
      <c r="J54" s="36">
        <v>4.5</v>
      </c>
      <c r="K54" s="42">
        <v>15928</v>
      </c>
      <c r="L54" s="38">
        <v>6.0999999999999999E-2</v>
      </c>
      <c r="M54" s="36">
        <f>ROUND(K54*(1-L54),0)</f>
        <v>14956</v>
      </c>
      <c r="N54" s="27">
        <v>0.79900000000000004</v>
      </c>
      <c r="O54" s="24">
        <f t="shared" si="485"/>
        <v>11949.844000000001</v>
      </c>
      <c r="P54" s="38">
        <v>0.14699999999999999</v>
      </c>
      <c r="Q54" s="24">
        <f t="shared" si="486"/>
        <v>2198.5319999999997</v>
      </c>
      <c r="R54" s="38">
        <v>5.3999999999999999E-2</v>
      </c>
      <c r="S54" s="105"/>
      <c r="T54" s="24">
        <f t="shared" si="487"/>
        <v>807.62400000000002</v>
      </c>
      <c r="U54" s="27">
        <v>0.24199999999999999</v>
      </c>
      <c r="V54" s="24">
        <f t="shared" si="488"/>
        <v>3619.3519999999999</v>
      </c>
      <c r="W54" s="38">
        <v>0.47599999999999998</v>
      </c>
      <c r="X54" s="24">
        <f t="shared" si="489"/>
        <v>7119.0559999999996</v>
      </c>
      <c r="Y54" s="38">
        <v>0.43</v>
      </c>
      <c r="Z54" s="24">
        <f t="shared" si="490"/>
        <v>6431.08</v>
      </c>
      <c r="AA54" s="118">
        <v>2.65E-3</v>
      </c>
      <c r="AB54" s="121">
        <f t="shared" si="147"/>
        <v>39.633400000000002</v>
      </c>
      <c r="AC54" s="45">
        <v>2.66E-3</v>
      </c>
      <c r="AD54" s="17">
        <f t="shared" si="492"/>
        <v>39.782960000000003</v>
      </c>
      <c r="AE54" s="26">
        <f>IF(M54&gt;0,(AG54+AP54)/M54,0)</f>
        <v>3.114508558438085E-3</v>
      </c>
      <c r="AF54" s="45">
        <v>2.7999999999999998E-4</v>
      </c>
      <c r="AG54" s="36">
        <f t="shared" si="493"/>
        <v>4.1876799999999994</v>
      </c>
      <c r="AH54" s="27">
        <v>0.20669999999999999</v>
      </c>
      <c r="AI54" s="40">
        <f t="shared" si="494"/>
        <v>38.098323900000004</v>
      </c>
      <c r="AJ54" s="27">
        <f t="shared" si="495"/>
        <v>0.89595051479099852</v>
      </c>
      <c r="AK54" s="28">
        <f t="shared" si="6"/>
        <v>0.91120747213882891</v>
      </c>
      <c r="AL54" s="42">
        <v>201</v>
      </c>
      <c r="AM54" s="38">
        <v>8.3000000000000004E-2</v>
      </c>
      <c r="AN54" s="27">
        <v>0.23</v>
      </c>
      <c r="AO54" s="105">
        <v>0.2334</v>
      </c>
      <c r="AP54" s="40">
        <f>AL54*(1-AM54)*AN54</f>
        <v>42.392910000000001</v>
      </c>
      <c r="AQ54" s="106">
        <f t="shared" si="152"/>
        <v>43.019587800000004</v>
      </c>
      <c r="AR54" s="17">
        <v>1.6</v>
      </c>
      <c r="AS54" s="17"/>
      <c r="AT54" s="129">
        <f>AT53+AL54-AS54</f>
        <v>1390.0199999999995</v>
      </c>
      <c r="AU54" s="82"/>
      <c r="AV54" s="42"/>
      <c r="AW54" s="46"/>
      <c r="AX54" s="40"/>
      <c r="AY54" s="40"/>
      <c r="AZ54" s="40"/>
      <c r="BA54" s="40"/>
    </row>
    <row r="55" spans="1:54">
      <c r="A55" s="149"/>
      <c r="B55" s="47" t="s">
        <v>56</v>
      </c>
      <c r="C55" s="48"/>
      <c r="D55" s="49">
        <f t="shared" ref="D55" si="497">SUM(D52:D54)</f>
        <v>43184</v>
      </c>
      <c r="E55" s="49"/>
      <c r="F55" s="49">
        <f t="shared" ref="F55" si="498">SUM(F52:F54)</f>
        <v>41752</v>
      </c>
      <c r="G55" s="50"/>
      <c r="H55" s="50"/>
      <c r="I55" s="49">
        <f t="shared" ref="I55:K55" si="499">SUM(I52:I54)</f>
        <v>40899</v>
      </c>
      <c r="J55" s="50"/>
      <c r="K55" s="49">
        <f t="shared" si="499"/>
        <v>47509</v>
      </c>
      <c r="L55" s="20">
        <f t="shared" ref="L55" si="500">IF(K55&gt;0,(K52*L52+K53*L53+K54*L54)/K55,0)</f>
        <v>5.8003788755814689E-2</v>
      </c>
      <c r="M55" s="50">
        <f t="shared" ref="M55" si="501">M52+M53+M54</f>
        <v>44753</v>
      </c>
      <c r="N55" s="51">
        <f t="shared" ref="N55" si="502">IF(M55&gt;0,O55/M55,0)</f>
        <v>0.72159352445646108</v>
      </c>
      <c r="O55" s="52">
        <f t="shared" ref="O55" si="503">O52+O53+O54</f>
        <v>32293.475000000002</v>
      </c>
      <c r="P55" s="20">
        <f t="shared" ref="P55" si="504">IF(M55&gt;0,Q55/M55,0)</f>
        <v>0.22999470426563581</v>
      </c>
      <c r="Q55" s="52">
        <f t="shared" ref="Q55" si="505">Q52+Q53+Q54</f>
        <v>10292.953</v>
      </c>
      <c r="R55" s="20">
        <f t="shared" ref="R55" si="506">IF(M55&gt;0,T55/M55,0)</f>
        <v>4.8411771277903158E-2</v>
      </c>
      <c r="S55" s="107"/>
      <c r="T55" s="52">
        <f t="shared" ref="T55" si="507">T52+T53+T54</f>
        <v>2166.5720000000001</v>
      </c>
      <c r="U55" s="20">
        <f t="shared" ref="U55" si="508">IF(M55&gt;0,V55/M55,0)</f>
        <v>0.23898444796996851</v>
      </c>
      <c r="V55" s="52">
        <f t="shared" ref="V55" si="509">V52+V53+V54</f>
        <v>10695.271000000001</v>
      </c>
      <c r="W55" s="20">
        <f t="shared" ref="W55" si="510">IF(M55&gt;0,X55/M55,0)</f>
        <v>0.47869342837351686</v>
      </c>
      <c r="X55" s="52">
        <f t="shared" ref="X55" si="511">X52+X53+X54</f>
        <v>21422.967000000001</v>
      </c>
      <c r="Y55" s="20">
        <f t="shared" ref="Y55" si="512">IF(M55&gt;0,Z55/M55,0)</f>
        <v>0.40993944540030836</v>
      </c>
      <c r="Z55" s="52">
        <f t="shared" ref="Z55" si="513">Z52+Z53+Z54</f>
        <v>18346.02</v>
      </c>
      <c r="AA55" s="119">
        <f>IF(M55&gt;0,AB55/M55,0)</f>
        <v>2.6636180814693985E-3</v>
      </c>
      <c r="AB55" s="54">
        <f t="shared" ref="AB55" si="514">SUM(AB52:AB54)</f>
        <v>119.20489999999998</v>
      </c>
      <c r="AC55" s="53">
        <f t="shared" ref="AC55" si="515">IF(M55&gt;0,AD55/M55,0)</f>
        <v>2.6603450048041468E-3</v>
      </c>
      <c r="AD55" s="54">
        <f t="shared" ref="AD55" si="516">SUM(AD52:AD54)</f>
        <v>119.05841999999998</v>
      </c>
      <c r="AE55" s="53">
        <f t="shared" ref="AE55" si="517">IF(M55&gt;0,(AE52*M52+AE53*M53+AE54*M54)/M55,0)</f>
        <v>2.8597965544209332E-3</v>
      </c>
      <c r="AF55" s="53">
        <f t="shared" ref="AF55" si="518">IF(K55&gt;0,(K52*AF52+K53*AF53+K54*AF54)/K55,0)</f>
        <v>2.8330737333978823E-4</v>
      </c>
      <c r="AG55" s="50">
        <f t="shared" ref="AG55" si="519">SUM(AG52:AG54)</f>
        <v>12.67886</v>
      </c>
      <c r="AH55" s="51">
        <f t="shared" ref="AH55" si="520">IF(K55&gt;0,(K52*AH52+K53*AH53+K54*AH54)/K55,0)</f>
        <v>0.20593277905239007</v>
      </c>
      <c r="AI55" s="56">
        <f t="shared" ref="AI55" si="521">SUM(AI52:AI54)</f>
        <v>107.21499750000001</v>
      </c>
      <c r="AJ55" s="51">
        <f t="shared" ref="AJ55" si="522">IF(AND(AD55&gt;0),((AD52*AJ52+AD53*AJ53+AD54*AJ54)/AD55),0)</f>
        <v>0.8947377486045186</v>
      </c>
      <c r="AK55" s="55">
        <f t="shared" si="6"/>
        <v>0.90208982568463747</v>
      </c>
      <c r="AL55" s="49">
        <f t="shared" ref="AL55" si="523">SUM(AL52:AL54)</f>
        <v>568</v>
      </c>
      <c r="AM55" s="20">
        <f t="shared" ref="AM55" si="524">IF(AL55&gt;0,(AM52*AL52+AM53*AL53+AM54*AL54)/AL55,0)</f>
        <v>8.3397887323943667E-2</v>
      </c>
      <c r="AN55" s="51">
        <f>IF(K55&gt;0,(AN52*K52+AN53*K53+AN54*K54)/K55,0)</f>
        <v>0.22119598391883646</v>
      </c>
      <c r="AO55" s="107">
        <f>IF(L55&gt;0,(AO52*K52+AO53*K53+AO54*K54)/K55,0)</f>
        <v>0.22692223789176785</v>
      </c>
      <c r="AP55" s="56">
        <f t="shared" ref="AP55:AQ67" si="525">SUM(AP52:AP54)</f>
        <v>115.30561520000001</v>
      </c>
      <c r="AQ55" s="108">
        <f t="shared" si="525"/>
        <v>118.2513864</v>
      </c>
      <c r="AR55" s="54"/>
      <c r="AS55" s="54">
        <f t="shared" ref="AS55" si="526">SUM(AS52:AS54)</f>
        <v>1006.02</v>
      </c>
      <c r="AT55" s="83"/>
      <c r="AU55" s="84">
        <f>AT54</f>
        <v>1390.0199999999995</v>
      </c>
      <c r="AV55" s="49">
        <f t="shared" ref="AV55" si="527">SUM(AV52:AV54)</f>
        <v>0</v>
      </c>
      <c r="AW55" s="57"/>
      <c r="AX55" s="56"/>
      <c r="AY55" s="56"/>
      <c r="AZ55" s="56"/>
      <c r="BA55" s="56"/>
      <c r="BB55" s="21"/>
    </row>
    <row r="56" spans="1:54">
      <c r="A56" s="147">
        <v>14</v>
      </c>
      <c r="B56" s="22">
        <v>1</v>
      </c>
      <c r="C56" s="10" t="s">
        <v>53</v>
      </c>
      <c r="D56" s="11">
        <v>5621</v>
      </c>
      <c r="E56" s="11">
        <v>1</v>
      </c>
      <c r="F56" s="11">
        <v>16522</v>
      </c>
      <c r="G56" s="12">
        <v>0.4</v>
      </c>
      <c r="H56" s="12">
        <v>5.4</v>
      </c>
      <c r="I56" s="11">
        <v>16327</v>
      </c>
      <c r="J56" s="12">
        <v>5.2</v>
      </c>
      <c r="K56" s="11">
        <v>15844</v>
      </c>
      <c r="L56" s="13">
        <v>5.5E-2</v>
      </c>
      <c r="M56" s="23">
        <f>ROUND(K56*(1-L56),0)</f>
        <v>14973</v>
      </c>
      <c r="N56" s="14">
        <v>0.67500000000000004</v>
      </c>
      <c r="O56" s="24">
        <f t="shared" ref="O56:O58" si="528">M56*N56</f>
        <v>10106.775000000001</v>
      </c>
      <c r="P56" s="13">
        <v>0.28499999999999998</v>
      </c>
      <c r="Q56" s="24">
        <f t="shared" ref="Q56:Q58" si="529">M56*P56</f>
        <v>4267.3049999999994</v>
      </c>
      <c r="R56" s="15">
        <v>0.04</v>
      </c>
      <c r="S56" s="112"/>
      <c r="T56" s="24">
        <f t="shared" ref="T56:T58" si="530">M56*R56</f>
        <v>598.91999999999996</v>
      </c>
      <c r="U56" s="25">
        <v>0.23799999999999999</v>
      </c>
      <c r="V56" s="24">
        <f t="shared" ref="V56:V58" si="531">M56*U56</f>
        <v>3563.5739999999996</v>
      </c>
      <c r="W56" s="15">
        <v>0.46600000000000003</v>
      </c>
      <c r="X56" s="24">
        <f t="shared" ref="X56:X58" si="532">M56*W56</f>
        <v>6977.4180000000006</v>
      </c>
      <c r="Y56" s="15">
        <v>0.43</v>
      </c>
      <c r="Z56" s="24">
        <f t="shared" ref="Z56:Z58" si="533">Y56*M56</f>
        <v>6438.39</v>
      </c>
      <c r="AA56" s="116">
        <v>2.82E-3</v>
      </c>
      <c r="AB56" s="18">
        <f t="shared" ref="AB56" si="534">M56*AA56</f>
        <v>42.223860000000002</v>
      </c>
      <c r="AC56" s="16">
        <v>2.8300000000000001E-3</v>
      </c>
      <c r="AD56" s="17">
        <f t="shared" ref="AD56:AD58" si="535">M56*AC56</f>
        <v>42.37359</v>
      </c>
      <c r="AE56" s="26">
        <f>IF(M56&gt;0,(AG56+AP56)/M56,0)</f>
        <v>2.6746967541574833E-3</v>
      </c>
      <c r="AF56" s="16">
        <v>2.7E-4</v>
      </c>
      <c r="AG56" s="23">
        <f t="shared" ref="AG56:AG58" si="536">AF56*M56</f>
        <v>4.0427100000000005</v>
      </c>
      <c r="AH56" s="92">
        <v>0.20680000000000001</v>
      </c>
      <c r="AI56" s="29">
        <f t="shared" ref="AI56:AI58" si="537">AL56*(1-AM56)*AH56</f>
        <v>34.551937200000005</v>
      </c>
      <c r="AJ56" s="27">
        <f t="shared" ref="AJ56:AJ58" si="538">IF(AND(AH56&gt;0,AF56&gt;0,AC56&gt;0),((AC56-AF56)*AH56)/((AH56-AF56)*AC56),0)</f>
        <v>0.90577622943064429</v>
      </c>
      <c r="AK56" s="58">
        <f t="shared" si="6"/>
        <v>0.90018181502853956</v>
      </c>
      <c r="AL56" s="11">
        <v>183</v>
      </c>
      <c r="AM56" s="13">
        <v>8.6999999999999994E-2</v>
      </c>
      <c r="AN56" s="14">
        <v>0.2155</v>
      </c>
      <c r="AO56" s="101">
        <v>0.2263</v>
      </c>
      <c r="AP56" s="29">
        <f>AL56*(1-AM56)*AN56</f>
        <v>36.0055245</v>
      </c>
      <c r="AQ56" s="102">
        <f t="shared" ref="AQ56" si="539">AL56*(1-AM56)*AO56</f>
        <v>37.809977700000005</v>
      </c>
      <c r="AR56" s="18">
        <v>1.64</v>
      </c>
      <c r="AS56" s="18">
        <v>1005.56</v>
      </c>
      <c r="AT56" s="79">
        <f>AT54+AL56-AS56+AU56</f>
        <v>582.89999999999964</v>
      </c>
      <c r="AU56" s="80">
        <v>15.44</v>
      </c>
      <c r="AV56" s="11"/>
      <c r="AW56" s="30"/>
      <c r="AX56" s="19"/>
      <c r="AY56" s="19"/>
      <c r="AZ56" s="19"/>
      <c r="BA56" s="19"/>
    </row>
    <row r="57" spans="1:54">
      <c r="A57" s="148"/>
      <c r="B57" s="32">
        <v>2</v>
      </c>
      <c r="C57" s="10" t="s">
        <v>57</v>
      </c>
      <c r="D57" s="33">
        <v>21545</v>
      </c>
      <c r="E57" s="33">
        <v>6</v>
      </c>
      <c r="F57" s="33">
        <v>16672</v>
      </c>
      <c r="G57" s="34">
        <v>0.5</v>
      </c>
      <c r="H57" s="34">
        <v>5.4</v>
      </c>
      <c r="I57" s="33">
        <v>16296</v>
      </c>
      <c r="J57" s="34">
        <v>4.5999999999999996</v>
      </c>
      <c r="K57" s="33">
        <v>15920</v>
      </c>
      <c r="L57" s="35">
        <v>6.3E-2</v>
      </c>
      <c r="M57" s="36">
        <f>ROUND(K57*(1-L57),0)</f>
        <v>14917</v>
      </c>
      <c r="N57" s="37">
        <v>0.69699999999999995</v>
      </c>
      <c r="O57" s="24">
        <f t="shared" si="528"/>
        <v>10397.148999999999</v>
      </c>
      <c r="P57" s="35">
        <v>0.25800000000000001</v>
      </c>
      <c r="Q57" s="24">
        <f t="shared" si="529"/>
        <v>3848.5860000000002</v>
      </c>
      <c r="R57" s="38">
        <v>4.4999999999999998E-2</v>
      </c>
      <c r="S57" s="105"/>
      <c r="T57" s="24">
        <f t="shared" si="530"/>
        <v>671.26499999999999</v>
      </c>
      <c r="U57" s="27">
        <v>0.24199999999999999</v>
      </c>
      <c r="V57" s="24">
        <f t="shared" si="531"/>
        <v>3609.9139999999998</v>
      </c>
      <c r="W57" s="38">
        <v>0.47899999999999998</v>
      </c>
      <c r="X57" s="24">
        <f t="shared" si="532"/>
        <v>7145.2429999999995</v>
      </c>
      <c r="Y57" s="38">
        <v>0.44</v>
      </c>
      <c r="Z57" s="24">
        <f t="shared" si="533"/>
        <v>6563.4800000000005</v>
      </c>
      <c r="AA57" s="117">
        <v>2.7899999999999999E-3</v>
      </c>
      <c r="AB57" s="18">
        <f t="shared" si="147"/>
        <v>41.618429999999996</v>
      </c>
      <c r="AC57" s="39">
        <v>2.8500000000000001E-3</v>
      </c>
      <c r="AD57" s="17">
        <f t="shared" si="535"/>
        <v>42.513449999999999</v>
      </c>
      <c r="AE57" s="26">
        <f>IF(M57&gt;0,(AG57+AP57)/M57,0)</f>
        <v>3.0017447744184488E-3</v>
      </c>
      <c r="AF57" s="39">
        <v>2.7E-4</v>
      </c>
      <c r="AG57" s="36">
        <f t="shared" si="536"/>
        <v>4.02759</v>
      </c>
      <c r="AH57" s="27">
        <v>0.2049</v>
      </c>
      <c r="AI57" s="40">
        <f t="shared" si="537"/>
        <v>38.494972799999999</v>
      </c>
      <c r="AJ57" s="27">
        <f t="shared" si="538"/>
        <v>0.90645761155564475</v>
      </c>
      <c r="AK57" s="28">
        <f t="shared" si="6"/>
        <v>0.91118656994888569</v>
      </c>
      <c r="AL57" s="33">
        <v>206</v>
      </c>
      <c r="AM57" s="35">
        <v>8.7999999999999995E-2</v>
      </c>
      <c r="AN57" s="37">
        <v>0.21690000000000001</v>
      </c>
      <c r="AO57" s="103">
        <v>0.2235</v>
      </c>
      <c r="AP57" s="40">
        <f>AL57*(1-AM57)*AN57</f>
        <v>40.749436800000005</v>
      </c>
      <c r="AQ57" s="104">
        <f t="shared" si="152"/>
        <v>41.989392000000002</v>
      </c>
      <c r="AR57" s="41">
        <v>1.65</v>
      </c>
      <c r="AS57" s="41"/>
      <c r="AT57" s="129">
        <f>AT56+AL57-AS57</f>
        <v>788.89999999999964</v>
      </c>
      <c r="AU57" s="82"/>
      <c r="AV57" s="42"/>
      <c r="AW57" s="43"/>
      <c r="AX57" s="44"/>
      <c r="AY57" s="44"/>
      <c r="AZ57" s="44"/>
      <c r="BA57" s="44"/>
    </row>
    <row r="58" spans="1:54">
      <c r="A58" s="148"/>
      <c r="B58" s="32">
        <v>3</v>
      </c>
      <c r="C58" s="10" t="s">
        <v>59</v>
      </c>
      <c r="D58" s="42">
        <v>20400</v>
      </c>
      <c r="E58" s="42">
        <v>2</v>
      </c>
      <c r="F58" s="42">
        <v>17602</v>
      </c>
      <c r="G58" s="36">
        <v>0.3</v>
      </c>
      <c r="H58" s="36">
        <v>4.3</v>
      </c>
      <c r="I58" s="42">
        <v>17416</v>
      </c>
      <c r="J58" s="36">
        <v>4.2</v>
      </c>
      <c r="K58" s="42">
        <v>15878</v>
      </c>
      <c r="L58" s="38">
        <v>6.7000000000000004E-2</v>
      </c>
      <c r="M58" s="36">
        <f>ROUND(K58*(1-L58),0)</f>
        <v>14814</v>
      </c>
      <c r="N58" s="27">
        <v>0.76900000000000002</v>
      </c>
      <c r="O58" s="24">
        <f t="shared" si="528"/>
        <v>11391.966</v>
      </c>
      <c r="P58" s="38">
        <v>0.17399999999999999</v>
      </c>
      <c r="Q58" s="24">
        <f t="shared" si="529"/>
        <v>2577.636</v>
      </c>
      <c r="R58" s="38">
        <v>5.7000000000000002E-2</v>
      </c>
      <c r="S58" s="105"/>
      <c r="T58" s="24">
        <f t="shared" si="530"/>
        <v>844.39800000000002</v>
      </c>
      <c r="U58" s="27">
        <v>0.251</v>
      </c>
      <c r="V58" s="24">
        <f t="shared" si="531"/>
        <v>3718.3139999999999</v>
      </c>
      <c r="W58" s="38">
        <v>0.44900000000000001</v>
      </c>
      <c r="X58" s="24">
        <f t="shared" si="532"/>
        <v>6651.4859999999999</v>
      </c>
      <c r="Y58" s="38">
        <v>0.44</v>
      </c>
      <c r="Z58" s="24">
        <f t="shared" si="533"/>
        <v>6518.16</v>
      </c>
      <c r="AA58" s="118">
        <v>2.64E-3</v>
      </c>
      <c r="AB58" s="121">
        <f t="shared" si="147"/>
        <v>39.108960000000003</v>
      </c>
      <c r="AC58" s="45">
        <v>2.8700000000000002E-3</v>
      </c>
      <c r="AD58" s="17">
        <f t="shared" si="535"/>
        <v>42.516180000000006</v>
      </c>
      <c r="AE58" s="26">
        <f>IF(M58&gt;0,(AG58+AP58)/M58,0)</f>
        <v>2.9390293101120564E-3</v>
      </c>
      <c r="AF58" s="45">
        <v>2.7E-4</v>
      </c>
      <c r="AG58" s="36">
        <f t="shared" si="536"/>
        <v>3.9997799999999999</v>
      </c>
      <c r="AH58" s="27">
        <v>0.20419999999999999</v>
      </c>
      <c r="AI58" s="40">
        <f t="shared" si="537"/>
        <v>37.887676399999997</v>
      </c>
      <c r="AJ58" s="27">
        <f t="shared" si="538"/>
        <v>0.90712277270792696</v>
      </c>
      <c r="AK58" s="28">
        <f t="shared" si="6"/>
        <v>0.9092850077854493</v>
      </c>
      <c r="AL58" s="42">
        <v>203</v>
      </c>
      <c r="AM58" s="38">
        <v>8.5999999999999993E-2</v>
      </c>
      <c r="AN58" s="27">
        <v>0.21310000000000001</v>
      </c>
      <c r="AO58" s="105">
        <v>0.2155</v>
      </c>
      <c r="AP58" s="40">
        <f>AL58*(1-AM58)*AN58</f>
        <v>39.539000200000004</v>
      </c>
      <c r="AQ58" s="106">
        <f t="shared" si="152"/>
        <v>39.984301000000002</v>
      </c>
      <c r="AR58" s="17">
        <v>1.65</v>
      </c>
      <c r="AS58" s="17"/>
      <c r="AT58" s="129">
        <f>AT57+AL58-AS58</f>
        <v>991.89999999999964</v>
      </c>
      <c r="AU58" s="82"/>
      <c r="AV58" s="42"/>
      <c r="AW58" s="46"/>
      <c r="AX58" s="40"/>
      <c r="AY58" s="40"/>
      <c r="AZ58" s="40"/>
      <c r="BA58" s="40"/>
    </row>
    <row r="59" spans="1:54">
      <c r="A59" s="149"/>
      <c r="B59" s="47" t="s">
        <v>56</v>
      </c>
      <c r="C59" s="48"/>
      <c r="D59" s="49">
        <f t="shared" ref="D59" si="540">SUM(D56:D58)</f>
        <v>47566</v>
      </c>
      <c r="E59" s="49"/>
      <c r="F59" s="49">
        <f t="shared" ref="F59" si="541">SUM(F56:F58)</f>
        <v>50796</v>
      </c>
      <c r="G59" s="50"/>
      <c r="H59" s="50"/>
      <c r="I59" s="49">
        <f t="shared" ref="I59:K59" si="542">SUM(I56:I58)</f>
        <v>50039</v>
      </c>
      <c r="J59" s="50"/>
      <c r="K59" s="49">
        <f t="shared" si="542"/>
        <v>47642</v>
      </c>
      <c r="L59" s="20">
        <f t="shared" ref="L59" si="543">IF(K59&gt;0,(K56*L56+K57*L57+K58*L58)/K59,0)</f>
        <v>6.1672599806893082E-2</v>
      </c>
      <c r="M59" s="50">
        <f t="shared" ref="M59" si="544">M56+M57+M58</f>
        <v>44704</v>
      </c>
      <c r="N59" s="51">
        <f t="shared" ref="N59" si="545">IF(M59&gt;0,O59/M59,0)</f>
        <v>0.71349073908375094</v>
      </c>
      <c r="O59" s="52">
        <f t="shared" ref="O59" si="546">O56+O57+O58</f>
        <v>31895.89</v>
      </c>
      <c r="P59" s="20">
        <f t="shared" ref="P59" si="547">IF(M59&gt;0,Q59/M59,0)</f>
        <v>0.23920738636363637</v>
      </c>
      <c r="Q59" s="52">
        <f t="shared" ref="Q59" si="548">Q56+Q57+Q58</f>
        <v>10693.527</v>
      </c>
      <c r="R59" s="20">
        <f t="shared" ref="R59" si="549">IF(M59&gt;0,T59/M59,0)</f>
        <v>4.7301874552612741E-2</v>
      </c>
      <c r="S59" s="107"/>
      <c r="T59" s="52">
        <f t="shared" ref="T59" si="550">T56+T57+T58</f>
        <v>2114.5830000000001</v>
      </c>
      <c r="U59" s="20">
        <f t="shared" ref="U59" si="551">IF(M59&gt;0,V59/M59,0)</f>
        <v>0.24364267179670723</v>
      </c>
      <c r="V59" s="52">
        <f t="shared" ref="V59" si="552">V56+V57+V58</f>
        <v>10891.802</v>
      </c>
      <c r="W59" s="20">
        <f t="shared" ref="W59" si="553">IF(M59&gt;0,X59/M59,0)</f>
        <v>0.46470443360773089</v>
      </c>
      <c r="X59" s="52">
        <f t="shared" ref="X59" si="554">X56+X57+X58</f>
        <v>20774.147000000001</v>
      </c>
      <c r="Y59" s="20">
        <f t="shared" ref="Y59" si="555">IF(M59&gt;0,Z59/M59,0)</f>
        <v>0.43665063528990694</v>
      </c>
      <c r="Z59" s="52">
        <f t="shared" ref="Z59" si="556">Z56+Z57+Z58</f>
        <v>19520.03</v>
      </c>
      <c r="AA59" s="119">
        <f>IF(M59&gt;0,AB59/M59,0)</f>
        <v>2.750341132784538E-3</v>
      </c>
      <c r="AB59" s="54">
        <f t="shared" ref="AB59" si="557">SUM(AB56:AB58)</f>
        <v>122.95124999999999</v>
      </c>
      <c r="AC59" s="53">
        <f t="shared" ref="AC59" si="558">IF(M59&gt;0,AD59/M59,0)</f>
        <v>2.8499288654259126E-3</v>
      </c>
      <c r="AD59" s="54">
        <f t="shared" ref="AD59" si="559">SUM(AD56:AD58)</f>
        <v>127.40322</v>
      </c>
      <c r="AE59" s="53">
        <f t="shared" ref="AE59" si="560">IF(M59&gt;0,(AE56*M56+AE57*M57+AE58*M58)/M59,0)</f>
        <v>2.8714218302612737E-3</v>
      </c>
      <c r="AF59" s="53">
        <f t="shared" ref="AF59" si="561">IF(K59&gt;0,(K56*AF56+K57*AF57+K58*AF58)/K59,0)</f>
        <v>2.7E-4</v>
      </c>
      <c r="AG59" s="50">
        <f t="shared" ref="AG59" si="562">SUM(AG56:AG58)</f>
        <v>12.070079999999999</v>
      </c>
      <c r="AH59" s="51">
        <f t="shared" ref="AH59" si="563">IF(K59&gt;0,(K56*AH56+K57*AH57+K58*AH58)/K59,0)</f>
        <v>0.205298576885941</v>
      </c>
      <c r="AI59" s="56">
        <f t="shared" ref="AI59" si="564">SUM(AI56:AI58)</f>
        <v>110.9345864</v>
      </c>
      <c r="AJ59" s="51">
        <f t="shared" ref="AJ59" si="565">IF(AND(AD59&gt;0),((AD56*AJ56+AD57*AJ57+AD58*AJ58)/AD59),0)</f>
        <v>0.90645296100192518</v>
      </c>
      <c r="AK59" s="55">
        <f t="shared" si="6"/>
        <v>0.90710819842469226</v>
      </c>
      <c r="AL59" s="49">
        <f t="shared" ref="AL59" si="566">SUM(AL56:AL58)</f>
        <v>592</v>
      </c>
      <c r="AM59" s="20">
        <f t="shared" ref="AM59" si="567">IF(AL59&gt;0,(AM56*AL56+AM57*AL57+AM58*AL58)/AL59,0)</f>
        <v>8.7005067567567568E-2</v>
      </c>
      <c r="AN59" s="51">
        <f>IF(K59&gt;0,(AN56*K56+AN57*K57+AN58*K58)/K59,0)</f>
        <v>0.21516795684480081</v>
      </c>
      <c r="AO59" s="107">
        <f>IF(L59&gt;0,(AO56*K56+AO57*K57+AO58*K58)/K59,0)</f>
        <v>0.22176495948952604</v>
      </c>
      <c r="AP59" s="56">
        <f t="shared" ref="AP59" si="568">SUM(AP56:AP58)</f>
        <v>116.29396150000001</v>
      </c>
      <c r="AQ59" s="108">
        <f t="shared" si="525"/>
        <v>119.7836707</v>
      </c>
      <c r="AR59" s="54"/>
      <c r="AS59" s="54">
        <f t="shared" ref="AS59" si="569">SUM(AS56:AS58)</f>
        <v>1005.56</v>
      </c>
      <c r="AT59" s="83"/>
      <c r="AU59" s="84">
        <f>AT58</f>
        <v>991.89999999999964</v>
      </c>
      <c r="AV59" s="49">
        <f t="shared" ref="AV59" si="570">SUM(AV56:AV58)</f>
        <v>0</v>
      </c>
      <c r="AW59" s="57"/>
      <c r="AX59" s="56"/>
      <c r="AY59" s="56"/>
      <c r="AZ59" s="56"/>
      <c r="BA59" s="56"/>
      <c r="BB59" s="21"/>
    </row>
    <row r="60" spans="1:54">
      <c r="A60" s="147">
        <v>15</v>
      </c>
      <c r="B60" s="22">
        <v>1</v>
      </c>
      <c r="C60" s="10" t="s">
        <v>53</v>
      </c>
      <c r="D60" s="11">
        <v>5603</v>
      </c>
      <c r="E60" s="11">
        <v>1</v>
      </c>
      <c r="F60" s="11">
        <v>13730</v>
      </c>
      <c r="G60" s="12">
        <v>0.8</v>
      </c>
      <c r="H60" s="12">
        <v>5.4</v>
      </c>
      <c r="I60" s="11">
        <v>14257</v>
      </c>
      <c r="J60" s="12">
        <v>4.5999999999999996</v>
      </c>
      <c r="K60" s="11">
        <v>15676</v>
      </c>
      <c r="L60" s="13">
        <v>4.8000000000000001E-2</v>
      </c>
      <c r="M60" s="23">
        <f>ROUND(K60*(1-L60),0)</f>
        <v>14924</v>
      </c>
      <c r="N60" s="14">
        <v>0.66800000000000004</v>
      </c>
      <c r="O60" s="24">
        <f t="shared" ref="O60:O62" si="571">M60*N60</f>
        <v>9969.232</v>
      </c>
      <c r="P60" s="13">
        <v>0.28899999999999998</v>
      </c>
      <c r="Q60" s="24">
        <f t="shared" ref="Q60:Q62" si="572">M60*P60</f>
        <v>4313.0360000000001</v>
      </c>
      <c r="R60" s="15">
        <v>4.2999999999999997E-2</v>
      </c>
      <c r="S60" s="112"/>
      <c r="T60" s="24">
        <f t="shared" ref="T60:T62" si="573">M60*R60</f>
        <v>641.73199999999997</v>
      </c>
      <c r="U60" s="25">
        <v>0.23599999999999999</v>
      </c>
      <c r="V60" s="24">
        <f t="shared" ref="V60:V62" si="574">M60*U60</f>
        <v>3522.0639999999999</v>
      </c>
      <c r="W60" s="15">
        <v>0.48</v>
      </c>
      <c r="X60" s="24">
        <f t="shared" ref="X60:X62" si="575">M60*W60</f>
        <v>7163.5199999999995</v>
      </c>
      <c r="Y60" s="15">
        <v>0.43</v>
      </c>
      <c r="Z60" s="24">
        <f t="shared" ref="Z60:Z62" si="576">Y60*M60</f>
        <v>6417.32</v>
      </c>
      <c r="AA60" s="116">
        <v>2.8900000000000002E-3</v>
      </c>
      <c r="AB60" s="18">
        <f t="shared" ref="AB60" si="577">M60*AA60</f>
        <v>43.130360000000003</v>
      </c>
      <c r="AC60" s="16">
        <v>3.0899999999999999E-3</v>
      </c>
      <c r="AD60" s="17">
        <f t="shared" ref="AD60:AD62" si="578">M60*AC60</f>
        <v>46.115159999999996</v>
      </c>
      <c r="AE60" s="26">
        <f>IF(M60&gt;0,(AG60+AP60)/M60,0)</f>
        <v>2.8065953832752612E-3</v>
      </c>
      <c r="AF60" s="16">
        <v>2.7E-4</v>
      </c>
      <c r="AG60" s="23">
        <f t="shared" ref="AG60:AG62" si="579">AF60*M60</f>
        <v>4.0294800000000004</v>
      </c>
      <c r="AH60" s="92">
        <v>0.2054</v>
      </c>
      <c r="AI60" s="29">
        <f t="shared" ref="AI60:AI62" si="580">AL60*(1-AM60)*AH60</f>
        <v>36.488283000000003</v>
      </c>
      <c r="AJ60" s="27">
        <f t="shared" ref="AJ60:AJ62" si="581">IF(AND(AH60&gt;0,AF60&gt;0,AC60&gt;0),((AC60-AF60)*AH60)/((AH60-AF60)*AC60),0)</f>
        <v>0.91382258657663928</v>
      </c>
      <c r="AK60" s="58">
        <f t="shared" si="6"/>
        <v>0.90494460631637508</v>
      </c>
      <c r="AL60" s="11">
        <v>195</v>
      </c>
      <c r="AM60" s="13">
        <v>8.8999999999999996E-2</v>
      </c>
      <c r="AN60" s="14">
        <v>0.21310000000000001</v>
      </c>
      <c r="AO60" s="101">
        <v>0.21779999999999999</v>
      </c>
      <c r="AP60" s="29">
        <f>AL60*(1-AM60)*AN60</f>
        <v>37.856149500000001</v>
      </c>
      <c r="AQ60" s="102">
        <f t="shared" ref="AQ60" si="582">AL60*(1-AM60)*AO60</f>
        <v>38.691081000000004</v>
      </c>
      <c r="AR60" s="18">
        <v>1.6</v>
      </c>
      <c r="AS60" s="18">
        <v>509.64</v>
      </c>
      <c r="AT60" s="79">
        <f>AT58+AL60-AS60</f>
        <v>677.25999999999965</v>
      </c>
      <c r="AU60" s="80"/>
      <c r="AV60" s="11"/>
      <c r="AW60" s="30"/>
      <c r="AX60" s="19"/>
      <c r="AY60" s="19"/>
      <c r="AZ60" s="19"/>
      <c r="BA60" s="19"/>
    </row>
    <row r="61" spans="1:54">
      <c r="A61" s="148"/>
      <c r="B61" s="32">
        <v>2</v>
      </c>
      <c r="C61" s="10" t="s">
        <v>54</v>
      </c>
      <c r="D61" s="33">
        <v>16297</v>
      </c>
      <c r="E61" s="33">
        <v>11</v>
      </c>
      <c r="F61" s="33">
        <v>17859</v>
      </c>
      <c r="G61" s="34">
        <v>0.5</v>
      </c>
      <c r="H61" s="34">
        <v>5</v>
      </c>
      <c r="I61" s="33">
        <v>17140</v>
      </c>
      <c r="J61" s="34">
        <v>4.2</v>
      </c>
      <c r="K61" s="33">
        <v>15563</v>
      </c>
      <c r="L61" s="35">
        <v>5.7000000000000002E-2</v>
      </c>
      <c r="M61" s="36">
        <f>ROUND(K61*(1-L61),0)</f>
        <v>14676</v>
      </c>
      <c r="N61" s="37">
        <v>0.76</v>
      </c>
      <c r="O61" s="24">
        <f t="shared" si="571"/>
        <v>11153.76</v>
      </c>
      <c r="P61" s="35">
        <v>0.184</v>
      </c>
      <c r="Q61" s="24">
        <f t="shared" si="572"/>
        <v>2700.384</v>
      </c>
      <c r="R61" s="38">
        <v>5.6000000000000001E-2</v>
      </c>
      <c r="S61" s="105"/>
      <c r="T61" s="24">
        <f t="shared" si="573"/>
        <v>821.85599999999999</v>
      </c>
      <c r="U61" s="27">
        <v>0.23300000000000001</v>
      </c>
      <c r="V61" s="24">
        <f t="shared" si="574"/>
        <v>3419.5080000000003</v>
      </c>
      <c r="W61" s="38">
        <v>0.48699999999999999</v>
      </c>
      <c r="X61" s="24">
        <f t="shared" si="575"/>
        <v>7147.2119999999995</v>
      </c>
      <c r="Y61" s="38">
        <v>0.43</v>
      </c>
      <c r="Z61" s="24">
        <f t="shared" si="576"/>
        <v>6310.68</v>
      </c>
      <c r="AA61" s="117">
        <v>2.96E-3</v>
      </c>
      <c r="AB61" s="18">
        <f t="shared" si="147"/>
        <v>43.440959999999997</v>
      </c>
      <c r="AC61" s="39">
        <v>2.98E-3</v>
      </c>
      <c r="AD61" s="17">
        <f t="shared" si="578"/>
        <v>43.734479999999998</v>
      </c>
      <c r="AE61" s="26">
        <f>IF(M61&gt;0,(AG61+AP61)/M61,0)</f>
        <v>2.814738695829926E-3</v>
      </c>
      <c r="AF61" s="39">
        <v>2.7999999999999998E-4</v>
      </c>
      <c r="AG61" s="36">
        <f t="shared" si="579"/>
        <v>4.10928</v>
      </c>
      <c r="AH61" s="27">
        <v>0.2009</v>
      </c>
      <c r="AI61" s="40">
        <f t="shared" si="580"/>
        <v>37.801946700000002</v>
      </c>
      <c r="AJ61" s="27">
        <f t="shared" si="581"/>
        <v>0.9073048047696437</v>
      </c>
      <c r="AK61" s="28">
        <f t="shared" si="6"/>
        <v>0.90180083479546136</v>
      </c>
      <c r="AL61" s="33">
        <v>207</v>
      </c>
      <c r="AM61" s="35">
        <v>9.0999999999999998E-2</v>
      </c>
      <c r="AN61" s="37">
        <v>0.19769999999999999</v>
      </c>
      <c r="AO61" s="103">
        <v>0.1978</v>
      </c>
      <c r="AP61" s="40">
        <f>AL61*(1-AM61)*AN61</f>
        <v>37.199825099999998</v>
      </c>
      <c r="AQ61" s="104">
        <f t="shared" si="152"/>
        <v>37.218641400000003</v>
      </c>
      <c r="AR61" s="41">
        <v>1.6</v>
      </c>
      <c r="AS61" s="41"/>
      <c r="AT61" s="129">
        <f>AT60+AL61-AS61</f>
        <v>884.25999999999965</v>
      </c>
      <c r="AU61" s="82"/>
      <c r="AV61" s="42"/>
      <c r="AW61" s="43"/>
      <c r="AX61" s="44"/>
      <c r="AY61" s="44"/>
      <c r="AZ61" s="44"/>
      <c r="BA61" s="44"/>
    </row>
    <row r="62" spans="1:54">
      <c r="A62" s="148"/>
      <c r="B62" s="32">
        <v>3</v>
      </c>
      <c r="C62" s="10" t="s">
        <v>59</v>
      </c>
      <c r="D62" s="42">
        <v>14500</v>
      </c>
      <c r="E62" s="42">
        <v>11</v>
      </c>
      <c r="F62" s="42">
        <v>19579</v>
      </c>
      <c r="G62" s="36">
        <v>0.7</v>
      </c>
      <c r="H62" s="36">
        <v>5.0999999999999996</v>
      </c>
      <c r="I62" s="42">
        <v>19376</v>
      </c>
      <c r="J62" s="36">
        <v>2.4</v>
      </c>
      <c r="K62" s="42">
        <v>15612</v>
      </c>
      <c r="L62" s="38">
        <v>5.8000000000000003E-2</v>
      </c>
      <c r="M62" s="36">
        <f>ROUND(K62*(1-L62),0)</f>
        <v>14707</v>
      </c>
      <c r="N62" s="27">
        <v>0.77200000000000002</v>
      </c>
      <c r="O62" s="24">
        <f t="shared" si="571"/>
        <v>11353.804</v>
      </c>
      <c r="P62" s="38">
        <v>0.186</v>
      </c>
      <c r="Q62" s="24">
        <f t="shared" si="572"/>
        <v>2735.502</v>
      </c>
      <c r="R62" s="38">
        <v>4.2000000000000003E-2</v>
      </c>
      <c r="S62" s="105"/>
      <c r="T62" s="24">
        <f t="shared" si="573"/>
        <v>617.69400000000007</v>
      </c>
      <c r="U62" s="27">
        <v>0.24099999999999999</v>
      </c>
      <c r="V62" s="24">
        <f t="shared" si="574"/>
        <v>3544.3869999999997</v>
      </c>
      <c r="W62" s="38">
        <v>0.46</v>
      </c>
      <c r="X62" s="24">
        <f t="shared" si="575"/>
        <v>6765.22</v>
      </c>
      <c r="Y62" s="38">
        <v>0.44</v>
      </c>
      <c r="Z62" s="24">
        <f t="shared" si="576"/>
        <v>6471.08</v>
      </c>
      <c r="AA62" s="118">
        <v>2.7299999999999998E-3</v>
      </c>
      <c r="AB62" s="121">
        <f t="shared" si="147"/>
        <v>40.150109999999998</v>
      </c>
      <c r="AC62" s="45">
        <v>2.8999999999999998E-3</v>
      </c>
      <c r="AD62" s="17">
        <f t="shared" si="578"/>
        <v>42.650299999999994</v>
      </c>
      <c r="AE62" s="26">
        <f>IF(M62&gt;0,(AG62+AP62)/M62,0)</f>
        <v>2.9328714489698783E-3</v>
      </c>
      <c r="AF62" s="45">
        <v>2.9E-4</v>
      </c>
      <c r="AG62" s="36">
        <f t="shared" si="579"/>
        <v>4.2650300000000003</v>
      </c>
      <c r="AH62" s="27">
        <v>0.2036</v>
      </c>
      <c r="AI62" s="40">
        <f t="shared" si="580"/>
        <v>38.622105599999998</v>
      </c>
      <c r="AJ62" s="27">
        <f t="shared" si="581"/>
        <v>0.90128375387339543</v>
      </c>
      <c r="AK62" s="28">
        <f t="shared" si="6"/>
        <v>0.90239798007316829</v>
      </c>
      <c r="AL62" s="42">
        <v>208</v>
      </c>
      <c r="AM62" s="38">
        <v>8.7999999999999995E-2</v>
      </c>
      <c r="AN62" s="27">
        <v>0.2049</v>
      </c>
      <c r="AO62" s="105">
        <v>0.20280000000000001</v>
      </c>
      <c r="AP62" s="40">
        <f>AL62*(1-AM62)*AN62</f>
        <v>38.868710399999998</v>
      </c>
      <c r="AQ62" s="106">
        <f t="shared" si="152"/>
        <v>38.470348800000004</v>
      </c>
      <c r="AR62" s="17">
        <v>1.65</v>
      </c>
      <c r="AS62" s="17"/>
      <c r="AT62" s="129">
        <f>AT61+AL62-AS62</f>
        <v>1092.2599999999998</v>
      </c>
      <c r="AU62" s="82"/>
      <c r="AV62" s="42"/>
      <c r="AW62" s="46"/>
      <c r="AX62" s="40"/>
      <c r="AY62" s="40"/>
      <c r="AZ62" s="40"/>
      <c r="BA62" s="40"/>
    </row>
    <row r="63" spans="1:54">
      <c r="A63" s="149"/>
      <c r="B63" s="47" t="s">
        <v>56</v>
      </c>
      <c r="C63" s="48"/>
      <c r="D63" s="49">
        <f t="shared" ref="D63" si="583">SUM(D60:D62)</f>
        <v>36400</v>
      </c>
      <c r="E63" s="49"/>
      <c r="F63" s="49">
        <f t="shared" ref="F63" si="584">SUM(F60:F62)</f>
        <v>51168</v>
      </c>
      <c r="G63" s="50"/>
      <c r="H63" s="50"/>
      <c r="I63" s="49">
        <f t="shared" ref="I63:K63" si="585">SUM(I60:I62)</f>
        <v>50773</v>
      </c>
      <c r="J63" s="50"/>
      <c r="K63" s="49">
        <f t="shared" si="585"/>
        <v>46851</v>
      </c>
      <c r="L63" s="20">
        <f t="shared" ref="L63" si="586">IF(K63&gt;0,(K60*L60+K61*L61+K62*L62)/K63,0)</f>
        <v>5.4321892809118262E-2</v>
      </c>
      <c r="M63" s="50">
        <f t="shared" ref="M63" si="587">M60+M61+M62</f>
        <v>44307</v>
      </c>
      <c r="N63" s="51">
        <f t="shared" ref="N63" si="588">IF(M63&gt;0,O63/M63,0)</f>
        <v>0.73299469609768209</v>
      </c>
      <c r="O63" s="52">
        <f t="shared" ref="O63" si="589">O60+O61+O62</f>
        <v>32476.795999999998</v>
      </c>
      <c r="P63" s="20">
        <f t="shared" ref="P63" si="590">IF(M63&gt;0,Q63/M63,0)</f>
        <v>0.2200311914595888</v>
      </c>
      <c r="Q63" s="52">
        <f t="shared" ref="Q63" si="591">Q60+Q61+Q62</f>
        <v>9748.9220000000005</v>
      </c>
      <c r="R63" s="20">
        <f t="shared" ref="R63" si="592">IF(M63&gt;0,T63/M63,0)</f>
        <v>4.6974112442729143E-2</v>
      </c>
      <c r="S63" s="107"/>
      <c r="T63" s="52">
        <f t="shared" ref="T63" si="593">T60+T61+T62</f>
        <v>2081.2820000000002</v>
      </c>
      <c r="U63" s="20">
        <f t="shared" ref="U63" si="594">IF(M63&gt;0,V63/M63,0)</f>
        <v>0.23666596700295661</v>
      </c>
      <c r="V63" s="52">
        <f t="shared" ref="V63" si="595">V60+V61+V62</f>
        <v>10485.958999999999</v>
      </c>
      <c r="W63" s="20">
        <f t="shared" ref="W63" si="596">IF(M63&gt;0,X63/M63,0)</f>
        <v>0.47567996027715714</v>
      </c>
      <c r="X63" s="52">
        <f t="shared" ref="X63" si="597">X60+X61+X62</f>
        <v>21075.952000000001</v>
      </c>
      <c r="Y63" s="20">
        <f t="shared" ref="Y63" si="598">IF(M63&gt;0,Z63/M63,0)</f>
        <v>0.43331934005913292</v>
      </c>
      <c r="Z63" s="52">
        <f t="shared" ref="Z63" si="599">Z60+Z61+Z62</f>
        <v>19199.080000000002</v>
      </c>
      <c r="AA63" s="119">
        <f>IF(M63&gt;0,AB63/M63,0)</f>
        <v>2.8600769630081025E-3</v>
      </c>
      <c r="AB63" s="54">
        <f t="shared" ref="AB63" si="600">SUM(AB60:AB62)</f>
        <v>126.72143</v>
      </c>
      <c r="AC63" s="53">
        <f t="shared" ref="AC63" si="601">IF(M63&gt;0,AD63/M63,0)</f>
        <v>2.9904967612341161E-3</v>
      </c>
      <c r="AD63" s="54">
        <f t="shared" ref="AD63" si="602">SUM(AD60:AD62)</f>
        <v>132.49993999999998</v>
      </c>
      <c r="AE63" s="53">
        <f t="shared" ref="AE63" si="603">IF(M63&gt;0,(AE60*M60+AE61*M61+AE62*M62)/M63,0)</f>
        <v>2.8512080483896448E-3</v>
      </c>
      <c r="AF63" s="53">
        <f t="shared" ref="AF63" si="604">IF(K63&gt;0,(K60*AF60+K61*AF61+K62*AF62)/K63,0)</f>
        <v>2.7998633967257904E-4</v>
      </c>
      <c r="AG63" s="50">
        <f t="shared" ref="AG63" si="605">SUM(AG60:AG62)</f>
        <v>12.403790000000001</v>
      </c>
      <c r="AH63" s="51">
        <f t="shared" ref="AH63" si="606">IF(K63&gt;0,(K60*AH60+K61*AH61+K62*AH62)/K63,0)</f>
        <v>0.20330537875392199</v>
      </c>
      <c r="AI63" s="56">
        <f t="shared" ref="AI63" si="607">SUM(AI60:AI62)</f>
        <v>112.9123353</v>
      </c>
      <c r="AJ63" s="51">
        <f t="shared" ref="AJ63" si="608">IF(AND(AD63&gt;0),((AD60*AJ60+AD61*AJ61+AD62*AJ62)/AD63),0)</f>
        <v>0.90763513641986515</v>
      </c>
      <c r="AK63" s="55">
        <f t="shared" si="6"/>
        <v>0.90303263966008729</v>
      </c>
      <c r="AL63" s="49">
        <f t="shared" ref="AL63" si="609">SUM(AL60:AL62)</f>
        <v>610</v>
      </c>
      <c r="AM63" s="20">
        <f t="shared" ref="AM63" si="610">IF(AL63&gt;0,(AM60*AL60+AM61*AL61+AM62*AL62)/AL63,0)</f>
        <v>8.9337704918032779E-2</v>
      </c>
      <c r="AN63" s="51">
        <f>IF(K63&gt;0,(AN60*K60+AN61*K61+AN62*K62)/K63,0)</f>
        <v>0.20525195833600138</v>
      </c>
      <c r="AO63" s="107">
        <f>IF(L63&gt;0,(AO60*K60+AO61*K61+AO62*K62)/K63,0)</f>
        <v>0.20615798595547588</v>
      </c>
      <c r="AP63" s="56">
        <f t="shared" ref="AP63" si="611">SUM(AP60:AP62)</f>
        <v>113.924685</v>
      </c>
      <c r="AQ63" s="108">
        <f t="shared" si="525"/>
        <v>114.3800712</v>
      </c>
      <c r="AR63" s="54"/>
      <c r="AS63" s="54">
        <f t="shared" ref="AS63" si="612">SUM(AS60:AS62)</f>
        <v>509.64</v>
      </c>
      <c r="AT63" s="83"/>
      <c r="AU63" s="84">
        <f>AT62</f>
        <v>1092.2599999999998</v>
      </c>
      <c r="AV63" s="49">
        <f t="shared" ref="AV63" si="613">SUM(AV60:AV62)</f>
        <v>0</v>
      </c>
      <c r="AW63" s="57"/>
      <c r="AX63" s="56"/>
      <c r="AY63" s="56"/>
      <c r="AZ63" s="56"/>
      <c r="BA63" s="56"/>
      <c r="BB63" s="21"/>
    </row>
    <row r="64" spans="1:54">
      <c r="A64" s="147">
        <v>16</v>
      </c>
      <c r="B64" s="22">
        <v>1</v>
      </c>
      <c r="C64" s="10" t="s">
        <v>53</v>
      </c>
      <c r="D64" s="11">
        <v>6434</v>
      </c>
      <c r="E64" s="11">
        <v>10</v>
      </c>
      <c r="F64" s="11">
        <v>9791</v>
      </c>
      <c r="G64" s="12">
        <v>1.3</v>
      </c>
      <c r="H64" s="12">
        <v>5.6</v>
      </c>
      <c r="I64" s="11">
        <v>10906</v>
      </c>
      <c r="J64" s="12">
        <v>4.9000000000000004</v>
      </c>
      <c r="K64" s="11">
        <v>15295</v>
      </c>
      <c r="L64" s="13">
        <v>4.3999999999999997E-2</v>
      </c>
      <c r="M64" s="23">
        <f>ROUND(K64*(1-L64),0)</f>
        <v>14622</v>
      </c>
      <c r="N64" s="14">
        <v>0.79800000000000004</v>
      </c>
      <c r="O64" s="24">
        <f t="shared" ref="O64:O66" si="614">M64*N64</f>
        <v>11668.356</v>
      </c>
      <c r="P64" s="13">
        <v>0.182</v>
      </c>
      <c r="Q64" s="24">
        <f t="shared" ref="Q64:Q66" si="615">M64*P64</f>
        <v>2661.2039999999997</v>
      </c>
      <c r="R64" s="15">
        <v>0.02</v>
      </c>
      <c r="S64" s="112"/>
      <c r="T64" s="24">
        <f t="shared" ref="T64:T66" si="616">M64*R64</f>
        <v>292.44</v>
      </c>
      <c r="U64" s="25">
        <v>0.255</v>
      </c>
      <c r="V64" s="24">
        <f t="shared" ref="V64:V66" si="617">M64*U64</f>
        <v>3728.61</v>
      </c>
      <c r="W64" s="15">
        <v>0.48099999999999998</v>
      </c>
      <c r="X64" s="24">
        <f t="shared" ref="X64:X66" si="618">M64*W64</f>
        <v>7033.1819999999998</v>
      </c>
      <c r="Y64" s="15">
        <v>0.45</v>
      </c>
      <c r="Z64" s="24">
        <f t="shared" ref="Z64:Z66" si="619">Y64*M64</f>
        <v>6579.9000000000005</v>
      </c>
      <c r="AA64" s="116">
        <v>2.65E-3</v>
      </c>
      <c r="AB64" s="18">
        <f t="shared" ref="AB64" si="620">M64*AA64</f>
        <v>38.7483</v>
      </c>
      <c r="AC64" s="16">
        <v>2.8E-3</v>
      </c>
      <c r="AD64" s="17">
        <f t="shared" ref="AD64:AD66" si="621">M64*AC64</f>
        <v>40.941600000000001</v>
      </c>
      <c r="AE64" s="26">
        <f>IF(M64&gt;0,(AG64+AP64)/M64,0)</f>
        <v>2.5224490220216111E-3</v>
      </c>
      <c r="AF64" s="16">
        <v>2.9E-4</v>
      </c>
      <c r="AG64" s="23">
        <f t="shared" ref="AG64:AG66" si="622">AF64*M64</f>
        <v>4.24038</v>
      </c>
      <c r="AH64" s="92">
        <v>0.1976</v>
      </c>
      <c r="AI64" s="29">
        <f t="shared" ref="AI64:AI66" si="623">AL64*(1-AM64)*AH64</f>
        <v>32.758918399999999</v>
      </c>
      <c r="AJ64" s="27">
        <f t="shared" ref="AJ64:AJ66" si="624">IF(AND(AH64&gt;0,AF64&gt;0,AC64&gt;0),((AC64-AF64)*AH64)/((AH64-AF64)*AC64),0)</f>
        <v>0.89774611380206637</v>
      </c>
      <c r="AK64" s="58">
        <f t="shared" si="6"/>
        <v>0.88633778825624776</v>
      </c>
      <c r="AL64" s="11">
        <v>184</v>
      </c>
      <c r="AM64" s="13">
        <v>9.9000000000000005E-2</v>
      </c>
      <c r="AN64" s="14">
        <v>0.19689999999999999</v>
      </c>
      <c r="AO64" s="101">
        <v>0.19500000000000001</v>
      </c>
      <c r="AP64" s="29">
        <f>AL64*(1-AM64)*AN64</f>
        <v>32.642869599999997</v>
      </c>
      <c r="AQ64" s="102">
        <f t="shared" ref="AQ64" si="625">AL64*(1-AM64)*AO64</f>
        <v>32.32788</v>
      </c>
      <c r="AR64" s="18">
        <v>1.65</v>
      </c>
      <c r="AS64" s="18">
        <v>508.7</v>
      </c>
      <c r="AT64" s="79">
        <f>AT62+AL64-AS64</f>
        <v>767.55999999999972</v>
      </c>
      <c r="AU64" s="80"/>
      <c r="AV64" s="11"/>
      <c r="AW64" s="30"/>
      <c r="AX64" s="19"/>
      <c r="AY64" s="19"/>
      <c r="AZ64" s="19"/>
      <c r="BA64" s="19"/>
    </row>
    <row r="65" spans="1:54">
      <c r="A65" s="148"/>
      <c r="B65" s="32">
        <v>2</v>
      </c>
      <c r="C65" s="10" t="s">
        <v>54</v>
      </c>
      <c r="D65" s="33">
        <v>21266</v>
      </c>
      <c r="E65" s="33">
        <v>13</v>
      </c>
      <c r="F65" s="33">
        <v>18597</v>
      </c>
      <c r="G65" s="34">
        <v>1.5</v>
      </c>
      <c r="H65" s="34">
        <v>7.3</v>
      </c>
      <c r="I65" s="33">
        <v>17522</v>
      </c>
      <c r="J65" s="34">
        <v>4.0999999999999996</v>
      </c>
      <c r="K65" s="33">
        <v>15379</v>
      </c>
      <c r="L65" s="35">
        <v>5.3999999999999999E-2</v>
      </c>
      <c r="M65" s="36">
        <f>ROUND(K65*(1-L65),0)</f>
        <v>14549</v>
      </c>
      <c r="N65" s="37">
        <v>0.8</v>
      </c>
      <c r="O65" s="24">
        <f t="shared" si="614"/>
        <v>11639.2</v>
      </c>
      <c r="P65" s="35">
        <v>0.16300000000000001</v>
      </c>
      <c r="Q65" s="24">
        <f t="shared" si="615"/>
        <v>2371.4870000000001</v>
      </c>
      <c r="R65" s="38">
        <v>3.6999999999999998E-2</v>
      </c>
      <c r="S65" s="105"/>
      <c r="T65" s="24">
        <f t="shared" si="616"/>
        <v>538.31299999999999</v>
      </c>
      <c r="U65" s="27">
        <v>0.255</v>
      </c>
      <c r="V65" s="24">
        <f t="shared" si="617"/>
        <v>3709.9949999999999</v>
      </c>
      <c r="W65" s="38">
        <v>0.46700000000000003</v>
      </c>
      <c r="X65" s="24">
        <f t="shared" si="618"/>
        <v>6794.3830000000007</v>
      </c>
      <c r="Y65" s="38">
        <v>0.44</v>
      </c>
      <c r="Z65" s="24">
        <f t="shared" si="619"/>
        <v>6401.56</v>
      </c>
      <c r="AA65" s="117">
        <v>2.5100000000000001E-3</v>
      </c>
      <c r="AB65" s="18">
        <f t="shared" si="147"/>
        <v>36.517990000000005</v>
      </c>
      <c r="AC65" s="39">
        <v>2.5500000000000002E-3</v>
      </c>
      <c r="AD65" s="17">
        <f t="shared" si="621"/>
        <v>37.09995</v>
      </c>
      <c r="AE65" s="26">
        <f>IF(M65&gt;0,(AG65+AP65)/M65,0)</f>
        <v>2.4420676610076293E-3</v>
      </c>
      <c r="AF65" s="39">
        <v>2.5999999999999998E-4</v>
      </c>
      <c r="AG65" s="36">
        <f t="shared" si="622"/>
        <v>3.7827399999999995</v>
      </c>
      <c r="AH65" s="27">
        <v>0.183</v>
      </c>
      <c r="AI65" s="40">
        <f t="shared" si="623"/>
        <v>27.704735999999997</v>
      </c>
      <c r="AJ65" s="27">
        <f t="shared" si="624"/>
        <v>0.89931693373420296</v>
      </c>
      <c r="AK65" s="28">
        <f t="shared" si="6"/>
        <v>0.89464208016093094</v>
      </c>
      <c r="AL65" s="33">
        <v>166</v>
      </c>
      <c r="AM65" s="35">
        <v>8.7999999999999995E-2</v>
      </c>
      <c r="AN65" s="37">
        <v>0.2097</v>
      </c>
      <c r="AO65" s="103">
        <v>0.21240000000000001</v>
      </c>
      <c r="AP65" s="40">
        <f>AL65*(1-AM65)*AN65</f>
        <v>31.7469024</v>
      </c>
      <c r="AQ65" s="104">
        <f t="shared" si="152"/>
        <v>32.1556608</v>
      </c>
      <c r="AR65" s="41">
        <v>1.55</v>
      </c>
      <c r="AS65" s="41"/>
      <c r="AT65" s="129">
        <f>AT64+AL65-AS65</f>
        <v>933.55999999999972</v>
      </c>
      <c r="AU65" s="82"/>
      <c r="AV65" s="42"/>
      <c r="AW65" s="43"/>
      <c r="AX65" s="44"/>
      <c r="AY65" s="44"/>
      <c r="AZ65" s="44"/>
      <c r="BA65" s="44"/>
    </row>
    <row r="66" spans="1:54">
      <c r="A66" s="148"/>
      <c r="B66" s="32">
        <v>3</v>
      </c>
      <c r="C66" s="10" t="s">
        <v>55</v>
      </c>
      <c r="D66" s="42">
        <v>21600</v>
      </c>
      <c r="E66" s="42">
        <v>7</v>
      </c>
      <c r="F66" s="42">
        <v>19528</v>
      </c>
      <c r="G66" s="36">
        <v>0.6</v>
      </c>
      <c r="H66" s="36">
        <v>7.6</v>
      </c>
      <c r="I66" s="42">
        <v>19714</v>
      </c>
      <c r="J66" s="36">
        <v>1.9</v>
      </c>
      <c r="K66" s="42">
        <v>15776</v>
      </c>
      <c r="L66" s="38">
        <v>5.7000000000000002E-2</v>
      </c>
      <c r="M66" s="36">
        <f>ROUND(K66*(1-L66),0)</f>
        <v>14877</v>
      </c>
      <c r="N66" s="27">
        <v>0.77</v>
      </c>
      <c r="O66" s="24">
        <f t="shared" si="614"/>
        <v>11455.29</v>
      </c>
      <c r="P66" s="38">
        <v>0.188</v>
      </c>
      <c r="Q66" s="24">
        <f t="shared" si="615"/>
        <v>2796.8760000000002</v>
      </c>
      <c r="R66" s="38">
        <v>4.2000000000000003E-2</v>
      </c>
      <c r="S66" s="105"/>
      <c r="T66" s="24">
        <f t="shared" si="616"/>
        <v>624.83400000000006</v>
      </c>
      <c r="U66" s="27">
        <v>0.26200000000000001</v>
      </c>
      <c r="V66" s="24">
        <f t="shared" si="617"/>
        <v>3897.7740000000003</v>
      </c>
      <c r="W66" s="38">
        <v>0.47199999999999998</v>
      </c>
      <c r="X66" s="24">
        <f t="shared" si="618"/>
        <v>7021.9439999999995</v>
      </c>
      <c r="Y66" s="38">
        <v>0.44</v>
      </c>
      <c r="Z66" s="24">
        <f t="shared" si="619"/>
        <v>6545.88</v>
      </c>
      <c r="AA66" s="118">
        <v>2.33E-3</v>
      </c>
      <c r="AB66" s="121">
        <f t="shared" si="147"/>
        <v>34.663409999999999</v>
      </c>
      <c r="AC66" s="45">
        <v>2.5600000000000002E-3</v>
      </c>
      <c r="AD66" s="17">
        <f t="shared" si="621"/>
        <v>38.085120000000003</v>
      </c>
      <c r="AE66" s="26">
        <f>IF(M66&gt;0,(AG66+AP66)/M66,0)</f>
        <v>2.3759958257713251E-3</v>
      </c>
      <c r="AF66" s="45">
        <v>2.5999999999999998E-4</v>
      </c>
      <c r="AG66" s="36">
        <f t="shared" si="622"/>
        <v>3.8680199999999996</v>
      </c>
      <c r="AH66" s="27">
        <v>0.20949999999999999</v>
      </c>
      <c r="AI66" s="40">
        <f t="shared" si="623"/>
        <v>30.660115500000003</v>
      </c>
      <c r="AJ66" s="27">
        <f t="shared" si="624"/>
        <v>0.89955389146434728</v>
      </c>
      <c r="AK66" s="28">
        <f t="shared" si="6"/>
        <v>0.89164997142055069</v>
      </c>
      <c r="AL66" s="42">
        <v>161</v>
      </c>
      <c r="AM66" s="38">
        <v>9.0999999999999998E-2</v>
      </c>
      <c r="AN66" s="27">
        <v>0.21510000000000001</v>
      </c>
      <c r="AO66" s="105">
        <v>0.22059999999999999</v>
      </c>
      <c r="AP66" s="40">
        <f>AL66*(1-AM66)*AN66</f>
        <v>31.479669900000005</v>
      </c>
      <c r="AQ66" s="106">
        <f t="shared" si="152"/>
        <v>32.284589400000002</v>
      </c>
      <c r="AR66" s="17">
        <v>1.6</v>
      </c>
      <c r="AS66" s="17"/>
      <c r="AT66" s="129">
        <f>AT65+AL66-AS66</f>
        <v>1094.5599999999997</v>
      </c>
      <c r="AU66" s="82"/>
      <c r="AV66" s="42"/>
      <c r="AW66" s="46"/>
      <c r="AX66" s="40"/>
      <c r="AY66" s="40"/>
      <c r="AZ66" s="40"/>
      <c r="BA66" s="40"/>
    </row>
    <row r="67" spans="1:54">
      <c r="A67" s="149"/>
      <c r="B67" s="47" t="s">
        <v>56</v>
      </c>
      <c r="C67" s="48"/>
      <c r="D67" s="49">
        <f t="shared" ref="D67" si="626">SUM(D64:D66)</f>
        <v>49300</v>
      </c>
      <c r="E67" s="49"/>
      <c r="F67" s="49">
        <f t="shared" ref="F67" si="627">SUM(F64:F66)</f>
        <v>47916</v>
      </c>
      <c r="G67" s="50"/>
      <c r="H67" s="50"/>
      <c r="I67" s="49">
        <f t="shared" ref="I67:K67" si="628">SUM(I64:I66)</f>
        <v>48142</v>
      </c>
      <c r="J67" s="50"/>
      <c r="K67" s="49">
        <f t="shared" si="628"/>
        <v>46450</v>
      </c>
      <c r="L67" s="20">
        <f t="shared" ref="L67" si="629">IF(K67&gt;0,(K64*L64+K65*L65+K66*L66)/K67,0)</f>
        <v>5.1726114101184065E-2</v>
      </c>
      <c r="M67" s="50">
        <f t="shared" ref="M67" si="630">M64+M65+M66</f>
        <v>44048</v>
      </c>
      <c r="N67" s="51">
        <f t="shared" ref="N67" si="631">IF(M67&gt;0,O67/M67,0)</f>
        <v>0.7892037322920451</v>
      </c>
      <c r="O67" s="52">
        <f t="shared" ref="O67" si="632">O64+O65+O66</f>
        <v>34762.846000000005</v>
      </c>
      <c r="P67" s="20">
        <f t="shared" ref="P67" si="633">IF(M67&gt;0,Q67/M67,0)</f>
        <v>0.17775079458772247</v>
      </c>
      <c r="Q67" s="52">
        <f t="shared" ref="Q67" si="634">Q64+Q65+Q66</f>
        <v>7829.567</v>
      </c>
      <c r="R67" s="20">
        <f t="shared" ref="R67" si="635">IF(M67&gt;0,T67/M67,0)</f>
        <v>3.3045473120232476E-2</v>
      </c>
      <c r="S67" s="107"/>
      <c r="T67" s="52">
        <f t="shared" ref="T67" si="636">T64+T65+T66</f>
        <v>1455.587</v>
      </c>
      <c r="U67" s="20">
        <f t="shared" ref="U67" si="637">IF(M67&gt;0,V67/M67,0)</f>
        <v>0.25736421630948059</v>
      </c>
      <c r="V67" s="52">
        <f t="shared" ref="V67" si="638">V64+V65+V66</f>
        <v>11336.379000000001</v>
      </c>
      <c r="W67" s="20">
        <f t="shared" ref="W67" si="639">IF(M67&gt;0,X67/M67,0)</f>
        <v>0.4733361106066109</v>
      </c>
      <c r="X67" s="52">
        <f t="shared" ref="X67" si="640">X64+X65+X66</f>
        <v>20849.508999999998</v>
      </c>
      <c r="Y67" s="20">
        <f t="shared" ref="Y67" si="641">IF(M67&gt;0,Z67/M67,0)</f>
        <v>0.44331956047947696</v>
      </c>
      <c r="Z67" s="52">
        <f t="shared" ref="Z67" si="642">Z64+Z65+Z66</f>
        <v>19527.34</v>
      </c>
      <c r="AA67" s="119">
        <f>IF(M67&gt;0,AB67/M67,0)</f>
        <v>2.4956797130403197E-3</v>
      </c>
      <c r="AB67" s="54">
        <f t="shared" ref="AB67" si="643">SUM(AB64:AB66)</f>
        <v>109.9297</v>
      </c>
      <c r="AC67" s="53">
        <f t="shared" ref="AC67" si="644">IF(M67&gt;0,AD67/M67,0)</f>
        <v>2.6363664638576101E-3</v>
      </c>
      <c r="AD67" s="54">
        <f t="shared" ref="AD67" si="645">SUM(AD64:AD66)</f>
        <v>116.12667</v>
      </c>
      <c r="AE67" s="53">
        <f t="shared" ref="AE67" si="646">IF(M67&gt;0,(AE64*M64+AE65*M65+AE66*M66)/M67,0)</f>
        <v>2.4464352955866327E-3</v>
      </c>
      <c r="AF67" s="53">
        <f t="shared" ref="AF67" si="647">IF(K67&gt;0,(K64*AF64+K65*AF65+K66*AF66)/K67,0)</f>
        <v>2.6987836383207751E-4</v>
      </c>
      <c r="AG67" s="50">
        <f t="shared" ref="AG67" si="648">SUM(AG64:AG66)</f>
        <v>11.891139999999998</v>
      </c>
      <c r="AH67" s="51">
        <f t="shared" ref="AH67" si="649">IF(K67&gt;0,(K64*AH64+K65*AH65+K66*AH66)/K67,0)</f>
        <v>0.19680777179763184</v>
      </c>
      <c r="AI67" s="56">
        <f t="shared" ref="AI67" si="650">SUM(AI64:AI66)</f>
        <v>91.123769899999999</v>
      </c>
      <c r="AJ67" s="51">
        <f t="shared" ref="AJ67" si="651">IF(AND(AD67&gt;0),((AD64*AJ64+AD65*AJ65+AD66*AJ66)/AD67),0)</f>
        <v>0.89884083881349197</v>
      </c>
      <c r="AK67" s="55">
        <f t="shared" si="6"/>
        <v>0.89084471895946704</v>
      </c>
      <c r="AL67" s="49">
        <f t="shared" ref="AL67" si="652">SUM(AL64:AL66)</f>
        <v>511</v>
      </c>
      <c r="AM67" s="20">
        <f t="shared" ref="AM67" si="653">IF(AL67&gt;0,(AM64*AL64+AM65*AL65+AM66*AL66)/AL67,0)</f>
        <v>9.2906066536203508E-2</v>
      </c>
      <c r="AN67" s="51">
        <f>IF(K67&gt;0,(AN64*K64+AN65*K65+AN66*K66)/K67,0)</f>
        <v>0.20731925511302476</v>
      </c>
      <c r="AO67" s="107">
        <f>IF(L67&gt;0,(AO64*K64+AO65*K65+AO66*K66)/K67,0)</f>
        <v>0.20945554790096882</v>
      </c>
      <c r="AP67" s="56">
        <f t="shared" ref="AP67" si="654">SUM(AP64:AP66)</f>
        <v>95.869441899999998</v>
      </c>
      <c r="AQ67" s="108">
        <f t="shared" si="525"/>
        <v>96.768130200000002</v>
      </c>
      <c r="AR67" s="54"/>
      <c r="AS67" s="54">
        <f t="shared" ref="AS67" si="655">SUM(AS64:AS66)</f>
        <v>508.7</v>
      </c>
      <c r="AT67" s="83"/>
      <c r="AU67" s="84">
        <f>AT66</f>
        <v>1094.5599999999997</v>
      </c>
      <c r="AV67" s="49">
        <f t="shared" ref="AV67" si="656">SUM(AV64:AV66)</f>
        <v>0</v>
      </c>
      <c r="AW67" s="57"/>
      <c r="AX67" s="56"/>
      <c r="AY67" s="56"/>
      <c r="AZ67" s="56"/>
      <c r="BA67" s="56"/>
      <c r="BB67" s="21"/>
    </row>
    <row r="68" spans="1:54">
      <c r="A68" s="147">
        <v>17</v>
      </c>
      <c r="B68" s="22">
        <v>1</v>
      </c>
      <c r="C68" s="10" t="s">
        <v>57</v>
      </c>
      <c r="D68" s="11">
        <v>11600</v>
      </c>
      <c r="E68" s="11">
        <v>10</v>
      </c>
      <c r="F68" s="11">
        <v>17827</v>
      </c>
      <c r="G68" s="12">
        <v>0.5</v>
      </c>
      <c r="H68" s="12">
        <v>6.4</v>
      </c>
      <c r="I68" s="11">
        <v>17346</v>
      </c>
      <c r="J68" s="12">
        <v>2.2000000000000002</v>
      </c>
      <c r="K68" s="11">
        <v>15842</v>
      </c>
      <c r="L68" s="13">
        <v>5.6000000000000001E-2</v>
      </c>
      <c r="M68" s="23">
        <f>ROUND(K68*(1-L68),0)</f>
        <v>14955</v>
      </c>
      <c r="N68" s="14">
        <v>0.76100000000000001</v>
      </c>
      <c r="O68" s="24">
        <f t="shared" ref="O68:O70" si="657">M68*N68</f>
        <v>11380.755000000001</v>
      </c>
      <c r="P68" s="13">
        <v>0.20799999999999999</v>
      </c>
      <c r="Q68" s="24">
        <f t="shared" ref="Q68:Q70" si="658">M68*P68</f>
        <v>3110.64</v>
      </c>
      <c r="R68" s="15">
        <v>3.1E-2</v>
      </c>
      <c r="S68" s="112"/>
      <c r="T68" s="24">
        <f t="shared" ref="T68:T70" si="659">M68*R68</f>
        <v>463.60500000000002</v>
      </c>
      <c r="U68" s="25">
        <v>0.248</v>
      </c>
      <c r="V68" s="24">
        <f t="shared" ref="V68:V70" si="660">M68*U68</f>
        <v>3708.84</v>
      </c>
      <c r="W68" s="15">
        <v>0.47699999999999998</v>
      </c>
      <c r="X68" s="24">
        <f t="shared" ref="X68:X70" si="661">M68*W68</f>
        <v>7133.5349999999999</v>
      </c>
      <c r="Y68" s="15">
        <v>0.46</v>
      </c>
      <c r="Z68" s="24">
        <f t="shared" ref="Z68:Z70" si="662">Y68*M68</f>
        <v>6879.3</v>
      </c>
      <c r="AA68" s="116">
        <v>2.5100000000000001E-3</v>
      </c>
      <c r="AB68" s="18">
        <f t="shared" ref="AB68" si="663">M68*AA68</f>
        <v>37.537050000000001</v>
      </c>
      <c r="AC68" s="16">
        <v>2.6099999999999999E-3</v>
      </c>
      <c r="AD68" s="17">
        <f t="shared" ref="AD68:AD70" si="664">M68*AC68</f>
        <v>39.032550000000001</v>
      </c>
      <c r="AE68" s="26">
        <f>IF(M68&gt;0,(AG68+AP68)/M68,0)</f>
        <v>2.4931143430290876E-3</v>
      </c>
      <c r="AF68" s="16">
        <v>2.7E-4</v>
      </c>
      <c r="AG68" s="23">
        <f t="shared" ref="AG68:AG70" si="665">AF68*M68</f>
        <v>4.0378499999999997</v>
      </c>
      <c r="AH68" s="92">
        <v>0.20180000000000001</v>
      </c>
      <c r="AI68" s="29">
        <f t="shared" ref="AI68:AI70" si="666">AL68*(1-AM68)*AH68</f>
        <v>32.101335000000006</v>
      </c>
      <c r="AJ68" s="27">
        <f t="shared" ref="AJ68:AJ70" si="667">IF(AND(AH68&gt;0,AF68&gt;0,AC68&gt;0),((AC68-AF68)*AH68)/((AH68-AF68)*AC68),0)</f>
        <v>0.89775288012223731</v>
      </c>
      <c r="AK68" s="58">
        <f t="shared" ref="AK68:AK127" si="668">IF(AND(AE68&gt;0,AN68&gt;0,AF68&gt;0),((AN68*(AE68-AF68))/(AE68*(AN68-AF68))),0)</f>
        <v>0.89285516733127379</v>
      </c>
      <c r="AL68" s="11">
        <v>175</v>
      </c>
      <c r="AM68" s="13">
        <v>9.0999999999999998E-2</v>
      </c>
      <c r="AN68" s="14">
        <v>0.20899999999999999</v>
      </c>
      <c r="AO68" s="101">
        <v>0.21010000000000001</v>
      </c>
      <c r="AP68" s="29">
        <f>AL68*(1-AM68)*AN68</f>
        <v>33.246675000000003</v>
      </c>
      <c r="AQ68" s="102">
        <f t="shared" ref="AQ68" si="669">AL68*(1-AM68)*AO68</f>
        <v>33.421657500000002</v>
      </c>
      <c r="AR68" s="18">
        <v>1.65</v>
      </c>
      <c r="AS68" s="18"/>
      <c r="AT68" s="79">
        <f>AT66+AL68-AS68</f>
        <v>1269.5599999999997</v>
      </c>
      <c r="AU68" s="80"/>
      <c r="AV68" s="11"/>
      <c r="AW68" s="30"/>
      <c r="AX68" s="19"/>
      <c r="AY68" s="19"/>
      <c r="AZ68" s="19"/>
      <c r="BA68" s="19"/>
    </row>
    <row r="69" spans="1:54">
      <c r="A69" s="148"/>
      <c r="B69" s="32">
        <v>2</v>
      </c>
      <c r="C69" s="10" t="s">
        <v>54</v>
      </c>
      <c r="D69" s="33">
        <v>18800</v>
      </c>
      <c r="E69" s="33">
        <v>13</v>
      </c>
      <c r="F69" s="33">
        <v>17739</v>
      </c>
      <c r="G69" s="34">
        <v>0.6</v>
      </c>
      <c r="H69" s="34">
        <v>6.3</v>
      </c>
      <c r="I69" s="33">
        <v>16979</v>
      </c>
      <c r="J69" s="34">
        <v>1.9</v>
      </c>
      <c r="K69" s="33">
        <v>15486</v>
      </c>
      <c r="L69" s="35">
        <v>0.06</v>
      </c>
      <c r="M69" s="36">
        <f>ROUND(K69*(1-L69),0)</f>
        <v>14557</v>
      </c>
      <c r="N69" s="37">
        <v>0.68700000000000006</v>
      </c>
      <c r="O69" s="24">
        <f t="shared" si="657"/>
        <v>10000.659000000001</v>
      </c>
      <c r="P69" s="35">
        <v>0.27800000000000002</v>
      </c>
      <c r="Q69" s="24">
        <f t="shared" si="658"/>
        <v>4046.8460000000005</v>
      </c>
      <c r="R69" s="38">
        <v>3.5000000000000003E-2</v>
      </c>
      <c r="S69" s="105"/>
      <c r="T69" s="24">
        <f t="shared" si="659"/>
        <v>509.49500000000006</v>
      </c>
      <c r="U69" s="27">
        <v>0.27</v>
      </c>
      <c r="V69" s="24">
        <f t="shared" si="660"/>
        <v>3930.3900000000003</v>
      </c>
      <c r="W69" s="38">
        <v>0.46500000000000002</v>
      </c>
      <c r="X69" s="24">
        <f t="shared" si="661"/>
        <v>6769.0050000000001</v>
      </c>
      <c r="Y69" s="38">
        <v>0.46</v>
      </c>
      <c r="Z69" s="24">
        <f t="shared" si="662"/>
        <v>6696.22</v>
      </c>
      <c r="AA69" s="117">
        <v>2.5100000000000001E-3</v>
      </c>
      <c r="AB69" s="18">
        <f t="shared" si="147"/>
        <v>36.538069999999998</v>
      </c>
      <c r="AC69" s="39">
        <v>2.5600000000000002E-3</v>
      </c>
      <c r="AD69" s="17">
        <f t="shared" si="664"/>
        <v>37.265920000000001</v>
      </c>
      <c r="AE69" s="26">
        <f>IF(M69&gt;0,(AG69+AP69)/M69,0)</f>
        <v>2.5371452634471393E-3</v>
      </c>
      <c r="AF69" s="39">
        <v>2.5999999999999998E-4</v>
      </c>
      <c r="AG69" s="36">
        <f t="shared" si="665"/>
        <v>3.7848199999999999</v>
      </c>
      <c r="AH69" s="27">
        <v>0.2104</v>
      </c>
      <c r="AI69" s="40">
        <f t="shared" si="666"/>
        <v>32.499646400000003</v>
      </c>
      <c r="AJ69" s="27">
        <f t="shared" si="667"/>
        <v>0.89954911011706506</v>
      </c>
      <c r="AK69" s="28">
        <f t="shared" si="668"/>
        <v>0.89861133801850479</v>
      </c>
      <c r="AL69" s="33">
        <v>169</v>
      </c>
      <c r="AM69" s="35">
        <v>8.5999999999999993E-2</v>
      </c>
      <c r="AN69" s="37">
        <v>0.21460000000000001</v>
      </c>
      <c r="AO69" s="103">
        <v>0.21460000000000001</v>
      </c>
      <c r="AP69" s="40">
        <f>AL69*(1-AM69)*AN69</f>
        <v>33.148403600000002</v>
      </c>
      <c r="AQ69" s="104">
        <f t="shared" si="152"/>
        <v>33.148403600000002</v>
      </c>
      <c r="AR69" s="41">
        <v>1.55</v>
      </c>
      <c r="AS69" s="41"/>
      <c r="AT69" s="129">
        <f>AT68+AL69-AS69</f>
        <v>1438.5599999999997</v>
      </c>
      <c r="AU69" s="82"/>
      <c r="AV69" s="42"/>
      <c r="AW69" s="43"/>
      <c r="AX69" s="44"/>
      <c r="AY69" s="44"/>
      <c r="AZ69" s="44"/>
      <c r="BA69" s="44"/>
    </row>
    <row r="70" spans="1:54">
      <c r="A70" s="148"/>
      <c r="B70" s="32">
        <v>3</v>
      </c>
      <c r="C70" s="10" t="s">
        <v>55</v>
      </c>
      <c r="D70" s="42">
        <v>21160</v>
      </c>
      <c r="E70" s="42">
        <v>7</v>
      </c>
      <c r="F70" s="42">
        <v>17914</v>
      </c>
      <c r="G70" s="36">
        <v>0.6</v>
      </c>
      <c r="H70" s="36">
        <v>6.1</v>
      </c>
      <c r="I70" s="42">
        <v>17949</v>
      </c>
      <c r="J70" s="36">
        <v>1</v>
      </c>
      <c r="K70" s="42">
        <v>15365</v>
      </c>
      <c r="L70" s="38">
        <v>6.2E-2</v>
      </c>
      <c r="M70" s="36">
        <f>ROUND(K70*(1-L70),0)</f>
        <v>14412</v>
      </c>
      <c r="N70" s="27">
        <v>0.50800000000000001</v>
      </c>
      <c r="O70" s="24">
        <f t="shared" si="657"/>
        <v>7321.2960000000003</v>
      </c>
      <c r="P70" s="38">
        <v>0.46800000000000003</v>
      </c>
      <c r="Q70" s="24">
        <f t="shared" si="658"/>
        <v>6744.8160000000007</v>
      </c>
      <c r="R70" s="38">
        <v>2.4E-2</v>
      </c>
      <c r="S70" s="105"/>
      <c r="T70" s="24">
        <f t="shared" si="659"/>
        <v>345.88800000000003</v>
      </c>
      <c r="U70" s="27">
        <v>0.27</v>
      </c>
      <c r="V70" s="24">
        <f t="shared" si="660"/>
        <v>3891.2400000000002</v>
      </c>
      <c r="W70" s="38">
        <v>0.47399999999999998</v>
      </c>
      <c r="X70" s="24">
        <f t="shared" si="661"/>
        <v>6831.2879999999996</v>
      </c>
      <c r="Y70" s="38">
        <v>0.45</v>
      </c>
      <c r="Z70" s="24">
        <f t="shared" si="662"/>
        <v>6485.4000000000005</v>
      </c>
      <c r="AA70" s="118">
        <v>2.4499999999999999E-3</v>
      </c>
      <c r="AB70" s="121">
        <f t="shared" si="147"/>
        <v>35.309399999999997</v>
      </c>
      <c r="AC70" s="45">
        <v>2.5500000000000002E-3</v>
      </c>
      <c r="AD70" s="17">
        <f t="shared" si="664"/>
        <v>36.750600000000006</v>
      </c>
      <c r="AE70" s="26">
        <f>IF(M70&gt;0,(AG70+AP70)/M70,0)</f>
        <v>2.4606511240632808E-3</v>
      </c>
      <c r="AF70" s="45">
        <v>2.5000000000000001E-4</v>
      </c>
      <c r="AG70" s="36">
        <f t="shared" si="665"/>
        <v>3.6030000000000002</v>
      </c>
      <c r="AH70" s="27">
        <v>0.2092</v>
      </c>
      <c r="AI70" s="40">
        <f t="shared" si="666"/>
        <v>30.392575999999998</v>
      </c>
      <c r="AJ70" s="27">
        <f t="shared" si="667"/>
        <v>0.90303994294535228</v>
      </c>
      <c r="AK70" s="28">
        <f t="shared" si="668"/>
        <v>0.89942621314157889</v>
      </c>
      <c r="AL70" s="42">
        <v>160</v>
      </c>
      <c r="AM70" s="38">
        <v>9.1999999999999998E-2</v>
      </c>
      <c r="AN70" s="27">
        <v>0.21929999999999999</v>
      </c>
      <c r="AO70" s="105">
        <v>0.2185</v>
      </c>
      <c r="AP70" s="40">
        <f>AL70*(1-AM70)*AN70</f>
        <v>31.859904</v>
      </c>
      <c r="AQ70" s="106">
        <f t="shared" si="152"/>
        <v>31.743680000000001</v>
      </c>
      <c r="AR70" s="17">
        <v>1.55</v>
      </c>
      <c r="AS70" s="17"/>
      <c r="AT70" s="129">
        <f>AT69+AL70-AS70</f>
        <v>1598.5599999999997</v>
      </c>
      <c r="AU70" s="82"/>
      <c r="AV70" s="42"/>
      <c r="AW70" s="46"/>
      <c r="AX70" s="40"/>
      <c r="AY70" s="40"/>
      <c r="AZ70" s="40"/>
      <c r="BA70" s="40"/>
    </row>
    <row r="71" spans="1:54">
      <c r="A71" s="149"/>
      <c r="B71" s="47" t="s">
        <v>56</v>
      </c>
      <c r="C71" s="48"/>
      <c r="D71" s="49">
        <f t="shared" ref="D71" si="670">SUM(D68:D70)</f>
        <v>51560</v>
      </c>
      <c r="E71" s="49"/>
      <c r="F71" s="49">
        <f t="shared" ref="F71" si="671">SUM(F68:F70)</f>
        <v>53480</v>
      </c>
      <c r="G71" s="50"/>
      <c r="H71" s="50"/>
      <c r="I71" s="49">
        <f t="shared" ref="I71:K71" si="672">SUM(I68:I70)</f>
        <v>52274</v>
      </c>
      <c r="J71" s="50"/>
      <c r="K71" s="49">
        <f t="shared" si="672"/>
        <v>46693</v>
      </c>
      <c r="L71" s="20">
        <f t="shared" ref="L71" si="673">IF(K71&gt;0,(K68*L68+K69*L69+K70*L70)/K71,0)</f>
        <v>5.9301008716509972E-2</v>
      </c>
      <c r="M71" s="50">
        <f t="shared" ref="M71" si="674">M68+M69+M70</f>
        <v>43924</v>
      </c>
      <c r="N71" s="51">
        <f t="shared" ref="N71" si="675">IF(M71&gt;0,O71/M71,0)</f>
        <v>0.65346302704671722</v>
      </c>
      <c r="O71" s="52">
        <f t="shared" ref="O71" si="676">O68+O69+O70</f>
        <v>28702.710000000006</v>
      </c>
      <c r="P71" s="20">
        <f t="shared" ref="P71" si="677">IF(M71&gt;0,Q71/M71,0)</f>
        <v>0.3165081049084783</v>
      </c>
      <c r="Q71" s="52">
        <f t="shared" ref="Q71" si="678">Q68+Q69+Q70</f>
        <v>13902.302000000001</v>
      </c>
      <c r="R71" s="20">
        <f t="shared" ref="R71" si="679">IF(M71&gt;0,T71/M71,0)</f>
        <v>3.0028868044804671E-2</v>
      </c>
      <c r="S71" s="107"/>
      <c r="T71" s="52">
        <f t="shared" ref="T71" si="680">T68+T69+T70</f>
        <v>1318.9880000000003</v>
      </c>
      <c r="U71" s="20">
        <f t="shared" ref="U71" si="681">IF(M71&gt;0,V71/M71,0)</f>
        <v>0.26250956197067665</v>
      </c>
      <c r="V71" s="52">
        <f t="shared" ref="V71" si="682">V68+V69+V70</f>
        <v>11530.470000000001</v>
      </c>
      <c r="W71" s="20">
        <f t="shared" ref="W71" si="683">IF(M71&gt;0,X71/M71,0)</f>
        <v>0.47203870321464353</v>
      </c>
      <c r="X71" s="52">
        <f t="shared" ref="X71" si="684">X68+X69+X70</f>
        <v>20733.828000000001</v>
      </c>
      <c r="Y71" s="20">
        <f t="shared" ref="Y71" si="685">IF(M71&gt;0,Z71/M71,0)</f>
        <v>0.45671887806210731</v>
      </c>
      <c r="Z71" s="52">
        <f t="shared" ref="Z71" si="686">Z68+Z69+Z70</f>
        <v>20060.920000000002</v>
      </c>
      <c r="AA71" s="119">
        <f>IF(M71&gt;0,AB71/M71,0)</f>
        <v>2.4903132683726436E-3</v>
      </c>
      <c r="AB71" s="54">
        <f t="shared" ref="AB71" si="687">SUM(AB68:AB70)</f>
        <v>109.38451999999999</v>
      </c>
      <c r="AC71" s="53">
        <f t="shared" ref="AC71" si="688">IF(M71&gt;0,AD71/M71,0)</f>
        <v>2.5737426008560242E-3</v>
      </c>
      <c r="AD71" s="54">
        <f t="shared" ref="AD71" si="689">SUM(AD68:AD70)</f>
        <v>113.04907000000001</v>
      </c>
      <c r="AE71" s="53">
        <f t="shared" ref="AE71" si="690">IF(M71&gt;0,(AE68*M68+AE69*M69+AE70*M70)/M71,0)</f>
        <v>2.4970551998907205E-3</v>
      </c>
      <c r="AF71" s="53">
        <f t="shared" ref="AF71" si="691">IF(K71&gt;0,(K68*AF68+K69*AF69+K70*AF70)/K71,0)</f>
        <v>2.6010215664018163E-4</v>
      </c>
      <c r="AG71" s="50">
        <f t="shared" ref="AG71" si="692">SUM(AG68:AG70)</f>
        <v>11.42567</v>
      </c>
      <c r="AH71" s="51">
        <f t="shared" ref="AH71" si="693">IF(K71&gt;0,(K68*AH68+K69*AH69+K70*AH70)/K71,0)</f>
        <v>0.20708731501509864</v>
      </c>
      <c r="AI71" s="56">
        <f t="shared" ref="AI71" si="694">SUM(AI68:AI70)</f>
        <v>94.993557400000014</v>
      </c>
      <c r="AJ71" s="51">
        <f t="shared" ref="AJ71" si="695">IF(AND(AD71&gt;0),((AD68*AJ68+AD69*AJ69+AD70*AJ70)/AD71),0)</f>
        <v>0.90006374295619085</v>
      </c>
      <c r="AK71" s="55">
        <f t="shared" si="668"/>
        <v>0.89692533658538964</v>
      </c>
      <c r="AL71" s="49">
        <f t="shared" ref="AL71" si="696">SUM(AL68:AL70)</f>
        <v>504</v>
      </c>
      <c r="AM71" s="20">
        <f t="shared" ref="AM71" si="697">IF(AL71&gt;0,(AM68*AL68+AM69*AL69+AM70*AL70)/AL71,0)</f>
        <v>8.9640873015873007E-2</v>
      </c>
      <c r="AN71" s="51">
        <f>IF(K71&gt;0,(AN68*K68+AN69*K69+AN70*K70)/K71,0)</f>
        <v>0.21424663439916047</v>
      </c>
      <c r="AO71" s="107">
        <f>IF(L71&gt;0,(AO68*K68+AO69*K69+AO70*K70)/K71,0)</f>
        <v>0.21435659092369308</v>
      </c>
      <c r="AP71" s="56">
        <f t="shared" ref="AP71:AQ71" si="698">SUM(AP68:AP70)</f>
        <v>98.254982600000005</v>
      </c>
      <c r="AQ71" s="108">
        <f t="shared" si="698"/>
        <v>98.313741100000001</v>
      </c>
      <c r="AR71" s="54"/>
      <c r="AS71" s="54">
        <f t="shared" ref="AS71" si="699">SUM(AS68:AS70)</f>
        <v>0</v>
      </c>
      <c r="AT71" s="83"/>
      <c r="AU71" s="84">
        <f>AT70</f>
        <v>1598.5599999999997</v>
      </c>
      <c r="AV71" s="49">
        <f t="shared" ref="AV71" si="700">SUM(AV68:AV70)</f>
        <v>0</v>
      </c>
      <c r="AW71" s="57"/>
      <c r="AX71" s="56"/>
      <c r="AY71" s="56"/>
      <c r="AZ71" s="56"/>
      <c r="BA71" s="56"/>
      <c r="BB71" s="21"/>
    </row>
    <row r="72" spans="1:54">
      <c r="A72" s="147">
        <v>18</v>
      </c>
      <c r="B72" s="22">
        <v>1</v>
      </c>
      <c r="C72" s="10" t="s">
        <v>57</v>
      </c>
      <c r="D72" s="11">
        <v>18400</v>
      </c>
      <c r="E72" s="11">
        <v>1</v>
      </c>
      <c r="F72" s="11">
        <v>12257</v>
      </c>
      <c r="G72" s="12">
        <v>0.9</v>
      </c>
      <c r="H72" s="12">
        <v>5.7</v>
      </c>
      <c r="I72" s="11">
        <v>12340</v>
      </c>
      <c r="J72" s="131">
        <v>2.2000000000000002</v>
      </c>
      <c r="K72" s="11">
        <v>15361</v>
      </c>
      <c r="L72" s="13">
        <v>0.06</v>
      </c>
      <c r="M72" s="23">
        <f>ROUND(K72*(1-L72),0)</f>
        <v>14439</v>
      </c>
      <c r="N72" s="14">
        <v>0.63700000000000001</v>
      </c>
      <c r="O72" s="24">
        <f t="shared" ref="O72:O74" si="701">M72*N72</f>
        <v>9197.643</v>
      </c>
      <c r="P72" s="13">
        <v>0.33600000000000002</v>
      </c>
      <c r="Q72" s="24">
        <f t="shared" ref="Q72:Q74" si="702">M72*P72</f>
        <v>4851.5039999999999</v>
      </c>
      <c r="R72" s="15">
        <v>2.7E-2</v>
      </c>
      <c r="S72" s="112"/>
      <c r="T72" s="24">
        <f t="shared" ref="T72:T74" si="703">M72*R72</f>
        <v>389.85300000000001</v>
      </c>
      <c r="U72" s="25">
        <v>0.27400000000000002</v>
      </c>
      <c r="V72" s="24">
        <f t="shared" ref="V72:V74" si="704">M72*U72</f>
        <v>3956.2860000000005</v>
      </c>
      <c r="W72" s="15">
        <v>0.46100000000000002</v>
      </c>
      <c r="X72" s="24">
        <f t="shared" ref="X72:X74" si="705">M72*W72</f>
        <v>6656.3789999999999</v>
      </c>
      <c r="Y72" s="15">
        <v>0.48</v>
      </c>
      <c r="Z72" s="24">
        <f t="shared" ref="Z72:Z74" si="706">Y72*M72</f>
        <v>6930.7199999999993</v>
      </c>
      <c r="AA72" s="116">
        <v>2.3700000000000001E-3</v>
      </c>
      <c r="AB72" s="18">
        <f t="shared" ref="AB72" si="707">M72*AA72</f>
        <v>34.22043</v>
      </c>
      <c r="AC72" s="16">
        <v>2.9099999999999998E-3</v>
      </c>
      <c r="AD72" s="17">
        <f t="shared" ref="AD72:AD74" si="708">M72*AC72</f>
        <v>42.017489999999995</v>
      </c>
      <c r="AE72" s="26">
        <f>IF(M72&gt;0,(AG72+AP72)/M72,0)</f>
        <v>2.3710014543943487E-3</v>
      </c>
      <c r="AF72" s="16">
        <v>2.5000000000000001E-4</v>
      </c>
      <c r="AG72" s="23">
        <f t="shared" ref="AG72:AG74" si="709">AF72*M72</f>
        <v>3.60975</v>
      </c>
      <c r="AH72" s="92">
        <v>0.2039</v>
      </c>
      <c r="AI72" s="29">
        <f t="shared" ref="AI72:AI74" si="710">AL72*(1-AM72)*AH72</f>
        <v>29.316742000000001</v>
      </c>
      <c r="AJ72" s="27">
        <f t="shared" ref="AJ72:AJ74" si="711">IF(AND(AH72&gt;0,AF72&gt;0,AC72&gt;0),((AC72-AF72)*AH72)/((AH72-AF72)*AC72),0)</f>
        <v>0.91521147983999906</v>
      </c>
      <c r="AK72" s="58">
        <f t="shared" si="668"/>
        <v>0.89561050841825074</v>
      </c>
      <c r="AL72" s="11">
        <v>158</v>
      </c>
      <c r="AM72" s="13">
        <v>0.09</v>
      </c>
      <c r="AN72" s="14">
        <v>0.21299999999999999</v>
      </c>
      <c r="AO72" s="101">
        <v>0.21440000000000001</v>
      </c>
      <c r="AP72" s="29">
        <f>AL72*(1-AM72)*AN72</f>
        <v>30.625139999999998</v>
      </c>
      <c r="AQ72" s="102">
        <f t="shared" ref="AQ72:AQ126" si="712">AL72*(1-AM72)*AO72</f>
        <v>30.826432</v>
      </c>
      <c r="AR72" s="18">
        <v>1.5</v>
      </c>
      <c r="AS72" s="18"/>
      <c r="AT72" s="79">
        <f>AT70+AL72-AS72</f>
        <v>1756.5599999999997</v>
      </c>
      <c r="AU72" s="80"/>
      <c r="AV72" s="11"/>
      <c r="AW72" s="30"/>
      <c r="AX72" s="19"/>
      <c r="AY72" s="19"/>
      <c r="AZ72" s="19"/>
      <c r="BA72" s="19"/>
    </row>
    <row r="73" spans="1:54">
      <c r="A73" s="148"/>
      <c r="B73" s="32">
        <v>2</v>
      </c>
      <c r="C73" s="10" t="s">
        <v>58</v>
      </c>
      <c r="D73" s="33">
        <v>18800</v>
      </c>
      <c r="E73" s="33">
        <v>6</v>
      </c>
      <c r="F73" s="33">
        <v>18083</v>
      </c>
      <c r="G73" s="34">
        <v>0.4</v>
      </c>
      <c r="H73" s="34">
        <v>5.6</v>
      </c>
      <c r="I73" s="33">
        <v>17670</v>
      </c>
      <c r="J73" s="132">
        <v>1.2</v>
      </c>
      <c r="K73" s="33">
        <v>15673</v>
      </c>
      <c r="L73" s="35">
        <v>5.3999999999999999E-2</v>
      </c>
      <c r="M73" s="36">
        <f>ROUND(K73*(1-L73),0)</f>
        <v>14827</v>
      </c>
      <c r="N73" s="37">
        <v>0.71</v>
      </c>
      <c r="O73" s="24">
        <f t="shared" si="701"/>
        <v>10527.17</v>
      </c>
      <c r="P73" s="35">
        <v>0.224</v>
      </c>
      <c r="Q73" s="24">
        <f t="shared" si="702"/>
        <v>3321.248</v>
      </c>
      <c r="R73" s="38">
        <v>6.6000000000000003E-2</v>
      </c>
      <c r="S73" s="105"/>
      <c r="T73" s="24">
        <f t="shared" si="703"/>
        <v>978.58199999999999</v>
      </c>
      <c r="U73" s="27">
        <v>0.28199999999999997</v>
      </c>
      <c r="V73" s="24">
        <f t="shared" si="704"/>
        <v>4181.2139999999999</v>
      </c>
      <c r="W73" s="38">
        <v>0.47199999999999998</v>
      </c>
      <c r="X73" s="24">
        <f t="shared" si="705"/>
        <v>6998.3440000000001</v>
      </c>
      <c r="Y73" s="38">
        <v>0.45</v>
      </c>
      <c r="Z73" s="24">
        <f t="shared" si="706"/>
        <v>6672.1500000000005</v>
      </c>
      <c r="AA73" s="117">
        <v>2.5500000000000002E-3</v>
      </c>
      <c r="AB73" s="18">
        <f t="shared" si="147"/>
        <v>37.80885</v>
      </c>
      <c r="AC73" s="39">
        <v>2.8500000000000001E-3</v>
      </c>
      <c r="AD73" s="17">
        <f t="shared" si="708"/>
        <v>42.256950000000003</v>
      </c>
      <c r="AE73" s="26">
        <f>IF(M73&gt;0,(AG73+AP73)/M73,0)</f>
        <v>2.6995715384096584E-3</v>
      </c>
      <c r="AF73" s="39">
        <v>2.7E-4</v>
      </c>
      <c r="AG73" s="36">
        <f t="shared" si="709"/>
        <v>4.0032899999999998</v>
      </c>
      <c r="AH73" s="27">
        <v>0.1971</v>
      </c>
      <c r="AI73" s="40">
        <f t="shared" si="710"/>
        <v>33.039478800000005</v>
      </c>
      <c r="AJ73" s="27">
        <f t="shared" si="711"/>
        <v>0.90650494549130023</v>
      </c>
      <c r="AK73" s="28">
        <f t="shared" si="668"/>
        <v>0.90111628953019263</v>
      </c>
      <c r="AL73" s="33">
        <v>183</v>
      </c>
      <c r="AM73" s="35">
        <v>8.4000000000000005E-2</v>
      </c>
      <c r="AN73" s="37">
        <v>0.21490000000000001</v>
      </c>
      <c r="AO73" s="103">
        <v>0.22239999999999999</v>
      </c>
      <c r="AP73" s="40">
        <f>AL73*(1-AM73)*AN73</f>
        <v>36.023257200000003</v>
      </c>
      <c r="AQ73" s="104">
        <f t="shared" si="712"/>
        <v>37.280467200000004</v>
      </c>
      <c r="AR73" s="41">
        <v>1.55</v>
      </c>
      <c r="AS73" s="41"/>
      <c r="AT73" s="129">
        <f>AT72+AL73-AS73</f>
        <v>1939.5599999999997</v>
      </c>
      <c r="AU73" s="82"/>
      <c r="AV73" s="42"/>
      <c r="AW73" s="43"/>
      <c r="AX73" s="44"/>
      <c r="AY73" s="44"/>
      <c r="AZ73" s="44"/>
      <c r="BA73" s="44"/>
    </row>
    <row r="74" spans="1:54">
      <c r="A74" s="148"/>
      <c r="B74" s="32">
        <v>3</v>
      </c>
      <c r="C74" s="10" t="s">
        <v>55</v>
      </c>
      <c r="D74" s="42">
        <v>16990</v>
      </c>
      <c r="E74" s="42">
        <v>3</v>
      </c>
      <c r="F74" s="42">
        <v>16660</v>
      </c>
      <c r="G74" s="36">
        <v>0.6</v>
      </c>
      <c r="H74" s="36">
        <v>5.6</v>
      </c>
      <c r="I74" s="42">
        <v>16539</v>
      </c>
      <c r="J74" s="36">
        <v>1.5</v>
      </c>
      <c r="K74" s="42">
        <v>15826</v>
      </c>
      <c r="L74" s="38">
        <v>5.5E-2</v>
      </c>
      <c r="M74" s="36">
        <f>ROUND(K74*(1-L74),0)</f>
        <v>14956</v>
      </c>
      <c r="N74" s="27">
        <v>0.755</v>
      </c>
      <c r="O74" s="24">
        <f t="shared" si="701"/>
        <v>11291.78</v>
      </c>
      <c r="P74" s="38">
        <v>0.22500000000000001</v>
      </c>
      <c r="Q74" s="24">
        <f t="shared" si="702"/>
        <v>3365.1</v>
      </c>
      <c r="R74" s="38">
        <v>0.02</v>
      </c>
      <c r="S74" s="105"/>
      <c r="T74" s="24">
        <f t="shared" si="703"/>
        <v>299.12</v>
      </c>
      <c r="U74" s="27">
        <v>0.27900000000000003</v>
      </c>
      <c r="V74" s="24">
        <f t="shared" si="704"/>
        <v>4172.7240000000002</v>
      </c>
      <c r="W74" s="38">
        <v>0.46100000000000002</v>
      </c>
      <c r="X74" s="24">
        <f t="shared" si="705"/>
        <v>6894.7160000000003</v>
      </c>
      <c r="Y74" s="38">
        <v>0.46</v>
      </c>
      <c r="Z74" s="24">
        <f t="shared" si="706"/>
        <v>6879.76</v>
      </c>
      <c r="AA74" s="118">
        <v>2.63E-3</v>
      </c>
      <c r="AB74" s="121">
        <f t="shared" si="147"/>
        <v>39.33428</v>
      </c>
      <c r="AC74" s="45">
        <v>2.8800000000000002E-3</v>
      </c>
      <c r="AD74" s="17">
        <f t="shared" si="708"/>
        <v>43.073280000000004</v>
      </c>
      <c r="AE74" s="26">
        <f>IF(M74&gt;0,(AG74+AP74)/M74,0)</f>
        <v>2.5586939288579835E-3</v>
      </c>
      <c r="AF74" s="45">
        <v>2.7999999999999998E-4</v>
      </c>
      <c r="AG74" s="36">
        <f t="shared" si="709"/>
        <v>4.1876799999999994</v>
      </c>
      <c r="AH74" s="27">
        <v>0.2109</v>
      </c>
      <c r="AI74" s="40">
        <f t="shared" si="710"/>
        <v>34.193638800000002</v>
      </c>
      <c r="AJ74" s="27">
        <f t="shared" si="711"/>
        <v>0.90397793815085614</v>
      </c>
      <c r="AK74" s="28">
        <f t="shared" si="668"/>
        <v>0.89175704822230406</v>
      </c>
      <c r="AL74" s="42">
        <v>177</v>
      </c>
      <c r="AM74" s="38">
        <v>8.4000000000000005E-2</v>
      </c>
      <c r="AN74" s="27">
        <v>0.2102</v>
      </c>
      <c r="AO74" s="105">
        <v>0.21829999999999999</v>
      </c>
      <c r="AP74" s="40">
        <f>AL74*(1-AM74)*AN74</f>
        <v>34.080146400000004</v>
      </c>
      <c r="AQ74" s="106">
        <f t="shared" si="712"/>
        <v>35.393415599999997</v>
      </c>
      <c r="AR74" s="17">
        <v>1.58</v>
      </c>
      <c r="AS74" s="17"/>
      <c r="AT74" s="129">
        <f>AT73+AL74-AS74</f>
        <v>2116.5599999999995</v>
      </c>
      <c r="AU74" s="82"/>
      <c r="AV74" s="42"/>
      <c r="AW74" s="46"/>
      <c r="AX74" s="40"/>
      <c r="AY74" s="40"/>
      <c r="AZ74" s="40"/>
      <c r="BA74" s="40"/>
    </row>
    <row r="75" spans="1:54">
      <c r="A75" s="149"/>
      <c r="B75" s="47" t="s">
        <v>56</v>
      </c>
      <c r="C75" s="48"/>
      <c r="D75" s="49">
        <f t="shared" ref="D75" si="713">SUM(D72:D74)</f>
        <v>54190</v>
      </c>
      <c r="E75" s="49"/>
      <c r="F75" s="49">
        <f t="shared" ref="F75" si="714">SUM(F72:F74)</f>
        <v>47000</v>
      </c>
      <c r="G75" s="50"/>
      <c r="H75" s="50"/>
      <c r="I75" s="49">
        <f t="shared" ref="I75:K75" si="715">SUM(I72:I74)</f>
        <v>46549</v>
      </c>
      <c r="J75" s="50"/>
      <c r="K75" s="49">
        <f t="shared" si="715"/>
        <v>46860</v>
      </c>
      <c r="L75" s="20">
        <f t="shared" ref="L75" si="716">IF(K75&gt;0,(K72*L72+K73*L73+K74*L74)/K75,0)</f>
        <v>5.6304566794707633E-2</v>
      </c>
      <c r="M75" s="50">
        <f t="shared" ref="M75" si="717">M72+M73+M74</f>
        <v>44222</v>
      </c>
      <c r="N75" s="51">
        <f t="shared" ref="N75" si="718">IF(M75&gt;0,O75/M75,0)</f>
        <v>0.70138376826014204</v>
      </c>
      <c r="O75" s="52">
        <f t="shared" ref="O75" si="719">O72+O73+O74</f>
        <v>31016.593000000001</v>
      </c>
      <c r="P75" s="20">
        <f t="shared" ref="P75" si="720">IF(M75&gt;0,Q75/M75,0)</f>
        <v>0.26090751209805074</v>
      </c>
      <c r="Q75" s="52">
        <f t="shared" ref="Q75" si="721">Q72+Q73+Q74</f>
        <v>11537.852000000001</v>
      </c>
      <c r="R75" s="20">
        <f t="shared" ref="R75" si="722">IF(M75&gt;0,T75/M75,0)</f>
        <v>3.7708719641807241E-2</v>
      </c>
      <c r="S75" s="107"/>
      <c r="T75" s="52">
        <f t="shared" ref="T75" si="723">T72+T73+T74</f>
        <v>1667.5549999999998</v>
      </c>
      <c r="U75" s="20">
        <f t="shared" ref="U75" si="724">IF(M75&gt;0,V75/M75,0)</f>
        <v>0.27837329835828323</v>
      </c>
      <c r="V75" s="52">
        <f t="shared" ref="V75" si="725">V72+V73+V74</f>
        <v>12310.224</v>
      </c>
      <c r="W75" s="20">
        <f t="shared" ref="W75" si="726">IF(M75&gt;0,X75/M75,0)</f>
        <v>0.464688141648953</v>
      </c>
      <c r="X75" s="52">
        <f t="shared" ref="X75" si="727">X72+X73+X74</f>
        <v>20549.438999999998</v>
      </c>
      <c r="Y75" s="20">
        <f t="shared" ref="Y75" si="728">IF(M75&gt;0,Z75/M75,0)</f>
        <v>0.46317737777576767</v>
      </c>
      <c r="Z75" s="52">
        <f t="shared" ref="Z75" si="729">Z72+Z73+Z74</f>
        <v>20482.629999999997</v>
      </c>
      <c r="AA75" s="119">
        <f>IF(M75&gt;0,AB75/M75,0)</f>
        <v>2.5182841119804622E-3</v>
      </c>
      <c r="AB75" s="54">
        <f t="shared" ref="AB75" si="730">SUM(AB72:AB74)</f>
        <v>111.36356000000001</v>
      </c>
      <c r="AC75" s="53">
        <f t="shared" ref="AC75" si="731">IF(M75&gt;0,AD75/M75,0)</f>
        <v>2.8797367825968978E-3</v>
      </c>
      <c r="AD75" s="54">
        <f t="shared" ref="AD75" si="732">SUM(AD72:AD74)</f>
        <v>127.34772000000001</v>
      </c>
      <c r="AE75" s="53">
        <f t="shared" ref="AE75" si="733">IF(M75&gt;0,(AE72*M72+AE73*M73+AE74*M74)/M75,0)</f>
        <v>2.5446443761023927E-3</v>
      </c>
      <c r="AF75" s="53">
        <f t="shared" ref="AF75" si="734">IF(K75&gt;0,(K72*AF72+K73*AF73+K74*AF74)/K75,0)</f>
        <v>2.6682116944088774E-4</v>
      </c>
      <c r="AG75" s="50">
        <f t="shared" ref="AG75" si="735">SUM(AG72:AG74)</f>
        <v>11.800719999999998</v>
      </c>
      <c r="AH75" s="51">
        <f t="shared" ref="AH75" si="736">IF(K75&gt;0,(K72*AH72+K73*AH73+K74*AH74)/K75,0)</f>
        <v>0.20398974818608623</v>
      </c>
      <c r="AI75" s="56">
        <f t="shared" ref="AI75" si="737">SUM(AI72:AI74)</f>
        <v>96.549859600000005</v>
      </c>
      <c r="AJ75" s="51">
        <f t="shared" ref="AJ75" si="738">IF(AND(AD75&gt;0),((AD72*AJ72+AD73*AJ73+AD74*AJ74)/AD75),0)</f>
        <v>0.9085228868034344</v>
      </c>
      <c r="AK75" s="55">
        <f t="shared" si="668"/>
        <v>0.89626840022065557</v>
      </c>
      <c r="AL75" s="49">
        <f t="shared" ref="AL75" si="739">SUM(AL72:AL74)</f>
        <v>518</v>
      </c>
      <c r="AM75" s="20">
        <f t="shared" ref="AM75" si="740">IF(AL75&gt;0,(AM72*AL72+AM73*AL73+AM74*AL74)/AL75,0)</f>
        <v>8.5830115830115836E-2</v>
      </c>
      <c r="AN75" s="51">
        <f>IF(K75&gt;0,(AN72*K72+AN73*K73+AN74*K74)/K75,0)</f>
        <v>0.2126898399487836</v>
      </c>
      <c r="AO75" s="107">
        <f>IF(L75&gt;0,(AO72*K72+AO73*K73+AO74*K74)/K75,0)</f>
        <v>0.21839285958173282</v>
      </c>
      <c r="AP75" s="56">
        <f t="shared" ref="AP75:AQ87" si="741">SUM(AP72:AP74)</f>
        <v>100.72854360000001</v>
      </c>
      <c r="AQ75" s="108">
        <f t="shared" si="741"/>
        <v>103.5003148</v>
      </c>
      <c r="AR75" s="54"/>
      <c r="AS75" s="54">
        <f t="shared" ref="AS75" si="742">SUM(AS72:AS74)</f>
        <v>0</v>
      </c>
      <c r="AT75" s="83"/>
      <c r="AU75" s="84">
        <f>AT74</f>
        <v>2116.5599999999995</v>
      </c>
      <c r="AV75" s="49">
        <f t="shared" ref="AV75" si="743">SUM(AV72:AV74)</f>
        <v>0</v>
      </c>
      <c r="AW75" s="57"/>
      <c r="AX75" s="56"/>
      <c r="AY75" s="56"/>
      <c r="AZ75" s="56"/>
      <c r="BA75" s="56"/>
      <c r="BB75" s="21"/>
    </row>
    <row r="76" spans="1:54">
      <c r="A76" s="147">
        <v>19</v>
      </c>
      <c r="B76" s="22">
        <v>1</v>
      </c>
      <c r="C76" s="10" t="s">
        <v>57</v>
      </c>
      <c r="D76" s="11">
        <v>3441</v>
      </c>
      <c r="E76" s="11">
        <v>3</v>
      </c>
      <c r="F76" s="11">
        <v>8274</v>
      </c>
      <c r="G76" s="12">
        <v>0.6</v>
      </c>
      <c r="H76" s="12">
        <v>5.7</v>
      </c>
      <c r="I76" s="11">
        <v>8814</v>
      </c>
      <c r="J76" s="12">
        <v>3.3</v>
      </c>
      <c r="K76" s="11">
        <v>14691</v>
      </c>
      <c r="L76" s="13">
        <v>5.8999999999999997E-2</v>
      </c>
      <c r="M76" s="23">
        <f>ROUND(K76*(1-L76),0)</f>
        <v>13824</v>
      </c>
      <c r="N76" s="14">
        <v>0.62</v>
      </c>
      <c r="O76" s="24">
        <f t="shared" ref="O76:O78" si="744">M76*N76</f>
        <v>8570.8799999999992</v>
      </c>
      <c r="P76" s="13">
        <v>0.35099999999999998</v>
      </c>
      <c r="Q76" s="24">
        <f t="shared" ref="Q76:Q78" si="745">M76*P76</f>
        <v>4852.2240000000002</v>
      </c>
      <c r="R76" s="15">
        <v>2.9000000000000001E-2</v>
      </c>
      <c r="S76" s="112"/>
      <c r="T76" s="24">
        <f t="shared" ref="T76:T78" si="746">M76*R76</f>
        <v>400.89600000000002</v>
      </c>
      <c r="U76" s="25">
        <v>0.27200000000000002</v>
      </c>
      <c r="V76" s="24">
        <f t="shared" ref="V76:V78" si="747">M76*U76</f>
        <v>3760.1280000000002</v>
      </c>
      <c r="W76" s="15">
        <v>0.46</v>
      </c>
      <c r="X76" s="24">
        <f t="shared" ref="X76:X78" si="748">M76*W76</f>
        <v>6359.04</v>
      </c>
      <c r="Y76" s="15">
        <v>0.45</v>
      </c>
      <c r="Z76" s="24">
        <f t="shared" ref="Z76:Z78" si="749">Y76*M76</f>
        <v>6220.8</v>
      </c>
      <c r="AA76" s="116">
        <v>2.7000000000000001E-3</v>
      </c>
      <c r="AB76" s="18">
        <f t="shared" ref="AB76:AB126" si="750">M76*AA76</f>
        <v>37.324800000000003</v>
      </c>
      <c r="AC76" s="16">
        <v>2.96E-3</v>
      </c>
      <c r="AD76" s="17">
        <f t="shared" ref="AD76:AD78" si="751">M76*AC76</f>
        <v>40.919040000000003</v>
      </c>
      <c r="AE76" s="26">
        <f>IF(M76&gt;0,(AG76+AP76)/M76,0)</f>
        <v>2.7049056423611114E-3</v>
      </c>
      <c r="AF76" s="16">
        <v>2.7E-4</v>
      </c>
      <c r="AG76" s="23">
        <f t="shared" ref="AG76:AG78" si="752">AF76*M76</f>
        <v>3.7324800000000002</v>
      </c>
      <c r="AH76" s="92">
        <v>0.21</v>
      </c>
      <c r="AI76" s="29">
        <f t="shared" ref="AI76:AI78" si="753">AL76*(1-AM76)*AH76</f>
        <v>32.544330000000002</v>
      </c>
      <c r="AJ76" s="27">
        <f t="shared" ref="AJ76:AJ78" si="754">IF(AND(AH76&gt;0,AF76&gt;0,AC76&gt;0),((AC76-AF76)*AH76)/((AH76-AF76)*AC76),0)</f>
        <v>0.90995372428643784</v>
      </c>
      <c r="AK76" s="58">
        <f t="shared" si="668"/>
        <v>0.90130176368720771</v>
      </c>
      <c r="AL76" s="11">
        <v>169</v>
      </c>
      <c r="AM76" s="13">
        <v>8.3000000000000004E-2</v>
      </c>
      <c r="AN76" s="14">
        <v>0.2172</v>
      </c>
      <c r="AO76" s="101">
        <v>0.2213</v>
      </c>
      <c r="AP76" s="29">
        <f>AL76*(1-AM76)*AN76</f>
        <v>33.660135600000004</v>
      </c>
      <c r="AQ76" s="102">
        <f t="shared" ref="AQ76" si="755">AL76*(1-AM76)*AO76</f>
        <v>34.295524900000004</v>
      </c>
      <c r="AR76" s="18">
        <v>1.58</v>
      </c>
      <c r="AS76" s="18">
        <v>1006.86</v>
      </c>
      <c r="AT76" s="79">
        <f>AT74+AL76-AS76</f>
        <v>1278.6999999999994</v>
      </c>
      <c r="AU76" s="80"/>
      <c r="AV76" s="11"/>
      <c r="AW76" s="30"/>
      <c r="AX76" s="19"/>
      <c r="AY76" s="19"/>
      <c r="AZ76" s="19"/>
      <c r="BA76" s="19"/>
    </row>
    <row r="77" spans="1:54">
      <c r="A77" s="148"/>
      <c r="B77" s="32">
        <v>2</v>
      </c>
      <c r="C77" s="10" t="s">
        <v>58</v>
      </c>
      <c r="D77" s="33">
        <v>18459</v>
      </c>
      <c r="E77" s="33">
        <v>7</v>
      </c>
      <c r="F77" s="33">
        <v>19094</v>
      </c>
      <c r="G77" s="34">
        <v>0.3</v>
      </c>
      <c r="H77" s="34">
        <v>6.1</v>
      </c>
      <c r="I77" s="33">
        <v>18290</v>
      </c>
      <c r="J77" s="34">
        <v>2.1</v>
      </c>
      <c r="K77" s="33">
        <v>14878</v>
      </c>
      <c r="L77" s="35">
        <v>6.0999999999999999E-2</v>
      </c>
      <c r="M77" s="36">
        <f>ROUND(K77*(1-L77),0)</f>
        <v>13970</v>
      </c>
      <c r="N77" s="37">
        <v>0.79500000000000004</v>
      </c>
      <c r="O77" s="24">
        <f t="shared" si="744"/>
        <v>11106.150000000001</v>
      </c>
      <c r="P77" s="35">
        <v>0.17899999999999999</v>
      </c>
      <c r="Q77" s="24">
        <f t="shared" si="745"/>
        <v>2500.63</v>
      </c>
      <c r="R77" s="38">
        <v>2.5999999999999999E-2</v>
      </c>
      <c r="S77" s="105">
        <v>0.2409</v>
      </c>
      <c r="T77" s="24">
        <f t="shared" si="746"/>
        <v>363.21999999999997</v>
      </c>
      <c r="U77" s="27">
        <v>0.26600000000000001</v>
      </c>
      <c r="V77" s="24">
        <f t="shared" si="747"/>
        <v>3716.02</v>
      </c>
      <c r="W77" s="38">
        <v>0.46300000000000002</v>
      </c>
      <c r="X77" s="24">
        <f t="shared" si="748"/>
        <v>6468.1100000000006</v>
      </c>
      <c r="Y77" s="38">
        <v>0.46</v>
      </c>
      <c r="Z77" s="24">
        <f t="shared" si="749"/>
        <v>6426.2000000000007</v>
      </c>
      <c r="AA77" s="117">
        <v>2.8700000000000002E-3</v>
      </c>
      <c r="AB77" s="18">
        <f t="shared" si="750"/>
        <v>40.093900000000005</v>
      </c>
      <c r="AC77" s="39">
        <v>2.8800000000000002E-3</v>
      </c>
      <c r="AD77" s="17">
        <f t="shared" si="751"/>
        <v>40.233600000000003</v>
      </c>
      <c r="AE77" s="26">
        <f>IF(M77&gt;0,(AG77+AP77)/M77,0)</f>
        <v>2.8990959198282032E-3</v>
      </c>
      <c r="AF77" s="39">
        <v>2.5999999999999998E-4</v>
      </c>
      <c r="AG77" s="36">
        <f t="shared" si="752"/>
        <v>3.6321999999999997</v>
      </c>
      <c r="AH77" s="27">
        <v>0.2082</v>
      </c>
      <c r="AI77" s="40">
        <f t="shared" si="753"/>
        <v>36.037337999999998</v>
      </c>
      <c r="AJ77" s="27">
        <f t="shared" si="754"/>
        <v>0.91085970311948972</v>
      </c>
      <c r="AK77" s="28">
        <f t="shared" si="668"/>
        <v>0.91142941165389124</v>
      </c>
      <c r="AL77" s="33">
        <v>190</v>
      </c>
      <c r="AM77" s="35">
        <v>8.8999999999999996E-2</v>
      </c>
      <c r="AN77" s="37">
        <v>0.21299999999999999</v>
      </c>
      <c r="AO77" s="103">
        <v>0.2142</v>
      </c>
      <c r="AP77" s="40">
        <f>AL77*(1-AM77)*AN77</f>
        <v>36.868169999999999</v>
      </c>
      <c r="AQ77" s="104">
        <f t="shared" si="712"/>
        <v>37.075878000000003</v>
      </c>
      <c r="AR77" s="41">
        <v>1.55</v>
      </c>
      <c r="AS77" s="41"/>
      <c r="AT77" s="129">
        <f>AT76+AL77-AS77</f>
        <v>1468.6999999999994</v>
      </c>
      <c r="AU77" s="82"/>
      <c r="AV77" s="42"/>
      <c r="AW77" s="43"/>
      <c r="AX77" s="44"/>
      <c r="AY77" s="44"/>
      <c r="AZ77" s="44"/>
      <c r="BA77" s="44"/>
    </row>
    <row r="78" spans="1:54">
      <c r="A78" s="148"/>
      <c r="B78" s="32">
        <v>3</v>
      </c>
      <c r="C78" s="10" t="s">
        <v>53</v>
      </c>
      <c r="D78" s="42">
        <v>19560</v>
      </c>
      <c r="E78" s="42">
        <v>3</v>
      </c>
      <c r="F78" s="42">
        <v>16739</v>
      </c>
      <c r="G78" s="36">
        <v>0.6</v>
      </c>
      <c r="H78" s="36">
        <v>6.7</v>
      </c>
      <c r="I78" s="42">
        <v>17357</v>
      </c>
      <c r="J78" s="133">
        <v>1.1000000000000001</v>
      </c>
      <c r="K78" s="42">
        <v>15019</v>
      </c>
      <c r="L78" s="38">
        <v>6.6000000000000003E-2</v>
      </c>
      <c r="M78" s="36">
        <f>ROUND(K78*(1-L78),0)</f>
        <v>14028</v>
      </c>
      <c r="N78" s="27">
        <v>0.84799999999999998</v>
      </c>
      <c r="O78" s="24">
        <f t="shared" si="744"/>
        <v>11895.743999999999</v>
      </c>
      <c r="P78" s="38">
        <v>0.11600000000000001</v>
      </c>
      <c r="Q78" s="24">
        <f t="shared" si="745"/>
        <v>1627.248</v>
      </c>
      <c r="R78" s="38">
        <v>3.5999999999999997E-2</v>
      </c>
      <c r="S78" s="105">
        <v>0.25409999999999999</v>
      </c>
      <c r="T78" s="24">
        <f t="shared" si="746"/>
        <v>505.00799999999998</v>
      </c>
      <c r="U78" s="27">
        <v>0.26300000000000001</v>
      </c>
      <c r="V78" s="24">
        <f t="shared" si="747"/>
        <v>3689.364</v>
      </c>
      <c r="W78" s="38">
        <v>0.45200000000000001</v>
      </c>
      <c r="X78" s="24">
        <f t="shared" si="748"/>
        <v>6340.6559999999999</v>
      </c>
      <c r="Y78" s="38">
        <v>0.44</v>
      </c>
      <c r="Z78" s="24">
        <f t="shared" si="749"/>
        <v>6172.32</v>
      </c>
      <c r="AA78" s="118">
        <v>2.64E-3</v>
      </c>
      <c r="AB78" s="121">
        <f t="shared" si="750"/>
        <v>37.033920000000002</v>
      </c>
      <c r="AC78" s="45">
        <v>2.5899999999999999E-3</v>
      </c>
      <c r="AD78" s="17">
        <f t="shared" si="751"/>
        <v>36.332519999999995</v>
      </c>
      <c r="AE78" s="26">
        <f>IF(M78&gt;0,(AG78+AP78)/M78,0)</f>
        <v>2.561764328485885E-3</v>
      </c>
      <c r="AF78" s="45">
        <v>2.5000000000000001E-4</v>
      </c>
      <c r="AG78" s="36">
        <f t="shared" si="752"/>
        <v>3.5070000000000001</v>
      </c>
      <c r="AH78" s="27">
        <v>0.2051</v>
      </c>
      <c r="AI78" s="40">
        <f t="shared" si="753"/>
        <v>30.964972499999998</v>
      </c>
      <c r="AJ78" s="27">
        <f t="shared" si="754"/>
        <v>0.90457750892215139</v>
      </c>
      <c r="AK78" s="28">
        <f t="shared" si="668"/>
        <v>0.90346252340961075</v>
      </c>
      <c r="AL78" s="42">
        <v>165</v>
      </c>
      <c r="AM78" s="38">
        <v>8.5000000000000006E-2</v>
      </c>
      <c r="AN78" s="27">
        <v>0.21479999999999999</v>
      </c>
      <c r="AO78" s="105">
        <v>0.21879999999999999</v>
      </c>
      <c r="AP78" s="40">
        <f>AL78*(1-AM78)*AN78</f>
        <v>32.429429999999996</v>
      </c>
      <c r="AQ78" s="106">
        <f t="shared" si="712"/>
        <v>33.033329999999999</v>
      </c>
      <c r="AR78" s="17">
        <v>1.55</v>
      </c>
      <c r="AS78" s="17"/>
      <c r="AT78" s="129">
        <f>AT77+AL78-AS78</f>
        <v>1633.6999999999994</v>
      </c>
      <c r="AU78" s="82"/>
      <c r="AV78" s="42"/>
      <c r="AW78" s="46"/>
      <c r="AX78" s="40"/>
      <c r="AY78" s="40"/>
      <c r="AZ78" s="40"/>
      <c r="BA78" s="40"/>
    </row>
    <row r="79" spans="1:54">
      <c r="A79" s="149"/>
      <c r="B79" s="47" t="s">
        <v>56</v>
      </c>
      <c r="C79" s="48"/>
      <c r="D79" s="49">
        <f t="shared" ref="D79" si="756">SUM(D76:D78)</f>
        <v>41460</v>
      </c>
      <c r="E79" s="49"/>
      <c r="F79" s="49">
        <f t="shared" ref="F79" si="757">SUM(F76:F78)</f>
        <v>44107</v>
      </c>
      <c r="G79" s="50"/>
      <c r="H79" s="50"/>
      <c r="I79" s="49">
        <f t="shared" ref="I79:K79" si="758">SUM(I76:I78)</f>
        <v>44461</v>
      </c>
      <c r="J79" s="50"/>
      <c r="K79" s="49">
        <f t="shared" si="758"/>
        <v>44588</v>
      </c>
      <c r="L79" s="20">
        <f t="shared" ref="L79" si="759">IF(K79&gt;0,(K76*L76+K77*L77+K78*L78)/K79,0)</f>
        <v>6.2025231003857546E-2</v>
      </c>
      <c r="M79" s="50">
        <f t="shared" ref="M79" si="760">M76+M77+M78</f>
        <v>41822</v>
      </c>
      <c r="N79" s="51">
        <f t="shared" ref="N79" si="761">IF(M79&gt;0,O79/M79,0)</f>
        <v>0.754932188800153</v>
      </c>
      <c r="O79" s="52">
        <f t="shared" ref="O79" si="762">O76+O77+O78</f>
        <v>31572.773999999998</v>
      </c>
      <c r="P79" s="20">
        <f t="shared" ref="P79" si="763">IF(M79&gt;0,Q79/M79,0)</f>
        <v>0.21472196451628331</v>
      </c>
      <c r="Q79" s="52">
        <f t="shared" ref="Q79" si="764">Q76+Q77+Q78</f>
        <v>8980.1020000000008</v>
      </c>
      <c r="R79" s="20">
        <f t="shared" ref="R79" si="765">IF(M79&gt;0,T79/M79,0)</f>
        <v>3.0345846683563674E-2</v>
      </c>
      <c r="S79" s="107"/>
      <c r="T79" s="52">
        <f t="shared" ref="T79" si="766">T76+T77+T78</f>
        <v>1269.124</v>
      </c>
      <c r="U79" s="20">
        <f t="shared" ref="U79" si="767">IF(M79&gt;0,V79/M79,0)</f>
        <v>0.26697699775237915</v>
      </c>
      <c r="V79" s="52">
        <f t="shared" ref="V79" si="768">V76+V77+V78</f>
        <v>11165.512000000001</v>
      </c>
      <c r="W79" s="20">
        <f t="shared" ref="W79" si="769">IF(M79&gt;0,X79/M79,0)</f>
        <v>0.458318731767969</v>
      </c>
      <c r="X79" s="52">
        <f t="shared" ref="X79" si="770">X76+X77+X78</f>
        <v>19167.806</v>
      </c>
      <c r="Y79" s="20">
        <f t="shared" ref="Y79" si="771">IF(M79&gt;0,Z79/M79,0)</f>
        <v>0.44998613170101859</v>
      </c>
      <c r="Z79" s="52">
        <f t="shared" ref="Z79" si="772">Z76+Z77+Z78</f>
        <v>18819.32</v>
      </c>
      <c r="AA79" s="119">
        <f>IF(M79&gt;0,AB79/M79,0)</f>
        <v>2.7366606092487206E-3</v>
      </c>
      <c r="AB79" s="54">
        <f t="shared" ref="AB79" si="773">SUM(AB76:AB78)</f>
        <v>114.45262</v>
      </c>
      <c r="AC79" s="53">
        <f t="shared" ref="AC79" si="774">IF(M79&gt;0,AD79/M79,0)</f>
        <v>2.8091712495815599E-3</v>
      </c>
      <c r="AD79" s="54">
        <f t="shared" ref="AD79" si="775">SUM(AD76:AD78)</f>
        <v>117.48516000000001</v>
      </c>
      <c r="AE79" s="53">
        <f t="shared" ref="AE79" si="776">IF(M79&gt;0,(AE76*M76+AE77*M77+AE78*M78)/M79,0)</f>
        <v>2.7217592558940271E-3</v>
      </c>
      <c r="AF79" s="53">
        <f t="shared" ref="AF79" si="777">IF(K79&gt;0,(K76*AF76+K77*AF77+K78*AF78)/K79,0)</f>
        <v>2.5992643760653088E-4</v>
      </c>
      <c r="AG79" s="50">
        <f t="shared" ref="AG79" si="778">SUM(AG76:AG78)</f>
        <v>10.87168</v>
      </c>
      <c r="AH79" s="51">
        <f t="shared" ref="AH79" si="779">IF(K79&gt;0,(K76*AH76+K77*AH77+K78*AH78)/K79,0)</f>
        <v>0.20774886740827128</v>
      </c>
      <c r="AI79" s="56">
        <f t="shared" ref="AI79" si="780">SUM(AI76:AI78)</f>
        <v>99.546640500000009</v>
      </c>
      <c r="AJ79" s="51">
        <f t="shared" ref="AJ79" si="781">IF(AND(AD79&gt;0),((AD76*AJ76+AD77*AJ77+AD78*AJ78)/AD79),0)</f>
        <v>0.90860137763882909</v>
      </c>
      <c r="AK79" s="55">
        <f t="shared" si="668"/>
        <v>0.90559545637063954</v>
      </c>
      <c r="AL79" s="49">
        <f t="shared" ref="AL79" si="782">SUM(AL76:AL78)</f>
        <v>524</v>
      </c>
      <c r="AM79" s="20">
        <f t="shared" ref="AM79" si="783">IF(AL79&gt;0,(AM76*AL76+AM77*AL77+AM78*AL78)/AL79,0)</f>
        <v>8.5805343511450388E-2</v>
      </c>
      <c r="AN79" s="51">
        <f>IF(K79&gt;0,(AN76*K76+AN77*K77+AN78*K78)/K79,0)</f>
        <v>0.21499014084507043</v>
      </c>
      <c r="AO79" s="107">
        <f>IF(L79&gt;0,(AO76*K76+AO77*K77+AO78*K78)/K79,0)</f>
        <v>0.21808879294877545</v>
      </c>
      <c r="AP79" s="56">
        <f t="shared" ref="AP79" si="784">SUM(AP76:AP78)</f>
        <v>102.95773560000001</v>
      </c>
      <c r="AQ79" s="108">
        <f t="shared" si="741"/>
        <v>104.4047329</v>
      </c>
      <c r="AR79" s="54"/>
      <c r="AS79" s="54">
        <f t="shared" ref="AS79" si="785">SUM(AS76:AS78)</f>
        <v>1006.86</v>
      </c>
      <c r="AT79" s="83"/>
      <c r="AU79" s="84">
        <f>AT78</f>
        <v>1633.6999999999994</v>
      </c>
      <c r="AV79" s="49">
        <f t="shared" ref="AV79" si="786">SUM(AV76:AV78)</f>
        <v>0</v>
      </c>
      <c r="AW79" s="57"/>
      <c r="AX79" s="56"/>
      <c r="AY79" s="56"/>
      <c r="AZ79" s="56"/>
      <c r="BA79" s="56"/>
      <c r="BB79" s="21"/>
    </row>
    <row r="80" spans="1:54">
      <c r="A80" s="147">
        <v>20</v>
      </c>
      <c r="B80" s="22">
        <v>1</v>
      </c>
      <c r="C80" s="10" t="s">
        <v>54</v>
      </c>
      <c r="D80" s="11">
        <v>6477</v>
      </c>
      <c r="E80" s="11">
        <v>2</v>
      </c>
      <c r="F80" s="11">
        <v>7473</v>
      </c>
      <c r="G80" s="12">
        <v>0.8</v>
      </c>
      <c r="H80" s="12">
        <v>5.2</v>
      </c>
      <c r="I80" s="11">
        <v>7843</v>
      </c>
      <c r="J80" s="131">
        <v>4.4000000000000004</v>
      </c>
      <c r="K80" s="11">
        <v>14919</v>
      </c>
      <c r="L80" s="13">
        <v>7.4999999999999997E-2</v>
      </c>
      <c r="M80" s="23">
        <f>ROUND(K80*(1-L80),0)</f>
        <v>13800</v>
      </c>
      <c r="N80" s="14">
        <v>0.66500000000000004</v>
      </c>
      <c r="O80" s="24">
        <f t="shared" ref="O80:O82" si="787">M80*N80</f>
        <v>9177</v>
      </c>
      <c r="P80" s="13">
        <v>0.29099999999999998</v>
      </c>
      <c r="Q80" s="24">
        <f t="shared" ref="Q80:Q82" si="788">M80*P80</f>
        <v>4015.7999999999997</v>
      </c>
      <c r="R80" s="15">
        <v>4.3999999999999997E-2</v>
      </c>
      <c r="S80" s="112">
        <v>0.23619999999999999</v>
      </c>
      <c r="T80" s="24">
        <f t="shared" ref="T80:T82" si="789">M80*R80</f>
        <v>607.19999999999993</v>
      </c>
      <c r="U80" s="25">
        <v>0.25600000000000001</v>
      </c>
      <c r="V80" s="24">
        <f t="shared" ref="V80:V82" si="790">M80*U80</f>
        <v>3532.8</v>
      </c>
      <c r="W80" s="15">
        <v>0.47</v>
      </c>
      <c r="X80" s="24">
        <f t="shared" ref="X80:X82" si="791">M80*W80</f>
        <v>6486</v>
      </c>
      <c r="Y80" s="15">
        <v>0.44</v>
      </c>
      <c r="Z80" s="24">
        <f t="shared" ref="Z80:Z82" si="792">Y80*M80</f>
        <v>6072</v>
      </c>
      <c r="AA80" s="116">
        <v>2.4599999999999999E-3</v>
      </c>
      <c r="AB80" s="18">
        <f t="shared" ref="AB80" si="793">M80*AA80</f>
        <v>33.948</v>
      </c>
      <c r="AC80" s="16">
        <v>2.5000000000000001E-3</v>
      </c>
      <c r="AD80" s="17">
        <f t="shared" ref="AD80:AD82" si="794">M80*AC80</f>
        <v>34.5</v>
      </c>
      <c r="AE80" s="26">
        <f>IF(M80&gt;0,(AG80+AP80)/M80,0)</f>
        <v>2.3304467391304351E-3</v>
      </c>
      <c r="AF80" s="16">
        <v>2.5000000000000001E-4</v>
      </c>
      <c r="AG80" s="23">
        <f t="shared" ref="AG80:AG82" si="795">AF80*M80</f>
        <v>3.45</v>
      </c>
      <c r="AH80" s="92">
        <v>0.2044</v>
      </c>
      <c r="AI80" s="29">
        <f t="shared" ref="AI80:AI82" si="796">AL80*(1-AM80)*AH80</f>
        <v>27.931260000000002</v>
      </c>
      <c r="AJ80" s="27">
        <f t="shared" ref="AJ80:AJ82" si="797">IF(AND(AH80&gt;0,AF80&gt;0,AC80&gt;0),((AC80-AF80)*AH80)/((AH80-AF80)*AC80),0)</f>
        <v>0.90110213078618684</v>
      </c>
      <c r="AK80" s="58">
        <f t="shared" si="668"/>
        <v>0.89378795782650278</v>
      </c>
      <c r="AL80" s="11">
        <v>150</v>
      </c>
      <c r="AM80" s="13">
        <v>8.8999999999999996E-2</v>
      </c>
      <c r="AN80" s="14">
        <v>0.21010000000000001</v>
      </c>
      <c r="AO80" s="101">
        <v>0.2092</v>
      </c>
      <c r="AP80" s="29">
        <f>AL80*(1-AM80)*AN80</f>
        <v>28.710165000000003</v>
      </c>
      <c r="AQ80" s="102">
        <f t="shared" ref="AQ80" si="798">AL80*(1-AM80)*AO80</f>
        <v>28.58718</v>
      </c>
      <c r="AR80" s="18">
        <v>1.55</v>
      </c>
      <c r="AS80" s="18">
        <v>1005.6</v>
      </c>
      <c r="AT80" s="79">
        <f>AT78+AL80-AS80</f>
        <v>778.09999999999934</v>
      </c>
      <c r="AU80" s="80"/>
      <c r="AV80" s="11"/>
      <c r="AW80" s="30"/>
      <c r="AX80" s="19"/>
      <c r="AY80" s="19"/>
      <c r="AZ80" s="19"/>
      <c r="BA80" s="19"/>
    </row>
    <row r="81" spans="1:54">
      <c r="A81" s="148"/>
      <c r="B81" s="32">
        <v>2</v>
      </c>
      <c r="C81" s="10" t="s">
        <v>58</v>
      </c>
      <c r="D81" s="33">
        <v>17800</v>
      </c>
      <c r="E81" s="33">
        <v>5</v>
      </c>
      <c r="F81" s="33">
        <v>17673</v>
      </c>
      <c r="G81" s="34">
        <v>0.6</v>
      </c>
      <c r="H81" s="34">
        <v>5.3</v>
      </c>
      <c r="I81" s="33">
        <v>17669</v>
      </c>
      <c r="J81" s="34">
        <v>2.5</v>
      </c>
      <c r="K81" s="33">
        <v>14487</v>
      </c>
      <c r="L81" s="35">
        <v>7.3999999999999996E-2</v>
      </c>
      <c r="M81" s="36">
        <f>ROUND(K81*(1-L81),0)</f>
        <v>13415</v>
      </c>
      <c r="N81" s="37">
        <v>0.77</v>
      </c>
      <c r="O81" s="24">
        <f t="shared" si="787"/>
        <v>10329.550000000001</v>
      </c>
      <c r="P81" s="35">
        <v>0.21</v>
      </c>
      <c r="Q81" s="24">
        <f t="shared" si="788"/>
        <v>2817.15</v>
      </c>
      <c r="R81" s="38">
        <v>0.02</v>
      </c>
      <c r="S81" s="105">
        <v>0.2407</v>
      </c>
      <c r="T81" s="24">
        <f t="shared" si="789"/>
        <v>268.3</v>
      </c>
      <c r="U81" s="27">
        <v>0.26300000000000001</v>
      </c>
      <c r="V81" s="24">
        <f t="shared" si="790"/>
        <v>3528.145</v>
      </c>
      <c r="W81" s="38">
        <v>0.46899999999999997</v>
      </c>
      <c r="X81" s="24">
        <f t="shared" si="791"/>
        <v>6291.6349999999993</v>
      </c>
      <c r="Y81" s="38">
        <v>0.43</v>
      </c>
      <c r="Z81" s="24">
        <f t="shared" si="792"/>
        <v>5768.45</v>
      </c>
      <c r="AA81" s="117">
        <v>2.6800000000000001E-3</v>
      </c>
      <c r="AB81" s="18">
        <f t="shared" si="750"/>
        <v>35.952199999999998</v>
      </c>
      <c r="AC81" s="39">
        <v>2.4399999999999999E-3</v>
      </c>
      <c r="AD81" s="17">
        <f t="shared" si="794"/>
        <v>32.732599999999998</v>
      </c>
      <c r="AE81" s="26">
        <f>IF(M81&gt;0,(AG81+AP81)/M81,0)</f>
        <v>2.6188474767051811E-3</v>
      </c>
      <c r="AF81" s="39">
        <v>2.4000000000000001E-4</v>
      </c>
      <c r="AG81" s="36">
        <f t="shared" si="795"/>
        <v>3.2196000000000002</v>
      </c>
      <c r="AH81" s="27">
        <v>0.22159999999999999</v>
      </c>
      <c r="AI81" s="40">
        <f t="shared" si="796"/>
        <v>30.0797624</v>
      </c>
      <c r="AJ81" s="27">
        <f t="shared" si="797"/>
        <v>0.9026169077002375</v>
      </c>
      <c r="AK81" s="28">
        <f t="shared" si="668"/>
        <v>0.90928486952409004</v>
      </c>
      <c r="AL81" s="33">
        <v>149</v>
      </c>
      <c r="AM81" s="35">
        <v>8.8999999999999996E-2</v>
      </c>
      <c r="AN81" s="37">
        <v>0.2351</v>
      </c>
      <c r="AO81" s="103">
        <v>0.24</v>
      </c>
      <c r="AP81" s="40">
        <f>AL81*(1-AM81)*AN81</f>
        <v>31.912238900000002</v>
      </c>
      <c r="AQ81" s="104">
        <f t="shared" si="712"/>
        <v>32.577359999999999</v>
      </c>
      <c r="AR81" s="41">
        <v>1.55</v>
      </c>
      <c r="AS81" s="41"/>
      <c r="AT81" s="129">
        <f>AT80+AL81-AS81</f>
        <v>927.09999999999934</v>
      </c>
      <c r="AU81" s="82"/>
      <c r="AV81" s="42"/>
      <c r="AW81" s="43"/>
      <c r="AX81" s="44"/>
      <c r="AY81" s="44"/>
      <c r="AZ81" s="44"/>
      <c r="BA81" s="44"/>
    </row>
    <row r="82" spans="1:54">
      <c r="A82" s="148"/>
      <c r="B82" s="32">
        <v>3</v>
      </c>
      <c r="C82" s="10" t="s">
        <v>53</v>
      </c>
      <c r="D82" s="42">
        <v>23823</v>
      </c>
      <c r="E82" s="42">
        <v>1</v>
      </c>
      <c r="F82" s="42">
        <v>18977</v>
      </c>
      <c r="G82" s="36">
        <v>0.9</v>
      </c>
      <c r="H82" s="36">
        <v>6.5</v>
      </c>
      <c r="I82" s="42">
        <v>18882</v>
      </c>
      <c r="J82" s="36">
        <v>0.9</v>
      </c>
      <c r="K82" s="42">
        <v>15030</v>
      </c>
      <c r="L82" s="38">
        <v>6.5000000000000002E-2</v>
      </c>
      <c r="M82" s="36">
        <f>ROUND(K82*(1-L82),0)</f>
        <v>14053</v>
      </c>
      <c r="N82" s="27">
        <v>0.77400000000000002</v>
      </c>
      <c r="O82" s="24">
        <f t="shared" si="787"/>
        <v>10877.022000000001</v>
      </c>
      <c r="P82" s="38">
        <v>0.193</v>
      </c>
      <c r="Q82" s="24">
        <f t="shared" si="788"/>
        <v>2712.2290000000003</v>
      </c>
      <c r="R82" s="38">
        <v>3.3000000000000002E-2</v>
      </c>
      <c r="S82" s="105">
        <v>0.23749999999999999</v>
      </c>
      <c r="T82" s="24">
        <f t="shared" si="789"/>
        <v>463.74900000000002</v>
      </c>
      <c r="U82" s="27">
        <v>0.27700000000000002</v>
      </c>
      <c r="V82" s="24">
        <f t="shared" si="790"/>
        <v>3892.6810000000005</v>
      </c>
      <c r="W82" s="38">
        <v>0.45800000000000002</v>
      </c>
      <c r="X82" s="24">
        <f t="shared" si="791"/>
        <v>6436.2740000000003</v>
      </c>
      <c r="Y82" s="38">
        <v>0.46</v>
      </c>
      <c r="Z82" s="24">
        <f t="shared" si="792"/>
        <v>6464.38</v>
      </c>
      <c r="AA82" s="118">
        <v>2.4399999999999999E-3</v>
      </c>
      <c r="AB82" s="121">
        <f t="shared" si="750"/>
        <v>34.289319999999996</v>
      </c>
      <c r="AC82" s="45">
        <v>2.4499999999999999E-3</v>
      </c>
      <c r="AD82" s="17">
        <f t="shared" si="794"/>
        <v>34.429850000000002</v>
      </c>
      <c r="AE82" s="26">
        <f>IF(M82&gt;0,(AG82+AP82)/M82,0)</f>
        <v>2.355190592755995E-3</v>
      </c>
      <c r="AF82" s="45">
        <v>2.4000000000000001E-4</v>
      </c>
      <c r="AG82" s="36">
        <f t="shared" si="795"/>
        <v>3.3727200000000002</v>
      </c>
      <c r="AH82" s="27">
        <v>0.21590000000000001</v>
      </c>
      <c r="AI82" s="40">
        <f t="shared" si="796"/>
        <v>32.362978200000001</v>
      </c>
      <c r="AJ82" s="27">
        <f t="shared" si="797"/>
        <v>0.90304466403087225</v>
      </c>
      <c r="AK82" s="28">
        <f t="shared" si="668"/>
        <v>0.8991856922156154</v>
      </c>
      <c r="AL82" s="42">
        <v>166</v>
      </c>
      <c r="AM82" s="38">
        <v>9.7000000000000003E-2</v>
      </c>
      <c r="AN82" s="27">
        <v>0.1983</v>
      </c>
      <c r="AO82" s="105">
        <v>0.19869999999999999</v>
      </c>
      <c r="AP82" s="40">
        <f>AL82*(1-AM82)*AN82</f>
        <v>29.7247734</v>
      </c>
      <c r="AQ82" s="106">
        <f t="shared" si="712"/>
        <v>29.784732599999998</v>
      </c>
      <c r="AR82" s="17">
        <v>1.5</v>
      </c>
      <c r="AS82" s="17"/>
      <c r="AT82" s="129">
        <f>AT81+AL82-AS82</f>
        <v>1093.0999999999995</v>
      </c>
      <c r="AU82" s="82"/>
      <c r="AV82" s="42"/>
      <c r="AW82" s="46"/>
      <c r="AX82" s="40"/>
      <c r="AY82" s="40"/>
      <c r="AZ82" s="40"/>
      <c r="BA82" s="40"/>
    </row>
    <row r="83" spans="1:54">
      <c r="A83" s="149"/>
      <c r="B83" s="47" t="s">
        <v>56</v>
      </c>
      <c r="C83" s="48"/>
      <c r="D83" s="49">
        <f t="shared" ref="D83" si="799">SUM(D80:D82)</f>
        <v>48100</v>
      </c>
      <c r="E83" s="49"/>
      <c r="F83" s="49">
        <f t="shared" ref="F83" si="800">SUM(F80:F82)</f>
        <v>44123</v>
      </c>
      <c r="G83" s="50"/>
      <c r="H83" s="50"/>
      <c r="I83" s="49">
        <f t="shared" ref="I83:K83" si="801">SUM(I80:I82)</f>
        <v>44394</v>
      </c>
      <c r="J83" s="50"/>
      <c r="K83" s="49">
        <f t="shared" si="801"/>
        <v>44436</v>
      </c>
      <c r="L83" s="20">
        <f t="shared" ref="L83" si="802">IF(K83&gt;0,(K80*L80+K81*L81+K82*L82)/K83,0)</f>
        <v>7.1291587901701314E-2</v>
      </c>
      <c r="M83" s="50">
        <f t="shared" ref="M83" si="803">M80+M81+M82</f>
        <v>41268</v>
      </c>
      <c r="N83" s="51">
        <f t="shared" ref="N83" si="804">IF(M83&gt;0,O83/M83,0)</f>
        <v>0.73625016962295253</v>
      </c>
      <c r="O83" s="52">
        <f t="shared" ref="O83" si="805">O80+O81+O82</f>
        <v>30383.572000000004</v>
      </c>
      <c r="P83" s="20">
        <f t="shared" ref="P83" si="806">IF(M83&gt;0,Q83/M83,0)</f>
        <v>0.23129734903557236</v>
      </c>
      <c r="Q83" s="52">
        <f t="shared" ref="Q83" si="807">Q80+Q81+Q82</f>
        <v>9545.1790000000001</v>
      </c>
      <c r="R83" s="20">
        <f t="shared" ref="R83" si="808">IF(M83&gt;0,T83/M83,0)</f>
        <v>3.2452481341475235E-2</v>
      </c>
      <c r="S83" s="107"/>
      <c r="T83" s="52">
        <f t="shared" ref="T83" si="809">T80+T81+T82</f>
        <v>1339.249</v>
      </c>
      <c r="U83" s="20">
        <f t="shared" ref="U83" si="810">IF(M83&gt;0,V83/M83,0)</f>
        <v>0.2654266259571581</v>
      </c>
      <c r="V83" s="52">
        <f t="shared" ref="V83" si="811">V80+V81+V82</f>
        <v>10953.626</v>
      </c>
      <c r="W83" s="20">
        <f t="shared" ref="W83" si="812">IF(M83&gt;0,X83/M83,0)</f>
        <v>0.46558856741300764</v>
      </c>
      <c r="X83" s="52">
        <f t="shared" ref="X83" si="813">X80+X81+X82</f>
        <v>19213.909</v>
      </c>
      <c r="Y83" s="20">
        <f t="shared" ref="Y83" si="814">IF(M83&gt;0,Z83/M83,0)</f>
        <v>0.44355990113405064</v>
      </c>
      <c r="Z83" s="52">
        <f t="shared" ref="Z83" si="815">Z80+Z81+Z82</f>
        <v>18304.830000000002</v>
      </c>
      <c r="AA83" s="119">
        <f>IF(M83&gt;0,AB83/M83,0)</f>
        <v>2.5247048560628088E-3</v>
      </c>
      <c r="AB83" s="54">
        <f t="shared" ref="AB83" si="816">SUM(AB80:AB82)</f>
        <v>104.18951999999999</v>
      </c>
      <c r="AC83" s="53">
        <f t="shared" ref="AC83" si="817">IF(M83&gt;0,AD83/M83,0)</f>
        <v>2.4634692740137633E-3</v>
      </c>
      <c r="AD83" s="54">
        <f t="shared" ref="AD83" si="818">SUM(AD80:AD82)</f>
        <v>101.66244999999999</v>
      </c>
      <c r="AE83" s="53">
        <f t="shared" ref="AE83" si="819">IF(M83&gt;0,(AE80*M80+AE81*M81+AE82*M82)/M83,0)</f>
        <v>2.432623274692256E-3</v>
      </c>
      <c r="AF83" s="53">
        <f t="shared" ref="AF83" si="820">IF(K83&gt;0,(K80*AF80+K81*AF81+K82*AF82)/K83,0)</f>
        <v>2.4335741290845264E-4</v>
      </c>
      <c r="AG83" s="50">
        <f t="shared" ref="AG83" si="821">SUM(AG80:AG82)</f>
        <v>10.04232</v>
      </c>
      <c r="AH83" s="51">
        <f t="shared" ref="AH83" si="822">IF(K83&gt;0,(K80*AH80+K81*AH81+K82*AH82)/K83,0)</f>
        <v>0.21389728598433705</v>
      </c>
      <c r="AI83" s="56">
        <f t="shared" ref="AI83" si="823">SUM(AI80:AI82)</f>
        <v>90.374000600000002</v>
      </c>
      <c r="AJ83" s="51">
        <f t="shared" ref="AJ83" si="824">IF(AND(AD83&gt;0),((AD80*AJ80+AD81*AJ81+AD82*AJ82)/AD83),0)</f>
        <v>0.90224772303830547</v>
      </c>
      <c r="AK83" s="55">
        <f t="shared" si="668"/>
        <v>0.90098425763238221</v>
      </c>
      <c r="AL83" s="49">
        <f t="shared" ref="AL83" si="825">SUM(AL80:AL82)</f>
        <v>465</v>
      </c>
      <c r="AM83" s="20">
        <f t="shared" ref="AM83" si="826">IF(AL83&gt;0,(AM80*AL80+AM81*AL81+AM82*AL82)/AL83,0)</f>
        <v>9.1855913978494616E-2</v>
      </c>
      <c r="AN83" s="51">
        <f>IF(K83&gt;0,(AN80*K80+AN81*K81+AN82*K82)/K83,0)</f>
        <v>0.21425926275992438</v>
      </c>
      <c r="AO83" s="107">
        <f>IF(L83&gt;0,(AO80*K80+AO81*K81+AO82*K82)/K83,0)</f>
        <v>0.21568988657844987</v>
      </c>
      <c r="AP83" s="56">
        <f t="shared" ref="AP83" si="827">SUM(AP80:AP82)</f>
        <v>90.347177300000013</v>
      </c>
      <c r="AQ83" s="108">
        <f t="shared" si="741"/>
        <v>90.9492726</v>
      </c>
      <c r="AR83" s="54"/>
      <c r="AS83" s="54">
        <f t="shared" ref="AS83" si="828">SUM(AS80:AS82)</f>
        <v>1005.6</v>
      </c>
      <c r="AT83" s="83"/>
      <c r="AU83" s="84">
        <f>AT82</f>
        <v>1093.0999999999995</v>
      </c>
      <c r="AV83" s="49">
        <f t="shared" ref="AV83" si="829">SUM(AV80:AV82)</f>
        <v>0</v>
      </c>
      <c r="AW83" s="57"/>
      <c r="AX83" s="56"/>
      <c r="AY83" s="56"/>
      <c r="AZ83" s="56"/>
      <c r="BA83" s="56"/>
      <c r="BB83" s="21"/>
    </row>
    <row r="84" spans="1:54">
      <c r="A84" s="147">
        <v>21</v>
      </c>
      <c r="B84" s="22">
        <v>1</v>
      </c>
      <c r="C84" s="10" t="s">
        <v>54</v>
      </c>
      <c r="D84" s="11">
        <v>2611</v>
      </c>
      <c r="E84" s="11">
        <v>1</v>
      </c>
      <c r="F84" s="11">
        <v>4648</v>
      </c>
      <c r="G84" s="12">
        <v>0.4</v>
      </c>
      <c r="H84" s="12">
        <v>7.6</v>
      </c>
      <c r="I84" s="11">
        <v>4864</v>
      </c>
      <c r="J84" s="12">
        <v>5.8</v>
      </c>
      <c r="K84" s="11">
        <v>14644</v>
      </c>
      <c r="L84" s="13">
        <v>6.3E-2</v>
      </c>
      <c r="M84" s="23">
        <f>ROUND(K84*(1-L84),0)</f>
        <v>13721</v>
      </c>
      <c r="N84" s="14">
        <v>0.79300000000000004</v>
      </c>
      <c r="O84" s="24">
        <f t="shared" ref="O84:O86" si="830">M84*N84</f>
        <v>10880.753000000001</v>
      </c>
      <c r="P84" s="13">
        <v>0.17399999999999999</v>
      </c>
      <c r="Q84" s="24">
        <f t="shared" ref="Q84:Q86" si="831">M84*P84</f>
        <v>2387.4539999999997</v>
      </c>
      <c r="R84" s="15">
        <v>3.3000000000000002E-2</v>
      </c>
      <c r="S84" s="112">
        <v>0.25419999999999998</v>
      </c>
      <c r="T84" s="24">
        <f t="shared" ref="T84:T86" si="832">M84*R84</f>
        <v>452.79300000000001</v>
      </c>
      <c r="U84" s="25">
        <v>0.27800000000000002</v>
      </c>
      <c r="V84" s="24">
        <f t="shared" ref="V84:V86" si="833">M84*U84</f>
        <v>3814.4380000000006</v>
      </c>
      <c r="W84" s="15">
        <v>0.45600000000000002</v>
      </c>
      <c r="X84" s="24">
        <f t="shared" ref="X84:X86" si="834">M84*W84</f>
        <v>6256.7759999999998</v>
      </c>
      <c r="Y84" s="15">
        <v>0.46</v>
      </c>
      <c r="Z84" s="24">
        <f t="shared" ref="Z84:Z86" si="835">Y84*M84</f>
        <v>6311.66</v>
      </c>
      <c r="AA84" s="116">
        <v>2.5100000000000001E-3</v>
      </c>
      <c r="AB84" s="18">
        <f t="shared" ref="AB84" si="836">M84*AA84</f>
        <v>34.439709999999998</v>
      </c>
      <c r="AC84" s="16">
        <v>2.5000000000000001E-3</v>
      </c>
      <c r="AD84" s="17">
        <f t="shared" ref="AD84:AD86" si="837">M84*AC84</f>
        <v>34.302500000000002</v>
      </c>
      <c r="AE84" s="26">
        <f>IF(M84&gt;0,(AG84+AP84)/M84,0)</f>
        <v>2.2632764740179293E-3</v>
      </c>
      <c r="AF84" s="16">
        <v>2.5000000000000001E-4</v>
      </c>
      <c r="AG84" s="23">
        <f t="shared" ref="AG84:AG86" si="838">AF84*M84</f>
        <v>3.43025</v>
      </c>
      <c r="AH84" s="92">
        <v>0.21479999999999999</v>
      </c>
      <c r="AI84" s="29">
        <f t="shared" ref="AI84:AI86" si="839">AL84*(1-AM84)*AH84</f>
        <v>29.7427116</v>
      </c>
      <c r="AJ84" s="27">
        <f t="shared" ref="AJ84:AJ86" si="840">IF(AND(AH84&gt;0,AF84&gt;0,AC84&gt;0),((AC84-AF84)*AH84)/((AH84-AF84)*AC84),0)</f>
        <v>0.90104870659519942</v>
      </c>
      <c r="AK84" s="58">
        <f t="shared" si="668"/>
        <v>0.89065678254860492</v>
      </c>
      <c r="AL84" s="11">
        <v>151</v>
      </c>
      <c r="AM84" s="13">
        <v>8.3000000000000004E-2</v>
      </c>
      <c r="AN84" s="14">
        <v>0.19950000000000001</v>
      </c>
      <c r="AO84" s="101">
        <v>0.2046</v>
      </c>
      <c r="AP84" s="29">
        <f>AL84*(1-AM84)*AN84</f>
        <v>27.624166500000005</v>
      </c>
      <c r="AQ84" s="102">
        <f t="shared" ref="AQ84" si="841">AL84*(1-AM84)*AO84</f>
        <v>28.330348200000003</v>
      </c>
      <c r="AR84" s="18">
        <v>1.5</v>
      </c>
      <c r="AS84" s="18">
        <v>993.68</v>
      </c>
      <c r="AT84" s="79">
        <f>AT82+AL84-AS84</f>
        <v>250.4199999999995</v>
      </c>
      <c r="AU84" s="80"/>
      <c r="AV84" s="11"/>
      <c r="AW84" s="30"/>
      <c r="AX84" s="19"/>
      <c r="AY84" s="19"/>
      <c r="AZ84" s="19"/>
      <c r="BA84" s="19"/>
    </row>
    <row r="85" spans="1:54">
      <c r="A85" s="148"/>
      <c r="B85" s="32">
        <v>2</v>
      </c>
      <c r="C85" s="10" t="s">
        <v>55</v>
      </c>
      <c r="D85" s="33">
        <v>18200</v>
      </c>
      <c r="E85" s="33">
        <v>2</v>
      </c>
      <c r="F85" s="33">
        <v>14462</v>
      </c>
      <c r="G85" s="34">
        <v>0.6</v>
      </c>
      <c r="H85" s="34">
        <v>7.1</v>
      </c>
      <c r="I85" s="33">
        <v>14014</v>
      </c>
      <c r="J85" s="34">
        <v>4.3</v>
      </c>
      <c r="K85" s="33">
        <v>14596</v>
      </c>
      <c r="L85" s="35">
        <v>6.2E-2</v>
      </c>
      <c r="M85" s="36">
        <f>ROUND(K85*(1-L85),0)</f>
        <v>13691</v>
      </c>
      <c r="N85" s="37">
        <v>0.63200000000000001</v>
      </c>
      <c r="O85" s="24">
        <f t="shared" si="830"/>
        <v>8652.7119999999995</v>
      </c>
      <c r="P85" s="35">
        <v>0.314</v>
      </c>
      <c r="Q85" s="24">
        <f t="shared" si="831"/>
        <v>4298.9740000000002</v>
      </c>
      <c r="R85" s="38">
        <v>5.3999999999999999E-2</v>
      </c>
      <c r="S85" s="105">
        <v>0.26400000000000001</v>
      </c>
      <c r="T85" s="24">
        <f t="shared" si="832"/>
        <v>739.31399999999996</v>
      </c>
      <c r="U85" s="27">
        <v>0.27800000000000002</v>
      </c>
      <c r="V85" s="24">
        <f t="shared" si="833"/>
        <v>3806.0980000000004</v>
      </c>
      <c r="W85" s="38">
        <v>0.46100000000000002</v>
      </c>
      <c r="X85" s="24">
        <f t="shared" si="834"/>
        <v>6311.5510000000004</v>
      </c>
      <c r="Y85" s="38">
        <v>0.44</v>
      </c>
      <c r="Z85" s="24">
        <f t="shared" si="835"/>
        <v>6024.04</v>
      </c>
      <c r="AA85" s="117">
        <v>2.49E-3</v>
      </c>
      <c r="AB85" s="18">
        <f t="shared" si="750"/>
        <v>34.090589999999999</v>
      </c>
      <c r="AC85" s="39">
        <v>2.6199999999999999E-3</v>
      </c>
      <c r="AD85" s="17">
        <f t="shared" si="837"/>
        <v>35.870419999999996</v>
      </c>
      <c r="AE85" s="26">
        <f>IF(M85&gt;0,(AG85+AP85)/M85,0)</f>
        <v>2.5100616609451468E-3</v>
      </c>
      <c r="AF85" s="39">
        <v>2.7E-4</v>
      </c>
      <c r="AG85" s="36">
        <f t="shared" si="838"/>
        <v>3.6965699999999999</v>
      </c>
      <c r="AH85" s="27">
        <v>0.2077</v>
      </c>
      <c r="AI85" s="40">
        <f t="shared" si="839"/>
        <v>29.3949502</v>
      </c>
      <c r="AJ85" s="27">
        <f t="shared" si="840"/>
        <v>0.89811406993548448</v>
      </c>
      <c r="AK85" s="28">
        <f t="shared" si="668"/>
        <v>0.89354624620021406</v>
      </c>
      <c r="AL85" s="33">
        <v>154</v>
      </c>
      <c r="AM85" s="35">
        <v>8.1000000000000003E-2</v>
      </c>
      <c r="AN85" s="37">
        <v>0.2167</v>
      </c>
      <c r="AO85" s="103">
        <v>0.221</v>
      </c>
      <c r="AP85" s="40">
        <f>AL85*(1-AM85)*AN85</f>
        <v>30.668684200000001</v>
      </c>
      <c r="AQ85" s="104">
        <f t="shared" si="712"/>
        <v>31.277246000000002</v>
      </c>
      <c r="AR85" s="41">
        <v>1.5</v>
      </c>
      <c r="AS85" s="41"/>
      <c r="AT85" s="129">
        <f>AT84+AL85-AS85</f>
        <v>404.4199999999995</v>
      </c>
      <c r="AU85" s="82"/>
      <c r="AV85" s="42"/>
      <c r="AW85" s="43"/>
      <c r="AX85" s="44"/>
      <c r="AY85" s="44"/>
      <c r="AZ85" s="44"/>
      <c r="BA85" s="44"/>
    </row>
    <row r="86" spans="1:54">
      <c r="A86" s="148"/>
      <c r="B86" s="32">
        <v>3</v>
      </c>
      <c r="C86" s="10" t="s">
        <v>53</v>
      </c>
      <c r="D86" s="42">
        <v>16100</v>
      </c>
      <c r="E86" s="42">
        <v>2</v>
      </c>
      <c r="F86" s="42">
        <v>18808</v>
      </c>
      <c r="G86" s="36">
        <v>1</v>
      </c>
      <c r="H86" s="36">
        <v>5.7</v>
      </c>
      <c r="I86" s="42">
        <v>18450</v>
      </c>
      <c r="J86" s="133">
        <v>2.7</v>
      </c>
      <c r="K86" s="42">
        <v>15077</v>
      </c>
      <c r="L86" s="38">
        <v>6.7000000000000004E-2</v>
      </c>
      <c r="M86" s="36">
        <f>ROUND(K86*(1-L86),0)</f>
        <v>14067</v>
      </c>
      <c r="N86" s="27">
        <v>0.82</v>
      </c>
      <c r="O86" s="24">
        <f t="shared" si="830"/>
        <v>11534.939999999999</v>
      </c>
      <c r="P86" s="38">
        <v>0.161</v>
      </c>
      <c r="Q86" s="24">
        <f t="shared" si="831"/>
        <v>2264.7870000000003</v>
      </c>
      <c r="R86" s="38">
        <v>1.9E-2</v>
      </c>
      <c r="S86" s="105">
        <v>0.25009999999999999</v>
      </c>
      <c r="T86" s="24">
        <f t="shared" si="832"/>
        <v>267.27299999999997</v>
      </c>
      <c r="U86" s="27">
        <v>0.27700000000000002</v>
      </c>
      <c r="V86" s="24">
        <f t="shared" si="833"/>
        <v>3896.5590000000002</v>
      </c>
      <c r="W86" s="38">
        <v>0.46100000000000002</v>
      </c>
      <c r="X86" s="24">
        <f t="shared" si="834"/>
        <v>6484.8870000000006</v>
      </c>
      <c r="Y86" s="38">
        <v>0.43</v>
      </c>
      <c r="Z86" s="24">
        <f t="shared" si="835"/>
        <v>6048.8099999999995</v>
      </c>
      <c r="AA86" s="118">
        <v>2.5500000000000002E-3</v>
      </c>
      <c r="AB86" s="121">
        <f t="shared" si="750"/>
        <v>35.870850000000004</v>
      </c>
      <c r="AC86" s="45">
        <v>2.5999999999999999E-3</v>
      </c>
      <c r="AD86" s="17">
        <f t="shared" si="837"/>
        <v>36.574199999999998</v>
      </c>
      <c r="AE86" s="26">
        <f>IF(M86&gt;0,(AG86+AP86)/M86,0)</f>
        <v>2.5304335252719131E-3</v>
      </c>
      <c r="AF86" s="45">
        <v>2.7E-4</v>
      </c>
      <c r="AG86" s="36">
        <f t="shared" si="838"/>
        <v>3.7980900000000002</v>
      </c>
      <c r="AH86" s="27">
        <v>0.21110000000000001</v>
      </c>
      <c r="AI86" s="40">
        <f t="shared" si="839"/>
        <v>31.381281600000001</v>
      </c>
      <c r="AJ86" s="27">
        <f t="shared" si="840"/>
        <v>0.89730150795938413</v>
      </c>
      <c r="AK86" s="28">
        <f t="shared" si="668"/>
        <v>0.89442792746306532</v>
      </c>
      <c r="AL86" s="42">
        <v>163</v>
      </c>
      <c r="AM86" s="38">
        <v>8.7999999999999995E-2</v>
      </c>
      <c r="AN86" s="27">
        <v>0.21390000000000001</v>
      </c>
      <c r="AO86" s="105">
        <v>0.2208</v>
      </c>
      <c r="AP86" s="40">
        <f>AL86*(1-AM86)*AN86</f>
        <v>31.797518400000001</v>
      </c>
      <c r="AQ86" s="106">
        <f t="shared" si="712"/>
        <v>32.823244799999998</v>
      </c>
      <c r="AR86" s="17">
        <v>1.6</v>
      </c>
      <c r="AS86" s="17"/>
      <c r="AT86" s="129">
        <f>AT85+AL86-AS86</f>
        <v>567.4199999999995</v>
      </c>
      <c r="AU86" s="82"/>
      <c r="AV86" s="42"/>
      <c r="AW86" s="46"/>
      <c r="AX86" s="40"/>
      <c r="AY86" s="40"/>
      <c r="AZ86" s="40"/>
      <c r="BA86" s="40"/>
    </row>
    <row r="87" spans="1:54">
      <c r="A87" s="149"/>
      <c r="B87" s="47" t="s">
        <v>56</v>
      </c>
      <c r="C87" s="48"/>
      <c r="D87" s="49">
        <f t="shared" ref="D87" si="842">SUM(D84:D86)</f>
        <v>36911</v>
      </c>
      <c r="E87" s="49"/>
      <c r="F87" s="49">
        <f t="shared" ref="F87" si="843">SUM(F84:F86)</f>
        <v>37918</v>
      </c>
      <c r="G87" s="50"/>
      <c r="H87" s="50"/>
      <c r="I87" s="49">
        <f t="shared" ref="I87:K87" si="844">SUM(I84:I86)</f>
        <v>37328</v>
      </c>
      <c r="J87" s="50"/>
      <c r="K87" s="49">
        <f t="shared" si="844"/>
        <v>44317</v>
      </c>
      <c r="L87" s="20">
        <f t="shared" ref="L87" si="845">IF(K87&gt;0,(K84*L84+K85*L85+K86*L86)/K87,0)</f>
        <v>6.4031477762483927E-2</v>
      </c>
      <c r="M87" s="50">
        <f t="shared" ref="M87" si="846">M84+M85+M86</f>
        <v>41479</v>
      </c>
      <c r="N87" s="51">
        <f t="shared" ref="N87" si="847">IF(M87&gt;0,O87/M87,0)</f>
        <v>0.74901528484293256</v>
      </c>
      <c r="O87" s="52">
        <f t="shared" ref="O87" si="848">O84+O85+O86</f>
        <v>31068.404999999999</v>
      </c>
      <c r="P87" s="20">
        <f t="shared" ref="P87" si="849">IF(M87&gt;0,Q87/M87,0)</f>
        <v>0.21580112828178113</v>
      </c>
      <c r="Q87" s="52">
        <f t="shared" ref="Q87" si="850">Q84+Q85+Q86</f>
        <v>8951.2150000000001</v>
      </c>
      <c r="R87" s="20">
        <f t="shared" ref="R87" si="851">IF(M87&gt;0,T87/M87,0)</f>
        <v>3.5183586875286284E-2</v>
      </c>
      <c r="S87" s="107"/>
      <c r="T87" s="52">
        <f t="shared" ref="T87" si="852">T84+T85+T86</f>
        <v>1459.3799999999999</v>
      </c>
      <c r="U87" s="20">
        <f t="shared" ref="U87" si="853">IF(M87&gt;0,V87/M87,0)</f>
        <v>0.27766086453386052</v>
      </c>
      <c r="V87" s="52">
        <f t="shared" ref="V87" si="854">V84+V85+V86</f>
        <v>11517.095000000001</v>
      </c>
      <c r="W87" s="20">
        <f t="shared" ref="W87" si="855">IF(M87&gt;0,X87/M87,0)</f>
        <v>0.45934603052146872</v>
      </c>
      <c r="X87" s="52">
        <f t="shared" ref="X87" si="856">X84+X85+X86</f>
        <v>19053.214</v>
      </c>
      <c r="Y87" s="20">
        <f t="shared" ref="Y87" si="857">IF(M87&gt;0,Z87/M87,0)</f>
        <v>0.44322452325273037</v>
      </c>
      <c r="Z87" s="52">
        <f t="shared" ref="Z87" si="858">Z84+Z85+Z86</f>
        <v>18384.510000000002</v>
      </c>
      <c r="AA87" s="119">
        <f>IF(M87&gt;0,AB87/M87,0)</f>
        <v>2.5169640058824946E-3</v>
      </c>
      <c r="AB87" s="54">
        <f t="shared" ref="AB87" si="859">SUM(AB84:AB86)</f>
        <v>104.40115</v>
      </c>
      <c r="AC87" s="53">
        <f t="shared" ref="AC87" si="860">IF(M87&gt;0,AD87/M87,0)</f>
        <v>2.5735220231924588E-3</v>
      </c>
      <c r="AD87" s="54">
        <f t="shared" ref="AD87" si="861">SUM(AD84:AD86)</f>
        <v>106.74712</v>
      </c>
      <c r="AE87" s="53">
        <f t="shared" ref="AE87" si="862">IF(M87&gt;0,(AE84*M84+AE85*M85+AE86*M86)/M87,0)</f>
        <v>2.435335449263483E-3</v>
      </c>
      <c r="AF87" s="53">
        <f t="shared" ref="AF87" si="863">IF(K87&gt;0,(K84*AF84+K85*AF85+K86*AF86)/K87,0)</f>
        <v>2.633912494076765E-4</v>
      </c>
      <c r="AG87" s="50">
        <f t="shared" ref="AG87" si="864">SUM(AG84:AG86)</f>
        <v>10.924910000000001</v>
      </c>
      <c r="AH87" s="51">
        <f t="shared" ref="AH87" si="865">IF(K87&gt;0,(K84*AH84+K85*AH85+K86*AH86)/K87,0)</f>
        <v>0.21120281381862488</v>
      </c>
      <c r="AI87" s="56">
        <f t="shared" ref="AI87" si="866">SUM(AI84:AI86)</f>
        <v>90.518943400000012</v>
      </c>
      <c r="AJ87" s="51">
        <f t="shared" ref="AJ87" si="867">IF(AND(AD87&gt;0),((AD84*AJ84+AD85*AJ85+AD86*AJ86)/AD87),0)</f>
        <v>0.89877869273555233</v>
      </c>
      <c r="AK87" s="55">
        <f t="shared" si="668"/>
        <v>0.89296566474409622</v>
      </c>
      <c r="AL87" s="49">
        <f t="shared" ref="AL87" si="868">SUM(AL84:AL86)</f>
        <v>468</v>
      </c>
      <c r="AM87" s="20">
        <f t="shared" ref="AM87" si="869">IF(AL87&gt;0,(AM84*AL84+AM85*AL85+AM86*AL86)/AL87,0)</f>
        <v>8.4083333333333329E-2</v>
      </c>
      <c r="AN87" s="51">
        <f>IF(K87&gt;0,(AN84*K84+AN85*K85+AN86*K86)/K87,0)</f>
        <v>0.21006389196019587</v>
      </c>
      <c r="AO87" s="107">
        <f>IF(L87&gt;0,(AO84*K84+AO85*K85+AO86*K86)/K87,0)</f>
        <v>0.21551278290498002</v>
      </c>
      <c r="AP87" s="56">
        <f t="shared" ref="AP87" si="870">SUM(AP84:AP86)</f>
        <v>90.090369100000004</v>
      </c>
      <c r="AQ87" s="108">
        <f t="shared" si="741"/>
        <v>92.430839000000006</v>
      </c>
      <c r="AR87" s="54"/>
      <c r="AS87" s="54">
        <f t="shared" ref="AS87" si="871">SUM(AS84:AS86)</f>
        <v>993.68</v>
      </c>
      <c r="AT87" s="83"/>
      <c r="AU87" s="84">
        <f>AT86</f>
        <v>567.4199999999995</v>
      </c>
      <c r="AV87" s="49">
        <f t="shared" ref="AV87" si="872">SUM(AV84:AV86)</f>
        <v>0</v>
      </c>
      <c r="AW87" s="57"/>
      <c r="AX87" s="56"/>
      <c r="AY87" s="56"/>
      <c r="AZ87" s="56"/>
      <c r="BA87" s="56"/>
      <c r="BB87" s="21"/>
    </row>
    <row r="88" spans="1:54">
      <c r="A88" s="147">
        <v>22</v>
      </c>
      <c r="B88" s="22">
        <v>1</v>
      </c>
      <c r="C88" s="10" t="s">
        <v>54</v>
      </c>
      <c r="D88" s="11">
        <v>5183</v>
      </c>
      <c r="E88" s="11">
        <v>1</v>
      </c>
      <c r="F88" s="11">
        <v>14832</v>
      </c>
      <c r="G88" s="12">
        <v>0.6</v>
      </c>
      <c r="H88" s="12">
        <v>5</v>
      </c>
      <c r="I88" s="11">
        <v>15132</v>
      </c>
      <c r="J88" s="131">
        <v>3.7</v>
      </c>
      <c r="K88" s="11">
        <v>16170</v>
      </c>
      <c r="L88" s="13">
        <v>7.2999999999999995E-2</v>
      </c>
      <c r="M88" s="23">
        <f>ROUND(K88*(1-L88),0)</f>
        <v>14990</v>
      </c>
      <c r="N88" s="14">
        <v>0.67600000000000005</v>
      </c>
      <c r="O88" s="24">
        <f t="shared" ref="O88:O90" si="873">M88*N88</f>
        <v>10133.24</v>
      </c>
      <c r="P88" s="13">
        <v>0.28299999999999997</v>
      </c>
      <c r="Q88" s="24">
        <f t="shared" ref="Q88:Q90" si="874">M88*P88</f>
        <v>4242.1699999999992</v>
      </c>
      <c r="R88" s="15">
        <v>4.1000000000000002E-2</v>
      </c>
      <c r="S88" s="112">
        <v>0.21490000000000001</v>
      </c>
      <c r="T88" s="24">
        <f t="shared" ref="T88:T90" si="875">M88*R88</f>
        <v>614.59</v>
      </c>
      <c r="U88" s="25">
        <v>0.28299999999999997</v>
      </c>
      <c r="V88" s="24">
        <f t="shared" ref="V88:V90" si="876">M88*U88</f>
        <v>4242.1699999999992</v>
      </c>
      <c r="W88" s="15">
        <v>0.45900000000000002</v>
      </c>
      <c r="X88" s="24">
        <f t="shared" ref="X88:X90" si="877">M88*W88</f>
        <v>6880.41</v>
      </c>
      <c r="Y88" s="15">
        <v>0.44</v>
      </c>
      <c r="Z88" s="24">
        <f t="shared" ref="Z88:Z90" si="878">Y88*M88</f>
        <v>6595.6</v>
      </c>
      <c r="AA88" s="116">
        <v>2.5100000000000001E-3</v>
      </c>
      <c r="AB88" s="18">
        <f t="shared" ref="AB88" si="879">M88*AA88</f>
        <v>37.624900000000004</v>
      </c>
      <c r="AC88" s="16">
        <v>2.5300000000000001E-3</v>
      </c>
      <c r="AD88" s="17">
        <f t="shared" ref="AD88:AD90" si="880">M88*AC88</f>
        <v>37.924700000000001</v>
      </c>
      <c r="AE88" s="26">
        <f>IF(M88&gt;0,(AG88+AP88)/M88,0)</f>
        <v>2.3800241827885253E-3</v>
      </c>
      <c r="AF88" s="16">
        <v>2.7E-4</v>
      </c>
      <c r="AG88" s="23">
        <f t="shared" ref="AG88:AG90" si="881">AF88*M88</f>
        <v>4.0472999999999999</v>
      </c>
      <c r="AH88" s="92">
        <v>0.2074</v>
      </c>
      <c r="AI88" s="29">
        <f t="shared" ref="AI88:AI90" si="882">AL88*(1-AM88)*AH88</f>
        <v>31.312214999999998</v>
      </c>
      <c r="AJ88" s="27">
        <f t="shared" ref="AJ88:AJ90" si="883">IF(AND(AH88&gt;0,AF88&gt;0,AC88&gt;0),((AC88-AF88)*AH88)/((AH88-AF88)*AC88),0)</f>
        <v>0.89444504978542616</v>
      </c>
      <c r="AK88" s="58">
        <f t="shared" si="668"/>
        <v>0.88769982681962933</v>
      </c>
      <c r="AL88" s="11">
        <v>165</v>
      </c>
      <c r="AM88" s="13">
        <v>8.5000000000000006E-2</v>
      </c>
      <c r="AN88" s="14">
        <v>0.20949999999999999</v>
      </c>
      <c r="AO88" s="101">
        <v>0.2142</v>
      </c>
      <c r="AP88" s="29">
        <f>AL88*(1-AM88)*AN88</f>
        <v>31.629262499999996</v>
      </c>
      <c r="AQ88" s="102">
        <f t="shared" ref="AQ88" si="884">AL88*(1-AM88)*AO88</f>
        <v>32.338844999999999</v>
      </c>
      <c r="AR88" s="18">
        <v>1.5</v>
      </c>
      <c r="AS88" s="18">
        <v>502.04</v>
      </c>
      <c r="AT88" s="79">
        <f>AT86+AL88-AS88+AU88</f>
        <v>253.31999999999948</v>
      </c>
      <c r="AU88" s="80">
        <v>22.94</v>
      </c>
      <c r="AV88" s="11"/>
      <c r="AW88" s="30"/>
      <c r="AX88" s="19"/>
      <c r="AY88" s="19"/>
      <c r="AZ88" s="19"/>
      <c r="BA88" s="19"/>
    </row>
    <row r="89" spans="1:54">
      <c r="A89" s="148"/>
      <c r="B89" s="32">
        <v>2</v>
      </c>
      <c r="C89" s="10" t="s">
        <v>55</v>
      </c>
      <c r="D89" s="33">
        <v>18421</v>
      </c>
      <c r="E89" s="33">
        <v>6</v>
      </c>
      <c r="F89" s="33">
        <v>16265</v>
      </c>
      <c r="G89" s="34">
        <v>0.8</v>
      </c>
      <c r="H89" s="34">
        <v>5.5</v>
      </c>
      <c r="I89" s="33">
        <v>16353</v>
      </c>
      <c r="J89" s="34">
        <v>3.7</v>
      </c>
      <c r="K89" s="33">
        <v>16521</v>
      </c>
      <c r="L89" s="35">
        <v>7.5999999999999998E-2</v>
      </c>
      <c r="M89" s="36">
        <f>ROUND(K89*(1-L89),0)</f>
        <v>15265</v>
      </c>
      <c r="N89" s="37">
        <v>0.54500000000000004</v>
      </c>
      <c r="O89" s="24">
        <f t="shared" si="873"/>
        <v>8319.4250000000011</v>
      </c>
      <c r="P89" s="35">
        <v>0.42499999999999999</v>
      </c>
      <c r="Q89" s="24">
        <f t="shared" si="874"/>
        <v>6487.625</v>
      </c>
      <c r="R89" s="38">
        <v>0.03</v>
      </c>
      <c r="S89" s="105">
        <v>0.25009999999999999</v>
      </c>
      <c r="T89" s="24">
        <f t="shared" si="875"/>
        <v>457.95</v>
      </c>
      <c r="U89" s="27">
        <v>0.27500000000000002</v>
      </c>
      <c r="V89" s="24">
        <f t="shared" si="876"/>
        <v>4197.875</v>
      </c>
      <c r="W89" s="38">
        <v>0.45800000000000002</v>
      </c>
      <c r="X89" s="24">
        <f t="shared" si="877"/>
        <v>6991.37</v>
      </c>
      <c r="Y89" s="38">
        <v>0.43</v>
      </c>
      <c r="Z89" s="24">
        <f t="shared" si="878"/>
        <v>6563.95</v>
      </c>
      <c r="AA89" s="117">
        <v>2.3500000000000001E-3</v>
      </c>
      <c r="AB89" s="18">
        <f t="shared" si="750"/>
        <v>35.872750000000003</v>
      </c>
      <c r="AC89" s="39">
        <v>2.3900000000000002E-3</v>
      </c>
      <c r="AD89" s="17">
        <f t="shared" si="880"/>
        <v>36.483350000000002</v>
      </c>
      <c r="AE89" s="26">
        <f>IF(M89&gt;0,(AG89+AP89)/M89,0)</f>
        <v>2.3522958467081558E-3</v>
      </c>
      <c r="AF89" s="39">
        <v>2.7E-4</v>
      </c>
      <c r="AG89" s="36">
        <f t="shared" si="881"/>
        <v>4.12155</v>
      </c>
      <c r="AH89" s="27">
        <v>0.20569999999999999</v>
      </c>
      <c r="AI89" s="40">
        <f t="shared" si="882"/>
        <v>30.368930899999999</v>
      </c>
      <c r="AJ89" s="27">
        <f t="shared" si="883"/>
        <v>0.88819512576640458</v>
      </c>
      <c r="AK89" s="28">
        <f t="shared" si="668"/>
        <v>0.88633003411365652</v>
      </c>
      <c r="AL89" s="33">
        <v>161</v>
      </c>
      <c r="AM89" s="35">
        <v>8.3000000000000004E-2</v>
      </c>
      <c r="AN89" s="37">
        <v>0.21529999999999999</v>
      </c>
      <c r="AO89" s="103">
        <v>0.2238</v>
      </c>
      <c r="AP89" s="40">
        <f>AL89*(1-AM89)*AN89</f>
        <v>31.7862461</v>
      </c>
      <c r="AQ89" s="104">
        <f t="shared" si="712"/>
        <v>33.041160599999998</v>
      </c>
      <c r="AR89" s="41">
        <v>1.5</v>
      </c>
      <c r="AS89" s="41"/>
      <c r="AT89" s="129">
        <f>AT88+AL89-AS89</f>
        <v>414.31999999999948</v>
      </c>
      <c r="AU89" s="82"/>
      <c r="AV89" s="42"/>
      <c r="AW89" s="43"/>
      <c r="AX89" s="44"/>
      <c r="AY89" s="44"/>
      <c r="AZ89" s="44"/>
      <c r="BA89" s="44"/>
    </row>
    <row r="90" spans="1:54">
      <c r="A90" s="148"/>
      <c r="B90" s="32">
        <v>3</v>
      </c>
      <c r="C90" s="10" t="s">
        <v>57</v>
      </c>
      <c r="D90" s="42">
        <v>21800</v>
      </c>
      <c r="E90" s="42">
        <v>3</v>
      </c>
      <c r="F90" s="42">
        <v>18070</v>
      </c>
      <c r="G90" s="36">
        <v>0.9</v>
      </c>
      <c r="H90" s="36">
        <v>4.8</v>
      </c>
      <c r="I90" s="42">
        <v>18633</v>
      </c>
      <c r="J90" s="133">
        <v>3.3</v>
      </c>
      <c r="K90" s="42">
        <v>16632</v>
      </c>
      <c r="L90" s="38">
        <v>7.5999999999999998E-2</v>
      </c>
      <c r="M90" s="36">
        <f>ROUND(K90*(1-L90),0)</f>
        <v>15368</v>
      </c>
      <c r="N90" s="27">
        <v>0.59199999999999997</v>
      </c>
      <c r="O90" s="24">
        <f t="shared" si="873"/>
        <v>9097.8559999999998</v>
      </c>
      <c r="P90" s="38">
        <v>0.36099999999999999</v>
      </c>
      <c r="Q90" s="24">
        <f t="shared" si="874"/>
        <v>5547.848</v>
      </c>
      <c r="R90" s="38">
        <v>4.7E-2</v>
      </c>
      <c r="S90" s="105">
        <v>0.23799999999999999</v>
      </c>
      <c r="T90" s="24">
        <f t="shared" si="875"/>
        <v>722.29600000000005</v>
      </c>
      <c r="U90" s="27">
        <v>0.27200000000000002</v>
      </c>
      <c r="V90" s="24">
        <f t="shared" si="876"/>
        <v>4180.0960000000005</v>
      </c>
      <c r="W90" s="38">
        <v>0.46400000000000002</v>
      </c>
      <c r="X90" s="24">
        <f t="shared" si="877"/>
        <v>7130.7520000000004</v>
      </c>
      <c r="Y90" s="38">
        <v>0.44</v>
      </c>
      <c r="Z90" s="24">
        <f t="shared" si="878"/>
        <v>6761.92</v>
      </c>
      <c r="AA90" s="118">
        <v>2.3600000000000001E-3</v>
      </c>
      <c r="AB90" s="121">
        <f t="shared" si="750"/>
        <v>36.268480000000004</v>
      </c>
      <c r="AC90" s="45">
        <v>2.3400000000000001E-3</v>
      </c>
      <c r="AD90" s="17">
        <f t="shared" si="880"/>
        <v>35.961120000000001</v>
      </c>
      <c r="AE90" s="26">
        <f>IF(M90&gt;0,(AG90+AP90)/M90,0)</f>
        <v>2.4029901613742844E-3</v>
      </c>
      <c r="AF90" s="45">
        <v>2.7E-4</v>
      </c>
      <c r="AG90" s="36">
        <f t="shared" si="881"/>
        <v>4.1493599999999997</v>
      </c>
      <c r="AH90" s="27">
        <v>0.2079</v>
      </c>
      <c r="AI90" s="40">
        <f t="shared" si="882"/>
        <v>30.850696799999998</v>
      </c>
      <c r="AJ90" s="27">
        <f t="shared" si="883"/>
        <v>0.88576572971891576</v>
      </c>
      <c r="AK90" s="28">
        <f t="shared" si="668"/>
        <v>0.88872625508226921</v>
      </c>
      <c r="AL90" s="42">
        <v>162</v>
      </c>
      <c r="AM90" s="38">
        <v>8.4000000000000005E-2</v>
      </c>
      <c r="AN90" s="27">
        <v>0.22090000000000001</v>
      </c>
      <c r="AO90" s="105">
        <v>0.22739999999999999</v>
      </c>
      <c r="AP90" s="40">
        <f>AL90*(1-AM90)*AN90</f>
        <v>32.779792800000003</v>
      </c>
      <c r="AQ90" s="106">
        <f t="shared" si="712"/>
        <v>33.744340799999996</v>
      </c>
      <c r="AR90" s="17">
        <v>1.5</v>
      </c>
      <c r="AS90" s="17"/>
      <c r="AT90" s="129">
        <f>AT89+AL90-AS90</f>
        <v>576.31999999999948</v>
      </c>
      <c r="AU90" s="82"/>
      <c r="AV90" s="42"/>
      <c r="AW90" s="46"/>
      <c r="AX90" s="40"/>
      <c r="AY90" s="40"/>
      <c r="AZ90" s="40"/>
      <c r="BA90" s="40"/>
    </row>
    <row r="91" spans="1:54">
      <c r="A91" s="149"/>
      <c r="B91" s="47" t="s">
        <v>56</v>
      </c>
      <c r="C91" s="48"/>
      <c r="D91" s="49">
        <f t="shared" ref="D91" si="885">SUM(D88:D90)</f>
        <v>45404</v>
      </c>
      <c r="E91" s="49"/>
      <c r="F91" s="49">
        <f t="shared" ref="F91" si="886">SUM(F88:F90)</f>
        <v>49167</v>
      </c>
      <c r="G91" s="50"/>
      <c r="H91" s="50"/>
      <c r="I91" s="49">
        <f t="shared" ref="I91:K91" si="887">SUM(I88:I90)</f>
        <v>50118</v>
      </c>
      <c r="J91" s="50"/>
      <c r="K91" s="49">
        <f t="shared" si="887"/>
        <v>49323</v>
      </c>
      <c r="L91" s="20">
        <f t="shared" ref="L91" si="888">IF(K91&gt;0,(K88*L88+K89*L89+K90*L90)/K91,0)</f>
        <v>7.5016483182288179E-2</v>
      </c>
      <c r="M91" s="50">
        <f t="shared" ref="M91" si="889">M88+M89+M90</f>
        <v>45623</v>
      </c>
      <c r="N91" s="51">
        <f t="shared" ref="N91" si="890">IF(M91&gt;0,O91/M91,0)</f>
        <v>0.60387350678385898</v>
      </c>
      <c r="O91" s="52">
        <f t="shared" ref="O91" si="891">O88+O89+O90</f>
        <v>27550.521000000001</v>
      </c>
      <c r="P91" s="20">
        <f t="shared" ref="P91" si="892">IF(M91&gt;0,Q91/M91,0)</f>
        <v>0.35678589746399836</v>
      </c>
      <c r="Q91" s="52">
        <f t="shared" ref="Q91" si="893">Q88+Q89+Q90</f>
        <v>16277.642999999998</v>
      </c>
      <c r="R91" s="20">
        <f t="shared" ref="R91" si="894">IF(M91&gt;0,T91/M91,0)</f>
        <v>3.9340595752142563E-2</v>
      </c>
      <c r="S91" s="107"/>
      <c r="T91" s="52">
        <f t="shared" ref="T91" si="895">T88+T89+T90</f>
        <v>1794.836</v>
      </c>
      <c r="U91" s="20">
        <f t="shared" ref="U91" si="896">IF(M91&gt;0,V91/M91,0)</f>
        <v>0.27661795585559912</v>
      </c>
      <c r="V91" s="52">
        <f t="shared" ref="V91" si="897">V88+V89+V90</f>
        <v>12620.141</v>
      </c>
      <c r="W91" s="20">
        <f t="shared" ref="W91" si="898">IF(M91&gt;0,X91/M91,0)</f>
        <v>0.46034964820375684</v>
      </c>
      <c r="X91" s="52">
        <f t="shared" ref="X91" si="899">X88+X89+X90</f>
        <v>21002.531999999999</v>
      </c>
      <c r="Y91" s="20">
        <f t="shared" ref="Y91" si="900">IF(M91&gt;0,Z91/M91,0)</f>
        <v>0.43665409990574933</v>
      </c>
      <c r="Z91" s="52">
        <f t="shared" ref="Z91" si="901">Z88+Z89+Z90</f>
        <v>19921.47</v>
      </c>
      <c r="AA91" s="119">
        <f>IF(M91&gt;0,AB91/M91,0)</f>
        <v>2.4059384520965302E-3</v>
      </c>
      <c r="AB91" s="54">
        <f t="shared" ref="AB91" si="902">SUM(AB88:AB90)</f>
        <v>109.76613</v>
      </c>
      <c r="AC91" s="53">
        <f t="shared" ref="AC91" si="903">IF(M91&gt;0,AD91/M91,0)</f>
        <v>2.4191563465795762E-3</v>
      </c>
      <c r="AD91" s="54">
        <f t="shared" ref="AD91" si="904">SUM(AD88:AD90)</f>
        <v>110.36917</v>
      </c>
      <c r="AE91" s="53">
        <f t="shared" ref="AE91" si="905">IF(M91&gt;0,(AE88*M88+AE89*M89+AE90*M90)/M91,0)</f>
        <v>2.3784825943055036E-3</v>
      </c>
      <c r="AF91" s="53">
        <f t="shared" ref="AF91" si="906">IF(K91&gt;0,(K88*AF88+K89*AF89+K90*AF90)/K91,0)</f>
        <v>2.7E-4</v>
      </c>
      <c r="AG91" s="50">
        <f t="shared" ref="AG91" si="907">SUM(AG88:AG90)</f>
        <v>12.318209999999999</v>
      </c>
      <c r="AH91" s="51">
        <f t="shared" ref="AH91" si="908">IF(K91&gt;0,(K88*AH88+K89*AH89+K90*AH90)/K91,0)</f>
        <v>0.20699917888206312</v>
      </c>
      <c r="AI91" s="56">
        <f t="shared" ref="AI91" si="909">SUM(AI88:AI90)</f>
        <v>92.531842699999999</v>
      </c>
      <c r="AJ91" s="51">
        <f t="shared" ref="AJ91" si="910">IF(AND(AD91&gt;0),((AD88*AJ88+AD89*AJ89+AD90*AJ90)/AD91),0)</f>
        <v>0.88955114475841945</v>
      </c>
      <c r="AK91" s="55">
        <f t="shared" si="668"/>
        <v>0.88759541620004856</v>
      </c>
      <c r="AL91" s="49">
        <f t="shared" ref="AL91" si="911">SUM(AL88:AL90)</f>
        <v>488</v>
      </c>
      <c r="AM91" s="20">
        <f t="shared" ref="AM91" si="912">IF(AL91&gt;0,(AM88*AL88+AM89*AL89+AM90*AL90)/AL91,0)</f>
        <v>8.4008196721311476E-2</v>
      </c>
      <c r="AN91" s="51">
        <f>IF(K91&gt;0,(AN88*K88+AN89*K89+AN90*K90)/K91,0)</f>
        <v>0.21528688644243049</v>
      </c>
      <c r="AO91" s="107">
        <f>IF(L91&gt;0,(AO88*K88+AO89*K89+AO90*K90)/K91,0)</f>
        <v>0.22186668694118364</v>
      </c>
      <c r="AP91" s="56">
        <f t="shared" ref="AP91:AQ103" si="913">SUM(AP88:AP90)</f>
        <v>96.195301400000005</v>
      </c>
      <c r="AQ91" s="108">
        <f t="shared" si="913"/>
        <v>99.124346400000007</v>
      </c>
      <c r="AR91" s="54"/>
      <c r="AS91" s="54">
        <f t="shared" ref="AS91" si="914">SUM(AS88:AS90)</f>
        <v>502.04</v>
      </c>
      <c r="AT91" s="83"/>
      <c r="AU91" s="84">
        <f>AT90</f>
        <v>576.31999999999948</v>
      </c>
      <c r="AV91" s="49">
        <f t="shared" ref="AV91" si="915">SUM(AV88:AV90)</f>
        <v>0</v>
      </c>
      <c r="AW91" s="57"/>
      <c r="AX91" s="56"/>
      <c r="AY91" s="56"/>
      <c r="AZ91" s="56"/>
      <c r="BA91" s="56"/>
      <c r="BB91" s="21"/>
    </row>
    <row r="92" spans="1:54">
      <c r="A92" s="147">
        <v>23</v>
      </c>
      <c r="B92" s="22">
        <v>1</v>
      </c>
      <c r="C92" s="10" t="s">
        <v>58</v>
      </c>
      <c r="D92" s="11">
        <v>4885</v>
      </c>
      <c r="E92" s="11">
        <v>0</v>
      </c>
      <c r="F92" s="11">
        <v>11498</v>
      </c>
      <c r="G92" s="12">
        <v>0.5</v>
      </c>
      <c r="H92" s="12">
        <v>5.7</v>
      </c>
      <c r="I92" s="11">
        <v>11882</v>
      </c>
      <c r="J92" s="12">
        <v>5.0999999999999996</v>
      </c>
      <c r="K92" s="11">
        <v>16660</v>
      </c>
      <c r="L92" s="13">
        <v>7.3999999999999996E-2</v>
      </c>
      <c r="M92" s="23">
        <f>ROUND(K92*(1-L92),0)</f>
        <v>15427</v>
      </c>
      <c r="N92" s="14">
        <v>0.63400000000000001</v>
      </c>
      <c r="O92" s="24">
        <f t="shared" ref="O92:O94" si="916">M92*N92</f>
        <v>9780.7180000000008</v>
      </c>
      <c r="P92" s="13">
        <v>0.27400000000000002</v>
      </c>
      <c r="Q92" s="24">
        <f t="shared" ref="Q92:Q94" si="917">M92*P92</f>
        <v>4226.9980000000005</v>
      </c>
      <c r="R92" s="15">
        <v>9.1999999999999998E-2</v>
      </c>
      <c r="S92" s="112">
        <v>0.2233</v>
      </c>
      <c r="T92" s="24">
        <f t="shared" ref="T92:T94" si="918">M92*R92</f>
        <v>1419.2839999999999</v>
      </c>
      <c r="U92" s="25">
        <v>0.26400000000000001</v>
      </c>
      <c r="V92" s="24">
        <f t="shared" ref="V92:V94" si="919">M92*U92</f>
        <v>4072.7280000000001</v>
      </c>
      <c r="W92" s="15">
        <v>0.47499999999999998</v>
      </c>
      <c r="X92" s="24">
        <f t="shared" ref="X92:X94" si="920">M92*W92</f>
        <v>7327.8249999999998</v>
      </c>
      <c r="Y92" s="15">
        <v>0.43</v>
      </c>
      <c r="Z92" s="24">
        <f t="shared" ref="Z92:Z94" si="921">Y92*M92</f>
        <v>6633.61</v>
      </c>
      <c r="AA92" s="116">
        <v>2.48E-3</v>
      </c>
      <c r="AB92" s="18">
        <f t="shared" ref="AB92" si="922">M92*AA92</f>
        <v>38.258960000000002</v>
      </c>
      <c r="AC92" s="16">
        <v>2.4299999999999999E-3</v>
      </c>
      <c r="AD92" s="17">
        <f t="shared" ref="AD92:AD94" si="923">M92*AC92</f>
        <v>37.487609999999997</v>
      </c>
      <c r="AE92" s="26">
        <f>IF(M92&gt;0,(AG92+AP92)/M92,0)</f>
        <v>2.5281336876904125E-3</v>
      </c>
      <c r="AF92" s="16">
        <v>2.7999999999999998E-4</v>
      </c>
      <c r="AG92" s="23">
        <f t="shared" ref="AG92:AG94" si="924">AF92*M92</f>
        <v>4.3195599999999992</v>
      </c>
      <c r="AH92" s="92">
        <v>0.2087</v>
      </c>
      <c r="AI92" s="29">
        <f t="shared" ref="AI92:AI94" si="925">AL92*(1-AM92)*AH92</f>
        <v>33.263440800000005</v>
      </c>
      <c r="AJ92" s="27">
        <f t="shared" ref="AJ92:AJ94" si="926">IF(AND(AH92&gt;0,AF92&gt;0,AC92&gt;0),((AC92-AF92)*AH92)/((AH92-AF92)*AC92),0)</f>
        <v>0.88596230387911723</v>
      </c>
      <c r="AK92" s="58">
        <f t="shared" si="668"/>
        <v>0.89039208840406237</v>
      </c>
      <c r="AL92" s="11">
        <v>174</v>
      </c>
      <c r="AM92" s="13">
        <v>8.4000000000000005E-2</v>
      </c>
      <c r="AN92" s="14">
        <v>0.21759999999999999</v>
      </c>
      <c r="AO92" s="101">
        <v>0.22289999999999999</v>
      </c>
      <c r="AP92" s="29">
        <f>AL92*(1-AM92)*AN92</f>
        <v>34.681958399999999</v>
      </c>
      <c r="AQ92" s="102">
        <f t="shared" ref="AQ92" si="927">AL92*(1-AM92)*AO92</f>
        <v>35.526693600000002</v>
      </c>
      <c r="AR92" s="18">
        <v>1.55</v>
      </c>
      <c r="AS92" s="18">
        <v>513.05999999999995</v>
      </c>
      <c r="AT92" s="79">
        <f>AT90+AL92-AS92+AU92</f>
        <v>245.17999999999952</v>
      </c>
      <c r="AU92" s="80">
        <v>7.92</v>
      </c>
      <c r="AV92" s="11"/>
      <c r="AW92" s="30"/>
      <c r="AX92" s="19"/>
      <c r="AY92" s="19"/>
      <c r="AZ92" s="19"/>
      <c r="BA92" s="19"/>
    </row>
    <row r="93" spans="1:54">
      <c r="A93" s="148"/>
      <c r="B93" s="32">
        <v>2</v>
      </c>
      <c r="C93" s="10" t="s">
        <v>55</v>
      </c>
      <c r="D93" s="33">
        <v>19820</v>
      </c>
      <c r="E93" s="33">
        <v>5</v>
      </c>
      <c r="F93" s="33">
        <v>16878</v>
      </c>
      <c r="G93" s="34">
        <v>0.5</v>
      </c>
      <c r="H93" s="34">
        <v>6.4</v>
      </c>
      <c r="I93" s="33">
        <v>16545</v>
      </c>
      <c r="J93" s="34">
        <v>5.2</v>
      </c>
      <c r="K93" s="33">
        <v>16465</v>
      </c>
      <c r="L93" s="35">
        <v>6.3E-2</v>
      </c>
      <c r="M93" s="36">
        <f>ROUND(K93*(1-L93),0)</f>
        <v>15428</v>
      </c>
      <c r="N93" s="37">
        <v>0.621</v>
      </c>
      <c r="O93" s="24">
        <f t="shared" si="916"/>
        <v>9580.7880000000005</v>
      </c>
      <c r="P93" s="35">
        <v>0.34599999999999997</v>
      </c>
      <c r="Q93" s="24">
        <f t="shared" si="917"/>
        <v>5338.0879999999997</v>
      </c>
      <c r="R93" s="38">
        <v>3.3000000000000002E-2</v>
      </c>
      <c r="S93" s="105">
        <v>0.2359</v>
      </c>
      <c r="T93" s="24">
        <f t="shared" si="918"/>
        <v>509.12400000000002</v>
      </c>
      <c r="U93" s="27">
        <v>0.28599999999999998</v>
      </c>
      <c r="V93" s="24">
        <f t="shared" si="919"/>
        <v>4412.4079999999994</v>
      </c>
      <c r="W93" s="38">
        <v>0.45200000000000001</v>
      </c>
      <c r="X93" s="24">
        <f t="shared" si="920"/>
        <v>6973.4560000000001</v>
      </c>
      <c r="Y93" s="38">
        <v>0.39</v>
      </c>
      <c r="Z93" s="24">
        <f t="shared" si="921"/>
        <v>6016.92</v>
      </c>
      <c r="AA93" s="117">
        <v>2.3400000000000001E-3</v>
      </c>
      <c r="AB93" s="18">
        <f t="shared" si="750"/>
        <v>36.101520000000001</v>
      </c>
      <c r="AC93" s="39">
        <v>2.32E-3</v>
      </c>
      <c r="AD93" s="17">
        <f t="shared" si="923"/>
        <v>35.792960000000001</v>
      </c>
      <c r="AE93" s="26">
        <f>IF(M93&gt;0,(AG93+AP93)/M93,0)</f>
        <v>2.3617940238527357E-3</v>
      </c>
      <c r="AF93" s="39">
        <v>2.7E-4</v>
      </c>
      <c r="AG93" s="36">
        <f t="shared" si="924"/>
        <v>4.1655600000000002</v>
      </c>
      <c r="AH93" s="27">
        <v>0.21049999999999999</v>
      </c>
      <c r="AI93" s="40">
        <f t="shared" si="925"/>
        <v>30.725001000000002</v>
      </c>
      <c r="AJ93" s="27">
        <f t="shared" si="926"/>
        <v>0.88475553047811351</v>
      </c>
      <c r="AK93" s="28">
        <f t="shared" si="668"/>
        <v>0.88676300960555032</v>
      </c>
      <c r="AL93" s="33">
        <v>159</v>
      </c>
      <c r="AM93" s="35">
        <v>8.2000000000000003E-2</v>
      </c>
      <c r="AN93" s="37">
        <v>0.22109999999999999</v>
      </c>
      <c r="AO93" s="103">
        <v>0.2286</v>
      </c>
      <c r="AP93" s="40">
        <f>AL93*(1-AM93)*AN93</f>
        <v>32.272198200000005</v>
      </c>
      <c r="AQ93" s="104">
        <f t="shared" si="712"/>
        <v>33.366913200000006</v>
      </c>
      <c r="AR93" s="41">
        <v>1.5</v>
      </c>
      <c r="AS93" s="41"/>
      <c r="AT93" s="129">
        <f>AT92+AL93-AS93</f>
        <v>404.1799999999995</v>
      </c>
      <c r="AU93" s="82"/>
      <c r="AV93" s="42"/>
      <c r="AW93" s="43"/>
      <c r="AX93" s="44"/>
      <c r="AY93" s="44"/>
      <c r="AZ93" s="44"/>
      <c r="BA93" s="44"/>
    </row>
    <row r="94" spans="1:54">
      <c r="A94" s="148"/>
      <c r="B94" s="32">
        <v>3</v>
      </c>
      <c r="C94" s="10" t="s">
        <v>57</v>
      </c>
      <c r="D94" s="42">
        <v>18100</v>
      </c>
      <c r="E94" s="42">
        <v>2</v>
      </c>
      <c r="F94" s="42">
        <v>13144</v>
      </c>
      <c r="G94" s="36">
        <v>0.8</v>
      </c>
      <c r="H94" s="36">
        <v>7</v>
      </c>
      <c r="I94" s="42">
        <v>14004</v>
      </c>
      <c r="J94" s="36">
        <v>5.7</v>
      </c>
      <c r="K94" s="42">
        <v>16441</v>
      </c>
      <c r="L94" s="38">
        <v>6.6000000000000003E-2</v>
      </c>
      <c r="M94" s="36">
        <f>ROUND(K94*(1-L94),0)</f>
        <v>15356</v>
      </c>
      <c r="N94" s="27">
        <v>0.70299999999999996</v>
      </c>
      <c r="O94" s="24">
        <f t="shared" si="916"/>
        <v>10795.268</v>
      </c>
      <c r="P94" s="38">
        <v>0.26100000000000001</v>
      </c>
      <c r="Q94" s="24">
        <f t="shared" si="917"/>
        <v>4007.9160000000002</v>
      </c>
      <c r="R94" s="38">
        <v>3.5999999999999997E-2</v>
      </c>
      <c r="S94" s="105">
        <v>0.2384</v>
      </c>
      <c r="T94" s="24">
        <f t="shared" si="918"/>
        <v>552.81599999999992</v>
      </c>
      <c r="U94" s="27">
        <v>0.25900000000000001</v>
      </c>
      <c r="V94" s="24">
        <f t="shared" si="919"/>
        <v>3977.2040000000002</v>
      </c>
      <c r="W94" s="38">
        <v>0.46300000000000002</v>
      </c>
      <c r="X94" s="24">
        <f t="shared" si="920"/>
        <v>7109.8280000000004</v>
      </c>
      <c r="Y94" s="38">
        <v>0.42</v>
      </c>
      <c r="Z94" s="24">
        <f t="shared" si="921"/>
        <v>6449.5199999999995</v>
      </c>
      <c r="AA94" s="118">
        <v>2.3600000000000001E-3</v>
      </c>
      <c r="AB94" s="121">
        <f t="shared" si="750"/>
        <v>36.240160000000003</v>
      </c>
      <c r="AC94" s="45">
        <v>2.2200000000000002E-3</v>
      </c>
      <c r="AD94" s="17">
        <f t="shared" si="923"/>
        <v>34.090320000000006</v>
      </c>
      <c r="AE94" s="26">
        <f>IF(M94&gt;0,(AG94+AP94)/M94,0)</f>
        <v>2.389900195363376E-3</v>
      </c>
      <c r="AF94" s="45">
        <v>2.7999999999999998E-4</v>
      </c>
      <c r="AG94" s="36">
        <f t="shared" si="924"/>
        <v>4.2996799999999995</v>
      </c>
      <c r="AH94" s="27">
        <v>0.20499999999999999</v>
      </c>
      <c r="AI94" s="40">
        <f t="shared" si="925"/>
        <v>30.453569999999999</v>
      </c>
      <c r="AJ94" s="27">
        <f t="shared" si="926"/>
        <v>0.87506909019218515</v>
      </c>
      <c r="AK94" s="28">
        <f t="shared" si="668"/>
        <v>0.88397515613805699</v>
      </c>
      <c r="AL94" s="42">
        <v>162</v>
      </c>
      <c r="AM94" s="38">
        <v>8.3000000000000004E-2</v>
      </c>
      <c r="AN94" s="27">
        <v>0.21809999999999999</v>
      </c>
      <c r="AO94" s="105">
        <v>0.22919999999999999</v>
      </c>
      <c r="AP94" s="40">
        <f>AL94*(1-AM94)*AN94</f>
        <v>32.3996274</v>
      </c>
      <c r="AQ94" s="106">
        <f t="shared" si="712"/>
        <v>34.048576799999999</v>
      </c>
      <c r="AR94" s="17">
        <v>1.5</v>
      </c>
      <c r="AS94" s="17"/>
      <c r="AT94" s="129">
        <f>AT93+AL94-AS94</f>
        <v>566.1799999999995</v>
      </c>
      <c r="AU94" s="82"/>
      <c r="AV94" s="42"/>
      <c r="AW94" s="46"/>
      <c r="AX94" s="40"/>
      <c r="AY94" s="40"/>
      <c r="AZ94" s="40"/>
      <c r="BA94" s="40"/>
    </row>
    <row r="95" spans="1:54">
      <c r="A95" s="149"/>
      <c r="B95" s="47" t="s">
        <v>56</v>
      </c>
      <c r="C95" s="48"/>
      <c r="D95" s="49">
        <f t="shared" ref="D95" si="928">SUM(D92:D94)</f>
        <v>42805</v>
      </c>
      <c r="E95" s="49"/>
      <c r="F95" s="49">
        <f t="shared" ref="F95" si="929">SUM(F92:F94)</f>
        <v>41520</v>
      </c>
      <c r="G95" s="50"/>
      <c r="H95" s="50"/>
      <c r="I95" s="49">
        <f t="shared" ref="I95:K95" si="930">SUM(I92:I94)</f>
        <v>42431</v>
      </c>
      <c r="J95" s="50"/>
      <c r="K95" s="49">
        <f t="shared" si="930"/>
        <v>49566</v>
      </c>
      <c r="L95" s="20">
        <f t="shared" ref="L95" si="931">IF(K95&gt;0,(K92*L92+K93*L93+K94*L94)/K95,0)</f>
        <v>6.7692389944720169E-2</v>
      </c>
      <c r="M95" s="50">
        <f t="shared" ref="M95" si="932">M92+M93+M94</f>
        <v>46211</v>
      </c>
      <c r="N95" s="51">
        <f t="shared" ref="N95" si="933">IF(M95&gt;0,O95/M95,0)</f>
        <v>0.65258864772456782</v>
      </c>
      <c r="O95" s="52">
        <f t="shared" ref="O95" si="934">O92+O93+O94</f>
        <v>30156.774000000001</v>
      </c>
      <c r="P95" s="20">
        <f t="shared" ref="P95" si="935">IF(M95&gt;0,Q95/M95,0)</f>
        <v>0.29371798922334508</v>
      </c>
      <c r="Q95" s="52">
        <f t="shared" ref="Q95" si="936">Q92+Q93+Q94</f>
        <v>13573.002</v>
      </c>
      <c r="R95" s="20">
        <f t="shared" ref="R95" si="937">IF(M95&gt;0,T95/M95,0)</f>
        <v>5.3693363052087162E-2</v>
      </c>
      <c r="S95" s="107"/>
      <c r="T95" s="52">
        <f t="shared" ref="T95" si="938">T92+T93+T94</f>
        <v>2481.2239999999997</v>
      </c>
      <c r="U95" s="20">
        <f t="shared" ref="U95" si="939">IF(M95&gt;0,V95/M95,0)</f>
        <v>0.26968340871221136</v>
      </c>
      <c r="V95" s="52">
        <f t="shared" ref="V95" si="940">V92+V93+V94</f>
        <v>12462.339999999998</v>
      </c>
      <c r="W95" s="20">
        <f t="shared" ref="W95" si="941">IF(M95&gt;0,X95/M95,0)</f>
        <v>0.46333360022505465</v>
      </c>
      <c r="X95" s="52">
        <f t="shared" ref="X95" si="942">X92+X93+X94</f>
        <v>21411.109</v>
      </c>
      <c r="Y95" s="20">
        <f t="shared" ref="Y95" si="943">IF(M95&gt;0,Z95/M95,0)</f>
        <v>0.41332258553158335</v>
      </c>
      <c r="Z95" s="52">
        <f t="shared" ref="Z95" si="944">Z92+Z93+Z94</f>
        <v>19100.05</v>
      </c>
      <c r="AA95" s="119">
        <f>IF(M95&gt;0,AB95/M95,0)</f>
        <v>2.3933833935643029E-3</v>
      </c>
      <c r="AB95" s="54">
        <f t="shared" ref="AB95" si="945">SUM(AB92:AB94)</f>
        <v>110.60064</v>
      </c>
      <c r="AC95" s="53">
        <f t="shared" ref="AC95" si="946">IF(M95&gt;0,AD95/M95,0)</f>
        <v>2.3234920257081647E-3</v>
      </c>
      <c r="AD95" s="54">
        <f t="shared" ref="AD95" si="947">SUM(AD92:AD94)</f>
        <v>107.37089</v>
      </c>
      <c r="AE95" s="53">
        <f t="shared" ref="AE95" si="948">IF(M95&gt;0,(AE92*M92+AE93*M93+AE94*M94)/M95,0)</f>
        <v>2.426664300707624E-3</v>
      </c>
      <c r="AF95" s="53">
        <f t="shared" ref="AF95" si="949">IF(K95&gt;0,(K92*AF92+K93*AF93+K94*AF94)/K95,0)</f>
        <v>2.7667816648509056E-4</v>
      </c>
      <c r="AG95" s="50">
        <f t="shared" ref="AG95" si="950">SUM(AG92:AG94)</f>
        <v>12.784799999999997</v>
      </c>
      <c r="AH95" s="51">
        <f t="shared" ref="AH95" si="951">IF(K95&gt;0,(K92*AH92+K93*AH93+K94*AH94)/K95,0)</f>
        <v>0.20807064318282692</v>
      </c>
      <c r="AI95" s="56">
        <f t="shared" ref="AI95" si="952">SUM(AI92:AI94)</f>
        <v>94.442011800000003</v>
      </c>
      <c r="AJ95" s="51">
        <f t="shared" ref="AJ95" si="953">IF(AND(AD95&gt;0),((AD92*AJ92+AD93*AJ93+AD94*AJ94)/AD95),0)</f>
        <v>0.88210141446591517</v>
      </c>
      <c r="AK95" s="55">
        <f t="shared" si="668"/>
        <v>0.88710526969538672</v>
      </c>
      <c r="AL95" s="49">
        <f t="shared" ref="AL95" si="954">SUM(AL92:AL94)</f>
        <v>495</v>
      </c>
      <c r="AM95" s="20">
        <f t="shared" ref="AM95" si="955">IF(AL95&gt;0,(AM92*AL92+AM93*AL93+AM94*AL94)/AL95,0)</f>
        <v>8.3030303030303051E-2</v>
      </c>
      <c r="AN95" s="51">
        <f>IF(K95&gt;0,(AN92*K92+AN93*K93+AN94*K94)/K95,0)</f>
        <v>0.21892849130452324</v>
      </c>
      <c r="AO95" s="107">
        <f>IF(L95&gt;0,(AO92*K92+AO93*K93+AO94*K94)/K95,0)</f>
        <v>0.22688314973974094</v>
      </c>
      <c r="AP95" s="56">
        <f t="shared" ref="AP95" si="956">SUM(AP92:AP94)</f>
        <v>99.353784000000005</v>
      </c>
      <c r="AQ95" s="108">
        <f t="shared" si="913"/>
        <v>102.94218360000002</v>
      </c>
      <c r="AR95" s="54"/>
      <c r="AS95" s="54">
        <f t="shared" ref="AS95" si="957">SUM(AS92:AS94)</f>
        <v>513.05999999999995</v>
      </c>
      <c r="AT95" s="83"/>
      <c r="AU95" s="84">
        <f>AT94</f>
        <v>566.1799999999995</v>
      </c>
      <c r="AV95" s="49">
        <f t="shared" ref="AV95" si="958">SUM(AV92:AV94)</f>
        <v>0</v>
      </c>
      <c r="AW95" s="57"/>
      <c r="AX95" s="56"/>
      <c r="AY95" s="56"/>
      <c r="AZ95" s="56"/>
      <c r="BA95" s="56"/>
      <c r="BB95" s="21"/>
    </row>
    <row r="96" spans="1:54">
      <c r="A96" s="147">
        <v>24</v>
      </c>
      <c r="B96" s="22">
        <v>1</v>
      </c>
      <c r="C96" s="10" t="s">
        <v>58</v>
      </c>
      <c r="D96" s="11">
        <v>13100</v>
      </c>
      <c r="E96" s="11">
        <v>2</v>
      </c>
      <c r="F96" s="11">
        <v>20279</v>
      </c>
      <c r="G96" s="12">
        <v>0.3</v>
      </c>
      <c r="H96" s="12">
        <v>5.4</v>
      </c>
      <c r="I96" s="11">
        <v>20192</v>
      </c>
      <c r="J96" s="12">
        <v>4.4000000000000004</v>
      </c>
      <c r="K96" s="11">
        <v>16656</v>
      </c>
      <c r="L96" s="13">
        <v>6.9000000000000006E-2</v>
      </c>
      <c r="M96" s="23">
        <f>ROUND(K96*(1-L96),0)</f>
        <v>15507</v>
      </c>
      <c r="N96" s="14">
        <v>0.78700000000000003</v>
      </c>
      <c r="O96" s="24">
        <f t="shared" ref="O96:O98" si="959">M96*N96</f>
        <v>12204.009</v>
      </c>
      <c r="P96" s="13">
        <v>0.16</v>
      </c>
      <c r="Q96" s="24">
        <f t="shared" ref="Q96:Q98" si="960">M96*P96</f>
        <v>2481.12</v>
      </c>
      <c r="R96" s="15">
        <v>5.2999999999999999E-2</v>
      </c>
      <c r="S96" s="112">
        <v>0.2145</v>
      </c>
      <c r="T96" s="24">
        <f t="shared" ref="T96:T98" si="961">M96*R96</f>
        <v>821.87099999999998</v>
      </c>
      <c r="U96" s="25">
        <v>0.254</v>
      </c>
      <c r="V96" s="24">
        <f t="shared" ref="V96:V98" si="962">M96*U96</f>
        <v>3938.7780000000002</v>
      </c>
      <c r="W96" s="15">
        <v>0.46899999999999997</v>
      </c>
      <c r="X96" s="24">
        <f t="shared" ref="X96:X98" si="963">M96*W96</f>
        <v>7272.7829999999994</v>
      </c>
      <c r="Y96" s="15">
        <v>0.4</v>
      </c>
      <c r="Z96" s="24">
        <f t="shared" ref="Z96:Z98" si="964">Y96*M96</f>
        <v>6202.8</v>
      </c>
      <c r="AA96" s="116">
        <v>2.2100000000000002E-3</v>
      </c>
      <c r="AB96" s="18">
        <f t="shared" ref="AB96" si="965">M96*AA96</f>
        <v>34.270470000000003</v>
      </c>
      <c r="AC96" s="16">
        <v>2.3400000000000001E-3</v>
      </c>
      <c r="AD96" s="17">
        <f t="shared" ref="AD96:AD98" si="966">M96*AC96</f>
        <v>36.286380000000001</v>
      </c>
      <c r="AE96" s="26">
        <f>IF(M96&gt;0,(AG96+AP96)/M96,0)</f>
        <v>2.4730124201973306E-3</v>
      </c>
      <c r="AF96" s="16">
        <v>2.7999999999999998E-4</v>
      </c>
      <c r="AG96" s="23">
        <f t="shared" ref="AG96:AG98" si="967">AF96*M96</f>
        <v>4.3419599999999994</v>
      </c>
      <c r="AH96" s="92">
        <v>0.20680000000000001</v>
      </c>
      <c r="AI96" s="29">
        <f t="shared" ref="AI96:AI98" si="968">AL96*(1-AM96)*AH96</f>
        <v>32.498413200000002</v>
      </c>
      <c r="AJ96" s="27">
        <f t="shared" ref="AJ96:AJ98" si="969">IF(AND(AH96&gt;0,AF96&gt;0,AC96&gt;0),((AC96-AF96)*AH96)/((AH96-AF96)*AC96),0)</f>
        <v>0.88153544864759281</v>
      </c>
      <c r="AK96" s="58">
        <f t="shared" si="668"/>
        <v>0.8879266507877609</v>
      </c>
      <c r="AL96" s="11">
        <v>171</v>
      </c>
      <c r="AM96" s="13">
        <v>8.1000000000000003E-2</v>
      </c>
      <c r="AN96" s="14">
        <v>0.21640000000000001</v>
      </c>
      <c r="AO96" s="101">
        <v>0.22750000000000001</v>
      </c>
      <c r="AP96" s="29">
        <f>AL96*(1-AM96)*AN96</f>
        <v>34.007043600000003</v>
      </c>
      <c r="AQ96" s="102">
        <f t="shared" ref="AQ96" si="970">AL96*(1-AM96)*AO96</f>
        <v>35.751397500000003</v>
      </c>
      <c r="AR96" s="18">
        <v>1.55</v>
      </c>
      <c r="AS96" s="18"/>
      <c r="AT96" s="79">
        <f>AT94+AL96-AS96</f>
        <v>737.1799999999995</v>
      </c>
      <c r="AU96" s="80"/>
      <c r="AV96" s="11"/>
      <c r="AW96" s="30"/>
      <c r="AX96" s="19"/>
      <c r="AY96" s="19"/>
      <c r="AZ96" s="19"/>
      <c r="BA96" s="19"/>
    </row>
    <row r="97" spans="1:54">
      <c r="A97" s="148"/>
      <c r="B97" s="32">
        <v>2</v>
      </c>
      <c r="C97" s="10" t="s">
        <v>53</v>
      </c>
      <c r="D97" s="33">
        <v>21120</v>
      </c>
      <c r="E97" s="33">
        <v>4</v>
      </c>
      <c r="F97" s="33">
        <v>17969</v>
      </c>
      <c r="G97" s="34">
        <v>0.5</v>
      </c>
      <c r="H97" s="34">
        <v>6.4</v>
      </c>
      <c r="I97" s="33">
        <v>17571</v>
      </c>
      <c r="J97" s="34">
        <v>4.3</v>
      </c>
      <c r="K97" s="33">
        <v>16459</v>
      </c>
      <c r="L97" s="35">
        <v>6.6000000000000003E-2</v>
      </c>
      <c r="M97" s="36">
        <f>ROUND(K97*(1-L97),0)</f>
        <v>15373</v>
      </c>
      <c r="N97" s="37">
        <v>0.79</v>
      </c>
      <c r="O97" s="24">
        <f t="shared" si="959"/>
        <v>12144.67</v>
      </c>
      <c r="P97" s="35">
        <v>0.14699999999999999</v>
      </c>
      <c r="Q97" s="24">
        <f t="shared" si="960"/>
        <v>2259.8309999999997</v>
      </c>
      <c r="R97" s="38">
        <v>6.3E-2</v>
      </c>
      <c r="S97" s="105">
        <v>0.21759999999999999</v>
      </c>
      <c r="T97" s="24">
        <f t="shared" si="961"/>
        <v>968.49900000000002</v>
      </c>
      <c r="U97" s="27">
        <v>0.246</v>
      </c>
      <c r="V97" s="24">
        <f t="shared" si="962"/>
        <v>3781.7579999999998</v>
      </c>
      <c r="W97" s="38">
        <v>0.48599999999999999</v>
      </c>
      <c r="X97" s="24">
        <f t="shared" si="963"/>
        <v>7471.2780000000002</v>
      </c>
      <c r="Y97" s="38">
        <v>0.4</v>
      </c>
      <c r="Z97" s="24">
        <f t="shared" si="964"/>
        <v>6149.2000000000007</v>
      </c>
      <c r="AA97" s="117">
        <v>2.3600000000000001E-3</v>
      </c>
      <c r="AB97" s="18">
        <f t="shared" si="750"/>
        <v>36.280280000000005</v>
      </c>
      <c r="AC97" s="39">
        <v>2.3600000000000001E-3</v>
      </c>
      <c r="AD97" s="17">
        <f t="shared" si="966"/>
        <v>36.280280000000005</v>
      </c>
      <c r="AE97" s="26">
        <f>IF(M97&gt;0,(AG97+AP97)/M97,0)</f>
        <v>2.3786254797372015E-3</v>
      </c>
      <c r="AF97" s="39">
        <v>2.7999999999999998E-4</v>
      </c>
      <c r="AG97" s="36">
        <f t="shared" si="967"/>
        <v>4.3044399999999996</v>
      </c>
      <c r="AH97" s="27">
        <v>0.20619999999999999</v>
      </c>
      <c r="AI97" s="40">
        <f t="shared" si="968"/>
        <v>31.335183000000001</v>
      </c>
      <c r="AJ97" s="27">
        <f t="shared" si="969"/>
        <v>0.88255435713062846</v>
      </c>
      <c r="AK97" s="28">
        <f t="shared" si="668"/>
        <v>0.8834501293612177</v>
      </c>
      <c r="AL97" s="33">
        <v>165</v>
      </c>
      <c r="AM97" s="35">
        <v>7.9000000000000001E-2</v>
      </c>
      <c r="AN97" s="37">
        <v>0.21229999999999999</v>
      </c>
      <c r="AO97" s="103">
        <v>0.2215</v>
      </c>
      <c r="AP97" s="40">
        <f>AL97*(1-AM97)*AN97</f>
        <v>32.262169499999999</v>
      </c>
      <c r="AQ97" s="104">
        <f t="shared" si="712"/>
        <v>33.660247500000004</v>
      </c>
      <c r="AR97" s="41">
        <v>1.6</v>
      </c>
      <c r="AS97" s="41"/>
      <c r="AT97" s="129">
        <f>AT96+AL97-AS97</f>
        <v>902.1799999999995</v>
      </c>
      <c r="AU97" s="82"/>
      <c r="AV97" s="42"/>
      <c r="AW97" s="43"/>
      <c r="AX97" s="44"/>
      <c r="AY97" s="44"/>
      <c r="AZ97" s="44"/>
      <c r="BA97" s="44"/>
    </row>
    <row r="98" spans="1:54">
      <c r="A98" s="148"/>
      <c r="B98" s="32">
        <v>3</v>
      </c>
      <c r="C98" s="10" t="s">
        <v>57</v>
      </c>
      <c r="D98" s="42">
        <v>19400</v>
      </c>
      <c r="E98" s="42">
        <v>3</v>
      </c>
      <c r="F98" s="42">
        <v>17557</v>
      </c>
      <c r="G98" s="36">
        <v>0.8</v>
      </c>
      <c r="H98" s="36">
        <v>6</v>
      </c>
      <c r="I98" s="42">
        <v>18590</v>
      </c>
      <c r="J98" s="36">
        <v>2.7</v>
      </c>
      <c r="K98" s="42">
        <v>16121</v>
      </c>
      <c r="L98" s="38">
        <v>6.0999999999999999E-2</v>
      </c>
      <c r="M98" s="36">
        <f>ROUND(K98*(1-L98),0)</f>
        <v>15138</v>
      </c>
      <c r="N98" s="27">
        <v>0.71399999999999997</v>
      </c>
      <c r="O98" s="24">
        <f t="shared" si="959"/>
        <v>10808.531999999999</v>
      </c>
      <c r="P98" s="38">
        <v>0.217</v>
      </c>
      <c r="Q98" s="24">
        <f t="shared" si="960"/>
        <v>3284.9459999999999</v>
      </c>
      <c r="R98" s="38">
        <v>6.9000000000000006E-2</v>
      </c>
      <c r="S98" s="105">
        <v>0.19470000000000001</v>
      </c>
      <c r="T98" s="24">
        <f t="shared" si="961"/>
        <v>1044.5220000000002</v>
      </c>
      <c r="U98" s="27">
        <v>0.24099999999999999</v>
      </c>
      <c r="V98" s="24">
        <f t="shared" si="962"/>
        <v>3648.2579999999998</v>
      </c>
      <c r="W98" s="38">
        <v>0.48299999999999998</v>
      </c>
      <c r="X98" s="24">
        <f t="shared" si="963"/>
        <v>7311.6539999999995</v>
      </c>
      <c r="Y98" s="38">
        <v>0.43</v>
      </c>
      <c r="Z98" s="24">
        <f t="shared" si="964"/>
        <v>6509.34</v>
      </c>
      <c r="AA98" s="118">
        <v>2.3800000000000002E-3</v>
      </c>
      <c r="AB98" s="121">
        <f t="shared" si="750"/>
        <v>36.028440000000003</v>
      </c>
      <c r="AC98" s="45">
        <v>2.2699999999999999E-3</v>
      </c>
      <c r="AD98" s="17">
        <f t="shared" si="966"/>
        <v>34.363259999999997</v>
      </c>
      <c r="AE98" s="26">
        <f>IF(M98&gt;0,(AG98+AP98)/M98,0)</f>
        <v>2.4294015457788348E-3</v>
      </c>
      <c r="AF98" s="45">
        <v>2.7999999999999998E-4</v>
      </c>
      <c r="AG98" s="36">
        <f t="shared" si="967"/>
        <v>4.2386399999999993</v>
      </c>
      <c r="AH98" s="27">
        <v>0.2044</v>
      </c>
      <c r="AI98" s="40">
        <f t="shared" si="968"/>
        <v>32.191160400000001</v>
      </c>
      <c r="AJ98" s="27">
        <f t="shared" si="969"/>
        <v>0.87785452282107534</v>
      </c>
      <c r="AK98" s="28">
        <f t="shared" si="668"/>
        <v>0.885945979141748</v>
      </c>
      <c r="AL98" s="42">
        <v>171</v>
      </c>
      <c r="AM98" s="38">
        <v>7.9000000000000001E-2</v>
      </c>
      <c r="AN98" s="27">
        <v>0.20660000000000001</v>
      </c>
      <c r="AO98" s="105">
        <v>0.2122</v>
      </c>
      <c r="AP98" s="40">
        <f>AL98*(1-AM98)*AN98</f>
        <v>32.537640600000003</v>
      </c>
      <c r="AQ98" s="106">
        <f t="shared" si="712"/>
        <v>33.419590200000002</v>
      </c>
      <c r="AR98" s="17">
        <v>1.6</v>
      </c>
      <c r="AS98" s="17"/>
      <c r="AT98" s="129">
        <f>AT97+AL98-AS98</f>
        <v>1073.1799999999994</v>
      </c>
      <c r="AU98" s="82"/>
      <c r="AV98" s="42"/>
      <c r="AW98" s="46"/>
      <c r="AX98" s="40"/>
      <c r="AY98" s="40"/>
      <c r="AZ98" s="40"/>
      <c r="BA98" s="40"/>
    </row>
    <row r="99" spans="1:54">
      <c r="A99" s="149"/>
      <c r="B99" s="47" t="s">
        <v>56</v>
      </c>
      <c r="C99" s="48"/>
      <c r="D99" s="49">
        <f t="shared" ref="D99" si="971">SUM(D96:D98)</f>
        <v>53620</v>
      </c>
      <c r="E99" s="49"/>
      <c r="F99" s="49">
        <f t="shared" ref="F99" si="972">SUM(F96:F98)</f>
        <v>55805</v>
      </c>
      <c r="G99" s="50"/>
      <c r="H99" s="50"/>
      <c r="I99" s="49">
        <f t="shared" ref="I99:K99" si="973">SUM(I96:I98)</f>
        <v>56353</v>
      </c>
      <c r="J99" s="50"/>
      <c r="K99" s="49">
        <f t="shared" si="973"/>
        <v>49236</v>
      </c>
      <c r="L99" s="20">
        <f t="shared" ref="L99" si="974">IF(K99&gt;0,(K96*L96+K97*L97+K98*L98)/K99,0)</f>
        <v>6.5377752051344537E-2</v>
      </c>
      <c r="M99" s="50">
        <f t="shared" ref="M99" si="975">M96+M97+M98</f>
        <v>46018</v>
      </c>
      <c r="N99" s="51">
        <f t="shared" ref="N99" si="976">IF(M99&gt;0,O99/M99,0)</f>
        <v>0.76398824373071395</v>
      </c>
      <c r="O99" s="52">
        <f t="shared" ref="O99" si="977">O96+O97+O98</f>
        <v>35157.210999999996</v>
      </c>
      <c r="P99" s="20">
        <f t="shared" ref="P99" si="978">IF(M99&gt;0,Q99/M99,0)</f>
        <v>0.17440777521839279</v>
      </c>
      <c r="Q99" s="52">
        <f t="shared" ref="Q99" si="979">Q96+Q97+Q98</f>
        <v>8025.896999999999</v>
      </c>
      <c r="R99" s="20">
        <f t="shared" ref="R99" si="980">IF(M99&gt;0,T99/M99,0)</f>
        <v>6.1603981050893125E-2</v>
      </c>
      <c r="S99" s="107"/>
      <c r="T99" s="52">
        <f t="shared" ref="T99" si="981">T96+T97+T98</f>
        <v>2834.8919999999998</v>
      </c>
      <c r="U99" s="20">
        <f t="shared" ref="U99" si="982">IF(M99&gt;0,V99/M99,0)</f>
        <v>0.24705102351253858</v>
      </c>
      <c r="V99" s="52">
        <f t="shared" ref="V99" si="983">V96+V97+V98</f>
        <v>11368.794</v>
      </c>
      <c r="W99" s="20">
        <f t="shared" ref="W99" si="984">IF(M99&gt;0,X99/M99,0)</f>
        <v>0.47928451910122127</v>
      </c>
      <c r="X99" s="52">
        <f t="shared" ref="X99" si="985">X96+X97+X98</f>
        <v>22055.715</v>
      </c>
      <c r="Y99" s="20">
        <f t="shared" ref="Y99" si="986">IF(M99&gt;0,Z99/M99,0)</f>
        <v>0.40986874701203879</v>
      </c>
      <c r="Z99" s="52">
        <f t="shared" ref="Z99" si="987">Z96+Z97+Z98</f>
        <v>18861.34</v>
      </c>
      <c r="AA99" s="119">
        <f>IF(M99&gt;0,AB99/M99,0)</f>
        <v>2.3160326394019732E-3</v>
      </c>
      <c r="AB99" s="54">
        <f t="shared" ref="AB99" si="988">SUM(AB96:AB98)</f>
        <v>106.57919000000001</v>
      </c>
      <c r="AC99" s="53">
        <f t="shared" ref="AC99" si="989">IF(M99&gt;0,AD99/M99,0)</f>
        <v>2.3236542222608548E-3</v>
      </c>
      <c r="AD99" s="54">
        <f t="shared" ref="AD99" si="990">SUM(AD96:AD98)</f>
        <v>106.92992000000001</v>
      </c>
      <c r="AE99" s="53">
        <f t="shared" ref="AE99" si="991">IF(M99&gt;0,(AE96*M96+AE97*M97+AE98*M98)/M99,0)</f>
        <v>2.4271348972141338E-3</v>
      </c>
      <c r="AF99" s="53">
        <f t="shared" ref="AF99" si="992">IF(K99&gt;0,(K96*AF96+K97*AF97+K98*AF98)/K99,0)</f>
        <v>2.7999999999999998E-4</v>
      </c>
      <c r="AG99" s="50">
        <f t="shared" ref="AG99" si="993">SUM(AG96:AG98)</f>
        <v>12.88504</v>
      </c>
      <c r="AH99" s="51">
        <f t="shared" ref="AH99" si="994">IF(K99&gt;0,(K96*AH96+K97*AH97+K98*AH98)/K99,0)</f>
        <v>0.20581361199122594</v>
      </c>
      <c r="AI99" s="56">
        <f t="shared" ref="AI99" si="995">SUM(AI96:AI98)</f>
        <v>96.024756600000003</v>
      </c>
      <c r="AJ99" s="51">
        <f t="shared" ref="AJ99" si="996">IF(AND(AD99&gt;0),((AD96*AJ96+AD97*AJ97+AD98*AJ98)/AD99),0)</f>
        <v>0.88069824306323963</v>
      </c>
      <c r="AK99" s="55">
        <f t="shared" si="668"/>
        <v>0.88580857033808313</v>
      </c>
      <c r="AL99" s="49">
        <f t="shared" ref="AL99" si="997">SUM(AL96:AL98)</f>
        <v>507</v>
      </c>
      <c r="AM99" s="20">
        <f t="shared" ref="AM99" si="998">IF(AL99&gt;0,(AM96*AL96+AM97*AL97+AM98*AL98)/AL99,0)</f>
        <v>7.9674556213017764E-2</v>
      </c>
      <c r="AN99" s="51">
        <f>IF(K99&gt;0,(AN96*K96+AN97*K97+AN98*K98)/K99,0)</f>
        <v>0.21182067389714845</v>
      </c>
      <c r="AO99" s="107">
        <f>IF(L99&gt;0,(AO96*K96+AO97*K97+AO98*K98)/K99,0)</f>
        <v>0.22048470021935171</v>
      </c>
      <c r="AP99" s="56">
        <f t="shared" ref="AP99" si="999">SUM(AP96:AP98)</f>
        <v>98.806853700000005</v>
      </c>
      <c r="AQ99" s="108">
        <f t="shared" si="913"/>
        <v>102.83123520000001</v>
      </c>
      <c r="AR99" s="54"/>
      <c r="AS99" s="54">
        <f t="shared" ref="AS99" si="1000">SUM(AS96:AS98)</f>
        <v>0</v>
      </c>
      <c r="AT99" s="83"/>
      <c r="AU99" s="84">
        <f>AT98</f>
        <v>1073.1799999999994</v>
      </c>
      <c r="AV99" s="49">
        <f t="shared" ref="AV99" si="1001">SUM(AV96:AV98)</f>
        <v>0</v>
      </c>
      <c r="AW99" s="57"/>
      <c r="AX99" s="56"/>
      <c r="AY99" s="56"/>
      <c r="AZ99" s="56"/>
      <c r="BA99" s="56"/>
      <c r="BB99" s="21"/>
    </row>
    <row r="100" spans="1:54">
      <c r="A100" s="154">
        <v>25</v>
      </c>
      <c r="B100" s="32">
        <v>1</v>
      </c>
      <c r="C100" s="10" t="s">
        <v>58</v>
      </c>
      <c r="D100" s="11">
        <v>12800</v>
      </c>
      <c r="E100" s="11">
        <v>3</v>
      </c>
      <c r="F100" s="11">
        <v>20730</v>
      </c>
      <c r="G100" s="12">
        <v>0.9</v>
      </c>
      <c r="H100" s="12">
        <v>6.4</v>
      </c>
      <c r="I100" s="11">
        <v>19788</v>
      </c>
      <c r="J100" s="12">
        <v>1.6</v>
      </c>
      <c r="K100" s="11">
        <v>16032</v>
      </c>
      <c r="L100" s="13">
        <v>7.9000000000000001E-2</v>
      </c>
      <c r="M100" s="23">
        <f>ROUND(K100*(1-L100),0)</f>
        <v>14765</v>
      </c>
      <c r="N100" s="14">
        <v>0.72699999999999998</v>
      </c>
      <c r="O100" s="24">
        <f t="shared" ref="O100:O102" si="1002">M100*N100</f>
        <v>10734.154999999999</v>
      </c>
      <c r="P100" s="13">
        <v>0.17699999999999999</v>
      </c>
      <c r="Q100" s="24">
        <f t="shared" ref="Q100:Q102" si="1003">M100*P100</f>
        <v>2613.4049999999997</v>
      </c>
      <c r="R100" s="15">
        <v>9.6000000000000002E-2</v>
      </c>
      <c r="S100" s="112">
        <v>0.22559999999999999</v>
      </c>
      <c r="T100" s="24">
        <f t="shared" ref="T100:T102" si="1004">M100*R100</f>
        <v>1417.44</v>
      </c>
      <c r="U100" s="25">
        <v>0.24399999999999999</v>
      </c>
      <c r="V100" s="24">
        <f t="shared" ref="V100:V102" si="1005">M100*U100</f>
        <v>3602.66</v>
      </c>
      <c r="W100" s="15">
        <v>0.48299999999999998</v>
      </c>
      <c r="X100" s="24">
        <f t="shared" ref="X100:X102" si="1006">M100*W100</f>
        <v>7131.4949999999999</v>
      </c>
      <c r="Y100" s="15">
        <v>0.41</v>
      </c>
      <c r="Z100" s="24">
        <f t="shared" ref="Z100:Z102" si="1007">Y100*M100</f>
        <v>6053.65</v>
      </c>
      <c r="AA100" s="116">
        <v>2.5300000000000001E-3</v>
      </c>
      <c r="AB100" s="18">
        <f t="shared" ref="AB100" si="1008">M100*AA100</f>
        <v>37.355450000000005</v>
      </c>
      <c r="AC100" s="16">
        <v>2.33E-3</v>
      </c>
      <c r="AD100" s="17">
        <f t="shared" ref="AD100:AD102" si="1009">M100*AC100</f>
        <v>34.402450000000002</v>
      </c>
      <c r="AE100" s="26">
        <f>IF(M100&gt;0,(AG100+AP100)/M100,0)</f>
        <v>2.8027489332881814E-3</v>
      </c>
      <c r="AF100" s="16">
        <v>2.9999999999999997E-4</v>
      </c>
      <c r="AG100" s="23">
        <f t="shared" ref="AG100:AG102" si="1010">AF100*M100</f>
        <v>4.4295</v>
      </c>
      <c r="AH100" s="92">
        <v>0.20610000000000001</v>
      </c>
      <c r="AI100" s="29">
        <f t="shared" ref="AI100:AI102" si="1011">AL100*(1-AM100)*AH100</f>
        <v>36.405504000000001</v>
      </c>
      <c r="AJ100" s="27">
        <f t="shared" ref="AJ100:AJ102" si="1012">IF(AND(AH100&gt;0,AF100&gt;0,AC100&gt;0),((AC100-AF100)*AH100)/((AH100-AF100)*AC100),0)</f>
        <v>0.87251467110449332</v>
      </c>
      <c r="AK100" s="58">
        <f t="shared" si="668"/>
        <v>0.89424460600395428</v>
      </c>
      <c r="AL100" s="11">
        <v>192</v>
      </c>
      <c r="AM100" s="13">
        <v>0.08</v>
      </c>
      <c r="AN100" s="14">
        <v>0.2092</v>
      </c>
      <c r="AO100" s="101">
        <v>0.21149999999999999</v>
      </c>
      <c r="AP100" s="29">
        <f>AL100*(1-AM100)*AN100</f>
        <v>36.953088000000001</v>
      </c>
      <c r="AQ100" s="102">
        <f t="shared" ref="AQ100" si="1013">AL100*(1-AM100)*AO100</f>
        <v>37.359360000000002</v>
      </c>
      <c r="AR100" s="18">
        <v>1.55</v>
      </c>
      <c r="AS100" s="18"/>
      <c r="AT100" s="79">
        <f>AT98+AL100-AS100</f>
        <v>1265.1799999999994</v>
      </c>
      <c r="AU100" s="134"/>
      <c r="AV100" s="11"/>
      <c r="AW100" s="30"/>
      <c r="AX100" s="19"/>
      <c r="AY100" s="19"/>
      <c r="AZ100" s="19"/>
      <c r="BA100" s="19"/>
    </row>
    <row r="101" spans="1:54">
      <c r="A101" s="154"/>
      <c r="B101" s="32">
        <v>2</v>
      </c>
      <c r="C101" s="10" t="s">
        <v>53</v>
      </c>
      <c r="D101" s="33">
        <v>19340</v>
      </c>
      <c r="E101" s="33">
        <v>2</v>
      </c>
      <c r="F101" s="33">
        <v>13225</v>
      </c>
      <c r="G101" s="34">
        <v>0.7</v>
      </c>
      <c r="H101" s="34">
        <v>4.5999999999999996</v>
      </c>
      <c r="I101" s="33">
        <v>13773</v>
      </c>
      <c r="J101" s="34">
        <v>2.6</v>
      </c>
      <c r="K101" s="33">
        <v>15220</v>
      </c>
      <c r="L101" s="35">
        <v>6.8000000000000005E-2</v>
      </c>
      <c r="M101" s="36">
        <f>ROUND(K101*(1-L101),0)</f>
        <v>14185</v>
      </c>
      <c r="N101" s="37">
        <v>0.66100000000000003</v>
      </c>
      <c r="O101" s="24">
        <f t="shared" si="1002"/>
        <v>9376.2849999999999</v>
      </c>
      <c r="P101" s="35">
        <v>0.307</v>
      </c>
      <c r="Q101" s="24">
        <f t="shared" si="1003"/>
        <v>4354.7950000000001</v>
      </c>
      <c r="R101" s="38">
        <v>3.2000000000000001E-2</v>
      </c>
      <c r="S101" s="105">
        <v>0.24809999999999999</v>
      </c>
      <c r="T101" s="24">
        <f t="shared" si="1004"/>
        <v>453.92</v>
      </c>
      <c r="U101" s="27">
        <v>0.246</v>
      </c>
      <c r="V101" s="24">
        <f t="shared" si="1005"/>
        <v>3489.5099999999998</v>
      </c>
      <c r="W101" s="38">
        <v>0.48899999999999999</v>
      </c>
      <c r="X101" s="24">
        <f t="shared" si="1006"/>
        <v>6936.4650000000001</v>
      </c>
      <c r="Y101" s="38">
        <v>0.42</v>
      </c>
      <c r="Z101" s="24">
        <f t="shared" si="1007"/>
        <v>5957.7</v>
      </c>
      <c r="AA101" s="117">
        <v>2.4199999999999998E-3</v>
      </c>
      <c r="AB101" s="18">
        <f t="shared" si="750"/>
        <v>34.3277</v>
      </c>
      <c r="AC101" s="39">
        <v>2.2000000000000001E-3</v>
      </c>
      <c r="AD101" s="17">
        <f t="shared" si="1009"/>
        <v>31.207000000000001</v>
      </c>
      <c r="AE101" s="26">
        <f>IF(M101&gt;0,(AG101+AP101)/M101,0)</f>
        <v>2.3314723299259783E-3</v>
      </c>
      <c r="AF101" s="39">
        <v>2.7999999999999998E-4</v>
      </c>
      <c r="AG101" s="36">
        <f t="shared" si="1010"/>
        <v>3.9717999999999996</v>
      </c>
      <c r="AH101" s="27">
        <v>0.20760000000000001</v>
      </c>
      <c r="AI101" s="40">
        <f t="shared" si="1011"/>
        <v>28.617660000000001</v>
      </c>
      <c r="AJ101" s="27">
        <f t="shared" si="1012"/>
        <v>0.87390595127427084</v>
      </c>
      <c r="AK101" s="28">
        <f t="shared" si="668"/>
        <v>0.88107285720738637</v>
      </c>
      <c r="AL101" s="33">
        <v>150</v>
      </c>
      <c r="AM101" s="35">
        <v>8.1000000000000003E-2</v>
      </c>
      <c r="AN101" s="37">
        <v>0.21110000000000001</v>
      </c>
      <c r="AO101" s="103">
        <v>0.21870000000000001</v>
      </c>
      <c r="AP101" s="40">
        <f>AL101*(1-AM101)*AN101</f>
        <v>29.100135000000002</v>
      </c>
      <c r="AQ101" s="104">
        <f t="shared" si="712"/>
        <v>30.147794999999999</v>
      </c>
      <c r="AR101" s="41">
        <v>1.58</v>
      </c>
      <c r="AS101" s="41"/>
      <c r="AT101" s="129">
        <f>AT100+AL101-AS101</f>
        <v>1415.1799999999994</v>
      </c>
      <c r="AU101" s="82"/>
      <c r="AV101" s="42"/>
      <c r="AW101" s="43"/>
      <c r="AX101" s="44"/>
      <c r="AY101" s="44"/>
      <c r="AZ101" s="44"/>
      <c r="BA101" s="44"/>
    </row>
    <row r="102" spans="1:54">
      <c r="A102" s="154"/>
      <c r="B102" s="32">
        <v>3</v>
      </c>
      <c r="C102" s="10" t="s">
        <v>54</v>
      </c>
      <c r="D102" s="42">
        <v>14910</v>
      </c>
      <c r="E102" s="42">
        <v>6</v>
      </c>
      <c r="F102" s="42">
        <v>21616</v>
      </c>
      <c r="G102" s="36">
        <v>0.8</v>
      </c>
      <c r="H102" s="36">
        <v>5.6</v>
      </c>
      <c r="I102" s="42">
        <v>21068</v>
      </c>
      <c r="J102" s="36">
        <v>0.7</v>
      </c>
      <c r="K102" s="42">
        <v>15422</v>
      </c>
      <c r="L102" s="38">
        <v>7.2999999999999995E-2</v>
      </c>
      <c r="M102" s="36">
        <f>ROUND(K102*(1-L102),0)</f>
        <v>14296</v>
      </c>
      <c r="N102" s="27">
        <v>0.60099999999999998</v>
      </c>
      <c r="O102" s="24">
        <f t="shared" si="1002"/>
        <v>8591.8959999999988</v>
      </c>
      <c r="P102" s="38">
        <v>0.31</v>
      </c>
      <c r="Q102" s="24">
        <f t="shared" si="1003"/>
        <v>4431.76</v>
      </c>
      <c r="R102" s="38">
        <v>8.8999999999999996E-2</v>
      </c>
      <c r="S102" s="105">
        <v>0.25109999999999999</v>
      </c>
      <c r="T102" s="24">
        <f t="shared" si="1004"/>
        <v>1272.3440000000001</v>
      </c>
      <c r="U102" s="27">
        <v>0.25700000000000001</v>
      </c>
      <c r="V102" s="24">
        <f t="shared" si="1005"/>
        <v>3674.0720000000001</v>
      </c>
      <c r="W102" s="38">
        <v>0.47299999999999998</v>
      </c>
      <c r="X102" s="24">
        <f t="shared" si="1006"/>
        <v>6762.0079999999998</v>
      </c>
      <c r="Y102" s="38">
        <v>0.41</v>
      </c>
      <c r="Z102" s="24">
        <f t="shared" si="1007"/>
        <v>5861.36</v>
      </c>
      <c r="AA102" s="118">
        <v>2.3900000000000002E-3</v>
      </c>
      <c r="AB102" s="121">
        <f t="shared" si="750"/>
        <v>34.167440000000006</v>
      </c>
      <c r="AC102" s="45">
        <v>2.2399999999999998E-3</v>
      </c>
      <c r="AD102" s="17">
        <f t="shared" si="1009"/>
        <v>32.023039999999995</v>
      </c>
      <c r="AE102" s="26">
        <f>IF(M102&gt;0,(AG102+AP102)/M102,0)</f>
        <v>2.3816814913262454E-3</v>
      </c>
      <c r="AF102" s="45">
        <v>2.7E-4</v>
      </c>
      <c r="AG102" s="36">
        <f t="shared" si="1010"/>
        <v>3.8599200000000002</v>
      </c>
      <c r="AH102" s="27">
        <v>0.20100000000000001</v>
      </c>
      <c r="AI102" s="40">
        <f t="shared" si="1011"/>
        <v>29.370321000000004</v>
      </c>
      <c r="AJ102" s="27">
        <f t="shared" si="1012"/>
        <v>0.88064724469970324</v>
      </c>
      <c r="AK102" s="28">
        <f t="shared" si="668"/>
        <v>0.88779495085306226</v>
      </c>
      <c r="AL102" s="42">
        <v>159</v>
      </c>
      <c r="AM102" s="38">
        <v>8.1000000000000003E-2</v>
      </c>
      <c r="AN102" s="27">
        <v>0.20660000000000001</v>
      </c>
      <c r="AO102" s="105">
        <v>0.21240000000000001</v>
      </c>
      <c r="AP102" s="40">
        <f>AL102*(1-AM102)*AN102</f>
        <v>30.188598600000002</v>
      </c>
      <c r="AQ102" s="106">
        <f t="shared" si="712"/>
        <v>31.036100400000002</v>
      </c>
      <c r="AR102" s="17">
        <v>1.55</v>
      </c>
      <c r="AS102" s="17"/>
      <c r="AT102" s="129">
        <f>AT101+AL102-AS102</f>
        <v>1574.1799999999994</v>
      </c>
      <c r="AU102" s="82"/>
      <c r="AV102" s="42"/>
      <c r="AW102" s="46"/>
      <c r="AX102" s="40"/>
      <c r="AY102" s="40"/>
      <c r="AZ102" s="40"/>
      <c r="BA102" s="40"/>
    </row>
    <row r="103" spans="1:54">
      <c r="A103" s="154"/>
      <c r="B103" s="135" t="s">
        <v>56</v>
      </c>
      <c r="C103" s="48"/>
      <c r="D103" s="49">
        <f t="shared" ref="D103" si="1014">SUM(D100:D102)</f>
        <v>47050</v>
      </c>
      <c r="E103" s="49"/>
      <c r="F103" s="49">
        <f t="shared" ref="F103" si="1015">SUM(F100:F102)</f>
        <v>55571</v>
      </c>
      <c r="G103" s="50"/>
      <c r="H103" s="50"/>
      <c r="I103" s="49">
        <f t="shared" ref="I103:K103" si="1016">SUM(I100:I102)</f>
        <v>54629</v>
      </c>
      <c r="J103" s="50"/>
      <c r="K103" s="49">
        <f t="shared" si="1016"/>
        <v>46674</v>
      </c>
      <c r="L103" s="20">
        <f t="shared" ref="L103" si="1017">IF(K103&gt;0,(K100*L100+K101*L101+K102*L102)/K103,0)</f>
        <v>7.3430475211038279E-2</v>
      </c>
      <c r="M103" s="50">
        <f t="shared" ref="M103" si="1018">M100+M101+M102</f>
        <v>43246</v>
      </c>
      <c r="N103" s="51">
        <f t="shared" ref="N103" si="1019">IF(M103&gt;0,O103/M103,0)</f>
        <v>0.66369920917541492</v>
      </c>
      <c r="O103" s="52">
        <f t="shared" ref="O103" si="1020">O100+O101+O102</f>
        <v>28702.335999999996</v>
      </c>
      <c r="P103" s="20">
        <f t="shared" ref="P103" si="1021">IF(M103&gt;0,Q103/M103,0)</f>
        <v>0.26360727003653517</v>
      </c>
      <c r="Q103" s="52">
        <f t="shared" ref="Q103" si="1022">Q100+Q101+Q102</f>
        <v>11399.96</v>
      </c>
      <c r="R103" s="20">
        <f t="shared" ref="R103" si="1023">IF(M103&gt;0,T103/M103,0)</f>
        <v>7.2693520788049762E-2</v>
      </c>
      <c r="S103" s="107"/>
      <c r="T103" s="52">
        <f t="shared" ref="T103" si="1024">T100+T101+T102</f>
        <v>3143.7040000000002</v>
      </c>
      <c r="U103" s="20">
        <f t="shared" ref="U103" si="1025">IF(M103&gt;0,V103/M103,0)</f>
        <v>0.24895347546593904</v>
      </c>
      <c r="V103" s="52">
        <f t="shared" ref="V103" si="1026">V100+V101+V102</f>
        <v>10766.242</v>
      </c>
      <c r="W103" s="20">
        <f t="shared" ref="W103" si="1027">IF(M103&gt;0,X103/M103,0)</f>
        <v>0.48166230402811822</v>
      </c>
      <c r="X103" s="52">
        <f t="shared" ref="X103" si="1028">X100+X101+X102</f>
        <v>20829.968000000001</v>
      </c>
      <c r="Y103" s="20">
        <f t="shared" ref="Y103" si="1029">IF(M103&gt;0,Z103/M103,0)</f>
        <v>0.41328007214540069</v>
      </c>
      <c r="Z103" s="52">
        <f t="shared" ref="Z103" si="1030">Z100+Z101+Z102</f>
        <v>17872.71</v>
      </c>
      <c r="AA103" s="119">
        <f>IF(M103&gt;0,AB103/M103,0)</f>
        <v>2.4476388567728812E-3</v>
      </c>
      <c r="AB103" s="54">
        <f t="shared" ref="AB103" si="1031">SUM(AB100:AB102)</f>
        <v>105.85059000000001</v>
      </c>
      <c r="AC103" s="53">
        <f t="shared" ref="AC103" si="1032">IF(M103&gt;0,AD103/M103,0)</f>
        <v>2.2576074087776905E-3</v>
      </c>
      <c r="AD103" s="54">
        <f t="shared" ref="AD103" si="1033">SUM(AD100:AD102)</f>
        <v>97.632490000000004</v>
      </c>
      <c r="AE103" s="53">
        <f t="shared" ref="AE103" si="1034">IF(M103&gt;0,(AE100*M100+AE101*M101+AE102*M102)/M103,0)</f>
        <v>2.5089728899782638E-3</v>
      </c>
      <c r="AF103" s="53">
        <f t="shared" ref="AF103" si="1035">IF(K103&gt;0,(K100*AF100+K101*AF101+K102*AF102)/K103,0)</f>
        <v>2.8356558255131334E-4</v>
      </c>
      <c r="AG103" s="50">
        <f t="shared" ref="AG103" si="1036">SUM(AG100:AG102)</f>
        <v>12.26122</v>
      </c>
      <c r="AH103" s="51">
        <f t="shared" ref="AH103" si="1037">IF(K103&gt;0,(K100*AH100+K101*AH101+K102*AH102)/K103,0)</f>
        <v>0.20490399794318037</v>
      </c>
      <c r="AI103" s="56">
        <f t="shared" ref="AI103" si="1038">SUM(AI100:AI102)</f>
        <v>94.393485000000013</v>
      </c>
      <c r="AJ103" s="51">
        <f t="shared" ref="AJ103" si="1039">IF(AND(AD103&gt;0),((AD100*AJ100+AD101*AJ101+AD102*AJ102)/AD103),0)</f>
        <v>0.87562682577555206</v>
      </c>
      <c r="AK103" s="55">
        <f t="shared" si="668"/>
        <v>0.8881847085182546</v>
      </c>
      <c r="AL103" s="49">
        <f t="shared" ref="AL103" si="1040">SUM(AL100:AL102)</f>
        <v>501</v>
      </c>
      <c r="AM103" s="20">
        <f t="shared" ref="AM103" si="1041">IF(AL103&gt;0,(AM100*AL100+AM101*AL101+AM102*AL102)/AL103,0)</f>
        <v>8.0616766467065865E-2</v>
      </c>
      <c r="AN103" s="51">
        <f>IF(K103&gt;0,(AN100*K100+AN101*K101+AN102*K102)/K103,0)</f>
        <v>0.20896048335261602</v>
      </c>
      <c r="AO103" s="107">
        <f>IF(L103&gt;0,(AO100*K100+AO101*K101+AO102*K102)/K103,0)</f>
        <v>0.21414523717701503</v>
      </c>
      <c r="AP103" s="56">
        <f t="shared" ref="AP103" si="1042">SUM(AP100:AP102)</f>
        <v>96.241821600000009</v>
      </c>
      <c r="AQ103" s="108">
        <f t="shared" si="913"/>
        <v>98.543255399999993</v>
      </c>
      <c r="AR103" s="54"/>
      <c r="AS103" s="54">
        <f t="shared" ref="AS103" si="1043">SUM(AS100:AS102)</f>
        <v>0</v>
      </c>
      <c r="AT103" s="136"/>
      <c r="AU103" s="84">
        <f>AT102</f>
        <v>1574.1799999999994</v>
      </c>
      <c r="AV103" s="49">
        <f t="shared" ref="AV103" si="1044">SUM(AV100:AV102)</f>
        <v>0</v>
      </c>
      <c r="AW103" s="57"/>
      <c r="AX103" s="56"/>
      <c r="AY103" s="56"/>
      <c r="AZ103" s="56"/>
      <c r="BA103" s="56"/>
      <c r="BB103" s="21"/>
    </row>
    <row r="104" spans="1:54">
      <c r="A104" s="147">
        <v>26</v>
      </c>
      <c r="B104" s="22">
        <v>1</v>
      </c>
      <c r="C104" s="10" t="s">
        <v>55</v>
      </c>
      <c r="D104" s="11">
        <v>9259</v>
      </c>
      <c r="E104" s="11">
        <v>2</v>
      </c>
      <c r="F104" s="11">
        <v>7994</v>
      </c>
      <c r="G104" s="12">
        <v>0.7</v>
      </c>
      <c r="H104" s="12">
        <v>6</v>
      </c>
      <c r="I104" s="11">
        <v>8315</v>
      </c>
      <c r="J104" s="12">
        <v>3.5</v>
      </c>
      <c r="K104" s="11">
        <v>15913</v>
      </c>
      <c r="L104" s="13">
        <v>6.2E-2</v>
      </c>
      <c r="M104" s="23">
        <f>ROUND(K104*(1-L104),0)</f>
        <v>14926</v>
      </c>
      <c r="N104" s="14">
        <v>0.63100000000000001</v>
      </c>
      <c r="O104" s="24">
        <f t="shared" ref="O104:O106" si="1045">M104*N104</f>
        <v>9418.3060000000005</v>
      </c>
      <c r="P104" s="13">
        <v>0.32</v>
      </c>
      <c r="Q104" s="24">
        <f t="shared" ref="Q104:Q106" si="1046">M104*P104</f>
        <v>4776.32</v>
      </c>
      <c r="R104" s="15">
        <v>4.9000000000000002E-2</v>
      </c>
      <c r="S104" s="112">
        <v>0.24349999999999999</v>
      </c>
      <c r="T104" s="24">
        <f t="shared" ref="T104:T106" si="1047">M104*R104</f>
        <v>731.37400000000002</v>
      </c>
      <c r="U104" s="25">
        <v>0.253</v>
      </c>
      <c r="V104" s="24">
        <f t="shared" ref="V104:V106" si="1048">M104*U104</f>
        <v>3776.2780000000002</v>
      </c>
      <c r="W104" s="15">
        <v>0.47399999999999998</v>
      </c>
      <c r="X104" s="24">
        <f t="shared" ref="X104:X106" si="1049">M104*W104</f>
        <v>7074.924</v>
      </c>
      <c r="Y104" s="15">
        <v>0.4</v>
      </c>
      <c r="Z104" s="24">
        <f t="shared" ref="Z104:Z106" si="1050">Y104*M104</f>
        <v>5970.4000000000005</v>
      </c>
      <c r="AA104" s="116">
        <v>2.49E-3</v>
      </c>
      <c r="AB104" s="18">
        <f t="shared" ref="AB104" si="1051">M104*AA104</f>
        <v>37.16574</v>
      </c>
      <c r="AC104" s="16">
        <v>2.2799999999999999E-3</v>
      </c>
      <c r="AD104" s="17">
        <f t="shared" ref="AD104:AD106" si="1052">M104*AC104</f>
        <v>34.031279999999995</v>
      </c>
      <c r="AE104" s="26">
        <f>IF(M104&gt;0,(AG104+AP104)/M104,0)</f>
        <v>2.3749949082138549E-3</v>
      </c>
      <c r="AF104" s="16">
        <v>2.7999999999999998E-4</v>
      </c>
      <c r="AG104" s="23">
        <f t="shared" ref="AG104:AG106" si="1053">AF104*M104</f>
        <v>4.1792799999999994</v>
      </c>
      <c r="AH104" s="92">
        <v>0.20669999999999999</v>
      </c>
      <c r="AI104" s="29">
        <f t="shared" ref="AI104:AI106" si="1054">AL104*(1-AM104)*AH104</f>
        <v>30.2032107</v>
      </c>
      <c r="AJ104" s="27">
        <f t="shared" ref="AJ104:AJ106" si="1055">IF(AND(AH104&gt;0,AF104&gt;0,AC104&gt;0),((AC104-AF104)*AH104)/((AH104-AF104)*AC104),0)</f>
        <v>0.87838285763823387</v>
      </c>
      <c r="AK104" s="58">
        <f t="shared" si="668"/>
        <v>0.88326067857923318</v>
      </c>
      <c r="AL104" s="11">
        <v>159</v>
      </c>
      <c r="AM104" s="13">
        <v>8.1000000000000003E-2</v>
      </c>
      <c r="AN104" s="14">
        <v>0.214</v>
      </c>
      <c r="AO104" s="101">
        <v>0.21940000000000001</v>
      </c>
      <c r="AP104" s="29">
        <f>AL104*(1-AM104)*AN104</f>
        <v>31.269894000000001</v>
      </c>
      <c r="AQ104" s="102">
        <f t="shared" ref="AQ104" si="1056">AL104*(1-AM104)*AO104</f>
        <v>32.058947400000001</v>
      </c>
      <c r="AR104" s="18">
        <v>1.55</v>
      </c>
      <c r="AS104" s="18">
        <v>1003.56</v>
      </c>
      <c r="AT104" s="79">
        <f>AT102+AL104-AS104</f>
        <v>729.61999999999944</v>
      </c>
      <c r="AU104" s="80"/>
      <c r="AV104" s="11"/>
      <c r="AW104" s="30"/>
      <c r="AX104" s="19"/>
      <c r="AY104" s="19"/>
      <c r="AZ104" s="19"/>
      <c r="BA104" s="19"/>
    </row>
    <row r="105" spans="1:54">
      <c r="A105" s="148"/>
      <c r="B105" s="32">
        <v>2</v>
      </c>
      <c r="C105" s="10" t="s">
        <v>53</v>
      </c>
      <c r="D105" s="33">
        <v>18800</v>
      </c>
      <c r="E105" s="33">
        <v>7</v>
      </c>
      <c r="F105" s="33">
        <v>19968</v>
      </c>
      <c r="G105" s="34">
        <v>0.9</v>
      </c>
      <c r="H105" s="34">
        <v>7.7</v>
      </c>
      <c r="I105" s="33">
        <v>19900</v>
      </c>
      <c r="J105" s="34">
        <v>1.5</v>
      </c>
      <c r="K105" s="33">
        <v>16144</v>
      </c>
      <c r="L105" s="35">
        <v>6.7000000000000004E-2</v>
      </c>
      <c r="M105" s="36">
        <f>ROUND(K105*(1-L105),0)</f>
        <v>15062</v>
      </c>
      <c r="N105" s="37">
        <v>0.74399999999999999</v>
      </c>
      <c r="O105" s="24">
        <f t="shared" si="1045"/>
        <v>11206.128000000001</v>
      </c>
      <c r="P105" s="35">
        <v>0.19600000000000001</v>
      </c>
      <c r="Q105" s="24">
        <f t="shared" si="1046"/>
        <v>2952.152</v>
      </c>
      <c r="R105" s="38">
        <v>0.06</v>
      </c>
      <c r="S105" s="105">
        <v>0.25650000000000001</v>
      </c>
      <c r="T105" s="24">
        <f t="shared" si="1047"/>
        <v>903.71999999999991</v>
      </c>
      <c r="U105" s="27">
        <v>0.253</v>
      </c>
      <c r="V105" s="24">
        <f t="shared" si="1048"/>
        <v>3810.6860000000001</v>
      </c>
      <c r="W105" s="38">
        <v>0.47899999999999998</v>
      </c>
      <c r="X105" s="24">
        <f t="shared" si="1049"/>
        <v>7214.6979999999994</v>
      </c>
      <c r="Y105" s="38">
        <v>0.41</v>
      </c>
      <c r="Z105" s="24">
        <f t="shared" si="1050"/>
        <v>6175.42</v>
      </c>
      <c r="AA105" s="117">
        <v>2.3600000000000001E-3</v>
      </c>
      <c r="AB105" s="18">
        <f t="shared" si="750"/>
        <v>35.546320000000001</v>
      </c>
      <c r="AC105" s="39">
        <v>2.3999999999999998E-3</v>
      </c>
      <c r="AD105" s="17">
        <f t="shared" si="1052"/>
        <v>36.148799999999994</v>
      </c>
      <c r="AE105" s="26">
        <f>IF(M105&gt;0,(AG105+AP105)/M105,0)</f>
        <v>2.6650862767228787E-3</v>
      </c>
      <c r="AF105" s="39">
        <v>2.7999999999999998E-4</v>
      </c>
      <c r="AG105" s="36">
        <f t="shared" si="1053"/>
        <v>4.2173599999999993</v>
      </c>
      <c r="AH105" s="27">
        <v>0.20549999999999999</v>
      </c>
      <c r="AI105" s="40">
        <f t="shared" si="1054"/>
        <v>34.9380825</v>
      </c>
      <c r="AJ105" s="27">
        <f t="shared" si="1055"/>
        <v>0.88453854400155951</v>
      </c>
      <c r="AK105" s="28">
        <f t="shared" si="668"/>
        <v>0.8961252177863076</v>
      </c>
      <c r="AL105" s="33">
        <v>185</v>
      </c>
      <c r="AM105" s="35">
        <v>8.1000000000000003E-2</v>
      </c>
      <c r="AN105" s="37">
        <v>0.21129999999999999</v>
      </c>
      <c r="AO105" s="103">
        <v>0.22670000000000001</v>
      </c>
      <c r="AP105" s="40">
        <f>AL105*(1-AM105)*AN105</f>
        <v>35.924169499999998</v>
      </c>
      <c r="AQ105" s="104">
        <f t="shared" si="712"/>
        <v>38.542400500000007</v>
      </c>
      <c r="AR105" s="41">
        <v>1.6</v>
      </c>
      <c r="AS105" s="41"/>
      <c r="AT105" s="129">
        <f>AT104+AL105-AS105</f>
        <v>914.61999999999944</v>
      </c>
      <c r="AU105" s="82"/>
      <c r="AV105" s="42"/>
      <c r="AW105" s="43"/>
      <c r="AX105" s="44"/>
      <c r="AY105" s="44"/>
      <c r="AZ105" s="44"/>
      <c r="BA105" s="44"/>
    </row>
    <row r="106" spans="1:54">
      <c r="A106" s="148"/>
      <c r="B106" s="32">
        <v>3</v>
      </c>
      <c r="C106" s="10" t="s">
        <v>54</v>
      </c>
      <c r="D106" s="42">
        <v>21000</v>
      </c>
      <c r="E106" s="42">
        <v>1</v>
      </c>
      <c r="F106" s="42">
        <v>18061</v>
      </c>
      <c r="G106" s="36">
        <v>0.7</v>
      </c>
      <c r="H106" s="36">
        <v>5.5</v>
      </c>
      <c r="I106" s="42">
        <v>18049</v>
      </c>
      <c r="J106" s="36">
        <v>1.3</v>
      </c>
      <c r="K106" s="42">
        <v>16671</v>
      </c>
      <c r="L106" s="38">
        <v>6.9000000000000006E-2</v>
      </c>
      <c r="M106" s="36">
        <f>ROUND(K106*(1-L106),0)</f>
        <v>15521</v>
      </c>
      <c r="N106" s="27">
        <v>0.64400000000000002</v>
      </c>
      <c r="O106" s="24">
        <f t="shared" si="1045"/>
        <v>9995.5239999999994</v>
      </c>
      <c r="P106" s="38">
        <v>0.30199999999999999</v>
      </c>
      <c r="Q106" s="24">
        <f t="shared" si="1046"/>
        <v>4687.3419999999996</v>
      </c>
      <c r="R106" s="38">
        <v>5.3999999999999999E-2</v>
      </c>
      <c r="S106" s="105">
        <v>0.26</v>
      </c>
      <c r="T106" s="24">
        <f t="shared" si="1047"/>
        <v>838.13400000000001</v>
      </c>
      <c r="U106" s="27">
        <v>0.25900000000000001</v>
      </c>
      <c r="V106" s="24">
        <f t="shared" si="1048"/>
        <v>4019.9390000000003</v>
      </c>
      <c r="W106" s="38">
        <v>0.47399999999999998</v>
      </c>
      <c r="X106" s="24">
        <f t="shared" si="1049"/>
        <v>7356.9539999999997</v>
      </c>
      <c r="Y106" s="38">
        <v>0.41</v>
      </c>
      <c r="Z106" s="24">
        <f t="shared" si="1050"/>
        <v>6363.61</v>
      </c>
      <c r="AA106" s="118">
        <v>2.5100000000000001E-3</v>
      </c>
      <c r="AB106" s="121">
        <f t="shared" si="750"/>
        <v>38.957709999999999</v>
      </c>
      <c r="AC106" s="45">
        <v>2.8800000000000002E-3</v>
      </c>
      <c r="AD106" s="17">
        <f t="shared" si="1052"/>
        <v>44.700480000000006</v>
      </c>
      <c r="AE106" s="26">
        <f>IF(M106&gt;0,(AG106+AP106)/M106,0)</f>
        <v>2.5294711938663741E-3</v>
      </c>
      <c r="AF106" s="45">
        <v>2.7E-4</v>
      </c>
      <c r="AG106" s="36">
        <f t="shared" si="1053"/>
        <v>4.1906699999999999</v>
      </c>
      <c r="AH106" s="27">
        <v>0.20730000000000001</v>
      </c>
      <c r="AI106" s="40">
        <f t="shared" si="1054"/>
        <v>34.634854799999999</v>
      </c>
      <c r="AJ106" s="27">
        <f t="shared" si="1055"/>
        <v>0.90743189392841628</v>
      </c>
      <c r="AK106" s="28">
        <f t="shared" si="668"/>
        <v>0.89440882393617538</v>
      </c>
      <c r="AL106" s="42">
        <v>182</v>
      </c>
      <c r="AM106" s="38">
        <v>8.2000000000000003E-2</v>
      </c>
      <c r="AN106" s="27">
        <v>0.2099</v>
      </c>
      <c r="AO106" s="105">
        <v>0.21329999999999999</v>
      </c>
      <c r="AP106" s="40">
        <f>AL106*(1-AM106)*AN106</f>
        <v>35.069252399999996</v>
      </c>
      <c r="AQ106" s="106">
        <f t="shared" si="712"/>
        <v>35.637310799999995</v>
      </c>
      <c r="AR106" s="17">
        <v>1.55</v>
      </c>
      <c r="AS106" s="17"/>
      <c r="AT106" s="129">
        <f>AT105+AL106-AS106</f>
        <v>1096.6199999999994</v>
      </c>
      <c r="AU106" s="82"/>
      <c r="AV106" s="42"/>
      <c r="AW106" s="46"/>
      <c r="AX106" s="40"/>
      <c r="AY106" s="40"/>
      <c r="AZ106" s="40"/>
      <c r="BA106" s="40"/>
    </row>
    <row r="107" spans="1:54">
      <c r="A107" s="149"/>
      <c r="B107" s="47" t="s">
        <v>56</v>
      </c>
      <c r="C107" s="48"/>
      <c r="D107" s="49">
        <f t="shared" ref="D107" si="1057">SUM(D104:D106)</f>
        <v>49059</v>
      </c>
      <c r="E107" s="49"/>
      <c r="F107" s="49">
        <f t="shared" ref="F107" si="1058">SUM(F104:F106)</f>
        <v>46023</v>
      </c>
      <c r="G107" s="50"/>
      <c r="H107" s="50"/>
      <c r="I107" s="49">
        <f t="shared" ref="I107:K107" si="1059">SUM(I104:I106)</f>
        <v>46264</v>
      </c>
      <c r="J107" s="50"/>
      <c r="K107" s="49">
        <f t="shared" si="1059"/>
        <v>48728</v>
      </c>
      <c r="L107" s="20">
        <f t="shared" ref="L107" si="1060">IF(K107&gt;0,(K104*L104+K105*L105+K106*L106)/K107,0)</f>
        <v>6.6051407814808727E-2</v>
      </c>
      <c r="M107" s="50">
        <f t="shared" ref="M107" si="1061">M104+M105+M106</f>
        <v>45509</v>
      </c>
      <c r="N107" s="51">
        <f t="shared" ref="N107" si="1062">IF(M107&gt;0,O107/M107,0)</f>
        <v>0.6728330220395965</v>
      </c>
      <c r="O107" s="52">
        <f t="shared" ref="O107" si="1063">O104+O105+O106</f>
        <v>30619.957999999999</v>
      </c>
      <c r="P107" s="20">
        <f t="shared" ref="P107" si="1064">IF(M107&gt;0,Q107/M107,0)</f>
        <v>0.27282106836010456</v>
      </c>
      <c r="Q107" s="52">
        <f t="shared" ref="Q107" si="1065">Q104+Q105+Q106</f>
        <v>12415.813999999998</v>
      </c>
      <c r="R107" s="20">
        <f t="shared" ref="R107" si="1066">IF(M107&gt;0,T107/M107,0)</f>
        <v>5.4345909600298843E-2</v>
      </c>
      <c r="S107" s="107"/>
      <c r="T107" s="52">
        <f t="shared" ref="T107" si="1067">T104+T105+T106</f>
        <v>2473.2280000000001</v>
      </c>
      <c r="U107" s="20">
        <f t="shared" ref="U107" si="1068">IF(M107&gt;0,V107/M107,0)</f>
        <v>0.25504632050803139</v>
      </c>
      <c r="V107" s="52">
        <f t="shared" ref="V107" si="1069">V104+V105+V106</f>
        <v>11606.903</v>
      </c>
      <c r="W107" s="20">
        <f t="shared" ref="W107" si="1070">IF(M107&gt;0,X107/M107,0)</f>
        <v>0.47565483750466941</v>
      </c>
      <c r="X107" s="52">
        <f t="shared" ref="X107" si="1071">X104+X105+X106</f>
        <v>21646.576000000001</v>
      </c>
      <c r="Y107" s="20">
        <f t="shared" ref="Y107" si="1072">IF(M107&gt;0,Z107/M107,0)</f>
        <v>0.40672020918939111</v>
      </c>
      <c r="Z107" s="52">
        <f t="shared" ref="Z107" si="1073">Z104+Z105+Z106</f>
        <v>18509.43</v>
      </c>
      <c r="AA107" s="119">
        <f>IF(M107&gt;0,AB107/M107,0)</f>
        <v>2.4537952932387002E-3</v>
      </c>
      <c r="AB107" s="54">
        <f t="shared" ref="AB107" si="1074">SUM(AB104:AB106)</f>
        <v>111.66977</v>
      </c>
      <c r="AC107" s="53">
        <f t="shared" ref="AC107" si="1075">IF(M107&gt;0,AD107/M107,0)</f>
        <v>2.5243481509152036E-3</v>
      </c>
      <c r="AD107" s="54">
        <f t="shared" ref="AD107" si="1076">SUM(AD104:AD106)</f>
        <v>114.88056</v>
      </c>
      <c r="AE107" s="53">
        <f t="shared" ref="AE107" si="1077">IF(M107&gt;0,(AE104*M104+AE105*M105+AE106*M106)/M107,0)</f>
        <v>2.5236903887143197E-3</v>
      </c>
      <c r="AF107" s="53">
        <f t="shared" ref="AF107" si="1078">IF(K107&gt;0,(K104*AF104+K105*AF105+K106*AF106)/K107,0)</f>
        <v>2.7657876374979478E-4</v>
      </c>
      <c r="AG107" s="50">
        <f t="shared" ref="AG107" si="1079">SUM(AG104:AG106)</f>
        <v>12.587309999999999</v>
      </c>
      <c r="AH107" s="51">
        <f t="shared" ref="AH107" si="1080">IF(K107&gt;0,(K104*AH104+K105*AH105+K106*AH106)/K107,0)</f>
        <v>0.20650770398949267</v>
      </c>
      <c r="AI107" s="56">
        <f t="shared" ref="AI107" si="1081">SUM(AI104:AI106)</f>
        <v>99.776148000000006</v>
      </c>
      <c r="AJ107" s="51">
        <f t="shared" ref="AJ107" si="1082">IF(AND(AD107&gt;0),((AD104*AJ104+AD105*AJ105+AD106*AJ106)/AD107),0)</f>
        <v>0.89162292663614917</v>
      </c>
      <c r="AK107" s="55">
        <f t="shared" si="668"/>
        <v>0.89157180736261055</v>
      </c>
      <c r="AL107" s="49">
        <f t="shared" ref="AL107" si="1083">SUM(AL104:AL106)</f>
        <v>526</v>
      </c>
      <c r="AM107" s="20">
        <f t="shared" ref="AM107" si="1084">IF(AL107&gt;0,(AM104*AL104+AM105*AL105+AM106*AL106)/AL107,0)</f>
        <v>8.1346007604562745E-2</v>
      </c>
      <c r="AN107" s="51">
        <f>IF(K107&gt;0,(AN104*K104+AN105*K105+AN106*K106)/K107,0)</f>
        <v>0.21170276021999671</v>
      </c>
      <c r="AO107" s="107">
        <f>IF(L107&gt;0,(AO104*K104+AO105*K105+AO106*K106)/K107,0)</f>
        <v>0.21973159784928586</v>
      </c>
      <c r="AP107" s="56">
        <f t="shared" ref="AP107:AQ119" si="1085">SUM(AP104:AP106)</f>
        <v>102.26331589999999</v>
      </c>
      <c r="AQ107" s="108">
        <f t="shared" si="1085"/>
        <v>106.2386587</v>
      </c>
      <c r="AR107" s="54"/>
      <c r="AS107" s="54">
        <f t="shared" ref="AS107" si="1086">SUM(AS104:AS106)</f>
        <v>1003.56</v>
      </c>
      <c r="AT107" s="83"/>
      <c r="AU107" s="84">
        <f>AT106</f>
        <v>1096.6199999999994</v>
      </c>
      <c r="AV107" s="49">
        <f t="shared" ref="AV107" si="1087">SUM(AV104:AV106)</f>
        <v>0</v>
      </c>
      <c r="AW107" s="57"/>
      <c r="AX107" s="56"/>
      <c r="AY107" s="56"/>
      <c r="AZ107" s="56"/>
      <c r="BA107" s="56"/>
      <c r="BB107" s="21"/>
    </row>
    <row r="108" spans="1:54">
      <c r="A108" s="147">
        <v>27</v>
      </c>
      <c r="B108" s="22">
        <v>1</v>
      </c>
      <c r="C108" s="10" t="s">
        <v>55</v>
      </c>
      <c r="D108" s="11">
        <v>4183</v>
      </c>
      <c r="E108" s="11">
        <v>2</v>
      </c>
      <c r="F108" s="11">
        <v>10481</v>
      </c>
      <c r="G108" s="12">
        <v>0.9</v>
      </c>
      <c r="H108" s="12">
        <v>6.1</v>
      </c>
      <c r="I108" s="11">
        <v>10532</v>
      </c>
      <c r="J108" s="12">
        <v>3.6</v>
      </c>
      <c r="K108" s="11">
        <v>16388</v>
      </c>
      <c r="L108" s="13">
        <v>7.4999999999999997E-2</v>
      </c>
      <c r="M108" s="23">
        <f>ROUND(K108*(1-L108),0)</f>
        <v>15159</v>
      </c>
      <c r="N108" s="14">
        <v>0.5</v>
      </c>
      <c r="O108" s="24">
        <f t="shared" ref="O108:O110" si="1088">M108*N108</f>
        <v>7579.5</v>
      </c>
      <c r="P108" s="13">
        <v>0.47899999999999998</v>
      </c>
      <c r="Q108" s="24">
        <f t="shared" ref="Q108:Q110" si="1089">M108*P108</f>
        <v>7261.1610000000001</v>
      </c>
      <c r="R108" s="15">
        <v>2.1000000000000001E-2</v>
      </c>
      <c r="S108" s="112">
        <v>0.26029999999999998</v>
      </c>
      <c r="T108" s="24">
        <f t="shared" ref="T108:T110" si="1090">M108*R108</f>
        <v>318.339</v>
      </c>
      <c r="U108" s="25">
        <v>0.252</v>
      </c>
      <c r="V108" s="24">
        <f t="shared" ref="V108:V110" si="1091">M108*U108</f>
        <v>3820.0680000000002</v>
      </c>
      <c r="W108" s="15">
        <v>0.47199999999999998</v>
      </c>
      <c r="X108" s="24">
        <f t="shared" ref="X108:X110" si="1092">M108*W108</f>
        <v>7155.0479999999998</v>
      </c>
      <c r="Y108" s="15">
        <v>0.4</v>
      </c>
      <c r="Z108" s="24">
        <f t="shared" ref="Z108:Z110" si="1093">Y108*M108</f>
        <v>6063.6</v>
      </c>
      <c r="AA108" s="116">
        <v>2.3900000000000002E-3</v>
      </c>
      <c r="AB108" s="18">
        <f t="shared" ref="AB108" si="1094">M108*AA108</f>
        <v>36.23001</v>
      </c>
      <c r="AC108" s="16">
        <v>2.6199999999999999E-3</v>
      </c>
      <c r="AD108" s="17">
        <f t="shared" ref="AD108:AD110" si="1095">M108*AC108</f>
        <v>39.71658</v>
      </c>
      <c r="AE108" s="26">
        <f>IF(M108&gt;0,(AG108+AP108)/M108,0)</f>
        <v>2.2556093145985885E-3</v>
      </c>
      <c r="AF108" s="16">
        <v>2.7E-4</v>
      </c>
      <c r="AG108" s="23">
        <f t="shared" ref="AG108:AG110" si="1096">AF108*M108</f>
        <v>4.09293</v>
      </c>
      <c r="AH108" s="92">
        <v>0.2041</v>
      </c>
      <c r="AI108" s="29">
        <f t="shared" ref="AI108:AI110" si="1097">AL108*(1-AM108)*AH108</f>
        <v>29.352029200000004</v>
      </c>
      <c r="AJ108" s="27">
        <f t="shared" ref="AJ108:AJ110" si="1098">IF(AND(AH108&gt;0,AF108&gt;0,AC108&gt;0),((AC108-AF108)*AH108)/((AH108-AF108)*AC108),0)</f>
        <v>0.89813469014928993</v>
      </c>
      <c r="AK108" s="58">
        <f t="shared" si="668"/>
        <v>0.88143548388519521</v>
      </c>
      <c r="AL108" s="11">
        <v>157</v>
      </c>
      <c r="AM108" s="13">
        <v>8.4000000000000005E-2</v>
      </c>
      <c r="AN108" s="14">
        <v>0.20930000000000001</v>
      </c>
      <c r="AO108" s="101">
        <v>0.21390000000000001</v>
      </c>
      <c r="AP108" s="29">
        <f>AL108*(1-AM108)*AN108</f>
        <v>30.099851600000004</v>
      </c>
      <c r="AQ108" s="102">
        <f t="shared" ref="AQ108" si="1099">AL108*(1-AM108)*AO108</f>
        <v>30.761386800000004</v>
      </c>
      <c r="AR108" s="18">
        <v>1.55</v>
      </c>
      <c r="AS108" s="18">
        <v>1006.76</v>
      </c>
      <c r="AT108" s="79">
        <f>AT106+AL108-AS108+AU108</f>
        <v>272.53999999999945</v>
      </c>
      <c r="AU108" s="80">
        <v>25.68</v>
      </c>
      <c r="AV108" s="11"/>
      <c r="AW108" s="30"/>
      <c r="AX108" s="19"/>
      <c r="AY108" s="19"/>
      <c r="AZ108" s="19"/>
      <c r="BA108" s="19"/>
    </row>
    <row r="109" spans="1:54">
      <c r="A109" s="148"/>
      <c r="B109" s="32">
        <v>2</v>
      </c>
      <c r="C109" s="10" t="s">
        <v>57</v>
      </c>
      <c r="D109" s="33">
        <v>17500</v>
      </c>
      <c r="E109" s="33">
        <v>7</v>
      </c>
      <c r="F109" s="33">
        <v>17987</v>
      </c>
      <c r="G109" s="34">
        <v>1.2</v>
      </c>
      <c r="H109" s="34">
        <v>6.2</v>
      </c>
      <c r="I109" s="33">
        <v>17320</v>
      </c>
      <c r="J109" s="34">
        <v>3.2</v>
      </c>
      <c r="K109" s="33">
        <v>15607</v>
      </c>
      <c r="L109" s="35">
        <v>0.08</v>
      </c>
      <c r="M109" s="36">
        <f>ROUND(K109*(1-L109),0)</f>
        <v>14358</v>
      </c>
      <c r="N109" s="37">
        <v>0.51400000000000001</v>
      </c>
      <c r="O109" s="24">
        <f t="shared" si="1088"/>
        <v>7380.0120000000006</v>
      </c>
      <c r="P109" s="35">
        <v>0.44900000000000001</v>
      </c>
      <c r="Q109" s="24">
        <f t="shared" si="1089"/>
        <v>6446.7420000000002</v>
      </c>
      <c r="R109" s="38">
        <v>3.6999999999999998E-2</v>
      </c>
      <c r="S109" s="105">
        <v>0.29020000000000001</v>
      </c>
      <c r="T109" s="24">
        <f t="shared" si="1090"/>
        <v>531.24599999999998</v>
      </c>
      <c r="U109" s="27">
        <v>0.23799999999999999</v>
      </c>
      <c r="V109" s="24">
        <f t="shared" si="1091"/>
        <v>3417.2039999999997</v>
      </c>
      <c r="W109" s="38">
        <v>0.47799999999999998</v>
      </c>
      <c r="X109" s="24">
        <f t="shared" si="1092"/>
        <v>6863.1239999999998</v>
      </c>
      <c r="Y109" s="38">
        <v>0.4</v>
      </c>
      <c r="Z109" s="24">
        <f t="shared" si="1093"/>
        <v>5743.2000000000007</v>
      </c>
      <c r="AA109" s="117">
        <v>2.3E-3</v>
      </c>
      <c r="AB109" s="18">
        <f t="shared" si="750"/>
        <v>33.023400000000002</v>
      </c>
      <c r="AC109" s="39">
        <v>2.2899999999999999E-3</v>
      </c>
      <c r="AD109" s="17">
        <f t="shared" si="1095"/>
        <v>32.879820000000002</v>
      </c>
      <c r="AE109" s="26">
        <f>IF(M109&gt;0,(AG109+AP109)/M109,0)</f>
        <v>2.4039884245716679E-3</v>
      </c>
      <c r="AF109" s="39">
        <v>2.5999999999999998E-4</v>
      </c>
      <c r="AG109" s="36">
        <f t="shared" si="1096"/>
        <v>3.7330799999999997</v>
      </c>
      <c r="AH109" s="27">
        <v>0.20810000000000001</v>
      </c>
      <c r="AI109" s="40">
        <f t="shared" si="1097"/>
        <v>30.374692200000005</v>
      </c>
      <c r="AJ109" s="27">
        <f t="shared" si="1098"/>
        <v>0.88757181372301852</v>
      </c>
      <c r="AK109" s="28">
        <f t="shared" si="668"/>
        <v>0.89294723688376376</v>
      </c>
      <c r="AL109" s="33">
        <v>159</v>
      </c>
      <c r="AM109" s="35">
        <v>8.2000000000000003E-2</v>
      </c>
      <c r="AN109" s="37">
        <v>0.2109</v>
      </c>
      <c r="AO109" s="103">
        <v>0.21990000000000001</v>
      </c>
      <c r="AP109" s="40">
        <f>AL109*(1-AM109)*AN109</f>
        <v>30.783385800000005</v>
      </c>
      <c r="AQ109" s="104">
        <f t="shared" si="712"/>
        <v>32.097043800000009</v>
      </c>
      <c r="AR109" s="41">
        <v>1.55</v>
      </c>
      <c r="AS109" s="41"/>
      <c r="AT109" s="129">
        <f>AT108+AL109-AS109</f>
        <v>431.53999999999945</v>
      </c>
      <c r="AU109" s="82"/>
      <c r="AV109" s="42"/>
      <c r="AW109" s="43"/>
      <c r="AX109" s="44"/>
      <c r="AY109" s="44"/>
      <c r="AZ109" s="44"/>
      <c r="BA109" s="44"/>
    </row>
    <row r="110" spans="1:54">
      <c r="A110" s="148"/>
      <c r="B110" s="32">
        <v>3</v>
      </c>
      <c r="C110" s="10" t="s">
        <v>54</v>
      </c>
      <c r="D110" s="42">
        <v>19478</v>
      </c>
      <c r="E110" s="42">
        <v>2</v>
      </c>
      <c r="F110" s="42">
        <v>17098</v>
      </c>
      <c r="G110" s="36">
        <v>0.9</v>
      </c>
      <c r="H110" s="36">
        <v>6.3</v>
      </c>
      <c r="I110" s="42">
        <v>16960</v>
      </c>
      <c r="J110" s="36">
        <v>2.1</v>
      </c>
      <c r="K110" s="42">
        <v>15593</v>
      </c>
      <c r="L110" s="38">
        <v>6.6000000000000003E-2</v>
      </c>
      <c r="M110" s="36">
        <f>ROUND(K110*(1-L110),0)</f>
        <v>14564</v>
      </c>
      <c r="N110" s="27">
        <v>0.69</v>
      </c>
      <c r="O110" s="24">
        <f t="shared" si="1088"/>
        <v>10049.16</v>
      </c>
      <c r="P110" s="38">
        <v>0.22900000000000001</v>
      </c>
      <c r="Q110" s="24">
        <f t="shared" si="1089"/>
        <v>3335.1559999999999</v>
      </c>
      <c r="R110" s="38">
        <v>8.1000000000000003E-2</v>
      </c>
      <c r="S110" s="105">
        <v>0.2732</v>
      </c>
      <c r="T110" s="24">
        <f t="shared" si="1090"/>
        <v>1179.684</v>
      </c>
      <c r="U110" s="27">
        <v>0.22900000000000001</v>
      </c>
      <c r="V110" s="24">
        <f t="shared" si="1091"/>
        <v>3335.1559999999999</v>
      </c>
      <c r="W110" s="38">
        <v>0.48899999999999999</v>
      </c>
      <c r="X110" s="24">
        <f t="shared" si="1092"/>
        <v>7121.7960000000003</v>
      </c>
      <c r="Y110" s="38">
        <v>0.4</v>
      </c>
      <c r="Z110" s="24">
        <f t="shared" si="1093"/>
        <v>5825.6</v>
      </c>
      <c r="AA110" s="118">
        <v>2.2499999999999998E-3</v>
      </c>
      <c r="AB110" s="121">
        <f t="shared" si="750"/>
        <v>32.768999999999998</v>
      </c>
      <c r="AC110" s="45">
        <v>2.3600000000000001E-3</v>
      </c>
      <c r="AD110" s="17">
        <f t="shared" si="1095"/>
        <v>34.371040000000001</v>
      </c>
      <c r="AE110" s="26">
        <f>IF(M110&gt;0,(AG110+AP110)/M110,0)</f>
        <v>2.565909921724801E-3</v>
      </c>
      <c r="AF110" s="45">
        <v>2.5000000000000001E-4</v>
      </c>
      <c r="AG110" s="36">
        <f t="shared" si="1096"/>
        <v>3.641</v>
      </c>
      <c r="AH110" s="27">
        <v>0.20300000000000001</v>
      </c>
      <c r="AI110" s="40">
        <f t="shared" si="1097"/>
        <v>32.040099000000005</v>
      </c>
      <c r="AJ110" s="27">
        <f t="shared" si="1098"/>
        <v>0.89517022299316595</v>
      </c>
      <c r="AK110" s="28">
        <f t="shared" si="668"/>
        <v>0.90362579592107117</v>
      </c>
      <c r="AL110" s="42">
        <v>171</v>
      </c>
      <c r="AM110" s="38">
        <v>7.6999999999999999E-2</v>
      </c>
      <c r="AN110" s="27">
        <v>0.2137</v>
      </c>
      <c r="AO110" s="105">
        <v>0.22059999999999999</v>
      </c>
      <c r="AP110" s="40">
        <f>AL110*(1-AM110)*AN110</f>
        <v>33.728912100000002</v>
      </c>
      <c r="AQ110" s="106">
        <f t="shared" si="712"/>
        <v>34.817959799999997</v>
      </c>
      <c r="AR110" s="17">
        <v>1.55</v>
      </c>
      <c r="AS110" s="17"/>
      <c r="AT110" s="129">
        <f>AT109+AL110-AS110</f>
        <v>602.53999999999951</v>
      </c>
      <c r="AU110" s="82"/>
      <c r="AV110" s="42"/>
      <c r="AW110" s="46"/>
      <c r="AX110" s="40"/>
      <c r="AY110" s="40"/>
      <c r="AZ110" s="40"/>
      <c r="BA110" s="40"/>
    </row>
    <row r="111" spans="1:54">
      <c r="A111" s="149"/>
      <c r="B111" s="47" t="s">
        <v>56</v>
      </c>
      <c r="C111" s="48"/>
      <c r="D111" s="49">
        <f t="shared" ref="D111" si="1100">SUM(D108:D110)</f>
        <v>41161</v>
      </c>
      <c r="E111" s="49"/>
      <c r="F111" s="49">
        <f t="shared" ref="F111" si="1101">SUM(F108:F110)</f>
        <v>45566</v>
      </c>
      <c r="G111" s="50"/>
      <c r="H111" s="50"/>
      <c r="I111" s="49">
        <f t="shared" ref="I111:K111" si="1102">SUM(I108:I110)</f>
        <v>44812</v>
      </c>
      <c r="J111" s="50"/>
      <c r="K111" s="49">
        <f t="shared" si="1102"/>
        <v>47588</v>
      </c>
      <c r="L111" s="20">
        <f t="shared" ref="L111" si="1103">IF(K111&gt;0,(K108*L108+K109*L109+K110*L110)/K111,0)</f>
        <v>7.3690804404471705E-2</v>
      </c>
      <c r="M111" s="50">
        <f t="shared" ref="M111" si="1104">M108+M109+M110</f>
        <v>44081</v>
      </c>
      <c r="N111" s="51">
        <f t="shared" ref="N111" si="1105">IF(M111&gt;0,O111/M111,0)</f>
        <v>0.56733449785621926</v>
      </c>
      <c r="O111" s="52">
        <f t="shared" ref="O111" si="1106">O108+O109+O110</f>
        <v>25008.671999999999</v>
      </c>
      <c r="P111" s="20">
        <f t="shared" ref="P111" si="1107">IF(M111&gt;0,Q111/M111,0)</f>
        <v>0.38663049840067154</v>
      </c>
      <c r="Q111" s="52">
        <f t="shared" ref="Q111" si="1108">Q108+Q109+Q110</f>
        <v>17043.059000000001</v>
      </c>
      <c r="R111" s="20">
        <f t="shared" ref="R111" si="1109">IF(M111&gt;0,T111/M111,0)</f>
        <v>4.6035003743109273E-2</v>
      </c>
      <c r="S111" s="107"/>
      <c r="T111" s="52">
        <f t="shared" ref="T111" si="1110">T108+T109+T110</f>
        <v>2029.269</v>
      </c>
      <c r="U111" s="20">
        <f t="shared" ref="U111" si="1111">IF(M111&gt;0,V111/M111,0)</f>
        <v>0.2398409291985209</v>
      </c>
      <c r="V111" s="52">
        <f t="shared" ref="V111" si="1112">V108+V109+V110</f>
        <v>10572.428</v>
      </c>
      <c r="W111" s="20">
        <f t="shared" ref="W111" si="1113">IF(M111&gt;0,X111/M111,0)</f>
        <v>0.47957097162042606</v>
      </c>
      <c r="X111" s="52">
        <f t="shared" ref="X111" si="1114">X108+X109+X110</f>
        <v>21139.968000000001</v>
      </c>
      <c r="Y111" s="20">
        <f t="shared" ref="Y111" si="1115">IF(M111&gt;0,Z111/M111,0)</f>
        <v>0.4</v>
      </c>
      <c r="Z111" s="52">
        <f t="shared" ref="Z111" si="1116">Z108+Z109+Z110</f>
        <v>17632.400000000001</v>
      </c>
      <c r="AA111" s="119">
        <f>IF(M111&gt;0,AB111/M111,0)</f>
        <v>2.314430480252263E-3</v>
      </c>
      <c r="AB111" s="54">
        <f t="shared" ref="AB111" si="1117">SUM(AB108:AB110)</f>
        <v>102.02241000000001</v>
      </c>
      <c r="AC111" s="53">
        <f t="shared" ref="AC111" si="1118">IF(M111&gt;0,AD111/M111,0)</f>
        <v>2.4266110115469253E-3</v>
      </c>
      <c r="AD111" s="54">
        <f t="shared" ref="AD111" si="1119">SUM(AD108:AD110)</f>
        <v>106.96744000000001</v>
      </c>
      <c r="AE111" s="53">
        <f t="shared" ref="AE111" si="1120">IF(M111&gt;0,(AE108*M108+AE109*M109+AE110*M110)/M111,0)</f>
        <v>2.4064599147024797E-3</v>
      </c>
      <c r="AF111" s="53">
        <f t="shared" ref="AF111" si="1121">IF(K111&gt;0,(K108*AF108+K109*AF109+K110*AF110)/K111,0)</f>
        <v>2.6016705892241741E-4</v>
      </c>
      <c r="AG111" s="50">
        <f t="shared" ref="AG111" si="1122">SUM(AG108:AG110)</f>
        <v>11.46701</v>
      </c>
      <c r="AH111" s="51">
        <f t="shared" ref="AH111" si="1123">IF(K111&gt;0,(K108*AH108+K109*AH109+K110*AH110)/K111,0)</f>
        <v>0.20505141001933264</v>
      </c>
      <c r="AI111" s="56">
        <f t="shared" ref="AI111" si="1124">SUM(AI108:AI110)</f>
        <v>91.766820400000015</v>
      </c>
      <c r="AJ111" s="51">
        <f t="shared" ref="AJ111" si="1125">IF(AND(AD111&gt;0),((AD108*AJ108+AD109*AJ109+AD110*AJ110)/AD111),0)</f>
        <v>0.89393530672214727</v>
      </c>
      <c r="AK111" s="55">
        <f t="shared" si="668"/>
        <v>0.89298773853320956</v>
      </c>
      <c r="AL111" s="49">
        <f t="shared" ref="AL111" si="1126">SUM(AL108:AL110)</f>
        <v>487</v>
      </c>
      <c r="AM111" s="20">
        <f t="shared" ref="AM111" si="1127">IF(AL111&gt;0,(AM108*AL108+AM109*AL109+AM110*AL110)/AL111,0)</f>
        <v>8.0889117043121156E-2</v>
      </c>
      <c r="AN111" s="51">
        <f>IF(K111&gt;0,(AN108*K108+AN109*K109+AN110*K110)/K111,0)</f>
        <v>0.21126647053879127</v>
      </c>
      <c r="AO111" s="107">
        <f>IF(L111&gt;0,(AO108*K108+AO109*K109+AO110*K110)/K111,0)</f>
        <v>0.21806313146171302</v>
      </c>
      <c r="AP111" s="56">
        <f t="shared" ref="AP111" si="1128">SUM(AP108:AP110)</f>
        <v>94.612149500000015</v>
      </c>
      <c r="AQ111" s="108">
        <f t="shared" si="1085"/>
        <v>97.676390400000003</v>
      </c>
      <c r="AR111" s="54"/>
      <c r="AS111" s="54">
        <f t="shared" ref="AS111" si="1129">SUM(AS108:AS110)</f>
        <v>1006.76</v>
      </c>
      <c r="AT111" s="83"/>
      <c r="AU111" s="84">
        <f>AT110</f>
        <v>602.53999999999951</v>
      </c>
      <c r="AV111" s="49">
        <f t="shared" ref="AV111" si="1130">SUM(AV108:AV110)</f>
        <v>0</v>
      </c>
      <c r="AW111" s="57"/>
      <c r="AX111" s="56"/>
      <c r="AY111" s="56"/>
      <c r="AZ111" s="56"/>
      <c r="BA111" s="56"/>
      <c r="BB111" s="21"/>
    </row>
    <row r="112" spans="1:54">
      <c r="A112" s="147">
        <v>28</v>
      </c>
      <c r="B112" s="22">
        <v>1</v>
      </c>
      <c r="C112" s="10" t="s">
        <v>55</v>
      </c>
      <c r="D112" s="11">
        <v>5874</v>
      </c>
      <c r="E112" s="11">
        <v>2</v>
      </c>
      <c r="F112" s="11">
        <v>9857</v>
      </c>
      <c r="G112" s="12">
        <v>0.4</v>
      </c>
      <c r="H112" s="12">
        <v>6.6</v>
      </c>
      <c r="I112" s="11">
        <v>10177</v>
      </c>
      <c r="J112" s="12">
        <v>4</v>
      </c>
      <c r="K112" s="11">
        <v>15522</v>
      </c>
      <c r="L112" s="13">
        <v>7.0000000000000007E-2</v>
      </c>
      <c r="M112" s="23">
        <f>ROUND(K112*(1-L112),0)</f>
        <v>14435</v>
      </c>
      <c r="N112" s="14">
        <v>0.68400000000000005</v>
      </c>
      <c r="O112" s="24">
        <f t="shared" ref="O112:O114" si="1131">M112*N112</f>
        <v>9873.5400000000009</v>
      </c>
      <c r="P112" s="13">
        <v>0.251</v>
      </c>
      <c r="Q112" s="24">
        <f t="shared" ref="Q112:Q114" si="1132">M112*P112</f>
        <v>3623.1849999999999</v>
      </c>
      <c r="R112" s="15">
        <v>6.5000000000000002E-2</v>
      </c>
      <c r="S112" s="112">
        <v>0.27160000000000001</v>
      </c>
      <c r="T112" s="24">
        <f t="shared" ref="T112:T114" si="1133">M112*R112</f>
        <v>938.27499999999998</v>
      </c>
      <c r="U112" s="25">
        <v>0.246</v>
      </c>
      <c r="V112" s="24">
        <f t="shared" ref="V112:V114" si="1134">M112*U112</f>
        <v>3551.0099999999998</v>
      </c>
      <c r="W112" s="15">
        <v>0.47299999999999998</v>
      </c>
      <c r="X112" s="24">
        <f t="shared" ref="X112:X114" si="1135">M112*W112</f>
        <v>6827.7549999999992</v>
      </c>
      <c r="Y112" s="15">
        <v>0.37</v>
      </c>
      <c r="Z112" s="24">
        <f t="shared" ref="Z112:Z114" si="1136">Y112*M112</f>
        <v>5340.95</v>
      </c>
      <c r="AA112" s="116">
        <v>2.2599999999999999E-3</v>
      </c>
      <c r="AB112" s="18">
        <f t="shared" ref="AB112" si="1137">M112*AA112</f>
        <v>32.623100000000001</v>
      </c>
      <c r="AC112" s="16">
        <v>2.49E-3</v>
      </c>
      <c r="AD112" s="17">
        <f t="shared" ref="AD112:AD114" si="1138">M112*AC112</f>
        <v>35.943150000000003</v>
      </c>
      <c r="AE112" s="26">
        <f>IF(M112&gt;0,(AG112+AP112)/M112,0)</f>
        <v>2.4570822306892968E-3</v>
      </c>
      <c r="AF112" s="16">
        <v>2.5000000000000001E-4</v>
      </c>
      <c r="AG112" s="23">
        <f t="shared" ref="AG112:AG114" si="1139">AF112*M112</f>
        <v>3.6087500000000001</v>
      </c>
      <c r="AH112" s="92">
        <v>0.20860000000000001</v>
      </c>
      <c r="AI112" s="29">
        <f t="shared" ref="AI112:AI114" si="1140">AL112*(1-AM112)*AH112</f>
        <v>30.739296000000003</v>
      </c>
      <c r="AJ112" s="27">
        <f t="shared" ref="AJ112:AJ114" si="1141">IF(AND(AH112&gt;0,AF112&gt;0,AC112&gt;0),((AC112-AF112)*AH112)/((AH112-AF112)*AC112),0)</f>
        <v>0.90067782529204876</v>
      </c>
      <c r="AK112" s="58">
        <f t="shared" si="668"/>
        <v>0.89929318924209689</v>
      </c>
      <c r="AL112" s="11">
        <v>160</v>
      </c>
      <c r="AM112" s="13">
        <v>7.9000000000000001E-2</v>
      </c>
      <c r="AN112" s="14">
        <v>0.2162</v>
      </c>
      <c r="AO112" s="101">
        <v>0.21879999999999999</v>
      </c>
      <c r="AP112" s="29">
        <f>AL112*(1-AM112)*AN112</f>
        <v>31.859232000000002</v>
      </c>
      <c r="AQ112" s="102">
        <f t="shared" ref="AQ112" si="1142">AL112*(1-AM112)*AO112</f>
        <v>32.242367999999999</v>
      </c>
      <c r="AR112" s="18">
        <v>1.55</v>
      </c>
      <c r="AS112" s="18">
        <v>503.92</v>
      </c>
      <c r="AT112" s="79">
        <f>AT110+AL112-AS112</f>
        <v>258.61999999999949</v>
      </c>
      <c r="AU112" s="80"/>
      <c r="AV112" s="11"/>
      <c r="AW112" s="30"/>
      <c r="AX112" s="19"/>
      <c r="AY112" s="19"/>
      <c r="AZ112" s="19"/>
      <c r="BA112" s="19"/>
    </row>
    <row r="113" spans="1:54">
      <c r="A113" s="148"/>
      <c r="B113" s="32">
        <v>2</v>
      </c>
      <c r="C113" s="10" t="s">
        <v>57</v>
      </c>
      <c r="D113" s="33">
        <v>20300</v>
      </c>
      <c r="E113" s="33">
        <v>6</v>
      </c>
      <c r="F113" s="33">
        <v>17348</v>
      </c>
      <c r="G113" s="34">
        <v>0.6</v>
      </c>
      <c r="H113" s="34">
        <v>6</v>
      </c>
      <c r="I113" s="33">
        <v>17408</v>
      </c>
      <c r="J113" s="34">
        <v>2.9</v>
      </c>
      <c r="K113" s="33">
        <v>15668</v>
      </c>
      <c r="L113" s="35">
        <v>6.0999999999999999E-2</v>
      </c>
      <c r="M113" s="36">
        <f>ROUND(K113*(1-L113),0)</f>
        <v>14712</v>
      </c>
      <c r="N113" s="37">
        <v>0.64300000000000002</v>
      </c>
      <c r="O113" s="24">
        <f t="shared" si="1131"/>
        <v>9459.8160000000007</v>
      </c>
      <c r="P113" s="35">
        <v>0.318</v>
      </c>
      <c r="Q113" s="24">
        <f t="shared" si="1132"/>
        <v>4678.4160000000002</v>
      </c>
      <c r="R113" s="38">
        <v>3.9E-2</v>
      </c>
      <c r="S113" s="105">
        <v>0.24909999999999999</v>
      </c>
      <c r="T113" s="24">
        <f t="shared" si="1133"/>
        <v>573.76800000000003</v>
      </c>
      <c r="U113" s="27">
        <v>0.217</v>
      </c>
      <c r="V113" s="24">
        <f t="shared" si="1134"/>
        <v>3192.5039999999999</v>
      </c>
      <c r="W113" s="38">
        <v>0.49199999999999999</v>
      </c>
      <c r="X113" s="24">
        <f t="shared" si="1135"/>
        <v>7238.3040000000001</v>
      </c>
      <c r="Y113" s="38">
        <v>0.39</v>
      </c>
      <c r="Z113" s="24">
        <f t="shared" si="1136"/>
        <v>5737.68</v>
      </c>
      <c r="AA113" s="117">
        <v>2.5400000000000002E-3</v>
      </c>
      <c r="AB113" s="18">
        <f t="shared" si="750"/>
        <v>37.368480000000005</v>
      </c>
      <c r="AC113" s="39">
        <v>2.5899999999999999E-3</v>
      </c>
      <c r="AD113" s="17">
        <f t="shared" si="1138"/>
        <v>38.104079999999996</v>
      </c>
      <c r="AE113" s="26">
        <f>IF(M113&gt;0,(AG113+AP113)/M113,0)</f>
        <v>2.4970149673735728E-3</v>
      </c>
      <c r="AF113" s="39">
        <v>2.5000000000000001E-4</v>
      </c>
      <c r="AG113" s="36">
        <f t="shared" si="1139"/>
        <v>3.6779999999999999</v>
      </c>
      <c r="AH113" s="27">
        <v>0.20760000000000001</v>
      </c>
      <c r="AI113" s="40">
        <f t="shared" si="1140"/>
        <v>31.860994800000004</v>
      </c>
      <c r="AJ113" s="27">
        <f t="shared" si="1141"/>
        <v>0.90456421490904249</v>
      </c>
      <c r="AK113" s="28">
        <f t="shared" si="668"/>
        <v>0.90092609906255794</v>
      </c>
      <c r="AL113" s="33">
        <v>167</v>
      </c>
      <c r="AM113" s="35">
        <v>8.1000000000000003E-2</v>
      </c>
      <c r="AN113" s="37">
        <v>0.21540000000000001</v>
      </c>
      <c r="AO113" s="103">
        <v>0.21759999999999999</v>
      </c>
      <c r="AP113" s="40">
        <f>AL113*(1-AM113)*AN113</f>
        <v>33.058084200000003</v>
      </c>
      <c r="AQ113" s="104">
        <f t="shared" si="712"/>
        <v>33.395724800000004</v>
      </c>
      <c r="AR113" s="41">
        <v>1.55</v>
      </c>
      <c r="AS113" s="41"/>
      <c r="AT113" s="129">
        <f>AT112+AL113-AS113</f>
        <v>425.61999999999949</v>
      </c>
      <c r="AU113" s="82"/>
      <c r="AV113" s="42"/>
      <c r="AW113" s="43"/>
      <c r="AX113" s="44"/>
      <c r="AY113" s="44"/>
      <c r="AZ113" s="44"/>
      <c r="BA113" s="44"/>
    </row>
    <row r="114" spans="1:54">
      <c r="A114" s="148"/>
      <c r="B114" s="32">
        <v>3</v>
      </c>
      <c r="C114" s="10" t="s">
        <v>58</v>
      </c>
      <c r="D114" s="42">
        <v>20506</v>
      </c>
      <c r="E114" s="42">
        <v>2</v>
      </c>
      <c r="F114" s="42">
        <v>18686</v>
      </c>
      <c r="G114" s="36">
        <v>0.4</v>
      </c>
      <c r="H114" s="36">
        <v>4.9000000000000004</v>
      </c>
      <c r="I114" s="42">
        <v>18791</v>
      </c>
      <c r="J114" s="36">
        <v>1.7</v>
      </c>
      <c r="K114" s="42">
        <v>15657</v>
      </c>
      <c r="L114" s="38">
        <v>8.5999999999999993E-2</v>
      </c>
      <c r="M114" s="36">
        <f>ROUND(K114*(1-L114),0)</f>
        <v>14310</v>
      </c>
      <c r="N114" s="27">
        <v>0.70799999999999996</v>
      </c>
      <c r="O114" s="24">
        <f t="shared" si="1131"/>
        <v>10131.48</v>
      </c>
      <c r="P114" s="38">
        <v>0.192</v>
      </c>
      <c r="Q114" s="24">
        <f t="shared" si="1132"/>
        <v>2747.52</v>
      </c>
      <c r="R114" s="38">
        <v>0.1</v>
      </c>
      <c r="S114" s="105">
        <v>0.25</v>
      </c>
      <c r="T114" s="24">
        <f t="shared" si="1133"/>
        <v>1431</v>
      </c>
      <c r="U114" s="27">
        <v>0.23400000000000001</v>
      </c>
      <c r="V114" s="24">
        <f t="shared" si="1134"/>
        <v>3348.5400000000004</v>
      </c>
      <c r="W114" s="38">
        <v>0.47699999999999998</v>
      </c>
      <c r="X114" s="24">
        <f t="shared" si="1135"/>
        <v>6825.87</v>
      </c>
      <c r="Y114" s="38">
        <v>0.4</v>
      </c>
      <c r="Z114" s="24">
        <f t="shared" si="1136"/>
        <v>5724</v>
      </c>
      <c r="AA114" s="118">
        <v>2.3900000000000002E-3</v>
      </c>
      <c r="AB114" s="121">
        <f t="shared" si="750"/>
        <v>34.200900000000004</v>
      </c>
      <c r="AC114" s="45">
        <v>2.5799999999999998E-3</v>
      </c>
      <c r="AD114" s="17">
        <f t="shared" si="1138"/>
        <v>36.919799999999995</v>
      </c>
      <c r="AE114" s="26">
        <f>IF(M114&gt;0,(AG114+AP114)/M114,0)</f>
        <v>2.7993671558350802E-3</v>
      </c>
      <c r="AF114" s="45">
        <v>2.5999999999999998E-4</v>
      </c>
      <c r="AG114" s="36">
        <f t="shared" si="1139"/>
        <v>3.7205999999999997</v>
      </c>
      <c r="AH114" s="27">
        <v>0.2064</v>
      </c>
      <c r="AI114" s="40">
        <f t="shared" si="1140"/>
        <v>33.800064000000006</v>
      </c>
      <c r="AJ114" s="27">
        <f t="shared" si="1141"/>
        <v>0.90035897933443287</v>
      </c>
      <c r="AK114" s="28">
        <f t="shared" si="668"/>
        <v>0.90818598579763443</v>
      </c>
      <c r="AL114" s="42">
        <v>178</v>
      </c>
      <c r="AM114" s="38">
        <v>0.08</v>
      </c>
      <c r="AN114" s="27">
        <v>0.22189999999999999</v>
      </c>
      <c r="AO114" s="105">
        <v>0.22700000000000001</v>
      </c>
      <c r="AP114" s="40">
        <f>AL114*(1-AM114)*AN114</f>
        <v>36.338343999999999</v>
      </c>
      <c r="AQ114" s="106">
        <f t="shared" si="712"/>
        <v>37.173520000000003</v>
      </c>
      <c r="AR114" s="17">
        <v>1.55</v>
      </c>
      <c r="AS114" s="17"/>
      <c r="AT114" s="129">
        <f>AT113+AL114-AS114</f>
        <v>603.61999999999944</v>
      </c>
      <c r="AU114" s="82"/>
      <c r="AV114" s="42"/>
      <c r="AW114" s="46"/>
      <c r="AX114" s="40"/>
      <c r="AY114" s="40"/>
      <c r="AZ114" s="40"/>
      <c r="BA114" s="40"/>
    </row>
    <row r="115" spans="1:54">
      <c r="A115" s="149"/>
      <c r="B115" s="47" t="s">
        <v>56</v>
      </c>
      <c r="C115" s="48"/>
      <c r="D115" s="49">
        <f t="shared" ref="D115" si="1143">SUM(D112:D114)</f>
        <v>46680</v>
      </c>
      <c r="E115" s="49"/>
      <c r="F115" s="49">
        <f t="shared" ref="F115" si="1144">SUM(F112:F114)</f>
        <v>45891</v>
      </c>
      <c r="G115" s="50"/>
      <c r="H115" s="50"/>
      <c r="I115" s="49">
        <f t="shared" ref="I115:K115" si="1145">SUM(I112:I114)</f>
        <v>46376</v>
      </c>
      <c r="J115" s="50"/>
      <c r="K115" s="49">
        <f t="shared" si="1145"/>
        <v>46847</v>
      </c>
      <c r="L115" s="20">
        <f t="shared" ref="L115" si="1146">IF(K115&gt;0,(K112*L112+K113*L113+K114*L114)/K115,0)</f>
        <v>7.2337396204666254E-2</v>
      </c>
      <c r="M115" s="50">
        <f t="shared" ref="M115" si="1147">M112+M113+M114</f>
        <v>43457</v>
      </c>
      <c r="N115" s="51">
        <f t="shared" ref="N115" si="1148">IF(M115&gt;0,O115/M115,0)</f>
        <v>0.67802278113997738</v>
      </c>
      <c r="O115" s="52">
        <f t="shared" ref="O115" si="1149">O112+O113+O114</f>
        <v>29464.835999999999</v>
      </c>
      <c r="P115" s="20">
        <f t="shared" ref="P115" si="1150">IF(M115&gt;0,Q115/M115,0)</f>
        <v>0.25425411326138486</v>
      </c>
      <c r="Q115" s="52">
        <f t="shared" ref="Q115" si="1151">Q112+Q113+Q114</f>
        <v>11049.121000000001</v>
      </c>
      <c r="R115" s="20">
        <f t="shared" ref="R115" si="1152">IF(M115&gt;0,T115/M115,0)</f>
        <v>6.7723105598637742E-2</v>
      </c>
      <c r="S115" s="107"/>
      <c r="T115" s="52">
        <f t="shared" ref="T115" si="1153">T112+T113+T114</f>
        <v>2943.0430000000001</v>
      </c>
      <c r="U115" s="20">
        <f t="shared" ref="U115" si="1154">IF(M115&gt;0,V115/M115,0)</f>
        <v>0.23223080286259981</v>
      </c>
      <c r="V115" s="52">
        <f t="shared" ref="V115" si="1155">V112+V113+V114</f>
        <v>10092.054</v>
      </c>
      <c r="W115" s="20">
        <f t="shared" ref="W115" si="1156">IF(M115&gt;0,X115/M115,0)</f>
        <v>0.48074945348275305</v>
      </c>
      <c r="X115" s="52">
        <f t="shared" ref="X115" si="1157">X112+X113+X114</f>
        <v>20891.929</v>
      </c>
      <c r="Y115" s="20">
        <f t="shared" ref="Y115" si="1158">IF(M115&gt;0,Z115/M115,0)</f>
        <v>0.38664956163563985</v>
      </c>
      <c r="Z115" s="52">
        <f t="shared" ref="Z115" si="1159">Z112+Z113+Z114</f>
        <v>16802.63</v>
      </c>
      <c r="AA115" s="119">
        <f>IF(M115&gt;0,AB115/M115,0)</f>
        <v>2.3975994661389419E-3</v>
      </c>
      <c r="AB115" s="54">
        <f t="shared" ref="AB115" si="1160">SUM(AB112:AB114)</f>
        <v>104.19248</v>
      </c>
      <c r="AC115" s="53">
        <f t="shared" ref="AC115" si="1161">IF(M115&gt;0,AD115/M115,0)</f>
        <v>2.5534903467795749E-3</v>
      </c>
      <c r="AD115" s="54">
        <f t="shared" ref="AD115" si="1162">SUM(AD112:AD114)</f>
        <v>110.96702999999999</v>
      </c>
      <c r="AE115" s="53">
        <f t="shared" ref="AE115" si="1163">IF(M115&gt;0,(AE112*M112+AE113*M113+AE114*M114)/M115,0)</f>
        <v>2.5833124743999815E-3</v>
      </c>
      <c r="AF115" s="53">
        <f t="shared" ref="AF115" si="1164">IF(K115&gt;0,(K112*AF112+K113*AF113+K114*AF114)/K115,0)</f>
        <v>2.5334215638141182E-4</v>
      </c>
      <c r="AG115" s="50">
        <f t="shared" ref="AG115" si="1165">SUM(AG112:AG114)</f>
        <v>11.007349999999999</v>
      </c>
      <c r="AH115" s="51">
        <f t="shared" ref="AH115" si="1166">IF(K115&gt;0,(K112*AH112+K113*AH113+K114*AH114)/K115,0)</f>
        <v>0.20753027515102354</v>
      </c>
      <c r="AI115" s="56">
        <f t="shared" ref="AI115" si="1167">SUM(AI112:AI114)</f>
        <v>96.400354800000017</v>
      </c>
      <c r="AJ115" s="51">
        <f t="shared" ref="AJ115" si="1168">IF(AND(AD115&gt;0),((AD112*AJ112+AD113*AJ113+AD114*AJ114)/AD115),0)</f>
        <v>0.90190625838511362</v>
      </c>
      <c r="AK115" s="55">
        <f t="shared" si="668"/>
        <v>0.90298143236602635</v>
      </c>
      <c r="AL115" s="49">
        <f t="shared" ref="AL115" si="1169">SUM(AL112:AL114)</f>
        <v>505</v>
      </c>
      <c r="AM115" s="20">
        <f t="shared" ref="AM115" si="1170">IF(AL115&gt;0,(AM112*AL112+AM113*AL113+AM114*AL114)/AL115,0)</f>
        <v>8.0013861386138627E-2</v>
      </c>
      <c r="AN115" s="51">
        <f>IF(K115&gt;0,(AN112*K112+AN113*K113+AN114*K114)/K115,0)</f>
        <v>0.21783746878135207</v>
      </c>
      <c r="AO115" s="107">
        <f>IF(L115&gt;0,(AO112*K112+AO113*K113+AO114*K114)/K115,0)</f>
        <v>0.22113922769867866</v>
      </c>
      <c r="AP115" s="56">
        <f t="shared" ref="AP115" si="1171">SUM(AP112:AP114)</f>
        <v>101.25566019999999</v>
      </c>
      <c r="AQ115" s="108">
        <f t="shared" si="1085"/>
        <v>102.81161280000001</v>
      </c>
      <c r="AR115" s="54"/>
      <c r="AS115" s="54">
        <f t="shared" ref="AS115" si="1172">SUM(AS112:AS114)</f>
        <v>503.92</v>
      </c>
      <c r="AT115" s="83"/>
      <c r="AU115" s="84">
        <f>AT114</f>
        <v>603.61999999999944</v>
      </c>
      <c r="AV115" s="49">
        <f t="shared" ref="AV115" si="1173">SUM(AV112:AV114)</f>
        <v>0</v>
      </c>
      <c r="AW115" s="57"/>
      <c r="AX115" s="56"/>
      <c r="AY115" s="56"/>
      <c r="AZ115" s="56"/>
      <c r="BA115" s="56"/>
      <c r="BB115" s="21"/>
    </row>
    <row r="116" spans="1:54">
      <c r="A116" s="148">
        <v>29</v>
      </c>
      <c r="B116" s="32">
        <v>1</v>
      </c>
      <c r="C116" s="10" t="s">
        <v>53</v>
      </c>
      <c r="D116" s="11">
        <v>3400</v>
      </c>
      <c r="E116" s="11">
        <v>1</v>
      </c>
      <c r="F116" s="11">
        <v>8316</v>
      </c>
      <c r="G116" s="12">
        <v>0.7</v>
      </c>
      <c r="H116" s="12">
        <v>5.5</v>
      </c>
      <c r="I116" s="11">
        <v>9523</v>
      </c>
      <c r="J116" s="12">
        <v>4</v>
      </c>
      <c r="K116" s="11">
        <v>15760</v>
      </c>
      <c r="L116" s="13">
        <v>7.4999999999999997E-2</v>
      </c>
      <c r="M116" s="23">
        <f>ROUND(K116*(1-L116),0)</f>
        <v>14578</v>
      </c>
      <c r="N116" s="14">
        <v>0.78600000000000003</v>
      </c>
      <c r="O116" s="24">
        <f t="shared" ref="O116:O118" si="1174">M116*N116</f>
        <v>11458.308000000001</v>
      </c>
      <c r="P116" s="13">
        <v>0.159</v>
      </c>
      <c r="Q116" s="24">
        <f t="shared" ref="Q116:Q118" si="1175">M116*P116</f>
        <v>2317.902</v>
      </c>
      <c r="R116" s="15">
        <v>5.5E-2</v>
      </c>
      <c r="S116" s="112">
        <v>0.21859999999999999</v>
      </c>
      <c r="T116" s="24">
        <f t="shared" ref="T116:T118" si="1176">M116*R116</f>
        <v>801.79</v>
      </c>
      <c r="U116" s="25">
        <v>0.23200000000000001</v>
      </c>
      <c r="V116" s="24">
        <f t="shared" ref="V116:V118" si="1177">M116*U116</f>
        <v>3382.096</v>
      </c>
      <c r="W116" s="15">
        <v>0.48699999999999999</v>
      </c>
      <c r="X116" s="24">
        <f t="shared" ref="X116:X118" si="1178">M116*W116</f>
        <v>7099.4859999999999</v>
      </c>
      <c r="Y116" s="15">
        <v>0.39</v>
      </c>
      <c r="Z116" s="24">
        <f t="shared" ref="Z116:Z118" si="1179">Y116*M116</f>
        <v>5685.42</v>
      </c>
      <c r="AA116" s="116">
        <v>2.6800000000000001E-3</v>
      </c>
      <c r="AB116" s="18">
        <f t="shared" ref="AB116" si="1180">M116*AA116</f>
        <v>39.069040000000001</v>
      </c>
      <c r="AC116" s="16">
        <v>2.65E-3</v>
      </c>
      <c r="AD116" s="17">
        <f t="shared" ref="AD116:AD118" si="1181">M116*AC116</f>
        <v>38.631700000000002</v>
      </c>
      <c r="AE116" s="26">
        <f>IF(M116&gt;0,(AG116+AP116)/M116,0)</f>
        <v>2.9588830292221154E-3</v>
      </c>
      <c r="AF116" s="16">
        <v>2.5000000000000001E-4</v>
      </c>
      <c r="AG116" s="23">
        <f t="shared" ref="AG116:AG118" si="1182">AF116*M116</f>
        <v>3.6445000000000003</v>
      </c>
      <c r="AH116" s="92">
        <v>0.20449999999999999</v>
      </c>
      <c r="AI116" s="29">
        <f t="shared" ref="AI116:AI118" si="1183">AL116*(1-AM116)*AH116</f>
        <v>36.657851999999998</v>
      </c>
      <c r="AJ116" s="27">
        <f t="shared" ref="AJ116:AJ118" si="1184">IF(AND(AH116&gt;0,AF116&gt;0,AC116&gt;0),((AC116-AF116)*AH116)/((AH116-AF116)*AC116),0)</f>
        <v>0.90676889679222195</v>
      </c>
      <c r="AK116" s="58">
        <f t="shared" si="668"/>
        <v>0.91654877166786852</v>
      </c>
      <c r="AL116" s="11">
        <v>194</v>
      </c>
      <c r="AM116" s="13">
        <v>7.5999999999999998E-2</v>
      </c>
      <c r="AN116" s="14">
        <v>0.2203</v>
      </c>
      <c r="AO116" s="101">
        <v>0.219</v>
      </c>
      <c r="AP116" s="29">
        <f>AL116*(1-AM116)*AN116</f>
        <v>39.490096799999996</v>
      </c>
      <c r="AQ116" s="102">
        <f t="shared" ref="AQ116" si="1185">AL116*(1-AM116)*AO116</f>
        <v>39.257064</v>
      </c>
      <c r="AR116" s="18">
        <v>1.6</v>
      </c>
      <c r="AS116" s="18">
        <v>540.44000000000005</v>
      </c>
      <c r="AT116" s="79">
        <f>AT114+AL116-AS116</f>
        <v>257.17999999999938</v>
      </c>
      <c r="AU116" s="134"/>
      <c r="AV116" s="11"/>
      <c r="AW116" s="30"/>
      <c r="AX116" s="19"/>
      <c r="AY116" s="19"/>
      <c r="AZ116" s="19"/>
      <c r="BA116" s="19"/>
    </row>
    <row r="117" spans="1:54">
      <c r="A117" s="148"/>
      <c r="B117" s="32">
        <v>2</v>
      </c>
      <c r="C117" s="10" t="s">
        <v>57</v>
      </c>
      <c r="D117" s="33">
        <v>19700</v>
      </c>
      <c r="E117" s="33">
        <v>6</v>
      </c>
      <c r="F117" s="33">
        <v>17144</v>
      </c>
      <c r="G117" s="34">
        <v>0.6</v>
      </c>
      <c r="H117" s="34">
        <v>6.4</v>
      </c>
      <c r="I117" s="33">
        <v>16213</v>
      </c>
      <c r="J117" s="34">
        <v>4</v>
      </c>
      <c r="K117" s="33">
        <v>15595</v>
      </c>
      <c r="L117" s="35">
        <v>7.3999999999999996E-2</v>
      </c>
      <c r="M117" s="36">
        <f>ROUND(K117*(1-L117),0)</f>
        <v>14441</v>
      </c>
      <c r="N117" s="37">
        <v>0.73199999999999998</v>
      </c>
      <c r="O117" s="24">
        <f t="shared" si="1174"/>
        <v>10570.812</v>
      </c>
      <c r="P117" s="35">
        <v>0.222</v>
      </c>
      <c r="Q117" s="24">
        <f t="shared" si="1175"/>
        <v>3205.902</v>
      </c>
      <c r="R117" s="38">
        <v>4.5999999999999999E-2</v>
      </c>
      <c r="S117" s="105">
        <v>0.18360000000000001</v>
      </c>
      <c r="T117" s="24">
        <f t="shared" si="1176"/>
        <v>664.28599999999994</v>
      </c>
      <c r="U117" s="27">
        <v>0.23</v>
      </c>
      <c r="V117" s="24">
        <f t="shared" si="1177"/>
        <v>3321.4300000000003</v>
      </c>
      <c r="W117" s="38">
        <v>0.47899999999999998</v>
      </c>
      <c r="X117" s="24">
        <f t="shared" si="1178"/>
        <v>6917.2389999999996</v>
      </c>
      <c r="Y117" s="38">
        <v>0.39</v>
      </c>
      <c r="Z117" s="24">
        <f t="shared" si="1179"/>
        <v>5631.99</v>
      </c>
      <c r="AA117" s="117">
        <v>2.7599999999999999E-3</v>
      </c>
      <c r="AB117" s="18">
        <f t="shared" si="750"/>
        <v>39.85716</v>
      </c>
      <c r="AC117" s="39">
        <v>2.7299999999999998E-3</v>
      </c>
      <c r="AD117" s="17">
        <f t="shared" si="1181"/>
        <v>39.423929999999999</v>
      </c>
      <c r="AE117" s="26">
        <f>IF(M117&gt;0,(AG117+AP117)/M117,0)</f>
        <v>2.7671291738799253E-3</v>
      </c>
      <c r="AF117" s="39">
        <v>2.5000000000000001E-4</v>
      </c>
      <c r="AG117" s="36">
        <f t="shared" si="1182"/>
        <v>3.6102500000000002</v>
      </c>
      <c r="AH117" s="27">
        <v>0.2072</v>
      </c>
      <c r="AI117" s="40">
        <f t="shared" si="1183"/>
        <v>34.998566400000001</v>
      </c>
      <c r="AJ117" s="27">
        <f t="shared" si="1184"/>
        <v>0.90952230502846587</v>
      </c>
      <c r="AK117" s="28">
        <f t="shared" si="668"/>
        <v>0.91071164038435937</v>
      </c>
      <c r="AL117" s="33">
        <v>184</v>
      </c>
      <c r="AM117" s="35">
        <v>8.2000000000000003E-2</v>
      </c>
      <c r="AN117" s="37">
        <v>0.2152</v>
      </c>
      <c r="AO117" s="103">
        <v>0.21740000000000001</v>
      </c>
      <c r="AP117" s="40">
        <f>AL117*(1-AM117)*AN117</f>
        <v>36.349862399999999</v>
      </c>
      <c r="AQ117" s="104">
        <f t="shared" si="712"/>
        <v>36.721468800000004</v>
      </c>
      <c r="AR117" s="41">
        <v>1.6</v>
      </c>
      <c r="AS117" s="41"/>
      <c r="AT117" s="129">
        <f>AT116+AL117-AS117</f>
        <v>441.17999999999938</v>
      </c>
      <c r="AU117" s="82"/>
      <c r="AV117" s="42"/>
      <c r="AW117" s="43"/>
      <c r="AX117" s="44"/>
      <c r="AY117" s="44"/>
      <c r="AZ117" s="44"/>
      <c r="BA117" s="44"/>
    </row>
    <row r="118" spans="1:54">
      <c r="A118" s="148"/>
      <c r="B118" s="32">
        <v>3</v>
      </c>
      <c r="C118" s="10" t="s">
        <v>58</v>
      </c>
      <c r="D118" s="42">
        <v>20900</v>
      </c>
      <c r="E118" s="42">
        <v>1</v>
      </c>
      <c r="F118" s="42">
        <v>16684</v>
      </c>
      <c r="G118" s="36">
        <v>0.4</v>
      </c>
      <c r="H118" s="36">
        <v>7.6</v>
      </c>
      <c r="I118" s="42">
        <v>17594</v>
      </c>
      <c r="J118" s="36">
        <v>3.1</v>
      </c>
      <c r="K118" s="42">
        <v>15490</v>
      </c>
      <c r="L118" s="38">
        <v>8.5000000000000006E-2</v>
      </c>
      <c r="M118" s="36">
        <f>ROUND(K118*(1-L118),0)</f>
        <v>14173</v>
      </c>
      <c r="N118" s="27">
        <v>0.68799999999999994</v>
      </c>
      <c r="O118" s="24">
        <f t="shared" si="1174"/>
        <v>9751.0239999999994</v>
      </c>
      <c r="P118" s="38">
        <v>0.221</v>
      </c>
      <c r="Q118" s="24">
        <f t="shared" si="1175"/>
        <v>3132.2330000000002</v>
      </c>
      <c r="R118" s="38">
        <v>9.0999999999999998E-2</v>
      </c>
      <c r="S118" s="105">
        <v>0.20300000000000001</v>
      </c>
      <c r="T118" s="24">
        <f t="shared" si="1176"/>
        <v>1289.7429999999999</v>
      </c>
      <c r="U118" s="27">
        <v>0.23</v>
      </c>
      <c r="V118" s="24">
        <f t="shared" si="1177"/>
        <v>3259.79</v>
      </c>
      <c r="W118" s="38">
        <v>0.48199999999999998</v>
      </c>
      <c r="X118" s="24">
        <f t="shared" si="1178"/>
        <v>6831.3859999999995</v>
      </c>
      <c r="Y118" s="38">
        <v>0.39</v>
      </c>
      <c r="Z118" s="24">
        <f t="shared" si="1179"/>
        <v>5527.47</v>
      </c>
      <c r="AA118" s="118">
        <v>2.3900000000000002E-3</v>
      </c>
      <c r="AB118" s="121">
        <f t="shared" si="750"/>
        <v>33.873470000000005</v>
      </c>
      <c r="AC118" s="45">
        <v>2.4599999999999999E-3</v>
      </c>
      <c r="AD118" s="17">
        <f t="shared" si="1181"/>
        <v>34.865580000000001</v>
      </c>
      <c r="AE118" s="26">
        <f>IF(M118&gt;0,(AG118+AP118)/M118,0)</f>
        <v>2.8919552106117263E-3</v>
      </c>
      <c r="AF118" s="45">
        <v>2.5000000000000001E-4</v>
      </c>
      <c r="AG118" s="36">
        <f t="shared" si="1182"/>
        <v>3.54325</v>
      </c>
      <c r="AH118" s="27">
        <v>0.2041</v>
      </c>
      <c r="AI118" s="40">
        <f t="shared" si="1183"/>
        <v>34.960697199999998</v>
      </c>
      <c r="AJ118" s="27">
        <f t="shared" si="1184"/>
        <v>0.89947574236595951</v>
      </c>
      <c r="AK118" s="28">
        <f t="shared" si="668"/>
        <v>0.91459926818760129</v>
      </c>
      <c r="AL118" s="42">
        <v>187</v>
      </c>
      <c r="AM118" s="38">
        <v>8.4000000000000005E-2</v>
      </c>
      <c r="AN118" s="27">
        <v>0.21859999999999999</v>
      </c>
      <c r="AO118" s="105">
        <v>0.22009999999999999</v>
      </c>
      <c r="AP118" s="40">
        <f>AL118*(1-AM118)*AN118</f>
        <v>37.444431199999997</v>
      </c>
      <c r="AQ118" s="106">
        <f t="shared" si="712"/>
        <v>37.701369200000002</v>
      </c>
      <c r="AR118" s="17">
        <v>1.55</v>
      </c>
      <c r="AS118" s="17"/>
      <c r="AT118" s="129">
        <f>AT117+AL118-AS118</f>
        <v>628.17999999999938</v>
      </c>
      <c r="AU118" s="82"/>
      <c r="AV118" s="42"/>
      <c r="AW118" s="46"/>
      <c r="AX118" s="40"/>
      <c r="AY118" s="40"/>
      <c r="AZ118" s="40"/>
      <c r="BA118" s="40"/>
    </row>
    <row r="119" spans="1:54">
      <c r="A119" s="149"/>
      <c r="B119" s="47" t="s">
        <v>56</v>
      </c>
      <c r="C119" s="48"/>
      <c r="D119" s="49">
        <f t="shared" ref="D119" si="1186">SUM(D116:D118)</f>
        <v>44000</v>
      </c>
      <c r="E119" s="49"/>
      <c r="F119" s="49">
        <f t="shared" ref="F119" si="1187">SUM(F116:F118)</f>
        <v>42144</v>
      </c>
      <c r="G119" s="50"/>
      <c r="H119" s="50"/>
      <c r="I119" s="49">
        <f t="shared" ref="I119:K119" si="1188">SUM(I116:I118)</f>
        <v>43330</v>
      </c>
      <c r="J119" s="50"/>
      <c r="K119" s="49">
        <f t="shared" si="1188"/>
        <v>46845</v>
      </c>
      <c r="L119" s="20">
        <f t="shared" ref="L119" si="1189">IF(K119&gt;0,(K116*L116+K117*L117+K118*L118)/K119,0)</f>
        <v>7.7973743195645207E-2</v>
      </c>
      <c r="M119" s="50">
        <f t="shared" ref="M119" si="1190">M116+M117+M118</f>
        <v>43192</v>
      </c>
      <c r="N119" s="51">
        <f t="shared" ref="N119" si="1191">IF(M119&gt;0,O119/M119,0)</f>
        <v>0.73578773847008705</v>
      </c>
      <c r="O119" s="52">
        <f t="shared" ref="O119" si="1192">O116+O117+O118</f>
        <v>31780.144</v>
      </c>
      <c r="P119" s="20">
        <f t="shared" ref="P119" si="1193">IF(M119&gt;0,Q119/M119,0)</f>
        <v>0.20040833950731618</v>
      </c>
      <c r="Q119" s="52">
        <f t="shared" ref="Q119" si="1194">Q116+Q117+Q118</f>
        <v>8656.0370000000003</v>
      </c>
      <c r="R119" s="20">
        <f t="shared" ref="R119" si="1195">IF(M119&gt;0,T119/M119,0)</f>
        <v>6.3803922022596771E-2</v>
      </c>
      <c r="S119" s="107"/>
      <c r="T119" s="52">
        <f t="shared" ref="T119" si="1196">T116+T117+T118</f>
        <v>2755.819</v>
      </c>
      <c r="U119" s="20">
        <f t="shared" ref="U119" si="1197">IF(M119&gt;0,V119/M119,0)</f>
        <v>0.23067503241340986</v>
      </c>
      <c r="V119" s="52">
        <f t="shared" ref="V119" si="1198">V116+V117+V118</f>
        <v>9963.3159999999989</v>
      </c>
      <c r="W119" s="20">
        <f t="shared" ref="W119" si="1199">IF(M119&gt;0,X119/M119,0)</f>
        <v>0.48268454806445632</v>
      </c>
      <c r="X119" s="52">
        <f t="shared" ref="X119" si="1200">X116+X117+X118</f>
        <v>20848.110999999997</v>
      </c>
      <c r="Y119" s="20">
        <f t="shared" ref="Y119" si="1201">IF(M119&gt;0,Z119/M119,0)</f>
        <v>0.39</v>
      </c>
      <c r="Z119" s="52">
        <f t="shared" ref="Z119" si="1202">Z116+Z117+Z118</f>
        <v>16844.88</v>
      </c>
      <c r="AA119" s="119">
        <f>IF(M119&gt;0,AB119/M119,0)</f>
        <v>2.6115870994628631E-3</v>
      </c>
      <c r="AB119" s="54">
        <f t="shared" ref="AB119" si="1203">SUM(AB116:AB118)</f>
        <v>112.79966999999999</v>
      </c>
      <c r="AC119" s="53">
        <f t="shared" ref="AC119" si="1204">IF(M119&gt;0,AD119/M119,0)</f>
        <v>2.614401046490091E-3</v>
      </c>
      <c r="AD119" s="54">
        <f t="shared" ref="AD119" si="1205">SUM(AD116:AD118)</f>
        <v>112.92121</v>
      </c>
      <c r="AE119" s="53">
        <f t="shared" ref="AE119" si="1206">IF(M119&gt;0,(AE116*M116+AE117*M117+AE118*M118)/M119,0)</f>
        <v>2.8728095573254306E-3</v>
      </c>
      <c r="AF119" s="53">
        <f t="shared" ref="AF119" si="1207">IF(K119&gt;0,(K116*AF116+K117*AF117+K118*AF118)/K119,0)</f>
        <v>2.5000000000000001E-4</v>
      </c>
      <c r="AG119" s="50">
        <f t="shared" ref="AG119" si="1208">SUM(AG116:AG118)</f>
        <v>10.798</v>
      </c>
      <c r="AH119" s="51">
        <f t="shared" ref="AH119" si="1209">IF(K119&gt;0,(K116*AH116+K117*AH117+K118*AH118)/K119,0)</f>
        <v>0.20526658127868502</v>
      </c>
      <c r="AI119" s="56">
        <f t="shared" ref="AI119" si="1210">SUM(AI116:AI118)</f>
        <v>106.61711560000001</v>
      </c>
      <c r="AJ119" s="51">
        <f t="shared" ref="AJ119" si="1211">IF(AND(AD119&gt;0),((AD116*AJ116+AD117*AJ117+AD118*AJ118)/AD119),0)</f>
        <v>0.90547835194653603</v>
      </c>
      <c r="AK119" s="55">
        <f t="shared" si="668"/>
        <v>0.91402517766294722</v>
      </c>
      <c r="AL119" s="49">
        <f t="shared" ref="AL119" si="1212">SUM(AL116:AL118)</f>
        <v>565</v>
      </c>
      <c r="AM119" s="20">
        <f t="shared" ref="AM119" si="1213">IF(AL119&gt;0,(AM116*AL116+AM117*AL117+AM118*AL118)/AL119,0)</f>
        <v>8.0601769911504417E-2</v>
      </c>
      <c r="AN119" s="51">
        <f>IF(K119&gt;0,(AN116*K116+AN117*K117+AN118*K118)/K119,0)</f>
        <v>0.21804004696338988</v>
      </c>
      <c r="AO119" s="107">
        <f>IF(L119&gt;0,(AO116*K116+AO117*K117+AO118*K118)/K119,0)</f>
        <v>0.21883108122531753</v>
      </c>
      <c r="AP119" s="56">
        <f t="shared" ref="AP119" si="1214">SUM(AP116:AP118)</f>
        <v>113.28439039999999</v>
      </c>
      <c r="AQ119" s="108">
        <f t="shared" si="1085"/>
        <v>113.67990200000001</v>
      </c>
      <c r="AR119" s="54"/>
      <c r="AS119" s="54">
        <f t="shared" ref="AS119" si="1215">SUM(AS116:AS118)</f>
        <v>540.44000000000005</v>
      </c>
      <c r="AT119" s="83"/>
      <c r="AU119" s="84">
        <f>AT118</f>
        <v>628.17999999999938</v>
      </c>
      <c r="AV119" s="49">
        <f t="shared" ref="AV119" si="1216">SUM(AV116:AV118)</f>
        <v>0</v>
      </c>
      <c r="AW119" s="57"/>
      <c r="AX119" s="56"/>
      <c r="AY119" s="56"/>
      <c r="AZ119" s="56"/>
      <c r="BA119" s="56"/>
      <c r="BB119" s="21"/>
    </row>
    <row r="120" spans="1:54">
      <c r="A120" s="147">
        <v>30</v>
      </c>
      <c r="B120" s="22">
        <v>1</v>
      </c>
      <c r="C120" s="10" t="s">
        <v>53</v>
      </c>
      <c r="D120" s="11">
        <v>2679</v>
      </c>
      <c r="E120" s="11">
        <v>1</v>
      </c>
      <c r="F120" s="11">
        <v>9509</v>
      </c>
      <c r="G120" s="12">
        <v>0.8</v>
      </c>
      <c r="H120" s="12">
        <v>7.1</v>
      </c>
      <c r="I120" s="11">
        <v>9484</v>
      </c>
      <c r="J120" s="12">
        <v>5</v>
      </c>
      <c r="K120" s="11">
        <v>15536</v>
      </c>
      <c r="L120" s="13">
        <v>7.4999999999999997E-2</v>
      </c>
      <c r="M120" s="36">
        <f>ROUND(K120*(1-L120),0)</f>
        <v>14371</v>
      </c>
      <c r="N120" s="14">
        <v>0.71799999999999997</v>
      </c>
      <c r="O120" s="24">
        <f t="shared" ref="O120:O122" si="1217">M120*N120</f>
        <v>10318.377999999999</v>
      </c>
      <c r="P120" s="13">
        <v>0.20599999999999999</v>
      </c>
      <c r="Q120" s="24">
        <f t="shared" ref="Q120:Q122" si="1218">M120*P120</f>
        <v>2960.4259999999999</v>
      </c>
      <c r="R120" s="15">
        <v>7.5999999999999998E-2</v>
      </c>
      <c r="S120" s="112">
        <v>0.1908</v>
      </c>
      <c r="T120" s="24">
        <f t="shared" ref="T120:T122" si="1219">M120*R120</f>
        <v>1092.1959999999999</v>
      </c>
      <c r="U120" s="25">
        <v>0.22800000000000001</v>
      </c>
      <c r="V120" s="24">
        <f t="shared" ref="V120:V122" si="1220">M120*U120</f>
        <v>3276.5880000000002</v>
      </c>
      <c r="W120" s="15">
        <v>0.49</v>
      </c>
      <c r="X120" s="24">
        <f t="shared" ref="X120:X122" si="1221">M120*W120</f>
        <v>7041.79</v>
      </c>
      <c r="Y120" s="15">
        <v>0.37</v>
      </c>
      <c r="Z120" s="24">
        <f t="shared" ref="Z120:Z122" si="1222">Y120*M120</f>
        <v>5317.2699999999995</v>
      </c>
      <c r="AA120" s="116">
        <v>2.3999999999999998E-3</v>
      </c>
      <c r="AB120" s="18">
        <f t="shared" ref="AB120" si="1223">M120*AA120</f>
        <v>34.490399999999994</v>
      </c>
      <c r="AC120" s="16">
        <v>2.5500000000000002E-3</v>
      </c>
      <c r="AD120" s="17">
        <f t="shared" ref="AD120:AD122" si="1224">M120*AC120</f>
        <v>36.646050000000002</v>
      </c>
      <c r="AE120" s="26">
        <f>IF(M120&gt;0,(AG120+AP120)/M120,0)</f>
        <v>2.6813200194836825E-3</v>
      </c>
      <c r="AF120" s="16">
        <v>2.5999999999999998E-4</v>
      </c>
      <c r="AG120" s="23">
        <f t="shared" ref="AG120:AG122" si="1225">AF120*M120</f>
        <v>3.7364599999999997</v>
      </c>
      <c r="AH120" s="92">
        <v>0.20330000000000001</v>
      </c>
      <c r="AI120" s="29">
        <f t="shared" ref="AI120:AI122" si="1226">AL120*(1-AM120)*AH120</f>
        <v>32.660145</v>
      </c>
      <c r="AJ120" s="27">
        <f t="shared" ref="AJ120:AJ122" si="1227">IF(AND(AH120&gt;0,AF120&gt;0,AC120&gt;0),((AC120-AF120)*AH120)/((AH120-AF120)*AC120),0)</f>
        <v>0.89918918710116047</v>
      </c>
      <c r="AK120" s="58">
        <f t="shared" si="668"/>
        <v>0.90411811094272798</v>
      </c>
      <c r="AL120" s="11">
        <v>175</v>
      </c>
      <c r="AM120" s="13">
        <v>8.2000000000000003E-2</v>
      </c>
      <c r="AN120" s="14">
        <v>0.21659999999999999</v>
      </c>
      <c r="AO120" s="101">
        <v>0.21779999999999999</v>
      </c>
      <c r="AP120" s="29">
        <f>AL120*(1-AM120)*AN120</f>
        <v>34.796790000000001</v>
      </c>
      <c r="AQ120" s="102">
        <f t="shared" ref="AQ120" si="1228">AL120*(1-AM120)*AO120</f>
        <v>34.989570000000001</v>
      </c>
      <c r="AR120" s="18">
        <v>1.6</v>
      </c>
      <c r="AS120" s="18">
        <v>280.32</v>
      </c>
      <c r="AT120" s="79">
        <f>AT118+AL120-AS120</f>
        <v>522.85999999999945</v>
      </c>
      <c r="AU120" s="80"/>
      <c r="AV120" s="11"/>
      <c r="AW120" s="30"/>
      <c r="AX120" s="19"/>
      <c r="AY120" s="19"/>
      <c r="AZ120" s="19"/>
      <c r="BA120" s="19"/>
    </row>
    <row r="121" spans="1:54">
      <c r="A121" s="148"/>
      <c r="B121" s="32">
        <v>2</v>
      </c>
      <c r="C121" s="10" t="s">
        <v>54</v>
      </c>
      <c r="D121" s="33">
        <v>22521</v>
      </c>
      <c r="E121" s="33">
        <v>2</v>
      </c>
      <c r="F121" s="33">
        <v>17011</v>
      </c>
      <c r="G121" s="34">
        <v>0.7</v>
      </c>
      <c r="H121" s="34">
        <v>6.6</v>
      </c>
      <c r="I121" s="33">
        <v>16923</v>
      </c>
      <c r="J121" s="34">
        <v>4.8</v>
      </c>
      <c r="K121" s="33">
        <v>15889</v>
      </c>
      <c r="L121" s="35">
        <v>6.9000000000000006E-2</v>
      </c>
      <c r="M121" s="36">
        <f>ROUND(K121*(1-L121),0)</f>
        <v>14793</v>
      </c>
      <c r="N121" s="37">
        <v>0.63900000000000001</v>
      </c>
      <c r="O121" s="24">
        <f t="shared" si="1217"/>
        <v>9452.7270000000008</v>
      </c>
      <c r="P121" s="35">
        <v>0.28699999999999998</v>
      </c>
      <c r="Q121" s="24">
        <f t="shared" si="1218"/>
        <v>4245.5909999999994</v>
      </c>
      <c r="R121" s="38">
        <v>7.3999999999999996E-2</v>
      </c>
      <c r="S121" s="105">
        <v>0.22639999999999999</v>
      </c>
      <c r="T121" s="24">
        <f t="shared" si="1219"/>
        <v>1094.682</v>
      </c>
      <c r="U121" s="27">
        <v>0.217</v>
      </c>
      <c r="V121" s="24">
        <f t="shared" si="1220"/>
        <v>3210.0810000000001</v>
      </c>
      <c r="W121" s="38">
        <v>0.503</v>
      </c>
      <c r="X121" s="24">
        <f t="shared" si="1221"/>
        <v>7440.8789999999999</v>
      </c>
      <c r="Y121" s="38">
        <v>0.39</v>
      </c>
      <c r="Z121" s="24">
        <f t="shared" si="1222"/>
        <v>5769.27</v>
      </c>
      <c r="AA121" s="117">
        <v>2.4499999999999999E-3</v>
      </c>
      <c r="AB121" s="18">
        <f t="shared" si="750"/>
        <v>36.242849999999997</v>
      </c>
      <c r="AC121" s="39">
        <v>2.5000000000000001E-3</v>
      </c>
      <c r="AD121" s="17">
        <f t="shared" si="1224"/>
        <v>36.982500000000002</v>
      </c>
      <c r="AE121" s="26">
        <f>IF(M121&gt;0,(AG121+AP121)/M121,0)</f>
        <v>2.5395227337254109E-3</v>
      </c>
      <c r="AF121" s="39">
        <v>2.5000000000000001E-4</v>
      </c>
      <c r="AG121" s="36">
        <f t="shared" si="1225"/>
        <v>3.6982500000000003</v>
      </c>
      <c r="AH121" s="27">
        <v>0.2094</v>
      </c>
      <c r="AI121" s="40">
        <f t="shared" si="1226"/>
        <v>32.727963600000002</v>
      </c>
      <c r="AJ121" s="27">
        <f t="shared" si="1227"/>
        <v>0.90107578293091084</v>
      </c>
      <c r="AK121" s="28">
        <f t="shared" si="668"/>
        <v>0.90259760414301071</v>
      </c>
      <c r="AL121" s="33">
        <v>171</v>
      </c>
      <c r="AM121" s="35">
        <v>8.5999999999999993E-2</v>
      </c>
      <c r="AN121" s="37">
        <v>0.2167</v>
      </c>
      <c r="AO121" s="103">
        <v>0.21870000000000001</v>
      </c>
      <c r="AP121" s="40">
        <f>AL121*(1-AM121)*AN121</f>
        <v>33.868909800000004</v>
      </c>
      <c r="AQ121" s="104">
        <f t="shared" si="712"/>
        <v>34.181497800000002</v>
      </c>
      <c r="AR121" s="41">
        <v>1.55</v>
      </c>
      <c r="AS121" s="41"/>
      <c r="AT121" s="129">
        <f>AT120+AL121-AS121</f>
        <v>693.85999999999945</v>
      </c>
      <c r="AU121" s="82"/>
      <c r="AV121" s="42"/>
      <c r="AW121" s="43"/>
      <c r="AX121" s="44"/>
      <c r="AY121" s="44"/>
      <c r="AZ121" s="44"/>
      <c r="BA121" s="44"/>
    </row>
    <row r="122" spans="1:54">
      <c r="A122" s="148"/>
      <c r="B122" s="32">
        <v>3</v>
      </c>
      <c r="C122" s="10" t="s">
        <v>58</v>
      </c>
      <c r="D122" s="42">
        <v>16500</v>
      </c>
      <c r="E122" s="42">
        <v>0</v>
      </c>
      <c r="F122" s="42">
        <v>16777</v>
      </c>
      <c r="G122" s="36">
        <v>0.6</v>
      </c>
      <c r="H122" s="36">
        <v>5.6</v>
      </c>
      <c r="I122" s="42">
        <v>17283</v>
      </c>
      <c r="J122" s="36">
        <v>4.2</v>
      </c>
      <c r="K122" s="42">
        <v>16365</v>
      </c>
      <c r="L122" s="38">
        <v>7.3999999999999996E-2</v>
      </c>
      <c r="M122" s="36">
        <f>ROUND(K122*(1-L122),0)</f>
        <v>15154</v>
      </c>
      <c r="N122" s="27">
        <v>0.67500000000000004</v>
      </c>
      <c r="O122" s="24">
        <f t="shared" si="1217"/>
        <v>10228.950000000001</v>
      </c>
      <c r="P122" s="38">
        <v>0.28899999999999998</v>
      </c>
      <c r="Q122" s="24">
        <f t="shared" si="1218"/>
        <v>4379.5059999999994</v>
      </c>
      <c r="R122" s="38">
        <v>3.5999999999999997E-2</v>
      </c>
      <c r="S122" s="105">
        <v>0.25729999999999997</v>
      </c>
      <c r="T122" s="24">
        <f t="shared" si="1219"/>
        <v>545.54399999999998</v>
      </c>
      <c r="U122" s="27">
        <v>0.23400000000000001</v>
      </c>
      <c r="V122" s="24">
        <f t="shared" si="1220"/>
        <v>3546.0360000000001</v>
      </c>
      <c r="W122" s="38">
        <v>0.48</v>
      </c>
      <c r="X122" s="24">
        <f t="shared" si="1221"/>
        <v>7273.92</v>
      </c>
      <c r="Y122" s="38">
        <v>0.39</v>
      </c>
      <c r="Z122" s="24">
        <f t="shared" si="1222"/>
        <v>5910.06</v>
      </c>
      <c r="AA122" s="118">
        <v>2.2200000000000002E-3</v>
      </c>
      <c r="AB122" s="121">
        <f t="shared" si="750"/>
        <v>33.64188</v>
      </c>
      <c r="AC122" s="45">
        <v>2.48E-3</v>
      </c>
      <c r="AD122" s="17">
        <f t="shared" si="1224"/>
        <v>37.581919999999997</v>
      </c>
      <c r="AE122" s="26">
        <f>IF(M122&gt;0,(AG122+AP122)/M122,0)</f>
        <v>2.5626006598917775E-3</v>
      </c>
      <c r="AF122" s="45">
        <v>2.5000000000000001E-4</v>
      </c>
      <c r="AG122" s="36">
        <f t="shared" si="1225"/>
        <v>3.7885</v>
      </c>
      <c r="AH122" s="27">
        <v>0.20630000000000001</v>
      </c>
      <c r="AI122" s="40">
        <f t="shared" si="1226"/>
        <v>33.301771200000005</v>
      </c>
      <c r="AJ122" s="27">
        <f t="shared" si="1227"/>
        <v>0.90028453789011453</v>
      </c>
      <c r="AK122" s="28">
        <f t="shared" si="668"/>
        <v>0.90348325650188854</v>
      </c>
      <c r="AL122" s="42">
        <v>177</v>
      </c>
      <c r="AM122" s="38">
        <v>8.7999999999999995E-2</v>
      </c>
      <c r="AN122" s="27">
        <v>0.21709999999999999</v>
      </c>
      <c r="AO122" s="105">
        <v>0.2165</v>
      </c>
      <c r="AP122" s="40">
        <f>AL122*(1-AM122)*AN122</f>
        <v>35.045150399999997</v>
      </c>
      <c r="AQ122" s="106">
        <f t="shared" si="712"/>
        <v>34.948295999999999</v>
      </c>
      <c r="AR122" s="17">
        <v>1.55</v>
      </c>
      <c r="AS122" s="17"/>
      <c r="AT122" s="129">
        <f>AT121+AL122-AS122</f>
        <v>870.85999999999945</v>
      </c>
      <c r="AU122" s="82"/>
      <c r="AV122" s="42"/>
      <c r="AW122" s="46"/>
      <c r="AX122" s="40"/>
      <c r="AY122" s="40"/>
      <c r="AZ122" s="40"/>
      <c r="BA122" s="40"/>
    </row>
    <row r="123" spans="1:54">
      <c r="A123" s="149"/>
      <c r="B123" s="47" t="s">
        <v>56</v>
      </c>
      <c r="C123" s="48"/>
      <c r="D123" s="49">
        <f t="shared" ref="D123" si="1229">SUM(D120:D122)</f>
        <v>41700</v>
      </c>
      <c r="E123" s="49"/>
      <c r="F123" s="49">
        <f t="shared" ref="F123" si="1230">SUM(F120:F122)</f>
        <v>43297</v>
      </c>
      <c r="G123" s="50"/>
      <c r="H123" s="50"/>
      <c r="I123" s="49">
        <f t="shared" ref="I123:K123" si="1231">SUM(I120:I122)</f>
        <v>43690</v>
      </c>
      <c r="J123" s="50"/>
      <c r="K123" s="49">
        <f t="shared" si="1231"/>
        <v>47790</v>
      </c>
      <c r="L123" s="20">
        <f t="shared" ref="L123" si="1232">IF(K123&gt;0,(K120*L120+K121*L121+K122*L122)/K123,0)</f>
        <v>7.2662711864406787E-2</v>
      </c>
      <c r="M123" s="50">
        <f t="shared" ref="M123" si="1233">M120+M121+M122</f>
        <v>44318</v>
      </c>
      <c r="N123" s="51">
        <f t="shared" ref="N123" si="1234">IF(M123&gt;0,O123/M123,0)</f>
        <v>0.67692709508551829</v>
      </c>
      <c r="O123" s="52">
        <f t="shared" ref="O123" si="1235">O120+O121+O122</f>
        <v>30000.055</v>
      </c>
      <c r="P123" s="20">
        <f t="shared" ref="P123" si="1236">IF(M123&gt;0,Q123/M123,0)</f>
        <v>0.26141800171487883</v>
      </c>
      <c r="Q123" s="52">
        <f t="shared" ref="Q123" si="1237">Q120+Q121+Q122</f>
        <v>11585.522999999999</v>
      </c>
      <c r="R123" s="20">
        <f t="shared" ref="R123" si="1238">IF(M123&gt;0,T123/M123,0)</f>
        <v>6.1654903199602859E-2</v>
      </c>
      <c r="S123" s="107"/>
      <c r="T123" s="52">
        <f t="shared" ref="T123" si="1239">T120+T121+T122</f>
        <v>2732.4219999999996</v>
      </c>
      <c r="U123" s="20">
        <f t="shared" ref="U123" si="1240">IF(M123&gt;0,V123/M123,0)</f>
        <v>0.22637991335349067</v>
      </c>
      <c r="V123" s="52">
        <f t="shared" ref="V123" si="1241">V120+V121+V122</f>
        <v>10032.705</v>
      </c>
      <c r="W123" s="20">
        <f t="shared" ref="W123" si="1242">IF(M123&gt;0,X123/M123,0)</f>
        <v>0.49091991967146531</v>
      </c>
      <c r="X123" s="52">
        <f t="shared" ref="X123" si="1243">X120+X121+X122</f>
        <v>21756.589</v>
      </c>
      <c r="Y123" s="20">
        <f t="shared" ref="Y123" si="1244">IF(M123&gt;0,Z123/M123,0)</f>
        <v>0.3835145990342525</v>
      </c>
      <c r="Z123" s="52">
        <f t="shared" ref="Z123" si="1245">Z120+Z121+Z122</f>
        <v>16996.600000000002</v>
      </c>
      <c r="AA123" s="119">
        <f>IF(M123&gt;0,AB123/M123,0)</f>
        <v>2.3551408005776432E-3</v>
      </c>
      <c r="AB123" s="54">
        <f t="shared" ref="AB123" si="1246">SUM(AB120:AB122)</f>
        <v>104.37513</v>
      </c>
      <c r="AC123" s="53">
        <f t="shared" ref="AC123" si="1247">IF(M123&gt;0,AD123/M123,0)</f>
        <v>2.5093747461528049E-3</v>
      </c>
      <c r="AD123" s="54">
        <f t="shared" ref="AD123" si="1248">SUM(AD120:AD122)</f>
        <v>111.21047</v>
      </c>
      <c r="AE123" s="53">
        <f t="shared" ref="AE123" si="1249">IF(M123&gt;0,(AE120*M120+AE121*M121+AE122*M122)/M123,0)</f>
        <v>2.5933945620289726E-3</v>
      </c>
      <c r="AF123" s="53">
        <f t="shared" ref="AF123" si="1250">IF(K123&gt;0,(K120*AF120+K121*AF121+K122*AF122)/K123,0)</f>
        <v>2.5325088930738647E-4</v>
      </c>
      <c r="AG123" s="50">
        <f t="shared" ref="AG123" si="1251">SUM(AG120:AG122)</f>
        <v>11.22321</v>
      </c>
      <c r="AH123" s="51">
        <f t="shared" ref="AH123" si="1252">IF(K123&gt;0,(K120*AH120+K121*AH121+K122*AH122)/K123,0)</f>
        <v>0.20635540698890983</v>
      </c>
      <c r="AI123" s="56">
        <f t="shared" ref="AI123" si="1253">SUM(AI120:AI122)</f>
        <v>98.689879800000014</v>
      </c>
      <c r="AJ123" s="51">
        <f t="shared" ref="AJ123" si="1254">IF(AND(AD123&gt;0),((AD120*AJ120+AD121*AJ121+AD122*AJ122)/AD123),0)</f>
        <v>0.900186722818761</v>
      </c>
      <c r="AK123" s="55">
        <f t="shared" si="668"/>
        <v>0.90340299268299595</v>
      </c>
      <c r="AL123" s="49">
        <f t="shared" ref="AL123" si="1255">SUM(AL120:AL122)</f>
        <v>523</v>
      </c>
      <c r="AM123" s="20">
        <f t="shared" ref="AM123" si="1256">IF(AL123&gt;0,(AM120*AL120+AM121*AL121+AM122*AL122)/AL123,0)</f>
        <v>8.5338432122370939E-2</v>
      </c>
      <c r="AN123" s="51">
        <f>IF(K123&gt;0,(AN120*K120+AN121*K121+AN122*K122)/K123,0)</f>
        <v>0.21680446536932413</v>
      </c>
      <c r="AO123" s="107">
        <f>IF(L123&gt;0,(AO120*K120+AO121*K121+AO122*K122)/K123,0)</f>
        <v>0.21765406151914629</v>
      </c>
      <c r="AP123" s="56">
        <f t="shared" ref="AP123:AQ123" si="1257">SUM(AP120:AP122)</f>
        <v>103.7108502</v>
      </c>
      <c r="AQ123" s="108">
        <f t="shared" si="1257"/>
        <v>104.1193638</v>
      </c>
      <c r="AR123" s="54"/>
      <c r="AS123" s="54">
        <f t="shared" ref="AS123" si="1258">SUM(AS120:AS122)</f>
        <v>280.32</v>
      </c>
      <c r="AT123" s="83"/>
      <c r="AU123" s="84">
        <f>AT122</f>
        <v>870.85999999999945</v>
      </c>
      <c r="AV123" s="49">
        <f t="shared" ref="AV123" si="1259">SUM(AV120:AV122)</f>
        <v>0</v>
      </c>
      <c r="AW123" s="57"/>
      <c r="AX123" s="56"/>
      <c r="AY123" s="56"/>
      <c r="AZ123" s="56"/>
      <c r="BA123" s="56"/>
      <c r="BB123" s="21"/>
    </row>
    <row r="124" spans="1:54">
      <c r="A124" s="147">
        <v>31</v>
      </c>
      <c r="B124" s="22">
        <v>1</v>
      </c>
      <c r="C124" s="10" t="s">
        <v>53</v>
      </c>
      <c r="D124" s="11">
        <v>11300</v>
      </c>
      <c r="E124" s="11">
        <v>1</v>
      </c>
      <c r="F124" s="11">
        <v>17154</v>
      </c>
      <c r="G124" s="12">
        <v>1.1000000000000001</v>
      </c>
      <c r="H124" s="12">
        <v>6.4</v>
      </c>
      <c r="I124" s="11">
        <v>17210</v>
      </c>
      <c r="J124" s="12">
        <v>3.7</v>
      </c>
      <c r="K124" s="11">
        <v>16465</v>
      </c>
      <c r="L124" s="13">
        <v>7.1999999999999995E-2</v>
      </c>
      <c r="M124" s="23">
        <f>ROUND(K124*(1-L124),0)</f>
        <v>15280</v>
      </c>
      <c r="N124" s="14">
        <v>0.84499999999999997</v>
      </c>
      <c r="O124" s="24">
        <f t="shared" ref="O124:O126" si="1260">M124*N124</f>
        <v>12911.6</v>
      </c>
      <c r="P124" s="13">
        <v>9.7000000000000003E-2</v>
      </c>
      <c r="Q124" s="24">
        <f t="shared" ref="Q124:Q126" si="1261">M124*P124</f>
        <v>1482.16</v>
      </c>
      <c r="R124" s="15">
        <v>5.8000000000000003E-2</v>
      </c>
      <c r="S124" s="112">
        <v>0.2717</v>
      </c>
      <c r="T124" s="24">
        <f t="shared" ref="T124:T126" si="1262">M124*R124</f>
        <v>886.24</v>
      </c>
      <c r="U124" s="25">
        <v>0.23100000000000001</v>
      </c>
      <c r="V124" s="24">
        <f t="shared" ref="V124:V126" si="1263">M124*U124</f>
        <v>3529.6800000000003</v>
      </c>
      <c r="W124" s="15">
        <v>0.48899999999999999</v>
      </c>
      <c r="X124" s="24">
        <f t="shared" ref="X124:X126" si="1264">M124*W124</f>
        <v>7471.92</v>
      </c>
      <c r="Y124" s="15">
        <v>0.39</v>
      </c>
      <c r="Z124" s="24">
        <f t="shared" ref="Z124:Z126" si="1265">Y124*M124</f>
        <v>5959.2</v>
      </c>
      <c r="AA124" s="116">
        <v>2.4199999999999998E-3</v>
      </c>
      <c r="AB124" s="18">
        <f t="shared" ref="AB124" si="1266">M124*AA124</f>
        <v>36.977599999999995</v>
      </c>
      <c r="AC124" s="16">
        <v>2.48E-3</v>
      </c>
      <c r="AD124" s="17">
        <f t="shared" ref="AD124:AD126" si="1267">M124*AC124</f>
        <v>37.894399999999997</v>
      </c>
      <c r="AE124" s="26">
        <f>IF(M124&gt;0,(AG124+AP124)/M124,0)</f>
        <v>2.6215743455497383E-3</v>
      </c>
      <c r="AF124" s="16">
        <v>2.5000000000000001E-4</v>
      </c>
      <c r="AG124" s="23">
        <f t="shared" ref="AG124:AG126" si="1268">AF124*M124</f>
        <v>3.8200000000000003</v>
      </c>
      <c r="AH124" s="92">
        <v>0.20469999999999999</v>
      </c>
      <c r="AI124" s="29">
        <f t="shared" ref="AI124:AI126" si="1269">AL124*(1-AM124)*AH124</f>
        <v>33.902414</v>
      </c>
      <c r="AJ124" s="27">
        <f t="shared" ref="AJ124:AJ126" si="1270">IF(AND(AH124&gt;0,AF124&gt;0,AC124&gt;0),((AC124-AF124)*AH124)/((AH124-AF124)*AC124),0)</f>
        <v>0.90029307583682427</v>
      </c>
      <c r="AK124" s="58">
        <f t="shared" si="668"/>
        <v>0.90567227306818943</v>
      </c>
      <c r="AL124" s="11">
        <v>182</v>
      </c>
      <c r="AM124" s="13">
        <v>0.09</v>
      </c>
      <c r="AN124" s="14">
        <v>0.21879999999999999</v>
      </c>
      <c r="AO124" s="101">
        <v>0.21690000000000001</v>
      </c>
      <c r="AP124" s="29">
        <f>AL124*(1-AM124)*AN124</f>
        <v>36.237656000000001</v>
      </c>
      <c r="AQ124" s="102">
        <f t="shared" ref="AQ124" si="1271">AL124*(1-AM124)*AO124</f>
        <v>35.922978000000001</v>
      </c>
      <c r="AR124" s="18">
        <v>1.6</v>
      </c>
      <c r="AS124" s="18"/>
      <c r="AT124" s="79">
        <f>AT122+AL124-AS124+AU124</f>
        <v>1066.4599999999994</v>
      </c>
      <c r="AU124" s="80">
        <v>13.6</v>
      </c>
      <c r="AV124" s="11"/>
      <c r="AW124" s="30"/>
      <c r="AX124" s="19"/>
      <c r="AY124" s="19"/>
      <c r="AZ124" s="19"/>
      <c r="BA124" s="19"/>
    </row>
    <row r="125" spans="1:54">
      <c r="A125" s="148"/>
      <c r="B125" s="32">
        <v>2</v>
      </c>
      <c r="C125" s="10" t="s">
        <v>54</v>
      </c>
      <c r="D125" s="33">
        <v>19700</v>
      </c>
      <c r="E125" s="33">
        <v>3</v>
      </c>
      <c r="F125" s="33">
        <v>16953</v>
      </c>
      <c r="G125" s="34">
        <v>0.8</v>
      </c>
      <c r="H125" s="34">
        <v>6.7</v>
      </c>
      <c r="I125" s="33">
        <v>16668</v>
      </c>
      <c r="J125" s="34">
        <v>3.8</v>
      </c>
      <c r="K125" s="33">
        <v>16438</v>
      </c>
      <c r="L125" s="35">
        <v>7.1999999999999995E-2</v>
      </c>
      <c r="M125" s="36">
        <f>ROUND(K125*(1-L125),0)</f>
        <v>15254</v>
      </c>
      <c r="N125" s="37">
        <v>0.66600000000000004</v>
      </c>
      <c r="O125" s="24">
        <f t="shared" si="1260"/>
        <v>10159.164000000001</v>
      </c>
      <c r="P125" s="35">
        <v>0.25800000000000001</v>
      </c>
      <c r="Q125" s="24">
        <f t="shared" si="1261"/>
        <v>3935.5320000000002</v>
      </c>
      <c r="R125" s="38">
        <v>7.5999999999999998E-2</v>
      </c>
      <c r="S125" s="105"/>
      <c r="T125" s="24">
        <f t="shared" si="1262"/>
        <v>1159.3039999999999</v>
      </c>
      <c r="U125" s="27">
        <v>0.22800000000000001</v>
      </c>
      <c r="V125" s="24">
        <f t="shared" si="1263"/>
        <v>3477.9120000000003</v>
      </c>
      <c r="W125" s="38">
        <v>0.48399999999999999</v>
      </c>
      <c r="X125" s="24">
        <f t="shared" si="1264"/>
        <v>7382.9359999999997</v>
      </c>
      <c r="Y125" s="38">
        <v>0.39</v>
      </c>
      <c r="Z125" s="24">
        <f t="shared" si="1265"/>
        <v>5949.06</v>
      </c>
      <c r="AA125" s="117">
        <v>2.49E-3</v>
      </c>
      <c r="AB125" s="18">
        <f t="shared" si="750"/>
        <v>37.982460000000003</v>
      </c>
      <c r="AC125" s="39">
        <v>2.7200000000000002E-3</v>
      </c>
      <c r="AD125" s="17">
        <f t="shared" si="1267"/>
        <v>41.490880000000004</v>
      </c>
      <c r="AE125" s="26">
        <f>IF(M125&gt;0,(AG125+AP125)/M125,0)</f>
        <v>2.6728922774354267E-3</v>
      </c>
      <c r="AF125" s="39">
        <v>2.5000000000000001E-4</v>
      </c>
      <c r="AG125" s="36">
        <f t="shared" si="1268"/>
        <v>3.8134999999999999</v>
      </c>
      <c r="AH125" s="27">
        <v>0.2112</v>
      </c>
      <c r="AI125" s="40">
        <f t="shared" si="1269"/>
        <v>36.204537600000002</v>
      </c>
      <c r="AJ125" s="27">
        <f t="shared" si="1270"/>
        <v>0.90916442424326926</v>
      </c>
      <c r="AK125" s="28">
        <f t="shared" si="668"/>
        <v>0.90752067924305968</v>
      </c>
      <c r="AL125" s="33">
        <v>189</v>
      </c>
      <c r="AM125" s="35">
        <v>9.2999999999999999E-2</v>
      </c>
      <c r="AN125" s="37">
        <v>0.21560000000000001</v>
      </c>
      <c r="AO125" s="103">
        <v>0.214</v>
      </c>
      <c r="AP125" s="40">
        <f>AL125*(1-AM125)*AN125</f>
        <v>36.958798800000004</v>
      </c>
      <c r="AQ125" s="104">
        <f t="shared" si="712"/>
        <v>36.684522000000001</v>
      </c>
      <c r="AR125" s="41">
        <v>1.55</v>
      </c>
      <c r="AS125" s="41"/>
      <c r="AT125" s="129">
        <f>AT124+AL125-AS125</f>
        <v>1255.4599999999994</v>
      </c>
      <c r="AU125" s="82"/>
      <c r="AV125" s="42"/>
      <c r="AW125" s="43"/>
      <c r="AX125" s="44"/>
      <c r="AY125" s="44"/>
      <c r="AZ125" s="44"/>
      <c r="BA125" s="44"/>
    </row>
    <row r="126" spans="1:54">
      <c r="A126" s="148"/>
      <c r="B126" s="32">
        <v>3</v>
      </c>
      <c r="C126" s="10" t="s">
        <v>55</v>
      </c>
      <c r="D126" s="42">
        <v>6700</v>
      </c>
      <c r="E126" s="42">
        <v>10</v>
      </c>
      <c r="F126" s="42">
        <v>17833</v>
      </c>
      <c r="G126" s="36">
        <v>0.7</v>
      </c>
      <c r="H126" s="36">
        <v>6.6</v>
      </c>
      <c r="I126" s="42">
        <v>18300</v>
      </c>
      <c r="J126" s="36">
        <v>2.7</v>
      </c>
      <c r="K126" s="42">
        <v>16409</v>
      </c>
      <c r="L126" s="38">
        <v>7.0999999999999994E-2</v>
      </c>
      <c r="M126" s="36">
        <f>ROUND(K126*(1-L126),0)</f>
        <v>15244</v>
      </c>
      <c r="N126" s="27">
        <v>0.753</v>
      </c>
      <c r="O126" s="24">
        <f t="shared" si="1260"/>
        <v>11478.732</v>
      </c>
      <c r="P126" s="38">
        <v>0.20200000000000001</v>
      </c>
      <c r="Q126" s="24">
        <f t="shared" si="1261"/>
        <v>3079.288</v>
      </c>
      <c r="R126" s="38">
        <v>4.4999999999999998E-2</v>
      </c>
      <c r="S126" s="105"/>
      <c r="T126" s="24">
        <f t="shared" si="1262"/>
        <v>685.98</v>
      </c>
      <c r="U126" s="27">
        <v>0.23200000000000001</v>
      </c>
      <c r="V126" s="24">
        <f t="shared" si="1263"/>
        <v>3536.6080000000002</v>
      </c>
      <c r="W126" s="38">
        <v>0.48699999999999999</v>
      </c>
      <c r="X126" s="24">
        <f t="shared" si="1264"/>
        <v>7423.8279999999995</v>
      </c>
      <c r="Y126" s="38">
        <v>0.4</v>
      </c>
      <c r="Z126" s="24">
        <f t="shared" si="1265"/>
        <v>6097.6</v>
      </c>
      <c r="AA126" s="118">
        <v>2.49E-3</v>
      </c>
      <c r="AB126" s="121">
        <f t="shared" si="750"/>
        <v>37.957560000000001</v>
      </c>
      <c r="AC126" s="45">
        <v>2.81E-3</v>
      </c>
      <c r="AD126" s="17">
        <f t="shared" si="1267"/>
        <v>42.835639999999998</v>
      </c>
      <c r="AE126" s="26">
        <f>IF(M126&gt;0,(AG126+AP126)/M126,0)</f>
        <v>2.8516434662818157E-3</v>
      </c>
      <c r="AF126" s="45">
        <v>2.5999999999999998E-4</v>
      </c>
      <c r="AG126" s="36">
        <f t="shared" si="1268"/>
        <v>3.9634399999999999</v>
      </c>
      <c r="AH126" s="27">
        <v>0.21</v>
      </c>
      <c r="AI126" s="40">
        <f t="shared" si="1269"/>
        <v>36.500099999999996</v>
      </c>
      <c r="AJ126" s="27">
        <f t="shared" si="1270"/>
        <v>0.90859824076377238</v>
      </c>
      <c r="AK126" s="28">
        <f t="shared" si="668"/>
        <v>0.90986526758852648</v>
      </c>
      <c r="AL126" s="42">
        <v>191</v>
      </c>
      <c r="AM126" s="38">
        <v>0.09</v>
      </c>
      <c r="AN126" s="27">
        <v>0.2273</v>
      </c>
      <c r="AO126" s="105">
        <v>0.22270000000000001</v>
      </c>
      <c r="AP126" s="40">
        <f>AL126*(1-AM126)*AN126</f>
        <v>39.507013000000001</v>
      </c>
      <c r="AQ126" s="106">
        <f t="shared" si="712"/>
        <v>38.707487</v>
      </c>
      <c r="AR126" s="17">
        <v>1.58</v>
      </c>
      <c r="AS126" s="17"/>
      <c r="AT126" s="129">
        <f>AT125+AL126-AS126</f>
        <v>1446.4599999999994</v>
      </c>
      <c r="AU126" s="82"/>
      <c r="AV126" s="42"/>
      <c r="AW126" s="46"/>
      <c r="AX126" s="40"/>
      <c r="AY126" s="40"/>
      <c r="AZ126" s="40"/>
      <c r="BA126" s="40"/>
    </row>
    <row r="127" spans="1:54">
      <c r="A127" s="149"/>
      <c r="B127" s="47" t="s">
        <v>56</v>
      </c>
      <c r="C127" s="48"/>
      <c r="D127" s="49">
        <f>SUM(D124:D126)</f>
        <v>37700</v>
      </c>
      <c r="E127" s="137"/>
      <c r="F127" s="49">
        <f>SUM(F124:F126)</f>
        <v>51940</v>
      </c>
      <c r="G127" s="138"/>
      <c r="H127" s="138"/>
      <c r="I127" s="49">
        <f>SUM(I124:I126)</f>
        <v>52178</v>
      </c>
      <c r="J127" s="50"/>
      <c r="K127" s="49">
        <f>SUM(K124:K126)</f>
        <v>49312</v>
      </c>
      <c r="L127" s="20">
        <f>IF(K127&gt;0,(K124*L124+K125*L125+K126*L126)/K127,0)</f>
        <v>7.1667241239454893E-2</v>
      </c>
      <c r="M127" s="50">
        <f>M124+M125+M126</f>
        <v>45778</v>
      </c>
      <c r="N127" s="51">
        <f>IF(M127&gt;0,O127/M127,0)</f>
        <v>0.75471833631875573</v>
      </c>
      <c r="O127" s="52">
        <f t="shared" ref="O127" si="1272">O124+O125+O126</f>
        <v>34549.495999999999</v>
      </c>
      <c r="P127" s="20">
        <f>IF(M127&gt;0,Q127/M127,0)</f>
        <v>0.18561273974398182</v>
      </c>
      <c r="Q127" s="52">
        <f t="shared" ref="Q127" si="1273">Q124+Q125+Q126</f>
        <v>8496.98</v>
      </c>
      <c r="R127" s="20">
        <f>IF(M127&gt;0,T127/M127,0)</f>
        <v>5.966892393726244E-2</v>
      </c>
      <c r="S127" s="107"/>
      <c r="T127" s="52">
        <f t="shared" ref="T127" si="1274">T124+T125+T126</f>
        <v>2731.5239999999999</v>
      </c>
      <c r="U127" s="20">
        <f>IF(M127&gt;0,V127/M127,0)</f>
        <v>0.23033334789636944</v>
      </c>
      <c r="V127" s="52">
        <f t="shared" ref="V127" si="1275">V124+V125+V126</f>
        <v>10544.2</v>
      </c>
      <c r="W127" s="20">
        <f>IF(M127&gt;0,X127/M127,0)</f>
        <v>0.48666791908777146</v>
      </c>
      <c r="X127" s="52">
        <f t="shared" ref="X127" si="1276">X124+X125+X126</f>
        <v>22278.684000000001</v>
      </c>
      <c r="Y127" s="20">
        <f>IF(M127&gt;0,Z127/M127,0)</f>
        <v>0.39332998383502993</v>
      </c>
      <c r="Z127" s="52">
        <f t="shared" ref="Z127" si="1277">Z124+Z125+Z126</f>
        <v>18005.86</v>
      </c>
      <c r="AA127" s="119">
        <f>IF(M127&gt;0,AB127/M127,0)</f>
        <v>2.4666350648783258E-3</v>
      </c>
      <c r="AB127" s="54">
        <f t="shared" ref="AB127" si="1278">SUM(AB124:AB126)</f>
        <v>112.91762</v>
      </c>
      <c r="AC127" s="53">
        <f>IF(M127&gt;0,AD127/M127,0)</f>
        <v>2.6698615055266721E-3</v>
      </c>
      <c r="AD127" s="54">
        <f t="shared" ref="AD127" si="1279">SUM(AD124:AD126)</f>
        <v>122.22091999999999</v>
      </c>
      <c r="AE127" s="53">
        <f t="shared" ref="AE127" si="1280">IF(M127&gt;0,(AE124*M124+AE125*M125+AE126*M126)/M127,0)</f>
        <v>2.7152869893835464E-3</v>
      </c>
      <c r="AF127" s="53">
        <f>IF(K127&gt;0,(K124*AF124+K125*AF125+K126*AF126)/K127,0)</f>
        <v>2.5332758760545097E-4</v>
      </c>
      <c r="AG127" s="50">
        <f t="shared" ref="AG127" si="1281">SUM(AG124:AG126)</f>
        <v>11.59694</v>
      </c>
      <c r="AH127" s="51">
        <f>IF(K127&gt;0,(K124*AH124+K125*AH125+K126*AH126)/K127,0)</f>
        <v>0.20863037597339387</v>
      </c>
      <c r="AI127" s="56">
        <f>SUM(AI124:AI126)</f>
        <v>106.60705160000001</v>
      </c>
      <c r="AJ127" s="51">
        <f>IF(AND(AD127&gt;0),((AD124*AJ124+AD125*AJ125+AD126*AJ126)/AD127),0)</f>
        <v>0.90621544254066988</v>
      </c>
      <c r="AK127" s="55">
        <f t="shared" si="668"/>
        <v>0.90774579705130043</v>
      </c>
      <c r="AL127" s="49">
        <f>SUM(AL124:AL126)</f>
        <v>562</v>
      </c>
      <c r="AM127" s="20">
        <f>IF(AL127&gt;0,(AM124*AL124+AM125*AL125+AM126*AL126)/AL127,0)</f>
        <v>9.1008896797153016E-2</v>
      </c>
      <c r="AN127" s="51">
        <f>IF(K127&gt;0,(AN124*K124+AN125*K125+AN126*K126)/K127,0)</f>
        <v>0.22056173953601557</v>
      </c>
      <c r="AO127" s="107">
        <f>IF(L127&gt;0,(AO124*K124+AO125*K125+AO126*K126)/K127,0)</f>
        <v>0.21786329493835171</v>
      </c>
      <c r="AP127" s="56">
        <f>SUM(AP124:AP126)</f>
        <v>112.7034678</v>
      </c>
      <c r="AQ127" s="108">
        <f t="shared" ref="AQ127" si="1282">SUM(AQ124:AQ126)</f>
        <v>111.314987</v>
      </c>
      <c r="AR127" s="139"/>
      <c r="AS127" s="54">
        <f>SUM(AS124:AS126)</f>
        <v>0</v>
      </c>
      <c r="AT127" s="83"/>
      <c r="AU127" s="84">
        <f>AT126</f>
        <v>1446.4599999999994</v>
      </c>
      <c r="AV127" s="49">
        <f>SUM(AV124:AV126)</f>
        <v>0</v>
      </c>
      <c r="AW127" s="140"/>
      <c r="AX127" s="141"/>
      <c r="AY127" s="141"/>
      <c r="AZ127" s="141"/>
      <c r="BA127" s="141"/>
      <c r="BB127" s="21"/>
    </row>
  </sheetData>
  <protectedRanges>
    <protectedRange sqref="Q1:Q3 V1:V3 X1:X3 Z1:Z3 O1:O3 T1:T3 AG1:AG3 AD1:AE3 AD128:AE1048576 O128:O1048576 Q128:Q1048576 T128:T1048576 V128:V1048576 X128:X1048576 Z128:Z1048576 AG128:AG1048576 AP1:AQ19 M1:M19 AK1:AK19 AP128:AQ1048576 M128:M1048576 AK128:AK1048576" name="Range1_1_1_1_1_1_1_1_1"/>
    <protectedRange sqref="AH3:AJ3 AH7:AJ7 AI1:AJ2 AH4:AI6 AH16:AI18 AH8:AI10 AH11:AJ11 AH15:AJ15 AH19:AJ19 AH12:AI14 AH128:AJ1048576" name="Range1_1_1_1_1_1_1"/>
    <protectedRange sqref="AJ4:AJ6 AJ8:AJ10 AJ12:AJ14 AJ16:AJ18" name="Range1_1_1_1"/>
    <protectedRange sqref="AD7:AE7 AD4:AD6 AD11:AE11 AD8:AD10 AD15:AE15 AD12:AD14 AD19:AE19 AD16:AD18" name="Range1_1_1_1_1_2_2_1"/>
    <protectedRange sqref="O4:O19" name="Range1_1_1_1_1_5_1_1"/>
    <protectedRange sqref="Q4:Q19" name="Range1_1_1_1_1_7_1_1"/>
    <protectedRange sqref="T4:T19" name="Range1_1_1_1_1_8_1_1"/>
    <protectedRange sqref="V4:V19" name="Range1_1_1_1_1_10_1_1"/>
    <protectedRange sqref="X4:X19" name="Range1_1_1_1_1_12_1_1"/>
    <protectedRange sqref="Z4:Z19" name="Range1_1_1_1_1_16_1_1"/>
    <protectedRange sqref="AG4:AG19" name="Range1_1_1_1_1_18_1_1"/>
    <protectedRange sqref="AE4:AE6" name="Range1_1_1_1_1_2_1_31_1_1"/>
    <protectedRange sqref="AE8:AE10" name="Range1_1_1_1_1_2_1_1_2_1_1"/>
    <protectedRange sqref="AE12:AE14" name="Range1_1_1_1_1_2_1_2_1_1_1"/>
    <protectedRange sqref="AE16:AE18" name="Range1_1_1_1_1_2_1_3_1_1_1"/>
    <protectedRange sqref="AA3 AA128:AA1048576" name="Range1_1_1_1_1_1_1_1_1_1_1"/>
    <protectedRange sqref="AB3 AB128:AB1048576" name="Range1_1_1_1_1_1_1_1_1_1_1_1"/>
    <protectedRange sqref="AB4:AB19" name="Range1_1_1_1_1_2_2_1_1_1"/>
    <protectedRange sqref="AB1" name="Range1_1_1_1_1_1_1_1_1_1_1_1_1"/>
    <protectedRange sqref="AK20:AK127 M20:M127 AP20:AQ127" name="Range1_1_1_1_1_1_1_1_1_1"/>
    <protectedRange sqref="AJ127 AH23:AJ23 AH27:AJ27 AH31:AJ31 AH35:AJ35 AH39:AJ39 AH43:AJ43 AH47:AJ47 AH51:AJ51 AH55:AJ55 AH59:AJ59 AH63:AJ63 AH67:AJ67 AH71:AJ71 AH75:AJ75 AH79:AJ79 AH83:AJ83 AH87:AJ87 AH91:AJ91 AH95:AJ95 AH99:AJ99 AH103:AJ103 AH107:AJ107 AH111:AJ111 AH115:AJ115 AH119:AJ119 AH123:AJ123 AH20:AI22 AH24:AI26 AH28:AI30 AH32:AI34 AH36:AI38 AH40:AI42 AH44:AI46 AH48:AI50 AH52:AI54 AH56:AI58 AH60:AI62 AH64:AI66 AH68:AI70 AH72:AI74 AH76:AI78 AH80:AI82 AH84:AI86 AH88:AI90 AH92:AI94 AH96:AI98 AH100:AI102 AH104:AI106 AH108:AI110 AH112:AI114 AH116:AI118 AH120:AI122 AH124:AI127" name="Range1_1_1_1_1_1_1_1"/>
    <protectedRange sqref="AJ20:AJ22 AJ24:AJ26 AJ28:AJ30 AJ32:AJ34 AJ36:AJ38 AJ40:AJ42 AJ44:AJ46 AJ48:AJ50 AJ52:AJ54 AJ56:AJ58 AJ60:AJ62 AJ64:AJ66 AJ68:AJ70 AJ72:AJ74 AJ76:AJ78 AJ80:AJ82 AJ84:AJ86 AJ88:AJ90 AJ92:AJ94 AJ96:AJ98 AJ100:AJ102 AJ104:AJ106 AJ108:AJ110 AJ112:AJ114 AJ116:AJ118 AJ120:AJ122 AJ124:AJ126" name="Range1_1_1_1_1"/>
    <protectedRange sqref="AD23:AE23 AD20:AD22 AD27:AE27 AD24:AD26 AD31:AE31 AD28:AD30 AD35:AE35 AD32:AD34 AD39:AE39 AD36:AD38 AD43:AE43 AD40:AD42 AD47:AE47 AD44:AD46 AD51:AE51 AD48:AD50 AD55:AE55 AD52:AD54 AD59:AE59 AD56:AD58 AD63:AE63 AD60:AD62 AD67:AE67 AD64:AD66 AD71:AE71 AD68:AD70 AD75:AE75 AD72:AD74 AD79:AE79 AD76:AD78 AD83:AE83 AD80:AD82 AD87:AE87 AD84:AD86 AD91:AE91 AD88:AD90 AD95:AE95 AD92:AD94 AD99:AE99 AD96:AD98 AD103:AE103 AD100:AD102 AD107:AE107 AD104:AD106 AD111:AE111 AD108:AD110 AD115:AE115 AD112:AD114 AD119:AE119 AD116:AD118 AD123:AE123 AD120:AD122 AD127:AE127 AD124:AD126" name="Range1_1_1_1_1_2_2_1_1"/>
    <protectedRange sqref="O20:O127" name="Range1_1_1_1_1_5_1_1_1"/>
    <protectedRange sqref="Q20:Q127" name="Range1_1_1_1_1_7_1_1_1"/>
    <protectedRange sqref="T20:T127" name="Range1_1_1_1_1_8_1_1_1"/>
    <protectedRange sqref="V20:V127" name="Range1_1_1_1_1_10_1_1_1"/>
    <protectedRange sqref="X20:X127" name="Range1_1_1_1_1_12_1_1_1"/>
    <protectedRange sqref="Z20:Z127" name="Range1_1_1_1_1_16_1_1_1"/>
    <protectedRange sqref="AG20:AG127" name="Range1_1_1_1_1_18_1_1_1"/>
    <protectedRange sqref="AE20:AE22" name="Range1_1_1_1_1_2_1_4_1_1_1"/>
    <protectedRange sqref="AE24:AE26" name="Range1_1_1_1_1_2_1_5_1_1_1"/>
    <protectedRange sqref="AE28:AE30" name="Range1_1_1_1_1_2_1_6_1_1_1"/>
    <protectedRange sqref="AE32:AE34" name="Range1_1_1_1_1_2_1_7_1_1_1"/>
    <protectedRange sqref="AE36:AE38" name="Range1_1_1_1_1_2_1_8_1_1_1"/>
    <protectedRange sqref="AE40:AE42" name="Range1_1_1_1_1_2_1_9_1_1_1"/>
    <protectedRange sqref="AE44:AE46" name="Range1_1_1_1_1_2_1_10_1_1_1"/>
    <protectedRange sqref="AE48:AE50" name="Range1_1_1_1_1_2_1_11_1_1_1"/>
    <protectedRange sqref="AE52:AE54" name="Range1_1_1_1_1_2_1_12_1_1_1"/>
    <protectedRange sqref="AE56:AE58" name="Range1_1_1_1_1_2_1_13_1_1_1"/>
    <protectedRange sqref="AE60:AE62" name="Range1_1_1_1_1_2_1_14_1_1_1"/>
    <protectedRange sqref="AE64:AE66" name="Range1_1_1_1_1_2_1_15_1_1_1"/>
    <protectedRange sqref="AE68:AE70" name="Range1_1_1_1_1_2_1_16_1_1_1"/>
    <protectedRange sqref="AE72:AE74" name="Range1_1_1_1_1_2_1_17_1_1_1"/>
    <protectedRange sqref="AE76:AE78" name="Range1_1_1_1_1_2_1_18_1_1_1"/>
    <protectedRange sqref="AE80:AE82" name="Range1_1_1_1_1_2_1_19_1_1_1"/>
    <protectedRange sqref="AE84:AE86" name="Range1_1_1_1_1_2_1_20_1_1_1"/>
    <protectedRange sqref="AE88:AE90" name="Range1_1_1_1_1_2_1_21_1_1_1"/>
    <protectedRange sqref="AE92:AE94" name="Range1_1_1_1_1_2_1_22_1_1_1"/>
    <protectedRange sqref="AE96:AE98" name="Range1_1_1_1_1_2_1_23_1_1_1"/>
    <protectedRange sqref="AE100:AE102" name="Range1_1_1_1_1_2_1_24_1_1_1"/>
    <protectedRange sqref="AE104:AE106" name="Range1_1_1_1_1_2_1_25_1_1_1"/>
    <protectedRange sqref="AE108:AE110" name="Range1_1_1_1_1_2_1_26_1_1_1"/>
    <protectedRange sqref="AE112:AE114" name="Range1_1_1_1_1_2_1_27_1_1_1"/>
    <protectedRange sqref="AE116:AE118" name="Range1_1_1_1_1_2_1_28_1_1_1"/>
    <protectedRange sqref="AE120:AE122" name="Range1_1_1_1_1_2_1_29_1_1_1"/>
    <protectedRange sqref="AE124:AE126" name="Range1_1_1_1_1_2_1_30_1_1_1"/>
    <protectedRange sqref="AB20:AB127" name="Range1_1_1_1_1_2_2_1_1_1_1"/>
  </protectedRanges>
  <mergeCells count="36">
    <mergeCell ref="A108:A111"/>
    <mergeCell ref="A112:A115"/>
    <mergeCell ref="A116:A119"/>
    <mergeCell ref="A120:A123"/>
    <mergeCell ref="A124:A127"/>
    <mergeCell ref="A88:A91"/>
    <mergeCell ref="A92:A95"/>
    <mergeCell ref="A96:A99"/>
    <mergeCell ref="A100:A103"/>
    <mergeCell ref="A104:A107"/>
    <mergeCell ref="A68:A71"/>
    <mergeCell ref="A72:A75"/>
    <mergeCell ref="A76:A79"/>
    <mergeCell ref="A80:A83"/>
    <mergeCell ref="A84:A87"/>
    <mergeCell ref="A48:A51"/>
    <mergeCell ref="A52:A55"/>
    <mergeCell ref="A56:A59"/>
    <mergeCell ref="A60:A63"/>
    <mergeCell ref="A64:A67"/>
    <mergeCell ref="A28:A31"/>
    <mergeCell ref="A32:A35"/>
    <mergeCell ref="A36:A39"/>
    <mergeCell ref="A40:A43"/>
    <mergeCell ref="A44:A47"/>
    <mergeCell ref="A16:A19"/>
    <mergeCell ref="A1:A2"/>
    <mergeCell ref="B1:B2"/>
    <mergeCell ref="A20:A23"/>
    <mergeCell ref="A24:A27"/>
    <mergeCell ref="AZ1:BA1"/>
    <mergeCell ref="C1:C2"/>
    <mergeCell ref="A8:A11"/>
    <mergeCell ref="A12:A15"/>
    <mergeCell ref="AX1:AY1"/>
    <mergeCell ref="A4:A7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18759-F2B6-4D20-B60D-069345DD6A20}">
  <dimension ref="A1:BB115"/>
  <sheetViews>
    <sheetView workbookViewId="0">
      <selection sqref="A1:XFD3"/>
    </sheetView>
  </sheetViews>
  <sheetFormatPr defaultRowHeight="15"/>
  <sheetData>
    <row r="1" spans="1:54" ht="89.25">
      <c r="A1" s="122" t="s">
        <v>0</v>
      </c>
      <c r="B1" s="124" t="s">
        <v>1</v>
      </c>
      <c r="C1" s="126" t="s">
        <v>2</v>
      </c>
      <c r="D1" s="97" t="s">
        <v>3</v>
      </c>
      <c r="E1" s="97" t="s">
        <v>4</v>
      </c>
      <c r="F1" s="97" t="s">
        <v>5</v>
      </c>
      <c r="G1" s="2" t="s">
        <v>6</v>
      </c>
      <c r="H1" s="97" t="s">
        <v>7</v>
      </c>
      <c r="I1" s="97" t="s">
        <v>8</v>
      </c>
      <c r="J1" s="95" t="s">
        <v>9</v>
      </c>
      <c r="K1" s="97" t="s">
        <v>10</v>
      </c>
      <c r="L1" s="97" t="s">
        <v>11</v>
      </c>
      <c r="M1" s="97" t="s">
        <v>12</v>
      </c>
      <c r="N1" s="97" t="s">
        <v>13</v>
      </c>
      <c r="O1" s="97"/>
      <c r="P1" s="1" t="s">
        <v>14</v>
      </c>
      <c r="Q1" s="1"/>
      <c r="R1" s="1" t="s">
        <v>15</v>
      </c>
      <c r="S1" s="99" t="s">
        <v>16</v>
      </c>
      <c r="T1" s="1"/>
      <c r="U1" s="97" t="s">
        <v>17</v>
      </c>
      <c r="V1" s="97"/>
      <c r="W1" s="97" t="s">
        <v>18</v>
      </c>
      <c r="X1" s="97"/>
      <c r="Y1" s="97" t="s">
        <v>19</v>
      </c>
      <c r="Z1" s="97"/>
      <c r="AA1" s="113" t="s">
        <v>20</v>
      </c>
      <c r="AB1" s="99" t="s">
        <v>21</v>
      </c>
      <c r="AC1" s="97" t="s">
        <v>22</v>
      </c>
      <c r="AD1" s="97" t="s">
        <v>23</v>
      </c>
      <c r="AE1" s="97" t="s">
        <v>24</v>
      </c>
      <c r="AF1" s="97" t="s">
        <v>25</v>
      </c>
      <c r="AG1" s="97" t="s">
        <v>26</v>
      </c>
      <c r="AH1" s="89" t="s">
        <v>27</v>
      </c>
      <c r="AI1" s="3" t="s">
        <v>28</v>
      </c>
      <c r="AJ1" s="97" t="s">
        <v>29</v>
      </c>
      <c r="AK1" s="97" t="s">
        <v>30</v>
      </c>
      <c r="AL1" s="97" t="s">
        <v>31</v>
      </c>
      <c r="AM1" s="2" t="s">
        <v>32</v>
      </c>
      <c r="AN1" s="3" t="s">
        <v>33</v>
      </c>
      <c r="AO1" s="98" t="s">
        <v>34</v>
      </c>
      <c r="AP1" s="97" t="s">
        <v>35</v>
      </c>
      <c r="AQ1" s="99" t="s">
        <v>36</v>
      </c>
      <c r="AR1" s="97" t="s">
        <v>37</v>
      </c>
      <c r="AS1" s="71" t="s">
        <v>38</v>
      </c>
      <c r="AT1" s="72" t="s">
        <v>39</v>
      </c>
      <c r="AU1" s="73" t="s">
        <v>39</v>
      </c>
      <c r="AV1" s="4" t="s">
        <v>40</v>
      </c>
      <c r="AW1" s="97" t="s">
        <v>41</v>
      </c>
      <c r="AX1" s="144" t="s">
        <v>42</v>
      </c>
      <c r="AY1" s="144"/>
      <c r="AZ1" s="144" t="s">
        <v>43</v>
      </c>
      <c r="BA1" s="144"/>
    </row>
    <row r="2" spans="1:54">
      <c r="A2" s="123"/>
      <c r="B2" s="125"/>
      <c r="C2" s="127"/>
      <c r="D2" s="5" t="s">
        <v>44</v>
      </c>
      <c r="E2" s="5" t="s">
        <v>45</v>
      </c>
      <c r="F2" s="5" t="s">
        <v>44</v>
      </c>
      <c r="G2" s="7" t="s">
        <v>46</v>
      </c>
      <c r="H2" s="5" t="s">
        <v>46</v>
      </c>
      <c r="I2" s="5" t="s">
        <v>44</v>
      </c>
      <c r="J2" s="7"/>
      <c r="K2" s="5" t="s">
        <v>44</v>
      </c>
      <c r="L2" s="5" t="s">
        <v>46</v>
      </c>
      <c r="M2" s="5" t="s">
        <v>44</v>
      </c>
      <c r="N2" s="5" t="s">
        <v>46</v>
      </c>
      <c r="O2" s="6"/>
      <c r="P2" s="5" t="s">
        <v>46</v>
      </c>
      <c r="Q2" s="5"/>
      <c r="R2" s="5" t="s">
        <v>46</v>
      </c>
      <c r="S2" s="5"/>
      <c r="T2" s="5"/>
      <c r="U2" s="5" t="s">
        <v>46</v>
      </c>
      <c r="V2" s="5"/>
      <c r="W2" s="5" t="s">
        <v>47</v>
      </c>
      <c r="X2" s="5"/>
      <c r="Y2" s="5" t="s">
        <v>47</v>
      </c>
      <c r="Z2" s="5"/>
      <c r="AA2" s="114" t="s">
        <v>46</v>
      </c>
      <c r="AB2" s="5" t="s">
        <v>46</v>
      </c>
      <c r="AC2" s="5" t="s">
        <v>46</v>
      </c>
      <c r="AD2" s="5" t="s">
        <v>46</v>
      </c>
      <c r="AE2" s="5" t="s">
        <v>46</v>
      </c>
      <c r="AF2" s="5" t="s">
        <v>46</v>
      </c>
      <c r="AG2" s="5" t="s">
        <v>44</v>
      </c>
      <c r="AH2" s="90" t="s">
        <v>46</v>
      </c>
      <c r="AI2" s="8" t="s">
        <v>44</v>
      </c>
      <c r="AJ2" s="5" t="s">
        <v>46</v>
      </c>
      <c r="AK2" s="5" t="s">
        <v>46</v>
      </c>
      <c r="AL2" s="5" t="s">
        <v>44</v>
      </c>
      <c r="AM2" s="7" t="s">
        <v>46</v>
      </c>
      <c r="AN2" s="8" t="s">
        <v>46</v>
      </c>
      <c r="AO2" s="8"/>
      <c r="AP2" s="5" t="s">
        <v>44</v>
      </c>
      <c r="AQ2" s="142"/>
      <c r="AR2" s="5" t="s">
        <v>48</v>
      </c>
      <c r="AS2" s="74" t="s">
        <v>49</v>
      </c>
      <c r="AT2" s="75" t="s">
        <v>49</v>
      </c>
      <c r="AU2" s="76" t="s">
        <v>49</v>
      </c>
      <c r="AV2" s="9" t="s">
        <v>50</v>
      </c>
      <c r="AW2" s="5" t="s">
        <v>46</v>
      </c>
      <c r="AX2" s="5" t="s">
        <v>51</v>
      </c>
      <c r="AY2" s="5" t="s">
        <v>52</v>
      </c>
      <c r="AZ2" s="5" t="s">
        <v>51</v>
      </c>
      <c r="BA2" s="5" t="s">
        <v>52</v>
      </c>
      <c r="BB2" s="21"/>
    </row>
    <row r="3" spans="1:54">
      <c r="A3" s="64"/>
      <c r="B3" s="65"/>
      <c r="C3" s="70"/>
      <c r="D3" s="66"/>
      <c r="E3" s="66"/>
      <c r="F3" s="66"/>
      <c r="G3" s="67"/>
      <c r="H3" s="66"/>
      <c r="I3" s="66"/>
      <c r="J3" s="67"/>
      <c r="K3" s="66"/>
      <c r="L3" s="66"/>
      <c r="M3" s="66"/>
      <c r="N3" s="66"/>
      <c r="O3" s="6"/>
      <c r="P3" s="66"/>
      <c r="Q3" s="6"/>
      <c r="R3" s="66"/>
      <c r="S3" s="110"/>
      <c r="T3" s="6"/>
      <c r="U3" s="70"/>
      <c r="V3" s="6"/>
      <c r="W3" s="66"/>
      <c r="X3" s="6"/>
      <c r="Y3" s="66"/>
      <c r="Z3" s="70"/>
      <c r="AA3" s="115"/>
      <c r="AB3" s="66"/>
      <c r="AC3" s="66"/>
      <c r="AD3" s="6"/>
      <c r="AE3" s="70"/>
      <c r="AF3" s="66"/>
      <c r="AG3" s="66"/>
      <c r="AH3" s="91"/>
      <c r="AI3" s="93"/>
      <c r="AJ3" s="70"/>
      <c r="AK3" s="70"/>
      <c r="AL3" s="66"/>
      <c r="AM3" s="67"/>
      <c r="AN3" s="68"/>
      <c r="AO3" s="68"/>
      <c r="AP3" s="66"/>
      <c r="AQ3" s="100"/>
      <c r="AR3" s="66"/>
      <c r="AS3" s="77"/>
      <c r="AT3" s="94">
        <v>1446.4599999999994</v>
      </c>
      <c r="AU3" s="78"/>
      <c r="AV3" s="69"/>
      <c r="AW3" s="66"/>
      <c r="AX3" s="66"/>
      <c r="AY3" s="66"/>
      <c r="AZ3" s="66"/>
      <c r="BA3" s="66"/>
      <c r="BB3" s="21"/>
    </row>
    <row r="4" spans="1:54">
      <c r="A4" s="147">
        <v>1</v>
      </c>
      <c r="B4" s="22">
        <v>1</v>
      </c>
      <c r="C4" s="10" t="s">
        <v>57</v>
      </c>
      <c r="D4" s="11">
        <v>20300</v>
      </c>
      <c r="E4" s="11">
        <v>3</v>
      </c>
      <c r="F4" s="11">
        <v>16073</v>
      </c>
      <c r="G4" s="12">
        <v>0.9</v>
      </c>
      <c r="H4" s="12">
        <v>5.4</v>
      </c>
      <c r="I4" s="11">
        <v>15713</v>
      </c>
      <c r="J4" s="12">
        <v>3.6</v>
      </c>
      <c r="K4" s="11">
        <v>16394</v>
      </c>
      <c r="L4" s="13">
        <v>0.08</v>
      </c>
      <c r="M4" s="23">
        <f>ROUND(K4*(1-L4),0)</f>
        <v>15082</v>
      </c>
      <c r="N4" s="14">
        <v>0.69</v>
      </c>
      <c r="O4" s="24">
        <f t="shared" ref="O4:O6" si="0">M4*N4</f>
        <v>10406.58</v>
      </c>
      <c r="P4" s="13">
        <v>0.25800000000000001</v>
      </c>
      <c r="Q4" s="24">
        <f t="shared" ref="Q4:Q6" si="1">M4*P4</f>
        <v>3891.1559999999999</v>
      </c>
      <c r="R4" s="15">
        <v>5.1999999999999998E-2</v>
      </c>
      <c r="S4" s="111"/>
      <c r="T4" s="24">
        <f t="shared" ref="T4:T6" si="2">M4*R4</f>
        <v>784.26400000000001</v>
      </c>
      <c r="U4" s="25">
        <v>0.22500000000000001</v>
      </c>
      <c r="V4" s="24">
        <f t="shared" ref="V4:V6" si="3">M4*U4</f>
        <v>3393.4500000000003</v>
      </c>
      <c r="W4" s="15">
        <v>0.495</v>
      </c>
      <c r="X4" s="24">
        <f>M4*W4</f>
        <v>7465.59</v>
      </c>
      <c r="Y4" s="15">
        <v>0.39</v>
      </c>
      <c r="Z4" s="96">
        <f t="shared" ref="Z4:Z6" si="4">Y4*M4</f>
        <v>5881.9800000000005</v>
      </c>
      <c r="AA4" s="116">
        <v>2.6199999999999999E-3</v>
      </c>
      <c r="AB4" s="18">
        <f>M4*AA4</f>
        <v>39.51484</v>
      </c>
      <c r="AC4" s="16">
        <v>2.7599999999999999E-3</v>
      </c>
      <c r="AD4" s="18">
        <f>M4*AC4</f>
        <v>41.62632</v>
      </c>
      <c r="AE4" s="26">
        <f>IF(M4&gt;0,(AG4+AP4)/M4,0)</f>
        <v>2.8628987136984484E-3</v>
      </c>
      <c r="AF4" s="16">
        <v>2.5000000000000001E-4</v>
      </c>
      <c r="AG4" s="23">
        <f t="shared" ref="AG4:AG6" si="5">AF4*M4</f>
        <v>3.7705000000000002</v>
      </c>
      <c r="AH4" s="92">
        <v>0.2089</v>
      </c>
      <c r="AI4" s="29">
        <f>AL4*(1-AM4)*AH4</f>
        <v>38.041943400000001</v>
      </c>
      <c r="AJ4" s="27">
        <f>IF(AND(AH4&gt;0,AF4&gt;0,AC4&gt;0),((AC4-AF4)*AH4)/((AH4-AF4)*AC4),0)</f>
        <v>0.91050993793781276</v>
      </c>
      <c r="AK4" s="58">
        <f t="shared" ref="AK4:AK67" si="6">IF(AND(AE4&gt;0,AN4&gt;0,AF4&gt;0),((AN4*(AE4-AF4))/(AE4*(AN4-AF4))),0)</f>
        <v>0.91373152351999543</v>
      </c>
      <c r="AL4" s="11">
        <v>201</v>
      </c>
      <c r="AM4" s="13">
        <v>9.4E-2</v>
      </c>
      <c r="AN4" s="14">
        <v>0.21640000000000001</v>
      </c>
      <c r="AO4" s="101">
        <v>0.21149999999999999</v>
      </c>
      <c r="AP4" s="29">
        <f>AL4*(1-AM4)*AN4</f>
        <v>39.4077384</v>
      </c>
      <c r="AQ4" s="102">
        <f>AL4*(1-AM4)*AO4</f>
        <v>38.515418999999994</v>
      </c>
      <c r="AR4" s="18">
        <v>1.58</v>
      </c>
      <c r="AS4" s="18"/>
      <c r="AT4" s="129">
        <f>AT3+AL4-AS4</f>
        <v>1647.4599999999994</v>
      </c>
      <c r="AU4" s="80"/>
      <c r="AV4" s="11"/>
      <c r="AW4" s="30"/>
      <c r="AX4" s="19"/>
      <c r="AY4" s="19"/>
      <c r="AZ4" s="19"/>
      <c r="BA4" s="19"/>
      <c r="BB4" s="31"/>
    </row>
    <row r="5" spans="1:54">
      <c r="A5" s="148"/>
      <c r="B5" s="32">
        <v>2</v>
      </c>
      <c r="C5" s="10" t="s">
        <v>54</v>
      </c>
      <c r="D5" s="33">
        <v>19050</v>
      </c>
      <c r="E5" s="33">
        <v>5</v>
      </c>
      <c r="F5" s="33">
        <v>17450</v>
      </c>
      <c r="G5" s="34">
        <v>0.8</v>
      </c>
      <c r="H5" s="34">
        <v>6.7</v>
      </c>
      <c r="I5" s="33">
        <v>17325</v>
      </c>
      <c r="J5" s="34">
        <v>2.7</v>
      </c>
      <c r="K5" s="33">
        <v>16328</v>
      </c>
      <c r="L5" s="35">
        <v>7.5999999999999998E-2</v>
      </c>
      <c r="M5" s="36">
        <f>ROUND(K5*(1-L5),0)</f>
        <v>15087</v>
      </c>
      <c r="N5" s="37">
        <v>0.67</v>
      </c>
      <c r="O5" s="24">
        <f t="shared" si="0"/>
        <v>10108.290000000001</v>
      </c>
      <c r="P5" s="35">
        <v>0.24399999999999999</v>
      </c>
      <c r="Q5" s="24">
        <f t="shared" si="1"/>
        <v>3681.2280000000001</v>
      </c>
      <c r="R5" s="38">
        <v>8.5999999999999993E-2</v>
      </c>
      <c r="S5" s="105"/>
      <c r="T5" s="24">
        <f t="shared" si="2"/>
        <v>1297.482</v>
      </c>
      <c r="U5" s="27">
        <v>0.23300000000000001</v>
      </c>
      <c r="V5" s="24">
        <f t="shared" si="3"/>
        <v>3515.2710000000002</v>
      </c>
      <c r="W5" s="38">
        <v>0.48899999999999999</v>
      </c>
      <c r="X5" s="24">
        <f>M5*W5</f>
        <v>7377.5429999999997</v>
      </c>
      <c r="Y5" s="38">
        <v>0.39</v>
      </c>
      <c r="Z5" s="24">
        <f t="shared" si="4"/>
        <v>5883.93</v>
      </c>
      <c r="AA5" s="117">
        <v>2.6099999999999999E-3</v>
      </c>
      <c r="AB5" s="18">
        <f t="shared" ref="AB5:AB6" si="7">M5*AA5</f>
        <v>39.377069999999996</v>
      </c>
      <c r="AC5" s="39">
        <v>2.7200000000000002E-3</v>
      </c>
      <c r="AD5" s="17">
        <f>M5*AC5</f>
        <v>41.036640000000006</v>
      </c>
      <c r="AE5" s="26">
        <f>IF(M5&gt;0,(AG5+AP5)/M5,0)</f>
        <v>2.6999551401869163E-3</v>
      </c>
      <c r="AF5" s="39">
        <v>2.5999999999999998E-4</v>
      </c>
      <c r="AG5" s="36">
        <f t="shared" si="5"/>
        <v>3.9226199999999998</v>
      </c>
      <c r="AH5" s="27">
        <v>0.20680000000000001</v>
      </c>
      <c r="AI5" s="40">
        <f>AL5*(1-AM5)*AH5</f>
        <v>35.457100800000006</v>
      </c>
      <c r="AJ5" s="27">
        <f>IF(AND(AH5&gt;0,AF5&gt;0,AC5&gt;0),((AC5-AF5)*AH5)/((AH5-AF5)*AC5),0)</f>
        <v>0.90555027084911621</v>
      </c>
      <c r="AK5" s="28">
        <f t="shared" si="6"/>
        <v>0.90479780671838095</v>
      </c>
      <c r="AL5" s="33">
        <v>188</v>
      </c>
      <c r="AM5" s="35">
        <v>8.7999999999999995E-2</v>
      </c>
      <c r="AN5" s="37">
        <v>0.2147</v>
      </c>
      <c r="AO5" s="103">
        <v>0.22359999999999999</v>
      </c>
      <c r="AP5" s="40">
        <f>AL5*(1-AM5)*AN5</f>
        <v>36.811603200000008</v>
      </c>
      <c r="AQ5" s="104">
        <f t="shared" ref="AQ5:AQ6" si="8">AL5*(1-AM5)*AO5</f>
        <v>38.337561600000001</v>
      </c>
      <c r="AR5" s="41">
        <v>1.55</v>
      </c>
      <c r="AS5" s="41"/>
      <c r="AT5" s="88">
        <f>AT4+AL5-AS5</f>
        <v>1835.4599999999994</v>
      </c>
      <c r="AU5" s="81"/>
      <c r="AV5" s="42"/>
      <c r="AW5" s="43"/>
      <c r="AX5" s="44"/>
      <c r="AY5" s="44"/>
      <c r="AZ5" s="44"/>
      <c r="BA5" s="44"/>
      <c r="BB5" s="31"/>
    </row>
    <row r="6" spans="1:54">
      <c r="A6" s="148"/>
      <c r="B6" s="32">
        <v>3</v>
      </c>
      <c r="C6" s="10" t="s">
        <v>55</v>
      </c>
      <c r="D6" s="42">
        <v>21400</v>
      </c>
      <c r="E6" s="42">
        <v>3</v>
      </c>
      <c r="F6" s="42">
        <v>18375</v>
      </c>
      <c r="G6" s="36">
        <v>1.5</v>
      </c>
      <c r="H6" s="36">
        <v>6.9</v>
      </c>
      <c r="I6" s="42">
        <v>17912</v>
      </c>
      <c r="J6" s="36">
        <v>1.8</v>
      </c>
      <c r="K6" s="42">
        <v>16238</v>
      </c>
      <c r="L6" s="38">
        <v>7.4999999999999997E-2</v>
      </c>
      <c r="M6" s="36">
        <f>ROUND(K6*(1-L6),0)</f>
        <v>15020</v>
      </c>
      <c r="N6" s="27">
        <v>0.60099999999999998</v>
      </c>
      <c r="O6" s="24">
        <f t="shared" si="0"/>
        <v>9027.02</v>
      </c>
      <c r="P6" s="38">
        <v>0.35299999999999998</v>
      </c>
      <c r="Q6" s="24">
        <f t="shared" si="1"/>
        <v>5302.0599999999995</v>
      </c>
      <c r="R6" s="38">
        <v>4.5999999999999999E-2</v>
      </c>
      <c r="S6" s="105"/>
      <c r="T6" s="24">
        <f t="shared" si="2"/>
        <v>690.92</v>
      </c>
      <c r="U6" s="27">
        <v>0.23899999999999999</v>
      </c>
      <c r="V6" s="24">
        <f t="shared" si="3"/>
        <v>3589.7799999999997</v>
      </c>
      <c r="W6" s="38">
        <v>0.48299999999999998</v>
      </c>
      <c r="X6" s="24">
        <f>M6*W6</f>
        <v>7254.66</v>
      </c>
      <c r="Y6" s="38">
        <v>0.4</v>
      </c>
      <c r="Z6" s="24">
        <f t="shared" si="4"/>
        <v>6008</v>
      </c>
      <c r="AA6" s="118">
        <v>2.7100000000000002E-3</v>
      </c>
      <c r="AB6" s="121">
        <f t="shared" si="7"/>
        <v>40.7042</v>
      </c>
      <c r="AC6" s="45">
        <v>2.7200000000000002E-3</v>
      </c>
      <c r="AD6" s="17">
        <f>M6*AC6</f>
        <v>40.854400000000005</v>
      </c>
      <c r="AE6" s="26">
        <f>IF(M6&gt;0,(AG6+AP6)/M6,0)</f>
        <v>2.5577257390146471E-3</v>
      </c>
      <c r="AF6" s="45">
        <v>2.7E-4</v>
      </c>
      <c r="AG6" s="36">
        <f t="shared" si="5"/>
        <v>4.0553999999999997</v>
      </c>
      <c r="AH6" s="27">
        <v>0.20710000000000001</v>
      </c>
      <c r="AI6" s="40">
        <f>AL6*(1-AM6)*AH6</f>
        <v>32.854551100000002</v>
      </c>
      <c r="AJ6" s="27">
        <f>IF(AND(AH6&gt;0,AF6&gt;0,AC6&gt;0),((AC6-AF6)*AH6)/((AH6-AF6)*AC6),0)</f>
        <v>0.90191113190429206</v>
      </c>
      <c r="AK6" s="28">
        <f t="shared" si="6"/>
        <v>0.89555381133816481</v>
      </c>
      <c r="AL6" s="42">
        <v>173</v>
      </c>
      <c r="AM6" s="38">
        <v>8.3000000000000004E-2</v>
      </c>
      <c r="AN6" s="27">
        <v>0.21659999999999999</v>
      </c>
      <c r="AO6" s="105">
        <v>0.22289999999999999</v>
      </c>
      <c r="AP6" s="40">
        <f>AL6*(1-AM6)*AN6</f>
        <v>34.361640600000001</v>
      </c>
      <c r="AQ6" s="106">
        <f t="shared" si="8"/>
        <v>35.361078900000003</v>
      </c>
      <c r="AR6" s="17">
        <v>1.55</v>
      </c>
      <c r="AS6" s="17"/>
      <c r="AT6" s="88">
        <f>AT5+AL6-AS6</f>
        <v>2008.4599999999994</v>
      </c>
      <c r="AU6" s="82"/>
      <c r="AV6" s="42"/>
      <c r="AW6" s="46"/>
      <c r="AX6" s="40"/>
      <c r="AY6" s="40"/>
      <c r="AZ6" s="40"/>
      <c r="BA6" s="40"/>
      <c r="BB6" s="31"/>
    </row>
    <row r="7" spans="1:54">
      <c r="A7" s="149"/>
      <c r="B7" s="47" t="s">
        <v>56</v>
      </c>
      <c r="C7" s="48"/>
      <c r="D7" s="49">
        <f>SUM(D4:D6)</f>
        <v>60750</v>
      </c>
      <c r="E7" s="49"/>
      <c r="F7" s="49">
        <f>SUM(F4:F6)</f>
        <v>51898</v>
      </c>
      <c r="G7" s="50"/>
      <c r="H7" s="50"/>
      <c r="I7" s="49">
        <f>SUM(I4:I6)</f>
        <v>50950</v>
      </c>
      <c r="J7" s="50"/>
      <c r="K7" s="49">
        <f>SUM(K4:K6)</f>
        <v>48960</v>
      </c>
      <c r="L7" s="20">
        <f>IF(K7&gt;0,(K4*L4+K5*L5+K6*L6)/K7,0)</f>
        <v>7.7007720588235296E-2</v>
      </c>
      <c r="M7" s="50">
        <f>M4+M5+M6</f>
        <v>45189</v>
      </c>
      <c r="N7" s="51">
        <f>IF(M7&gt;0,O7/M7,0)</f>
        <v>0.65374073336431437</v>
      </c>
      <c r="O7" s="52">
        <f>O4+O5+O6</f>
        <v>29541.890000000003</v>
      </c>
      <c r="P7" s="20">
        <f>IF(M7&gt;0,Q7/M7,0)</f>
        <v>0.28490216645643851</v>
      </c>
      <c r="Q7" s="52">
        <f>Q4+Q5+Q6</f>
        <v>12874.444</v>
      </c>
      <c r="R7" s="20">
        <f>IF(M7&gt;0,T7/M7,0)</f>
        <v>6.1357100179247163E-2</v>
      </c>
      <c r="S7" s="107"/>
      <c r="T7" s="52">
        <f>T4+T5+T6</f>
        <v>2772.6660000000002</v>
      </c>
      <c r="U7" s="20">
        <f>IF(M7&gt;0,V7/M7,0)</f>
        <v>0.2323242603288411</v>
      </c>
      <c r="V7" s="52">
        <f>V4+V5+V6</f>
        <v>10498.501</v>
      </c>
      <c r="W7" s="20">
        <f>IF(M7&gt;0,X7/M7,0)</f>
        <v>0.48900823209188071</v>
      </c>
      <c r="X7" s="52">
        <f>X4+X5+X6</f>
        <v>22097.792999999998</v>
      </c>
      <c r="Y7" s="20">
        <f>IF(M7&gt;0,Z7/M7,0)</f>
        <v>0.39332381774325609</v>
      </c>
      <c r="Z7" s="52">
        <f>Z4+Z5+Z6</f>
        <v>17773.91</v>
      </c>
      <c r="AA7" s="119">
        <f>IF(M7&gt;0,AB7/M7,0)</f>
        <v>2.6465757153289519E-3</v>
      </c>
      <c r="AB7" s="54">
        <f t="shared" ref="AB7" si="9">SUM(AB4:AB6)</f>
        <v>119.59611</v>
      </c>
      <c r="AC7" s="53">
        <f>IF(M7&gt;0,AD7/M7,0)</f>
        <v>2.733350151585563E-3</v>
      </c>
      <c r="AD7" s="54">
        <f>SUM(AD4:AD6)</f>
        <v>123.51736</v>
      </c>
      <c r="AE7" s="53">
        <f>IF(M7&gt;0,(AE4*M4+AE5*M5+AE6*M6)/M7,0)</f>
        <v>2.7070637146208148E-3</v>
      </c>
      <c r="AF7" s="53">
        <f>IF(K7&gt;0,(K4*AF4+K5*AF5+K6*AF6)/K7,0)</f>
        <v>2.5996813725490196E-4</v>
      </c>
      <c r="AG7" s="50">
        <f>SUM(AG4:AG6)</f>
        <v>11.748519999999999</v>
      </c>
      <c r="AH7" s="51">
        <f>IF(K7&gt;0,(K4*AH4+K5*AH5+K6*AH6)/K7,0)</f>
        <v>0.20760267156862747</v>
      </c>
      <c r="AI7" s="56">
        <f>SUM(AI4:AI6)</f>
        <v>106.35359530000002</v>
      </c>
      <c r="AJ7" s="51">
        <f>IF(AND(AD7&gt;0),((AD4*AJ4+AD5*AJ5+AD6*AJ6)/AD7),0)</f>
        <v>0.90601804194801383</v>
      </c>
      <c r="AK7" s="55">
        <f t="shared" si="6"/>
        <v>0.90505654004454617</v>
      </c>
      <c r="AL7" s="49">
        <f>SUM(AL4:AL6)</f>
        <v>562</v>
      </c>
      <c r="AM7" s="20">
        <f>IF(AL7&gt;0,(AM4*AL4+AM5*AL5+AM6*AL6)/AL7,0)</f>
        <v>8.8606761565836301E-2</v>
      </c>
      <c r="AN7" s="51">
        <f>IF(K7&gt;0,(AN4*K4+AN5*K5+AN6*K6)/K7,0)</f>
        <v>0.21589938725490196</v>
      </c>
      <c r="AO7" s="107">
        <f>IF(K7&gt;0,(AO4*K4+AO5*K5+AO6*K6)/K7,0)</f>
        <v>0.21931621732026144</v>
      </c>
      <c r="AP7" s="56">
        <f>SUM(AP4:AP6)</f>
        <v>110.58098220000001</v>
      </c>
      <c r="AQ7" s="108">
        <f t="shared" ref="AQ7" si="10">SUM(AQ4:AQ6)</f>
        <v>112.21405949999999</v>
      </c>
      <c r="AR7" s="54"/>
      <c r="AS7" s="54">
        <f>SUM(AS4:AS6)</f>
        <v>0</v>
      </c>
      <c r="AT7" s="83"/>
      <c r="AU7" s="84">
        <f>AT6</f>
        <v>2008.4599999999994</v>
      </c>
      <c r="AV7" s="49">
        <f>SUM(AV4:AV6)</f>
        <v>0</v>
      </c>
      <c r="AW7" s="57"/>
      <c r="AX7" s="56"/>
      <c r="AY7" s="56"/>
      <c r="AZ7" s="56"/>
      <c r="BA7" s="56"/>
      <c r="BB7" s="21"/>
    </row>
    <row r="8" spans="1:54">
      <c r="A8" s="147">
        <v>2</v>
      </c>
      <c r="B8" s="22">
        <v>1</v>
      </c>
      <c r="C8" s="10" t="s">
        <v>57</v>
      </c>
      <c r="D8" s="11">
        <v>6586</v>
      </c>
      <c r="E8" s="11">
        <v>0</v>
      </c>
      <c r="F8" s="11">
        <v>13435</v>
      </c>
      <c r="G8" s="12">
        <v>1.6</v>
      </c>
      <c r="H8" s="12">
        <v>8.1</v>
      </c>
      <c r="I8" s="11">
        <v>13145</v>
      </c>
      <c r="J8" s="12">
        <v>1.3</v>
      </c>
      <c r="K8" s="11">
        <v>12880</v>
      </c>
      <c r="L8" s="13">
        <v>7.5999999999999998E-2</v>
      </c>
      <c r="M8" s="23">
        <f>ROUND(K8*(1-L8),0)</f>
        <v>11901</v>
      </c>
      <c r="N8" s="14">
        <v>0.69599999999999995</v>
      </c>
      <c r="O8" s="24">
        <f t="shared" ref="O8:O10" si="11">M8*N8</f>
        <v>8283.0959999999995</v>
      </c>
      <c r="P8" s="13">
        <v>0.27100000000000002</v>
      </c>
      <c r="Q8" s="24">
        <f t="shared" ref="Q8:Q10" si="12">M8*P8</f>
        <v>3225.1710000000003</v>
      </c>
      <c r="R8" s="15">
        <v>3.3000000000000002E-2</v>
      </c>
      <c r="S8" s="112">
        <v>0.2661</v>
      </c>
      <c r="T8" s="24">
        <f t="shared" ref="T8:T10" si="13">M8*R8</f>
        <v>392.733</v>
      </c>
      <c r="U8" s="25">
        <v>0.22600000000000001</v>
      </c>
      <c r="V8" s="24">
        <f t="shared" ref="V8:V10" si="14">M8*U8</f>
        <v>2689.6260000000002</v>
      </c>
      <c r="W8" s="15">
        <v>0.498</v>
      </c>
      <c r="X8" s="24">
        <f t="shared" ref="X8:X10" si="15">M8*W8</f>
        <v>5926.6980000000003</v>
      </c>
      <c r="Y8" s="15">
        <v>0.46</v>
      </c>
      <c r="Z8" s="24">
        <f t="shared" ref="Z8:Z10" si="16">Y8*M8</f>
        <v>5474.46</v>
      </c>
      <c r="AA8" s="116">
        <v>2.66E-3</v>
      </c>
      <c r="AB8" s="18">
        <f>M8*AA8</f>
        <v>31.656659999999999</v>
      </c>
      <c r="AC8" s="16">
        <v>2.9299999999999999E-3</v>
      </c>
      <c r="AD8" s="17">
        <f t="shared" ref="AD8:AD10" si="17">M8*AC8</f>
        <v>34.869929999999997</v>
      </c>
      <c r="AE8" s="26">
        <f>IF(M8&gt;0,(AG8+AP8)/M8,0)</f>
        <v>3.1243240399966388E-3</v>
      </c>
      <c r="AF8" s="16">
        <v>2.7E-4</v>
      </c>
      <c r="AG8" s="23">
        <f t="shared" ref="AG8:AG10" si="18">AF8*M8</f>
        <v>3.2132700000000001</v>
      </c>
      <c r="AH8" s="92">
        <v>0.2127</v>
      </c>
      <c r="AI8" s="29">
        <f t="shared" ref="AI8:AI10" si="19">AL8*(1-AM8)*AH8</f>
        <v>32.342311200000005</v>
      </c>
      <c r="AJ8" s="27">
        <f t="shared" ref="AJ8:AJ10" si="20">IF(AND(AH8&gt;0,AF8&gt;0,AC8&gt;0),((AC8-AF8)*AH8)/((AH8-AF8)*AC8),0)</f>
        <v>0.90900371276689584</v>
      </c>
      <c r="AK8" s="58">
        <f t="shared" si="6"/>
        <v>0.9146867923946439</v>
      </c>
      <c r="AL8" s="11">
        <v>166</v>
      </c>
      <c r="AM8" s="13">
        <v>8.4000000000000005E-2</v>
      </c>
      <c r="AN8" s="14">
        <v>0.22339999999999999</v>
      </c>
      <c r="AO8" s="101">
        <v>0.22700000000000001</v>
      </c>
      <c r="AP8" s="29">
        <f>AL8*(1-AM8)*AN8</f>
        <v>33.969310399999998</v>
      </c>
      <c r="AQ8" s="102">
        <f t="shared" ref="AQ8:AQ70" si="21">AL8*(1-AM8)*AO8</f>
        <v>34.516712000000005</v>
      </c>
      <c r="AR8" s="18">
        <v>1.6</v>
      </c>
      <c r="AS8" s="18">
        <v>1066.46</v>
      </c>
      <c r="AT8" s="79">
        <f>AT6+AL8-AS8</f>
        <v>1107.9999999999991</v>
      </c>
      <c r="AU8" s="80"/>
      <c r="AV8" s="11"/>
      <c r="AW8" s="30"/>
      <c r="AX8" s="19"/>
      <c r="AY8" s="19"/>
      <c r="AZ8" s="19"/>
      <c r="BA8" s="19"/>
      <c r="BB8" s="31"/>
    </row>
    <row r="9" spans="1:54">
      <c r="A9" s="148"/>
      <c r="B9" s="32">
        <v>2</v>
      </c>
      <c r="C9" s="10" t="s">
        <v>58</v>
      </c>
      <c r="D9" s="33">
        <v>18664</v>
      </c>
      <c r="E9" s="33">
        <v>6</v>
      </c>
      <c r="F9" s="33">
        <v>17812</v>
      </c>
      <c r="G9" s="34">
        <v>0.8</v>
      </c>
      <c r="H9" s="34">
        <v>6.3</v>
      </c>
      <c r="I9" s="33">
        <v>16659</v>
      </c>
      <c r="J9" s="34">
        <v>1.8</v>
      </c>
      <c r="K9" s="33">
        <v>15679</v>
      </c>
      <c r="L9" s="35">
        <v>6.9000000000000006E-2</v>
      </c>
      <c r="M9" s="36">
        <f>ROUND(K9*(1-L9),0)</f>
        <v>14597</v>
      </c>
      <c r="N9" s="37">
        <v>0.72899999999999998</v>
      </c>
      <c r="O9" s="24">
        <f t="shared" si="11"/>
        <v>10641.213</v>
      </c>
      <c r="P9" s="35">
        <v>0.24199999999999999</v>
      </c>
      <c r="Q9" s="24">
        <f t="shared" si="12"/>
        <v>3532.4739999999997</v>
      </c>
      <c r="R9" s="38">
        <v>2.9000000000000001E-2</v>
      </c>
      <c r="S9" s="105">
        <v>0.27550000000000002</v>
      </c>
      <c r="T9" s="24">
        <f t="shared" si="13"/>
        <v>423.31300000000005</v>
      </c>
      <c r="U9" s="27">
        <v>0.222</v>
      </c>
      <c r="V9" s="24">
        <f t="shared" si="14"/>
        <v>3240.5340000000001</v>
      </c>
      <c r="W9" s="38">
        <v>0.50600000000000001</v>
      </c>
      <c r="X9" s="24">
        <f t="shared" si="15"/>
        <v>7386.0820000000003</v>
      </c>
      <c r="Y9" s="38">
        <v>0.41</v>
      </c>
      <c r="Z9" s="24">
        <f t="shared" si="16"/>
        <v>5984.7699999999995</v>
      </c>
      <c r="AA9" s="117">
        <v>2.5500000000000002E-3</v>
      </c>
      <c r="AB9" s="18">
        <f t="shared" ref="AB9:AB10" si="22">M9*AA9</f>
        <v>37.222350000000006</v>
      </c>
      <c r="AC9" s="39">
        <v>2.7100000000000002E-3</v>
      </c>
      <c r="AD9" s="17">
        <f t="shared" si="17"/>
        <v>39.557870000000001</v>
      </c>
      <c r="AE9" s="26">
        <f>IF(M9&gt;0,(AG9+AP9)/M9,0)</f>
        <v>2.6579807494690687E-3</v>
      </c>
      <c r="AF9" s="39">
        <v>2.5999999999999998E-4</v>
      </c>
      <c r="AG9" s="36">
        <f t="shared" si="18"/>
        <v>3.7952199999999996</v>
      </c>
      <c r="AH9" s="27">
        <v>0.21199999999999999</v>
      </c>
      <c r="AI9" s="40">
        <f t="shared" si="19"/>
        <v>33.9465</v>
      </c>
      <c r="AJ9" s="27">
        <f t="shared" si="20"/>
        <v>0.90516915370343853</v>
      </c>
      <c r="AK9" s="28">
        <f t="shared" si="6"/>
        <v>0.9032557039476562</v>
      </c>
      <c r="AL9" s="33">
        <v>175</v>
      </c>
      <c r="AM9" s="35">
        <v>8.5000000000000006E-2</v>
      </c>
      <c r="AN9" s="37">
        <v>0.21859999999999999</v>
      </c>
      <c r="AO9" s="103">
        <v>0.21299999999999999</v>
      </c>
      <c r="AP9" s="40">
        <f>AL9*(1-AM9)*AN9</f>
        <v>35.003324999999997</v>
      </c>
      <c r="AQ9" s="104">
        <f t="shared" si="21"/>
        <v>34.106625000000001</v>
      </c>
      <c r="AR9" s="41">
        <v>1.5</v>
      </c>
      <c r="AS9" s="41"/>
      <c r="AT9" s="88">
        <f>AT8+AL9-AS9</f>
        <v>1282.9999999999991</v>
      </c>
      <c r="AU9" s="82"/>
      <c r="AV9" s="42"/>
      <c r="AW9" s="43"/>
      <c r="AX9" s="44"/>
      <c r="AY9" s="44"/>
      <c r="AZ9" s="44"/>
      <c r="BA9" s="44"/>
      <c r="BB9" s="31"/>
    </row>
    <row r="10" spans="1:54">
      <c r="A10" s="148"/>
      <c r="B10" s="32">
        <v>3</v>
      </c>
      <c r="C10" s="10" t="s">
        <v>55</v>
      </c>
      <c r="D10" s="42">
        <v>21290</v>
      </c>
      <c r="E10" s="42">
        <v>1</v>
      </c>
      <c r="F10" s="42">
        <v>17304</v>
      </c>
      <c r="G10" s="36">
        <v>1.3</v>
      </c>
      <c r="H10" s="36">
        <v>7</v>
      </c>
      <c r="I10" s="42">
        <v>17558</v>
      </c>
      <c r="J10" s="36">
        <v>1.3</v>
      </c>
      <c r="K10" s="42">
        <v>15893</v>
      </c>
      <c r="L10" s="38">
        <v>6.5000000000000002E-2</v>
      </c>
      <c r="M10" s="36">
        <f>ROUND(K10*(1-L10),0)</f>
        <v>14860</v>
      </c>
      <c r="N10" s="27">
        <v>0.68899999999999995</v>
      </c>
      <c r="O10" s="24">
        <f t="shared" si="11"/>
        <v>10238.539999999999</v>
      </c>
      <c r="P10" s="38">
        <v>0.26200000000000001</v>
      </c>
      <c r="Q10" s="24">
        <f t="shared" si="12"/>
        <v>3893.32</v>
      </c>
      <c r="R10" s="38">
        <v>4.9000000000000002E-2</v>
      </c>
      <c r="S10" s="105">
        <v>0.27339999999999998</v>
      </c>
      <c r="T10" s="24">
        <f t="shared" si="13"/>
        <v>728.14</v>
      </c>
      <c r="U10" s="27">
        <v>0.24</v>
      </c>
      <c r="V10" s="24">
        <f t="shared" si="14"/>
        <v>3566.4</v>
      </c>
      <c r="W10" s="38">
        <v>0.49</v>
      </c>
      <c r="X10" s="24">
        <f t="shared" si="15"/>
        <v>7281.4</v>
      </c>
      <c r="Y10" s="38">
        <v>0.4</v>
      </c>
      <c r="Z10" s="24">
        <f t="shared" si="16"/>
        <v>5944</v>
      </c>
      <c r="AA10" s="118">
        <v>2.5400000000000002E-3</v>
      </c>
      <c r="AB10" s="121">
        <f t="shared" si="22"/>
        <v>37.744399999999999</v>
      </c>
      <c r="AC10" s="45">
        <v>2.6900000000000001E-3</v>
      </c>
      <c r="AD10" s="17">
        <f t="shared" si="17"/>
        <v>39.973400000000005</v>
      </c>
      <c r="AE10" s="26">
        <f>IF(M10&gt;0,(AG10+AP10)/M10,0)</f>
        <v>2.8955325168236882E-3</v>
      </c>
      <c r="AF10" s="45">
        <v>2.5000000000000001E-4</v>
      </c>
      <c r="AG10" s="36">
        <f t="shared" si="18"/>
        <v>3.7149999999999999</v>
      </c>
      <c r="AH10" s="27">
        <v>0.20910000000000001</v>
      </c>
      <c r="AI10" s="40">
        <f t="shared" si="19"/>
        <v>36.583299600000004</v>
      </c>
      <c r="AJ10" s="27">
        <f t="shared" si="20"/>
        <v>0.90814898012037959</v>
      </c>
      <c r="AK10" s="28">
        <f t="shared" si="6"/>
        <v>0.91467776134924628</v>
      </c>
      <c r="AL10" s="42">
        <v>191</v>
      </c>
      <c r="AM10" s="38">
        <v>8.4000000000000005E-2</v>
      </c>
      <c r="AN10" s="27">
        <v>0.22470000000000001</v>
      </c>
      <c r="AO10" s="105">
        <v>0.22559999999999999</v>
      </c>
      <c r="AP10" s="40">
        <f>AL10*(1-AM10)*AN10</f>
        <v>39.312613200000008</v>
      </c>
      <c r="AQ10" s="106">
        <f t="shared" si="21"/>
        <v>39.470073600000006</v>
      </c>
      <c r="AR10" s="17">
        <v>1.55</v>
      </c>
      <c r="AS10" s="17"/>
      <c r="AT10" s="88">
        <f>AT9+AL10-AS10</f>
        <v>1473.9999999999991</v>
      </c>
      <c r="AU10" s="82"/>
      <c r="AV10" s="42"/>
      <c r="AW10" s="46"/>
      <c r="AX10" s="40"/>
      <c r="AY10" s="40"/>
      <c r="AZ10" s="40"/>
      <c r="BA10" s="40"/>
      <c r="BB10" s="31"/>
    </row>
    <row r="11" spans="1:54">
      <c r="A11" s="149"/>
      <c r="B11" s="47" t="s">
        <v>56</v>
      </c>
      <c r="C11" s="48"/>
      <c r="D11" s="49">
        <f t="shared" ref="D11" si="23">SUM(D8:D10)</f>
        <v>46540</v>
      </c>
      <c r="E11" s="49"/>
      <c r="F11" s="49">
        <f t="shared" ref="F11" si="24">SUM(F8:F10)</f>
        <v>48551</v>
      </c>
      <c r="G11" s="50"/>
      <c r="H11" s="50"/>
      <c r="I11" s="49">
        <f t="shared" ref="I11:K11" si="25">SUM(I8:I10)</f>
        <v>47362</v>
      </c>
      <c r="J11" s="50"/>
      <c r="K11" s="49">
        <f t="shared" si="25"/>
        <v>44452</v>
      </c>
      <c r="L11" s="20">
        <f t="shared" ref="L11" si="26">IF(K11&gt;0,(K8*L8+K9*L9+K10*L10)/K11,0)</f>
        <v>6.9598128318185917E-2</v>
      </c>
      <c r="M11" s="50">
        <f t="shared" ref="M11" si="27">M8+M9+M10</f>
        <v>41358</v>
      </c>
      <c r="N11" s="51">
        <f t="shared" ref="N11" si="28">IF(M11&gt;0,O11/M11,0)</f>
        <v>0.70513199381014557</v>
      </c>
      <c r="O11" s="52">
        <f t="shared" ref="O11" si="29">O8+O9+O10</f>
        <v>29162.849000000002</v>
      </c>
      <c r="P11" s="20">
        <f t="shared" ref="P11" si="30">IF(M11&gt;0,Q11/M11,0)</f>
        <v>0.25753094927220854</v>
      </c>
      <c r="Q11" s="52">
        <f t="shared" ref="Q11" si="31">Q8+Q9+Q10</f>
        <v>10650.965</v>
      </c>
      <c r="R11" s="20">
        <f t="shared" ref="R11" si="32">IF(M11&gt;0,T11/M11,0)</f>
        <v>3.7337056917645925E-2</v>
      </c>
      <c r="S11" s="107"/>
      <c r="T11" s="52">
        <f t="shared" ref="T11" si="33">T8+T9+T10</f>
        <v>1544.1860000000001</v>
      </c>
      <c r="U11" s="20">
        <f t="shared" ref="U11" si="34">IF(M11&gt;0,V11/M11,0)</f>
        <v>0.22961845350355431</v>
      </c>
      <c r="V11" s="52">
        <f t="shared" ref="V11" si="35">V8+V9+V10</f>
        <v>9496.56</v>
      </c>
      <c r="W11" s="20">
        <f t="shared" ref="W11" si="36">IF(M11&gt;0,X11/M11,0)</f>
        <v>0.49794912713380723</v>
      </c>
      <c r="X11" s="52">
        <f t="shared" ref="X11" si="37">X8+X9+X10</f>
        <v>20594.18</v>
      </c>
      <c r="Y11" s="20">
        <f t="shared" ref="Y11" si="38">IF(M11&gt;0,Z11/M11,0)</f>
        <v>0.42079476763866724</v>
      </c>
      <c r="Z11" s="52">
        <f t="shared" ref="Z11" si="39">Z8+Z9+Z10</f>
        <v>17403.23</v>
      </c>
      <c r="AA11" s="119">
        <f>IF(M11&gt;0,AB11/M11,0)</f>
        <v>2.5780601092896178E-3</v>
      </c>
      <c r="AB11" s="54">
        <f t="shared" ref="AB11" si="40">SUM(AB8:AB10)</f>
        <v>106.62341000000001</v>
      </c>
      <c r="AC11" s="53">
        <f t="shared" ref="AC11" si="41">IF(M11&gt;0,AD11/M11,0)</f>
        <v>2.7661202185792345E-3</v>
      </c>
      <c r="AD11" s="54">
        <f t="shared" ref="AD11" si="42">SUM(AD8:AD10)</f>
        <v>114.40119999999999</v>
      </c>
      <c r="AE11" s="53">
        <f t="shared" ref="AE11" si="43">IF(M11&gt;0,(AE8*M8+AE9*M9+AE10*M10)/M11,0)</f>
        <v>2.8775264422844431E-3</v>
      </c>
      <c r="AF11" s="53">
        <f t="shared" ref="AF11" si="44">IF(K11&gt;0,(K8*AF8+K9*AF9+K10*AF10)/K11,0)</f>
        <v>2.593221902276613E-4</v>
      </c>
      <c r="AG11" s="50">
        <f t="shared" ref="AG11" si="45">SUM(AG8:AG10)</f>
        <v>10.72349</v>
      </c>
      <c r="AH11" s="51">
        <f t="shared" ref="AH11" si="46">IF(K11&gt;0,(K8*AH8+K9*AH9+K10*AH10)/K11,0)</f>
        <v>0.21116598353279942</v>
      </c>
      <c r="AI11" s="56">
        <f t="shared" ref="AI11" si="47">SUM(AI8:AI10)</f>
        <v>102.8721108</v>
      </c>
      <c r="AJ11" s="51">
        <f t="shared" ref="AJ11" si="48">IF(AND(AD11&gt;0),((AD8*AJ8+AD9*AJ9+AD10*AJ10)/AD11),0)</f>
        <v>0.90737913576148144</v>
      </c>
      <c r="AK11" s="55">
        <f t="shared" si="6"/>
        <v>0.91094343806364864</v>
      </c>
      <c r="AL11" s="49">
        <f t="shared" ref="AL11" si="49">SUM(AL8:AL10)</f>
        <v>532</v>
      </c>
      <c r="AM11" s="20">
        <f t="shared" ref="AM11" si="50">IF(AL11&gt;0,(AM8*AL8+AM9*AL9+AM10*AL10)/AL11,0)</f>
        <v>8.4328947368421045E-2</v>
      </c>
      <c r="AN11" s="51">
        <f>IF(K11&gt;0,(AN8*K8+AN9*K9+AN10*K10)/K11,0)</f>
        <v>0.22217174705300102</v>
      </c>
      <c r="AO11" s="107">
        <f>IF(K11&gt;0,(AO8*K8+AO9*K9+AO10*K10)/K11,0)</f>
        <v>0.22156141006028973</v>
      </c>
      <c r="AP11" s="56">
        <f t="shared" ref="AP11:AQ23" si="51">SUM(AP8:AP10)</f>
        <v>108.28524860000002</v>
      </c>
      <c r="AQ11" s="108">
        <f t="shared" si="51"/>
        <v>108.09341060000001</v>
      </c>
      <c r="AR11" s="54"/>
      <c r="AS11" s="54">
        <f t="shared" ref="AS11" si="52">SUM(AS8:AS10)</f>
        <v>1066.46</v>
      </c>
      <c r="AT11" s="83"/>
      <c r="AU11" s="84">
        <f>AT10</f>
        <v>1473.9999999999991</v>
      </c>
      <c r="AV11" s="49">
        <f t="shared" ref="AV11" si="53">SUM(AV8:AV10)</f>
        <v>0</v>
      </c>
      <c r="AW11" s="57"/>
      <c r="AX11" s="56"/>
      <c r="AY11" s="56"/>
      <c r="AZ11" s="56"/>
      <c r="BA11" s="56"/>
      <c r="BB11" s="21"/>
    </row>
    <row r="12" spans="1:54">
      <c r="A12" s="147">
        <v>3</v>
      </c>
      <c r="B12" s="22">
        <v>1</v>
      </c>
      <c r="C12" s="10" t="s">
        <v>57</v>
      </c>
      <c r="D12" s="11">
        <v>5300</v>
      </c>
      <c r="E12" s="11">
        <v>0</v>
      </c>
      <c r="F12" s="11">
        <v>4249</v>
      </c>
      <c r="G12" s="12">
        <v>0.8</v>
      </c>
      <c r="H12" s="12">
        <v>6.9</v>
      </c>
      <c r="I12" s="11">
        <v>4404</v>
      </c>
      <c r="J12" s="12">
        <v>5.5</v>
      </c>
      <c r="K12" s="11">
        <v>14108</v>
      </c>
      <c r="L12" s="13">
        <v>7.0999999999999994E-2</v>
      </c>
      <c r="M12" s="23">
        <f>ROUND(K12*(1-L12),0)</f>
        <v>13106</v>
      </c>
      <c r="N12" s="14">
        <v>0.74199999999999999</v>
      </c>
      <c r="O12" s="24">
        <f t="shared" ref="O12:O14" si="54">M12*N12</f>
        <v>9724.652</v>
      </c>
      <c r="P12" s="13">
        <v>0.23499999999999999</v>
      </c>
      <c r="Q12" s="24">
        <f t="shared" ref="Q12:Q14" si="55">M12*P12</f>
        <v>3079.91</v>
      </c>
      <c r="R12" s="15">
        <v>2.3E-2</v>
      </c>
      <c r="S12" s="112">
        <v>0.23280000000000001</v>
      </c>
      <c r="T12" s="24">
        <f t="shared" ref="T12:T14" si="56">M12*R12</f>
        <v>301.43799999999999</v>
      </c>
      <c r="U12" s="25">
        <v>0.224</v>
      </c>
      <c r="V12" s="24">
        <f t="shared" ref="V12:V14" si="57">M12*U12</f>
        <v>2935.7440000000001</v>
      </c>
      <c r="W12" s="15">
        <v>0.49099999999999999</v>
      </c>
      <c r="X12" s="24">
        <f t="shared" ref="X12:X14" si="58">M12*W12</f>
        <v>6435.0460000000003</v>
      </c>
      <c r="Y12" s="15">
        <v>0.39</v>
      </c>
      <c r="Z12" s="24">
        <f t="shared" ref="Z12:Z14" si="59">Y12*M12</f>
        <v>5111.34</v>
      </c>
      <c r="AA12" s="116">
        <v>2.6099999999999999E-3</v>
      </c>
      <c r="AB12" s="18">
        <f t="shared" ref="AB12:AB74" si="60">M12*AA12</f>
        <v>34.206659999999999</v>
      </c>
      <c r="AC12" s="16">
        <v>2.65E-3</v>
      </c>
      <c r="AD12" s="17">
        <f t="shared" ref="AD12:AD14" si="61">M12*AC12</f>
        <v>34.730899999999998</v>
      </c>
      <c r="AE12" s="26">
        <f>IF(M12&gt;0,(AG12+AP12)/M12,0)</f>
        <v>2.7660080344880209E-3</v>
      </c>
      <c r="AF12" s="16">
        <v>2.5000000000000001E-4</v>
      </c>
      <c r="AG12" s="23">
        <f t="shared" ref="AG12:AG14" si="62">AF12*M12</f>
        <v>3.2765</v>
      </c>
      <c r="AH12" s="92">
        <v>0.20830000000000001</v>
      </c>
      <c r="AI12" s="29">
        <f t="shared" ref="AI12:AI14" si="63">AL12*(1-AM12)*AH12</f>
        <v>31.550992700000002</v>
      </c>
      <c r="AJ12" s="27">
        <f t="shared" ref="AJ12:AJ14" si="64">IF(AND(AH12&gt;0,AF12&gt;0,AC12&gt;0),((AC12-AF12)*AH12)/((AH12-AF12)*AC12),0)</f>
        <v>0.90674864986192549</v>
      </c>
      <c r="AK12" s="58">
        <f t="shared" si="6"/>
        <v>0.9106628148982584</v>
      </c>
      <c r="AL12" s="11">
        <v>167</v>
      </c>
      <c r="AM12" s="13">
        <v>9.2999999999999999E-2</v>
      </c>
      <c r="AN12" s="14">
        <v>0.2177</v>
      </c>
      <c r="AO12" s="101">
        <v>0.22470000000000001</v>
      </c>
      <c r="AP12" s="29">
        <f>AL12*(1-AM12)*AN12</f>
        <v>32.974801300000003</v>
      </c>
      <c r="AQ12" s="102">
        <f t="shared" ref="AQ12" si="65">AL12*(1-AM12)*AO12</f>
        <v>34.035084300000001</v>
      </c>
      <c r="AR12" s="18">
        <v>1.5</v>
      </c>
      <c r="AS12" s="18">
        <v>1002.88</v>
      </c>
      <c r="AT12" s="79">
        <f>AT10+AL12-AS12</f>
        <v>638.1199999999991</v>
      </c>
      <c r="AU12" s="80"/>
      <c r="AV12" s="11"/>
      <c r="AW12" s="30"/>
      <c r="AX12" s="19"/>
      <c r="AY12" s="19"/>
      <c r="AZ12" s="19"/>
      <c r="BA12" s="19"/>
      <c r="BB12" s="31"/>
    </row>
    <row r="13" spans="1:54">
      <c r="A13" s="148"/>
      <c r="B13" s="32">
        <v>2</v>
      </c>
      <c r="C13" s="10" t="s">
        <v>58</v>
      </c>
      <c r="D13" s="33">
        <v>7200</v>
      </c>
      <c r="E13" s="33">
        <v>1</v>
      </c>
      <c r="F13" s="33">
        <v>4301</v>
      </c>
      <c r="G13" s="34">
        <v>0.5</v>
      </c>
      <c r="H13" s="34">
        <v>6.8</v>
      </c>
      <c r="I13" s="33">
        <v>5142</v>
      </c>
      <c r="J13" s="34">
        <v>6.7</v>
      </c>
      <c r="K13" s="33">
        <v>14204</v>
      </c>
      <c r="L13" s="35">
        <v>6.5000000000000002E-2</v>
      </c>
      <c r="M13" s="36">
        <f>ROUND(K13*(1-L13),0)</f>
        <v>13281</v>
      </c>
      <c r="N13" s="37">
        <v>0.74</v>
      </c>
      <c r="O13" s="24">
        <f t="shared" si="54"/>
        <v>9827.94</v>
      </c>
      <c r="P13" s="35">
        <v>0.20100000000000001</v>
      </c>
      <c r="Q13" s="24">
        <f t="shared" si="55"/>
        <v>2669.4810000000002</v>
      </c>
      <c r="R13" s="38">
        <v>5.8999999999999997E-2</v>
      </c>
      <c r="S13" s="105">
        <v>0.21379999999999999</v>
      </c>
      <c r="T13" s="24">
        <f t="shared" si="56"/>
        <v>783.57899999999995</v>
      </c>
      <c r="U13" s="27">
        <v>0.22600000000000001</v>
      </c>
      <c r="V13" s="24">
        <f t="shared" si="57"/>
        <v>3001.5060000000003</v>
      </c>
      <c r="W13" s="38">
        <v>0.48699999999999999</v>
      </c>
      <c r="X13" s="24">
        <f t="shared" si="58"/>
        <v>6467.8469999999998</v>
      </c>
      <c r="Y13" s="38">
        <v>0.39</v>
      </c>
      <c r="Z13" s="24">
        <f t="shared" si="59"/>
        <v>5179.59</v>
      </c>
      <c r="AA13" s="117">
        <v>2.5000000000000001E-3</v>
      </c>
      <c r="AB13" s="18">
        <f t="shared" si="60"/>
        <v>33.202500000000001</v>
      </c>
      <c r="AC13" s="39">
        <v>2.5600000000000002E-3</v>
      </c>
      <c r="AD13" s="17">
        <f t="shared" si="61"/>
        <v>33.999360000000003</v>
      </c>
      <c r="AE13" s="26">
        <f>IF(M13&gt;0,(AG13+AP13)/M13,0)</f>
        <v>2.8311662525412249E-3</v>
      </c>
      <c r="AF13" s="39">
        <v>2.5999999999999998E-4</v>
      </c>
      <c r="AG13" s="36">
        <f t="shared" si="62"/>
        <v>3.4530599999999998</v>
      </c>
      <c r="AH13" s="27">
        <v>0.2072</v>
      </c>
      <c r="AI13" s="40">
        <f t="shared" si="63"/>
        <v>31.488184</v>
      </c>
      <c r="AJ13" s="27">
        <f t="shared" si="64"/>
        <v>0.89956629941045718</v>
      </c>
      <c r="AK13" s="28">
        <f t="shared" si="6"/>
        <v>0.90921710758948004</v>
      </c>
      <c r="AL13" s="33">
        <v>167</v>
      </c>
      <c r="AM13" s="35">
        <v>0.09</v>
      </c>
      <c r="AN13" s="37">
        <v>0.22470000000000001</v>
      </c>
      <c r="AO13" s="103">
        <v>0.2288</v>
      </c>
      <c r="AP13" s="40">
        <f>AL13*(1-AM13)*AN13</f>
        <v>34.147659000000004</v>
      </c>
      <c r="AQ13" s="104">
        <f t="shared" si="21"/>
        <v>34.770735999999999</v>
      </c>
      <c r="AR13" s="41">
        <v>1.5</v>
      </c>
      <c r="AS13" s="41"/>
      <c r="AT13" s="88">
        <f>AT12+AL13-AS13</f>
        <v>805.1199999999991</v>
      </c>
      <c r="AU13" s="82"/>
      <c r="AV13" s="42"/>
      <c r="AW13" s="43"/>
      <c r="AX13" s="44"/>
      <c r="AY13" s="44"/>
      <c r="AZ13" s="44"/>
      <c r="BA13" s="44"/>
      <c r="BB13" s="31"/>
    </row>
    <row r="14" spans="1:54">
      <c r="A14" s="148"/>
      <c r="B14" s="32">
        <v>3</v>
      </c>
      <c r="C14" s="10" t="s">
        <v>53</v>
      </c>
      <c r="D14" s="42">
        <v>14178</v>
      </c>
      <c r="E14" s="42">
        <v>0</v>
      </c>
      <c r="F14" s="42">
        <v>17881</v>
      </c>
      <c r="G14" s="36">
        <v>1.4</v>
      </c>
      <c r="H14" s="36">
        <v>8</v>
      </c>
      <c r="I14" s="42">
        <v>16306</v>
      </c>
      <c r="J14" s="36">
        <v>5.2</v>
      </c>
      <c r="K14" s="42">
        <v>14446</v>
      </c>
      <c r="L14" s="38">
        <v>6.4000000000000001E-2</v>
      </c>
      <c r="M14" s="36">
        <f>ROUND(K14*(1-L14),0)</f>
        <v>13521</v>
      </c>
      <c r="N14" s="27">
        <v>0.81499999999999995</v>
      </c>
      <c r="O14" s="24">
        <f t="shared" si="54"/>
        <v>11019.615</v>
      </c>
      <c r="P14" s="38">
        <v>0.122</v>
      </c>
      <c r="Q14" s="24">
        <f t="shared" si="55"/>
        <v>1649.5619999999999</v>
      </c>
      <c r="R14" s="38">
        <v>6.3E-2</v>
      </c>
      <c r="S14" s="105">
        <v>0.22689999999999999</v>
      </c>
      <c r="T14" s="24">
        <f t="shared" si="56"/>
        <v>851.82299999999998</v>
      </c>
      <c r="U14" s="27">
        <v>0.221</v>
      </c>
      <c r="V14" s="24">
        <f t="shared" si="57"/>
        <v>2988.1410000000001</v>
      </c>
      <c r="W14" s="38">
        <v>0.497</v>
      </c>
      <c r="X14" s="24">
        <f t="shared" si="58"/>
        <v>6719.9369999999999</v>
      </c>
      <c r="Y14" s="38">
        <v>0.4</v>
      </c>
      <c r="Z14" s="24">
        <f t="shared" si="59"/>
        <v>5408.4000000000005</v>
      </c>
      <c r="AA14" s="118">
        <v>2.4599999999999999E-3</v>
      </c>
      <c r="AB14" s="121">
        <f t="shared" si="60"/>
        <v>33.261659999999999</v>
      </c>
      <c r="AC14" s="45">
        <v>2.7499999999999998E-3</v>
      </c>
      <c r="AD14" s="17">
        <f t="shared" si="61"/>
        <v>37.182749999999999</v>
      </c>
      <c r="AE14" s="26">
        <f>IF(M14&gt;0,(AG14+AP14)/M14,0)</f>
        <v>2.7782461948080762E-3</v>
      </c>
      <c r="AF14" s="45">
        <v>2.7E-4</v>
      </c>
      <c r="AG14" s="36">
        <f t="shared" si="62"/>
        <v>3.6506699999999999</v>
      </c>
      <c r="AH14" s="27">
        <v>0.20269999999999999</v>
      </c>
      <c r="AI14" s="40">
        <f t="shared" si="63"/>
        <v>31.796332799999998</v>
      </c>
      <c r="AJ14" s="27">
        <f t="shared" si="64"/>
        <v>0.90302102185716282</v>
      </c>
      <c r="AK14" s="28">
        <f t="shared" si="6"/>
        <v>0.90394527441309724</v>
      </c>
      <c r="AL14" s="42">
        <v>172</v>
      </c>
      <c r="AM14" s="38">
        <v>8.7999999999999995E-2</v>
      </c>
      <c r="AN14" s="27">
        <v>0.2162</v>
      </c>
      <c r="AO14" s="105">
        <v>0.21970000000000001</v>
      </c>
      <c r="AP14" s="40">
        <f>AL14*(1-AM14)*AN14</f>
        <v>33.9139968</v>
      </c>
      <c r="AQ14" s="106">
        <f t="shared" si="21"/>
        <v>34.463020800000002</v>
      </c>
      <c r="AR14" s="17">
        <v>1.56</v>
      </c>
      <c r="AS14" s="17"/>
      <c r="AT14" s="88">
        <f>AT13+AL14-AS14</f>
        <v>977.1199999999991</v>
      </c>
      <c r="AU14" s="82"/>
      <c r="AV14" s="42"/>
      <c r="AW14" s="46"/>
      <c r="AX14" s="40"/>
      <c r="AY14" s="40"/>
      <c r="AZ14" s="40"/>
      <c r="BA14" s="40"/>
      <c r="BB14" s="31"/>
    </row>
    <row r="15" spans="1:54">
      <c r="A15" s="149"/>
      <c r="B15" s="47" t="s">
        <v>56</v>
      </c>
      <c r="C15" s="48"/>
      <c r="D15" s="49">
        <f t="shared" ref="D15" si="66">SUM(D12:D14)</f>
        <v>26678</v>
      </c>
      <c r="E15" s="49"/>
      <c r="F15" s="49">
        <f t="shared" ref="F15" si="67">SUM(F12:F14)</f>
        <v>26431</v>
      </c>
      <c r="G15" s="50"/>
      <c r="H15" s="50"/>
      <c r="I15" s="49">
        <f t="shared" ref="I15:K15" si="68">SUM(I12:I14)</f>
        <v>25852</v>
      </c>
      <c r="J15" s="50"/>
      <c r="K15" s="49">
        <f t="shared" si="68"/>
        <v>42758</v>
      </c>
      <c r="L15" s="20">
        <f t="shared" ref="L15" si="69">IF(K15&gt;0,(K12*L12+K13*L13+K14*L14)/K15,0)</f>
        <v>6.6641844800972905E-2</v>
      </c>
      <c r="M15" s="50">
        <f t="shared" ref="M15" si="70">M12+M13+M14</f>
        <v>39908</v>
      </c>
      <c r="N15" s="51">
        <f t="shared" ref="N15" si="71">IF(M15&gt;0,O15/M15,0)</f>
        <v>0.76606712939761457</v>
      </c>
      <c r="O15" s="52">
        <f t="shared" ref="O15" si="72">O12+O13+O14</f>
        <v>30572.207000000002</v>
      </c>
      <c r="P15" s="20">
        <f t="shared" ref="P15" si="73">IF(M15&gt;0,Q15/M15,0)</f>
        <v>0.18540024556479903</v>
      </c>
      <c r="Q15" s="52">
        <f t="shared" ref="Q15" si="74">Q12+Q13+Q14</f>
        <v>7398.9529999999995</v>
      </c>
      <c r="R15" s="20">
        <f t="shared" ref="R15" si="75">IF(M15&gt;0,T15/M15,0)</f>
        <v>4.8532625037586444E-2</v>
      </c>
      <c r="S15" s="107"/>
      <c r="T15" s="52">
        <f t="shared" ref="T15" si="76">T12+T13+T14</f>
        <v>1936.8399999999997</v>
      </c>
      <c r="U15" s="20">
        <f t="shared" ref="U15" si="77">IF(M15&gt;0,V15/M15,0)</f>
        <v>0.22364916808659918</v>
      </c>
      <c r="V15" s="52">
        <f t="shared" ref="V15" si="78">V12+V13+V14</f>
        <v>8925.3909999999996</v>
      </c>
      <c r="W15" s="20">
        <f t="shared" ref="W15" si="79">IF(M15&gt;0,X15/M15,0)</f>
        <v>0.49170166382680169</v>
      </c>
      <c r="X15" s="52">
        <f t="shared" ref="X15" si="80">X12+X13+X14</f>
        <v>19622.830000000002</v>
      </c>
      <c r="Y15" s="20">
        <f t="shared" ref="Y15" si="81">IF(M15&gt;0,Z15/M15,0)</f>
        <v>0.39338804249774484</v>
      </c>
      <c r="Z15" s="52">
        <f t="shared" ref="Z15" si="82">Z12+Z13+Z14</f>
        <v>15699.330000000002</v>
      </c>
      <c r="AA15" s="119">
        <f>IF(M15&gt;0,AB15/M15,0)</f>
        <v>2.5225724165580834E-3</v>
      </c>
      <c r="AB15" s="54">
        <f t="shared" ref="AB15" si="83">SUM(AB12:AB14)</f>
        <v>100.67081999999999</v>
      </c>
      <c r="AC15" s="53">
        <f t="shared" ref="AC15" si="84">IF(M15&gt;0,AD15/M15,0)</f>
        <v>2.6539292873609299E-3</v>
      </c>
      <c r="AD15" s="54">
        <f t="shared" ref="AD15" si="85">SUM(AD12:AD14)</f>
        <v>105.91301</v>
      </c>
      <c r="AE15" s="53">
        <f t="shared" ref="AE15" si="86">IF(M15&gt;0,(AE12*M12+AE13*M13+AE14*M14)/M15,0)</f>
        <v>2.7918384058334168E-3</v>
      </c>
      <c r="AF15" s="53">
        <f t="shared" ref="AF15" si="87">IF(K15&gt;0,(K12*AF12+K13*AF13+K14*AF14)/K15,0)</f>
        <v>2.6007904953459E-4</v>
      </c>
      <c r="AG15" s="50">
        <f t="shared" ref="AG15" si="88">SUM(AG12:AG14)</f>
        <v>10.380229999999999</v>
      </c>
      <c r="AH15" s="51">
        <f t="shared" ref="AH15" si="89">IF(K15&gt;0,(K12*AH12+K13*AH13+K14*AH14)/K15,0)</f>
        <v>0.20604259787642079</v>
      </c>
      <c r="AI15" s="56">
        <f t="shared" ref="AI15" si="90">SUM(AI12:AI14)</f>
        <v>94.835509500000001</v>
      </c>
      <c r="AJ15" s="51">
        <f t="shared" ref="AJ15" si="91">IF(AND(AD15&gt;0),((AD12*AJ12+AD13*AJ13+AD14*AJ14)/AD15),0)</f>
        <v>0.90313437453503487</v>
      </c>
      <c r="AK15" s="55">
        <f t="shared" si="6"/>
        <v>0.90791876124668947</v>
      </c>
      <c r="AL15" s="49">
        <f t="shared" ref="AL15" si="92">SUM(AL12:AL14)</f>
        <v>506</v>
      </c>
      <c r="AM15" s="20">
        <f t="shared" ref="AM15" si="93">IF(AL15&gt;0,(AM12*AL12+AM13*AL13+AM14*AL14)/AL15,0)</f>
        <v>9.03102766798419E-2</v>
      </c>
      <c r="AN15" s="51">
        <f>IF(K15&gt;0,(AN12*K12+AN13*K13+AN14*K14)/K15,0)</f>
        <v>0.2195185836568595</v>
      </c>
      <c r="AO15" s="107">
        <f>IF(K15&gt;0,(AO12*K12+AO13*K13+AO14*K14)/K15,0)</f>
        <v>0.22437272557182283</v>
      </c>
      <c r="AP15" s="56">
        <f t="shared" ref="AP15" si="94">SUM(AP12:AP14)</f>
        <v>101.03645710000001</v>
      </c>
      <c r="AQ15" s="108">
        <f t="shared" si="51"/>
        <v>103.2688411</v>
      </c>
      <c r="AR15" s="54"/>
      <c r="AS15" s="54">
        <f t="shared" ref="AS15" si="95">SUM(AS12:AS14)</f>
        <v>1002.88</v>
      </c>
      <c r="AT15" s="83"/>
      <c r="AU15" s="84">
        <f>AT14</f>
        <v>977.1199999999991</v>
      </c>
      <c r="AV15" s="49">
        <f t="shared" ref="AV15" si="96">SUM(AV12:AV14)</f>
        <v>0</v>
      </c>
      <c r="AW15" s="57"/>
      <c r="AX15" s="56"/>
      <c r="AY15" s="56"/>
      <c r="AZ15" s="56"/>
      <c r="BA15" s="56"/>
      <c r="BB15" s="21"/>
    </row>
    <row r="16" spans="1:54">
      <c r="A16" s="147">
        <v>4</v>
      </c>
      <c r="B16" s="22">
        <v>1</v>
      </c>
      <c r="C16" s="10" t="s">
        <v>59</v>
      </c>
      <c r="D16" s="11">
        <v>4900</v>
      </c>
      <c r="E16" s="11">
        <v>1</v>
      </c>
      <c r="F16" s="11">
        <v>13807</v>
      </c>
      <c r="G16" s="12">
        <v>1.4</v>
      </c>
      <c r="H16" s="12">
        <v>6.3</v>
      </c>
      <c r="I16" s="11">
        <v>13819</v>
      </c>
      <c r="J16" s="12">
        <v>5.7</v>
      </c>
      <c r="K16" s="11">
        <v>14431</v>
      </c>
      <c r="L16" s="13">
        <v>6.9000000000000006E-2</v>
      </c>
      <c r="M16" s="23">
        <f>ROUND(K16*(1-L16),0)</f>
        <v>13435</v>
      </c>
      <c r="N16" s="14">
        <v>0.64900000000000002</v>
      </c>
      <c r="O16" s="24">
        <f t="shared" ref="O16:O18" si="97">M16*N16</f>
        <v>8719.3150000000005</v>
      </c>
      <c r="P16" s="13">
        <v>0.29599999999999999</v>
      </c>
      <c r="Q16" s="24">
        <f t="shared" ref="Q16:Q18" si="98">M16*P16</f>
        <v>3976.7599999999998</v>
      </c>
      <c r="R16" s="15">
        <v>5.5E-2</v>
      </c>
      <c r="S16" s="112">
        <v>0.2351</v>
      </c>
      <c r="T16" s="24">
        <f t="shared" ref="T16:T18" si="99">M16*R16</f>
        <v>738.92499999999995</v>
      </c>
      <c r="U16" s="25">
        <v>0.23300000000000001</v>
      </c>
      <c r="V16" s="24">
        <f t="shared" ref="V16:V18" si="100">M16*U16</f>
        <v>3130.355</v>
      </c>
      <c r="W16" s="15">
        <v>0.49299999999999999</v>
      </c>
      <c r="X16" s="24">
        <f t="shared" ref="X16:X18" si="101">M16*W16</f>
        <v>6623.4549999999999</v>
      </c>
      <c r="Y16" s="15">
        <v>0.41</v>
      </c>
      <c r="Z16" s="24">
        <f t="shared" ref="Z16:Z18" si="102">Y16*M16</f>
        <v>5508.3499999999995</v>
      </c>
      <c r="AA16" s="116">
        <v>2.49E-3</v>
      </c>
      <c r="AB16" s="18">
        <f t="shared" ref="AB16" si="103">M16*AA16</f>
        <v>33.453150000000001</v>
      </c>
      <c r="AC16" s="16">
        <v>2.5699999999999998E-3</v>
      </c>
      <c r="AD16" s="17">
        <f t="shared" ref="AD16:AD18" si="104">M16*AC16</f>
        <v>34.527949999999997</v>
      </c>
      <c r="AE16" s="26">
        <f>IF(M16&gt;0,(AG16+AP16)/M16,0)</f>
        <v>2.5876982359508745E-3</v>
      </c>
      <c r="AF16" s="16">
        <v>2.5999999999999998E-4</v>
      </c>
      <c r="AG16" s="23">
        <f t="shared" ref="AG16:AG18" si="105">AF16*M16</f>
        <v>3.4930999999999996</v>
      </c>
      <c r="AH16" s="92">
        <v>0.20619999999999999</v>
      </c>
      <c r="AI16" s="29">
        <f t="shared" ref="AI16:AI18" si="106">AL16*(1-AM16)*AH16</f>
        <v>30.619256599999996</v>
      </c>
      <c r="AJ16" s="27">
        <f t="shared" ref="AJ16:AJ18" si="107">IF(AND(AH16&gt;0,AF16&gt;0,AC16&gt;0),((AC16-AF16)*AH16)/((AH16-AF16)*AC16),0)</f>
        <v>0.89996746436289676</v>
      </c>
      <c r="AK16" s="58">
        <f t="shared" si="6"/>
        <v>0.90063650284377084</v>
      </c>
      <c r="AL16" s="11">
        <v>163</v>
      </c>
      <c r="AM16" s="13">
        <v>8.8999999999999996E-2</v>
      </c>
      <c r="AN16" s="14">
        <v>0.21060000000000001</v>
      </c>
      <c r="AO16" s="101">
        <v>0.2165</v>
      </c>
      <c r="AP16" s="29">
        <f>AL16*(1-AM16)*AN16</f>
        <v>31.2726258</v>
      </c>
      <c r="AQ16" s="102">
        <f t="shared" ref="AQ16" si="108">AL16*(1-AM16)*AO16</f>
        <v>32.148734499999996</v>
      </c>
      <c r="AR16" s="18">
        <v>1.55</v>
      </c>
      <c r="AS16" s="18">
        <v>1017.32</v>
      </c>
      <c r="AT16" s="79">
        <f>AT14+AL16-AS16+AU16</f>
        <v>135.01999999999893</v>
      </c>
      <c r="AU16" s="80">
        <v>12.22</v>
      </c>
      <c r="AV16" s="11"/>
      <c r="AW16" s="30"/>
      <c r="AX16" s="19"/>
      <c r="AY16" s="19"/>
      <c r="AZ16" s="19"/>
      <c r="BA16" s="19"/>
      <c r="BB16" s="31"/>
    </row>
    <row r="17" spans="1:54">
      <c r="A17" s="148"/>
      <c r="B17" s="32">
        <v>2</v>
      </c>
      <c r="C17" s="10" t="s">
        <v>58</v>
      </c>
      <c r="D17" s="33">
        <v>22500</v>
      </c>
      <c r="E17" s="33">
        <v>4</v>
      </c>
      <c r="F17" s="33">
        <v>15159</v>
      </c>
      <c r="G17" s="34">
        <v>0.4</v>
      </c>
      <c r="H17" s="34">
        <v>6</v>
      </c>
      <c r="I17" s="33">
        <v>15627</v>
      </c>
      <c r="J17" s="34">
        <v>5</v>
      </c>
      <c r="K17" s="33">
        <v>14460</v>
      </c>
      <c r="L17" s="35">
        <v>6.7000000000000004E-2</v>
      </c>
      <c r="M17" s="36">
        <f>ROUND(K17*(1-L17),0)</f>
        <v>13491</v>
      </c>
      <c r="N17" s="37">
        <v>0.72499999999999998</v>
      </c>
      <c r="O17" s="24">
        <f t="shared" si="97"/>
        <v>9780.9750000000004</v>
      </c>
      <c r="P17" s="35">
        <v>0.216</v>
      </c>
      <c r="Q17" s="24">
        <f t="shared" si="98"/>
        <v>2914.056</v>
      </c>
      <c r="R17" s="38">
        <v>5.8999999999999997E-2</v>
      </c>
      <c r="S17" s="105">
        <v>0.23139999999999999</v>
      </c>
      <c r="T17" s="24">
        <f t="shared" si="99"/>
        <v>795.96899999999994</v>
      </c>
      <c r="U17" s="27">
        <v>0.23200000000000001</v>
      </c>
      <c r="V17" s="24">
        <f t="shared" si="100"/>
        <v>3129.9120000000003</v>
      </c>
      <c r="W17" s="38">
        <v>0.48299999999999998</v>
      </c>
      <c r="X17" s="24">
        <f t="shared" si="101"/>
        <v>6516.1530000000002</v>
      </c>
      <c r="Y17" s="38">
        <v>0.4</v>
      </c>
      <c r="Z17" s="24">
        <f t="shared" si="102"/>
        <v>5396.4000000000005</v>
      </c>
      <c r="AA17" s="117">
        <v>2.33E-3</v>
      </c>
      <c r="AB17" s="18">
        <f t="shared" si="60"/>
        <v>31.43403</v>
      </c>
      <c r="AC17" s="39">
        <v>2.5799999999999998E-3</v>
      </c>
      <c r="AD17" s="17">
        <f t="shared" si="104"/>
        <v>34.806779999999996</v>
      </c>
      <c r="AE17" s="26">
        <f>IF(M17&gt;0,(AG17+AP17)/M17,0)</f>
        <v>2.4972300051886447E-3</v>
      </c>
      <c r="AF17" s="39">
        <v>2.5000000000000001E-4</v>
      </c>
      <c r="AG17" s="36">
        <f t="shared" si="105"/>
        <v>3.3727499999999999</v>
      </c>
      <c r="AH17" s="27">
        <v>0.20319999999999999</v>
      </c>
      <c r="AI17" s="40">
        <f t="shared" si="106"/>
        <v>28.787344000000001</v>
      </c>
      <c r="AJ17" s="27">
        <f t="shared" si="107"/>
        <v>0.90421324227336708</v>
      </c>
      <c r="AK17" s="28">
        <f t="shared" si="6"/>
        <v>0.9009415791502321</v>
      </c>
      <c r="AL17" s="33">
        <v>155</v>
      </c>
      <c r="AM17" s="35">
        <v>8.5999999999999993E-2</v>
      </c>
      <c r="AN17" s="37">
        <v>0.214</v>
      </c>
      <c r="AO17" s="103">
        <v>0.21879999999999999</v>
      </c>
      <c r="AP17" s="40">
        <f>AL17*(1-AM17)*AN17</f>
        <v>30.317380000000004</v>
      </c>
      <c r="AQ17" s="104">
        <f t="shared" si="21"/>
        <v>30.997396000000002</v>
      </c>
      <c r="AR17" s="41">
        <v>1.55</v>
      </c>
      <c r="AS17" s="41"/>
      <c r="AT17" s="88">
        <f>AT16+AL17-AS17</f>
        <v>290.01999999999896</v>
      </c>
      <c r="AU17" s="82"/>
      <c r="AV17" s="42"/>
      <c r="AW17" s="43"/>
      <c r="AX17" s="44"/>
      <c r="AY17" s="44"/>
      <c r="AZ17" s="44"/>
      <c r="BA17" s="44"/>
      <c r="BB17" s="31"/>
    </row>
    <row r="18" spans="1:54">
      <c r="A18" s="148"/>
      <c r="B18" s="32">
        <v>3</v>
      </c>
      <c r="C18" s="10" t="s">
        <v>53</v>
      </c>
      <c r="D18" s="42">
        <v>18505</v>
      </c>
      <c r="E18" s="42">
        <v>1</v>
      </c>
      <c r="F18" s="42">
        <v>17741</v>
      </c>
      <c r="G18" s="36">
        <v>0.8</v>
      </c>
      <c r="H18" s="36">
        <v>5</v>
      </c>
      <c r="I18" s="42">
        <v>16859</v>
      </c>
      <c r="J18" s="36">
        <v>4.3</v>
      </c>
      <c r="K18" s="42">
        <v>14533</v>
      </c>
      <c r="L18" s="38">
        <v>6.6000000000000003E-2</v>
      </c>
      <c r="M18" s="36">
        <f>ROUND(K18*(1-L18),0)</f>
        <v>13574</v>
      </c>
      <c r="N18" s="27">
        <v>0.78</v>
      </c>
      <c r="O18" s="24">
        <f t="shared" si="97"/>
        <v>10587.720000000001</v>
      </c>
      <c r="P18" s="38">
        <v>0.19500000000000001</v>
      </c>
      <c r="Q18" s="24">
        <f t="shared" si="98"/>
        <v>2646.9300000000003</v>
      </c>
      <c r="R18" s="38">
        <v>2.5000000000000001E-2</v>
      </c>
      <c r="S18" s="105">
        <v>0.24060000000000001</v>
      </c>
      <c r="T18" s="24">
        <f t="shared" si="99"/>
        <v>339.35</v>
      </c>
      <c r="U18" s="27">
        <v>0.22500000000000001</v>
      </c>
      <c r="V18" s="24">
        <f t="shared" si="100"/>
        <v>3054.15</v>
      </c>
      <c r="W18" s="38">
        <v>0.50900000000000001</v>
      </c>
      <c r="X18" s="24">
        <f t="shared" si="101"/>
        <v>6909.1660000000002</v>
      </c>
      <c r="Y18" s="38">
        <v>0.39</v>
      </c>
      <c r="Z18" s="24">
        <f t="shared" si="102"/>
        <v>5293.8600000000006</v>
      </c>
      <c r="AA18" s="118">
        <v>2.48E-3</v>
      </c>
      <c r="AB18" s="121">
        <f t="shared" si="60"/>
        <v>33.663519999999998</v>
      </c>
      <c r="AC18" s="45">
        <v>2.6800000000000001E-3</v>
      </c>
      <c r="AD18" s="17">
        <f t="shared" si="104"/>
        <v>36.378320000000002</v>
      </c>
      <c r="AE18" s="26">
        <f>IF(M18&gt;0,(AG18+AP18)/M18,0)</f>
        <v>2.5752244806247241E-3</v>
      </c>
      <c r="AF18" s="45">
        <v>2.5000000000000001E-4</v>
      </c>
      <c r="AG18" s="36">
        <f t="shared" si="105"/>
        <v>3.3935</v>
      </c>
      <c r="AH18" s="27">
        <v>0.20300000000000001</v>
      </c>
      <c r="AI18" s="40">
        <f t="shared" si="106"/>
        <v>29.404347000000005</v>
      </c>
      <c r="AJ18" s="27">
        <f t="shared" si="107"/>
        <v>0.9078344406205715</v>
      </c>
      <c r="AK18" s="28">
        <f t="shared" si="6"/>
        <v>0.90395820947041405</v>
      </c>
      <c r="AL18" s="42">
        <v>159</v>
      </c>
      <c r="AM18" s="38">
        <v>8.8999999999999996E-2</v>
      </c>
      <c r="AN18" s="27">
        <v>0.21790000000000001</v>
      </c>
      <c r="AO18" s="105">
        <v>0.22270000000000001</v>
      </c>
      <c r="AP18" s="40">
        <f>AL18*(1-AM18)*AN18</f>
        <v>31.562597100000005</v>
      </c>
      <c r="AQ18" s="106">
        <f t="shared" si="21"/>
        <v>32.257872300000002</v>
      </c>
      <c r="AR18" s="17">
        <v>1.55</v>
      </c>
      <c r="AS18" s="17"/>
      <c r="AT18" s="88">
        <f>AT17+AL18-AS18</f>
        <v>449.01999999999896</v>
      </c>
      <c r="AU18" s="82"/>
      <c r="AV18" s="42"/>
      <c r="AW18" s="46"/>
      <c r="AX18" s="40"/>
      <c r="AY18" s="40"/>
      <c r="AZ18" s="40"/>
      <c r="BA18" s="40"/>
      <c r="BB18" s="31"/>
    </row>
    <row r="19" spans="1:54">
      <c r="A19" s="149"/>
      <c r="B19" s="47" t="s">
        <v>56</v>
      </c>
      <c r="C19" s="48"/>
      <c r="D19" s="49">
        <f t="shared" ref="D19" si="109">SUM(D16:D18)</f>
        <v>45905</v>
      </c>
      <c r="E19" s="49"/>
      <c r="F19" s="49">
        <f t="shared" ref="F19" si="110">SUM(F16:F18)</f>
        <v>46707</v>
      </c>
      <c r="G19" s="50"/>
      <c r="H19" s="50"/>
      <c r="I19" s="49">
        <f t="shared" ref="I19:K19" si="111">SUM(I16:I18)</f>
        <v>46305</v>
      </c>
      <c r="J19" s="50"/>
      <c r="K19" s="49">
        <f t="shared" si="111"/>
        <v>43424</v>
      </c>
      <c r="L19" s="20">
        <f t="shared" ref="L19" si="112">IF(K19&gt;0,(K16*L16+K17*L17+K18*L18)/K19,0)</f>
        <v>6.732997881355933E-2</v>
      </c>
      <c r="M19" s="50">
        <f t="shared" ref="M19" si="113">M16+M17+M18</f>
        <v>40500</v>
      </c>
      <c r="N19" s="51">
        <f t="shared" ref="N19" si="114">IF(M19&gt;0,O19/M19,0)</f>
        <v>0.71822246913580257</v>
      </c>
      <c r="O19" s="52">
        <f t="shared" ref="O19" si="115">O16+O17+O18</f>
        <v>29088.010000000002</v>
      </c>
      <c r="P19" s="20">
        <f t="shared" ref="P19" si="116">IF(M19&gt;0,Q19/M19,0)</f>
        <v>0.23549990123456788</v>
      </c>
      <c r="Q19" s="52">
        <f t="shared" ref="Q19" si="117">Q16+Q17+Q18</f>
        <v>9537.7459999999992</v>
      </c>
      <c r="R19" s="20">
        <f t="shared" ref="R19" si="118">IF(M19&gt;0,T19/M19,0)</f>
        <v>4.627762962962962E-2</v>
      </c>
      <c r="S19" s="107"/>
      <c r="T19" s="52">
        <f t="shared" ref="T19" si="119">T16+T17+T18</f>
        <v>1874.2439999999997</v>
      </c>
      <c r="U19" s="20">
        <f t="shared" ref="U19" si="120">IF(M19&gt;0,V19/M19,0)</f>
        <v>0.22998560493827158</v>
      </c>
      <c r="V19" s="52">
        <f t="shared" ref="V19" si="121">V16+V17+V18</f>
        <v>9314.4169999999995</v>
      </c>
      <c r="W19" s="20">
        <f t="shared" ref="W19" si="122">IF(M19&gt;0,X19/M19,0)</f>
        <v>0.4950314567901235</v>
      </c>
      <c r="X19" s="52">
        <f t="shared" ref="X19" si="123">X16+X17+X18</f>
        <v>20048.774000000001</v>
      </c>
      <c r="Y19" s="20">
        <f t="shared" ref="Y19" si="124">IF(M19&gt;0,Z19/M19,0)</f>
        <v>0.3999656790123457</v>
      </c>
      <c r="Z19" s="52">
        <f t="shared" ref="Z19" si="125">Z16+Z17+Z18</f>
        <v>16198.61</v>
      </c>
      <c r="AA19" s="119">
        <f>IF(M19&gt;0,AB19/M19,0)</f>
        <v>2.4333506172839509E-3</v>
      </c>
      <c r="AB19" s="54">
        <f t="shared" ref="AB19" si="126">SUM(AB16:AB18)</f>
        <v>98.550700000000006</v>
      </c>
      <c r="AC19" s="53">
        <f t="shared" ref="AC19" si="127">IF(M19&gt;0,AD19/M19,0)</f>
        <v>2.6101987654320986E-3</v>
      </c>
      <c r="AD19" s="54">
        <f t="shared" ref="AD19" si="128">SUM(AD16:AD18)</f>
        <v>105.71305</v>
      </c>
      <c r="AE19" s="53">
        <f t="shared" ref="AE19" si="129">IF(M19&gt;0,(AE16*M16+AE17*M17+AE18*M18)/M19,0)</f>
        <v>2.5533815530864199E-3</v>
      </c>
      <c r="AF19" s="53">
        <f t="shared" ref="AF19" si="130">IF(K19&gt;0,(K16*AF16+K17*AF17+K18*AF18)/K19,0)</f>
        <v>2.5332327745025793E-4</v>
      </c>
      <c r="AG19" s="50">
        <f t="shared" ref="AG19" si="131">SUM(AG16:AG18)</f>
        <v>10.25935</v>
      </c>
      <c r="AH19" s="51">
        <f t="shared" ref="AH19" si="132">IF(K19&gt;0,(K16*AH16+K17*AH17+K18*AH18)/K19,0)</f>
        <v>0.20413004789977893</v>
      </c>
      <c r="AI19" s="56">
        <f t="shared" ref="AI19" si="133">SUM(AI16:AI18)</f>
        <v>88.810947600000006</v>
      </c>
      <c r="AJ19" s="51">
        <f t="shared" ref="AJ19" si="134">IF(AND(AD19&gt;0),((AD16*AJ16+AD17*AJ17+AD18*AJ18)/AD19),0)</f>
        <v>0.90407262675668543</v>
      </c>
      <c r="AK19" s="55">
        <f t="shared" si="6"/>
        <v>0.90185580291473644</v>
      </c>
      <c r="AL19" s="49">
        <f t="shared" ref="AL19" si="135">SUM(AL16:AL18)</f>
        <v>477</v>
      </c>
      <c r="AM19" s="20">
        <f t="shared" ref="AM19" si="136">IF(AL19&gt;0,(AM16*AL16+AM17*AL17+AM18*AL18)/AL19,0)</f>
        <v>8.8025157232704404E-2</v>
      </c>
      <c r="AN19" s="51">
        <f>IF(K19&gt;0,(AN16*K16+AN17*K17+AN18*K18)/K19,0)</f>
        <v>0.21417532470523212</v>
      </c>
      <c r="AO19" s="107">
        <f>IF(K19&gt;0,(AO16*K16+AO17*K17+AO18*K18)/K19,0)</f>
        <v>0.21934088522476047</v>
      </c>
      <c r="AP19" s="56">
        <f t="shared" ref="AP19" si="137">SUM(AP16:AP18)</f>
        <v>93.152602900000005</v>
      </c>
      <c r="AQ19" s="108">
        <f t="shared" si="51"/>
        <v>95.404002800000001</v>
      </c>
      <c r="AR19" s="54"/>
      <c r="AS19" s="54">
        <f t="shared" ref="AS19" si="138">SUM(AS16:AS18)</f>
        <v>1017.32</v>
      </c>
      <c r="AT19" s="83"/>
      <c r="AU19" s="84">
        <f>AT18</f>
        <v>449.01999999999896</v>
      </c>
      <c r="AV19" s="49">
        <f t="shared" ref="AV19" si="139">SUM(AV16:AV18)</f>
        <v>0</v>
      </c>
      <c r="AW19" s="57"/>
      <c r="AX19" s="56"/>
      <c r="AY19" s="56"/>
      <c r="AZ19" s="56"/>
      <c r="BA19" s="56"/>
      <c r="BB19" s="21"/>
    </row>
    <row r="20" spans="1:54">
      <c r="A20" s="147">
        <v>5</v>
      </c>
      <c r="B20" s="22">
        <v>1</v>
      </c>
      <c r="C20" s="10" t="s">
        <v>59</v>
      </c>
      <c r="D20" s="11">
        <v>5200</v>
      </c>
      <c r="E20" s="11">
        <v>0</v>
      </c>
      <c r="F20" s="11">
        <v>13109</v>
      </c>
      <c r="G20" s="12">
        <v>1</v>
      </c>
      <c r="H20" s="12">
        <v>7.1</v>
      </c>
      <c r="I20" s="11">
        <v>13366</v>
      </c>
      <c r="J20" s="12">
        <v>4.7</v>
      </c>
      <c r="K20" s="11">
        <v>14184</v>
      </c>
      <c r="L20" s="13">
        <v>6.7000000000000004E-2</v>
      </c>
      <c r="M20" s="23">
        <f>ROUND(K20*(1-L20),0)</f>
        <v>13234</v>
      </c>
      <c r="N20" s="14">
        <v>0.68100000000000005</v>
      </c>
      <c r="O20" s="24">
        <f t="shared" ref="O20:O22" si="140">M20*N20</f>
        <v>9012.3540000000012</v>
      </c>
      <c r="P20" s="13">
        <v>0.26700000000000002</v>
      </c>
      <c r="Q20" s="24">
        <f t="shared" ref="Q20:Q22" si="141">M20*P20</f>
        <v>3533.4780000000001</v>
      </c>
      <c r="R20" s="15">
        <v>5.1999999999999998E-2</v>
      </c>
      <c r="S20" s="112">
        <v>0.24279999999999999</v>
      </c>
      <c r="T20" s="24">
        <f t="shared" ref="T20:T22" si="142">M20*R20</f>
        <v>688.16800000000001</v>
      </c>
      <c r="U20" s="25">
        <v>0.214</v>
      </c>
      <c r="V20" s="24">
        <f t="shared" ref="V20:V22" si="143">M20*U20</f>
        <v>2832.076</v>
      </c>
      <c r="W20" s="15">
        <v>0.51400000000000001</v>
      </c>
      <c r="X20" s="24">
        <f t="shared" ref="X20:X22" si="144">M20*W20</f>
        <v>6802.2759999999998</v>
      </c>
      <c r="Y20" s="15">
        <v>0.4</v>
      </c>
      <c r="Z20" s="24">
        <f t="shared" ref="Z20:Z22" si="145">Y20*M20</f>
        <v>5293.6</v>
      </c>
      <c r="AA20" s="116">
        <v>2.66E-3</v>
      </c>
      <c r="AB20" s="18">
        <f t="shared" ref="AB20" si="146">M20*AA20</f>
        <v>35.202440000000003</v>
      </c>
      <c r="AC20" s="16">
        <v>2.63E-3</v>
      </c>
      <c r="AD20" s="17">
        <f t="shared" ref="AD20:AD22" si="147">M20*AC20</f>
        <v>34.805419999999998</v>
      </c>
      <c r="AE20" s="26">
        <f>IF(M20&gt;0,(AG20+AP20)/M20,0)</f>
        <v>2.8440370485114108E-3</v>
      </c>
      <c r="AF20" s="16">
        <v>2.5000000000000001E-4</v>
      </c>
      <c r="AG20" s="23">
        <f t="shared" ref="AG20:AG22" si="148">AF20*M20</f>
        <v>3.3085</v>
      </c>
      <c r="AH20" s="92">
        <v>0.20730000000000001</v>
      </c>
      <c r="AI20" s="29">
        <f t="shared" ref="AI20:AI22" si="149">AL20*(1-AM20)*AH20</f>
        <v>33.426503100000005</v>
      </c>
      <c r="AJ20" s="27">
        <f t="shared" ref="AJ20:AJ22" si="150">IF(AND(AH20&gt;0,AF20&gt;0,AC20&gt;0),((AC20-AF20)*AH20)/((AH20-AF20)*AC20),0)</f>
        <v>0.906035628138535</v>
      </c>
      <c r="AK20" s="58">
        <f t="shared" si="6"/>
        <v>0.91316908317528567</v>
      </c>
      <c r="AL20" s="11">
        <v>177</v>
      </c>
      <c r="AM20" s="13">
        <v>8.8999999999999996E-2</v>
      </c>
      <c r="AN20" s="14">
        <v>0.21290000000000001</v>
      </c>
      <c r="AO20" s="101">
        <v>0.2142</v>
      </c>
      <c r="AP20" s="29">
        <f>AL20*(1-AM20)*AN20</f>
        <v>34.329486300000006</v>
      </c>
      <c r="AQ20" s="102">
        <f t="shared" ref="AQ20" si="151">AL20*(1-AM20)*AO20</f>
        <v>34.539107400000006</v>
      </c>
      <c r="AR20" s="18">
        <v>1.55</v>
      </c>
      <c r="AS20" s="18">
        <v>503.68</v>
      </c>
      <c r="AT20" s="79">
        <f>AT18+AL20-AS20+AU20</f>
        <v>110.51999999999896</v>
      </c>
      <c r="AU20" s="130">
        <v>-11.82</v>
      </c>
      <c r="AV20" s="11"/>
      <c r="AW20" s="30"/>
      <c r="AX20" s="19"/>
      <c r="AY20" s="19"/>
      <c r="AZ20" s="19"/>
      <c r="BA20" s="19"/>
      <c r="BB20" s="31"/>
    </row>
    <row r="21" spans="1:54">
      <c r="A21" s="148"/>
      <c r="B21" s="32">
        <v>2</v>
      </c>
      <c r="C21" s="10" t="s">
        <v>55</v>
      </c>
      <c r="D21" s="33">
        <v>19600</v>
      </c>
      <c r="E21" s="33">
        <v>4</v>
      </c>
      <c r="F21" s="33">
        <v>16435</v>
      </c>
      <c r="G21" s="34">
        <v>1.2</v>
      </c>
      <c r="H21" s="34">
        <v>6.2</v>
      </c>
      <c r="I21" s="33">
        <v>15963</v>
      </c>
      <c r="J21" s="34">
        <v>4.3</v>
      </c>
      <c r="K21" s="33">
        <v>14760</v>
      </c>
      <c r="L21" s="35">
        <v>6.8000000000000005E-2</v>
      </c>
      <c r="M21" s="36">
        <f>ROUND(K21*(1-L21),0)</f>
        <v>13756</v>
      </c>
      <c r="N21" s="37">
        <v>0.65100000000000002</v>
      </c>
      <c r="O21" s="24">
        <f t="shared" si="140"/>
        <v>8955.1560000000009</v>
      </c>
      <c r="P21" s="35">
        <v>0.28199999999999997</v>
      </c>
      <c r="Q21" s="24">
        <f t="shared" si="141"/>
        <v>3879.1919999999996</v>
      </c>
      <c r="R21" s="38">
        <v>6.7000000000000004E-2</v>
      </c>
      <c r="S21" s="105">
        <v>0.27929999999999999</v>
      </c>
      <c r="T21" s="24">
        <f t="shared" si="142"/>
        <v>921.65200000000004</v>
      </c>
      <c r="U21" s="27">
        <v>0.23699999999999999</v>
      </c>
      <c r="V21" s="24">
        <f t="shared" si="143"/>
        <v>3260.172</v>
      </c>
      <c r="W21" s="38">
        <v>0.48</v>
      </c>
      <c r="X21" s="24">
        <f t="shared" si="144"/>
        <v>6602.88</v>
      </c>
      <c r="Y21" s="38">
        <v>0.38</v>
      </c>
      <c r="Z21" s="24">
        <f t="shared" si="145"/>
        <v>5227.28</v>
      </c>
      <c r="AA21" s="117">
        <v>2.2499999999999998E-3</v>
      </c>
      <c r="AB21" s="18">
        <f t="shared" si="60"/>
        <v>30.950999999999997</v>
      </c>
      <c r="AC21" s="39">
        <v>2.4399999999999999E-3</v>
      </c>
      <c r="AD21" s="17">
        <f t="shared" si="147"/>
        <v>33.564639999999997</v>
      </c>
      <c r="AE21" s="26">
        <f>IF(M21&gt;0,(AG21+AP21)/M21,0)</f>
        <v>2.4802898517010761E-3</v>
      </c>
      <c r="AF21" s="39">
        <v>2.5000000000000001E-4</v>
      </c>
      <c r="AG21" s="36">
        <f t="shared" si="148"/>
        <v>3.4390000000000001</v>
      </c>
      <c r="AH21" s="27">
        <v>0.21360000000000001</v>
      </c>
      <c r="AI21" s="40">
        <f t="shared" si="149"/>
        <v>28.704422400000006</v>
      </c>
      <c r="AJ21" s="27">
        <f t="shared" si="150"/>
        <v>0.89859270728080942</v>
      </c>
      <c r="AK21" s="28">
        <f t="shared" si="6"/>
        <v>0.90019108341447573</v>
      </c>
      <c r="AL21" s="33">
        <v>148</v>
      </c>
      <c r="AM21" s="35">
        <v>9.1999999999999998E-2</v>
      </c>
      <c r="AN21" s="37">
        <v>0.2283</v>
      </c>
      <c r="AO21" s="103">
        <v>0.22770000000000001</v>
      </c>
      <c r="AP21" s="40">
        <f>AL21*(1-AM21)*AN21</f>
        <v>30.679867200000004</v>
      </c>
      <c r="AQ21" s="104">
        <f t="shared" si="21"/>
        <v>30.599236800000003</v>
      </c>
      <c r="AR21" s="41">
        <v>1.55</v>
      </c>
      <c r="AS21" s="41"/>
      <c r="AT21" s="129">
        <f>AT20+AL21-AS21</f>
        <v>258.51999999999896</v>
      </c>
      <c r="AU21" s="82"/>
      <c r="AV21" s="42"/>
      <c r="AW21" s="43"/>
      <c r="AX21" s="44"/>
      <c r="AY21" s="44"/>
      <c r="AZ21" s="44"/>
      <c r="BA21" s="44"/>
      <c r="BB21" s="31"/>
    </row>
    <row r="22" spans="1:54">
      <c r="A22" s="148"/>
      <c r="B22" s="32">
        <v>3</v>
      </c>
      <c r="C22" s="10" t="s">
        <v>53</v>
      </c>
      <c r="D22" s="42">
        <v>19417</v>
      </c>
      <c r="E22" s="42">
        <v>0</v>
      </c>
      <c r="F22" s="42">
        <v>16490</v>
      </c>
      <c r="G22" s="36">
        <v>1.7</v>
      </c>
      <c r="H22" s="36">
        <v>6.5</v>
      </c>
      <c r="I22" s="42">
        <v>16555</v>
      </c>
      <c r="J22" s="36">
        <v>3.7</v>
      </c>
      <c r="K22" s="42">
        <v>15480</v>
      </c>
      <c r="L22" s="38">
        <v>6.3E-2</v>
      </c>
      <c r="M22" s="36">
        <f>ROUND(K22*(1-L22),0)</f>
        <v>14505</v>
      </c>
      <c r="N22" s="27">
        <v>0.71799999999999997</v>
      </c>
      <c r="O22" s="24">
        <f t="shared" si="140"/>
        <v>10414.59</v>
      </c>
      <c r="P22" s="38">
        <v>0.23100000000000001</v>
      </c>
      <c r="Q22" s="24">
        <f t="shared" si="141"/>
        <v>3350.6550000000002</v>
      </c>
      <c r="R22" s="38">
        <v>5.0999999999999997E-2</v>
      </c>
      <c r="S22" s="105">
        <v>0.23719999999999999</v>
      </c>
      <c r="T22" s="24">
        <f t="shared" si="142"/>
        <v>739.755</v>
      </c>
      <c r="U22" s="27">
        <v>0.22500000000000001</v>
      </c>
      <c r="V22" s="24">
        <f t="shared" si="143"/>
        <v>3263.625</v>
      </c>
      <c r="W22" s="38">
        <v>0.48699999999999999</v>
      </c>
      <c r="X22" s="24">
        <f t="shared" si="144"/>
        <v>7063.9349999999995</v>
      </c>
      <c r="Y22" s="38">
        <v>0.39</v>
      </c>
      <c r="Z22" s="24">
        <f t="shared" si="145"/>
        <v>5656.95</v>
      </c>
      <c r="AA22" s="118">
        <v>2.47E-3</v>
      </c>
      <c r="AB22" s="121">
        <f t="shared" si="60"/>
        <v>35.827350000000003</v>
      </c>
      <c r="AC22" s="45">
        <v>2.5400000000000002E-3</v>
      </c>
      <c r="AD22" s="17">
        <f t="shared" si="147"/>
        <v>36.842700000000001</v>
      </c>
      <c r="AE22" s="26">
        <f>IF(M22&gt;0,(AG22+AP22)/M22,0)</f>
        <v>2.6883314994829367E-3</v>
      </c>
      <c r="AF22" s="45">
        <v>2.5000000000000001E-4</v>
      </c>
      <c r="AG22" s="36">
        <f t="shared" si="148"/>
        <v>3.6262500000000002</v>
      </c>
      <c r="AH22" s="27">
        <v>0.20519999999999999</v>
      </c>
      <c r="AI22" s="40">
        <f t="shared" si="149"/>
        <v>33.124204800000001</v>
      </c>
      <c r="AJ22" s="27">
        <f t="shared" si="150"/>
        <v>0.90267455284849596</v>
      </c>
      <c r="AK22" s="28">
        <f t="shared" si="6"/>
        <v>0.90804162031415236</v>
      </c>
      <c r="AL22" s="42">
        <v>177</v>
      </c>
      <c r="AM22" s="38">
        <v>8.7999999999999995E-2</v>
      </c>
      <c r="AN22" s="27">
        <v>0.21909999999999999</v>
      </c>
      <c r="AO22" s="105">
        <v>0.22059999999999999</v>
      </c>
      <c r="AP22" s="40">
        <f>AL22*(1-AM22)*AN22</f>
        <v>35.367998399999998</v>
      </c>
      <c r="AQ22" s="106">
        <f t="shared" si="21"/>
        <v>35.6101344</v>
      </c>
      <c r="AR22" s="17">
        <v>1.62</v>
      </c>
      <c r="AS22" s="17"/>
      <c r="AT22" s="129">
        <f>AT21+AL22-AS22</f>
        <v>435.51999999999896</v>
      </c>
      <c r="AU22" s="82"/>
      <c r="AV22" s="42"/>
      <c r="AW22" s="46"/>
      <c r="AX22" s="40"/>
      <c r="AY22" s="40"/>
      <c r="AZ22" s="40"/>
      <c r="BA22" s="40"/>
      <c r="BB22" s="31"/>
    </row>
    <row r="23" spans="1:54">
      <c r="A23" s="149"/>
      <c r="B23" s="47" t="s">
        <v>56</v>
      </c>
      <c r="C23" s="48"/>
      <c r="D23" s="49">
        <f t="shared" ref="D23" si="152">SUM(D20:D22)</f>
        <v>44217</v>
      </c>
      <c r="E23" s="49"/>
      <c r="F23" s="49">
        <f t="shared" ref="F23" si="153">SUM(F20:F22)</f>
        <v>46034</v>
      </c>
      <c r="G23" s="50"/>
      <c r="H23" s="50"/>
      <c r="I23" s="49">
        <f t="shared" ref="I23:K23" si="154">SUM(I20:I22)</f>
        <v>45884</v>
      </c>
      <c r="J23" s="50"/>
      <c r="K23" s="49">
        <f t="shared" si="154"/>
        <v>44424</v>
      </c>
      <c r="L23" s="20">
        <f t="shared" ref="L23" si="155">IF(K23&gt;0,(K20*L20+K21*L21+K22*L22)/K23,0)</f>
        <v>6.5938411669367925E-2</v>
      </c>
      <c r="M23" s="50">
        <f t="shared" ref="M23" si="156">M20+M21+M22</f>
        <v>41495</v>
      </c>
      <c r="N23" s="51">
        <f t="shared" ref="N23" si="157">IF(M23&gt;0,O23/M23,0)</f>
        <v>0.68398843234124596</v>
      </c>
      <c r="O23" s="52">
        <f t="shared" ref="O23" si="158">O20+O21+O22</f>
        <v>28382.100000000002</v>
      </c>
      <c r="P23" s="20">
        <f t="shared" ref="P23" si="159">IF(M23&gt;0,Q23/M23,0)</f>
        <v>0.25938848053982411</v>
      </c>
      <c r="Q23" s="52">
        <f t="shared" ref="Q23" si="160">Q20+Q21+Q22</f>
        <v>10763.325000000001</v>
      </c>
      <c r="R23" s="20">
        <f t="shared" ref="R23" si="161">IF(M23&gt;0,T23/M23,0)</f>
        <v>5.662308711893E-2</v>
      </c>
      <c r="S23" s="107"/>
      <c r="T23" s="52">
        <f t="shared" ref="T23" si="162">T20+T21+T22</f>
        <v>2349.5750000000003</v>
      </c>
      <c r="U23" s="20">
        <f t="shared" ref="U23" si="163">IF(M23&gt;0,V23/M23,0)</f>
        <v>0.2254698879383058</v>
      </c>
      <c r="V23" s="52">
        <f t="shared" ref="V23" si="164">V20+V21+V22</f>
        <v>9355.8729999999996</v>
      </c>
      <c r="W23" s="20">
        <f t="shared" ref="W23" si="165">IF(M23&gt;0,X23/M23,0)</f>
        <v>0.49329054102903963</v>
      </c>
      <c r="X23" s="52">
        <f t="shared" ref="X23" si="166">X20+X21+X22</f>
        <v>20469.091</v>
      </c>
      <c r="Y23" s="20">
        <f t="shared" ref="Y23" si="167">IF(M23&gt;0,Z23/M23,0)</f>
        <v>0.38987420171104958</v>
      </c>
      <c r="Z23" s="52">
        <f t="shared" ref="Z23" si="168">Z20+Z21+Z22</f>
        <v>16177.830000000002</v>
      </c>
      <c r="AA23" s="119">
        <f>IF(M23&gt;0,AB23/M23,0)</f>
        <v>2.4576645378961322E-3</v>
      </c>
      <c r="AB23" s="54">
        <f t="shared" ref="AB23" si="169">SUM(AB20:AB22)</f>
        <v>101.98079000000001</v>
      </c>
      <c r="AC23" s="53">
        <f t="shared" ref="AC23" si="170">IF(M23&gt;0,AD23/M23,0)</f>
        <v>2.535552717194843E-3</v>
      </c>
      <c r="AD23" s="54">
        <f t="shared" ref="AD23" si="171">SUM(AD20:AD22)</f>
        <v>105.21276</v>
      </c>
      <c r="AE23" s="53">
        <f t="shared" ref="AE23" si="172">IF(M23&gt;0,(AE20*M20+AE21*M21+AE22*M22)/M23,0)</f>
        <v>2.6690228196168215E-3</v>
      </c>
      <c r="AF23" s="53">
        <f t="shared" ref="AF23" si="173">IF(K23&gt;0,(K20*AF20+K21*AF21+K22*AF22)/K23,0)</f>
        <v>2.5000000000000006E-4</v>
      </c>
      <c r="AG23" s="50">
        <f t="shared" ref="AG23" si="174">SUM(AG20:AG22)</f>
        <v>10.373750000000001</v>
      </c>
      <c r="AH23" s="51">
        <f t="shared" ref="AH23" si="175">IF(K23&gt;0,(K20*AH20+K21*AH21+K22*AH22)/K23,0)</f>
        <v>0.20866142625607778</v>
      </c>
      <c r="AI23" s="56">
        <f t="shared" ref="AI23" si="176">SUM(AI20:AI22)</f>
        <v>95.255130300000019</v>
      </c>
      <c r="AJ23" s="51">
        <f t="shared" ref="AJ23" si="177">IF(AND(AD23&gt;0),((AD20*AJ20+AD21*AJ21+AD22*AJ22)/AD23),0)</f>
        <v>0.90248425235743801</v>
      </c>
      <c r="AK23" s="55">
        <f t="shared" si="6"/>
        <v>0.90736302513984279</v>
      </c>
      <c r="AL23" s="49">
        <f t="shared" ref="AL23" si="178">SUM(AL20:AL22)</f>
        <v>502</v>
      </c>
      <c r="AM23" s="20">
        <f t="shared" ref="AM23" si="179">IF(AL23&gt;0,(AM20*AL20+AM21*AL21+AM22*AL22)/AL23,0)</f>
        <v>8.9531872509960156E-2</v>
      </c>
      <c r="AN23" s="51">
        <f>IF(K23&gt;0,(AN20*K20+AN21*K21+AN22*K22)/K23,0)</f>
        <v>0.22017714748784442</v>
      </c>
      <c r="AO23" s="107">
        <f>IF(K23&gt;0,(AO20*K20+AO21*K21+AO22*K22)/K23,0)</f>
        <v>0.22091555915721231</v>
      </c>
      <c r="AP23" s="56">
        <f t="shared" ref="AP23" si="180">SUM(AP20:AP22)</f>
        <v>100.37735190000001</v>
      </c>
      <c r="AQ23" s="108">
        <f t="shared" si="51"/>
        <v>100.7484786</v>
      </c>
      <c r="AR23" s="54"/>
      <c r="AS23" s="54">
        <f t="shared" ref="AS23" si="181">SUM(AS20:AS22)</f>
        <v>503.68</v>
      </c>
      <c r="AT23" s="83"/>
      <c r="AU23" s="84">
        <f>AT22</f>
        <v>435.51999999999896</v>
      </c>
      <c r="AV23" s="49">
        <f t="shared" ref="AV23" si="182">SUM(AV20:AV22)</f>
        <v>0</v>
      </c>
      <c r="AW23" s="57"/>
      <c r="AX23" s="56"/>
      <c r="AY23" s="56"/>
      <c r="AZ23" s="56"/>
      <c r="BA23" s="56"/>
      <c r="BB23" s="21"/>
    </row>
    <row r="24" spans="1:54">
      <c r="A24" s="147">
        <v>6</v>
      </c>
      <c r="B24" s="22">
        <v>1</v>
      </c>
      <c r="C24" s="10" t="s">
        <v>59</v>
      </c>
      <c r="D24" s="11">
        <v>3650</v>
      </c>
      <c r="E24" s="11">
        <v>1</v>
      </c>
      <c r="F24" s="11">
        <v>10778</v>
      </c>
      <c r="G24" s="12">
        <v>0.9</v>
      </c>
      <c r="H24" s="12">
        <v>5.8</v>
      </c>
      <c r="I24" s="11">
        <v>11249</v>
      </c>
      <c r="J24" s="12">
        <v>5</v>
      </c>
      <c r="K24" s="11">
        <v>15354</v>
      </c>
      <c r="L24" s="13">
        <v>7.1999999999999995E-2</v>
      </c>
      <c r="M24" s="23">
        <f>ROUND(K24*(1-L24),0)</f>
        <v>14249</v>
      </c>
      <c r="N24" s="14">
        <v>0.65800000000000003</v>
      </c>
      <c r="O24" s="24">
        <f t="shared" ref="O24:O26" si="183">M24*N24</f>
        <v>9375.8420000000006</v>
      </c>
      <c r="P24" s="13">
        <v>0.28199999999999997</v>
      </c>
      <c r="Q24" s="24">
        <f t="shared" ref="Q24:Q26" si="184">M24*P24</f>
        <v>4018.2179999999994</v>
      </c>
      <c r="R24" s="15">
        <v>0.06</v>
      </c>
      <c r="S24" s="112">
        <v>0.25540000000000002</v>
      </c>
      <c r="T24" s="24">
        <f t="shared" ref="T24:T26" si="185">M24*R24</f>
        <v>854.93999999999994</v>
      </c>
      <c r="U24" s="25">
        <v>0.217</v>
      </c>
      <c r="V24" s="24">
        <f t="shared" ref="V24:V26" si="186">M24*U24</f>
        <v>3092.0329999999999</v>
      </c>
      <c r="W24" s="15">
        <v>0.499</v>
      </c>
      <c r="X24" s="24">
        <f t="shared" ref="X24:X26" si="187">M24*W24</f>
        <v>7110.2510000000002</v>
      </c>
      <c r="Y24" s="15">
        <v>0.38</v>
      </c>
      <c r="Z24" s="24">
        <f t="shared" ref="Z24:Z26" si="188">Y24*M24</f>
        <v>5414.62</v>
      </c>
      <c r="AA24" s="116">
        <v>2.5000000000000001E-3</v>
      </c>
      <c r="AB24" s="18">
        <f t="shared" ref="AB24" si="189">M24*AA24</f>
        <v>35.622500000000002</v>
      </c>
      <c r="AC24" s="16">
        <v>2.5400000000000002E-3</v>
      </c>
      <c r="AD24" s="17">
        <f t="shared" ref="AD24:AD26" si="190">M24*AC24</f>
        <v>36.192460000000004</v>
      </c>
      <c r="AE24" s="26">
        <f>IF(M24&gt;0,(AG24+AP24)/M24,0)</f>
        <v>2.5863479542424027E-3</v>
      </c>
      <c r="AF24" s="16">
        <v>2.5000000000000001E-4</v>
      </c>
      <c r="AG24" s="23">
        <f t="shared" ref="AG24:AG26" si="191">AF24*M24</f>
        <v>3.5622500000000001</v>
      </c>
      <c r="AH24" s="92">
        <v>0.2087</v>
      </c>
      <c r="AI24" s="29">
        <f t="shared" ref="AI24:AI26" si="192">AL24*(1-AM24)*AH24</f>
        <v>32.618557800000005</v>
      </c>
      <c r="AJ24" s="27">
        <f t="shared" ref="AJ24:AJ26" si="193">IF(AND(AH24&gt;0,AF24&gt;0,AC24&gt;0),((AC24-AF24)*AH24)/((AH24-AF24)*AC24),0)</f>
        <v>0.90265608739420899</v>
      </c>
      <c r="AK24" s="58">
        <f t="shared" si="6"/>
        <v>0.90440010794290648</v>
      </c>
      <c r="AL24" s="11">
        <v>171</v>
      </c>
      <c r="AM24" s="13">
        <v>8.5999999999999993E-2</v>
      </c>
      <c r="AN24" s="14">
        <v>0.21299999999999999</v>
      </c>
      <c r="AO24" s="101">
        <v>0.21460000000000001</v>
      </c>
      <c r="AP24" s="29">
        <f>AL24*(1-AM24)*AN24</f>
        <v>33.290621999999999</v>
      </c>
      <c r="AQ24" s="102">
        <f t="shared" ref="AQ24" si="194">AL24*(1-AM24)*AO24</f>
        <v>33.540692400000005</v>
      </c>
      <c r="AR24" s="18">
        <v>1.55</v>
      </c>
      <c r="AS24" s="18">
        <v>510.82</v>
      </c>
      <c r="AT24" s="79">
        <f>AT22+AL24-AS24</f>
        <v>95.699999999998965</v>
      </c>
      <c r="AU24" s="80"/>
      <c r="AV24" s="11"/>
      <c r="AW24" s="30"/>
      <c r="AX24" s="19"/>
      <c r="AY24" s="19"/>
      <c r="AZ24" s="19"/>
      <c r="BA24" s="19"/>
      <c r="BB24" s="31"/>
    </row>
    <row r="25" spans="1:54">
      <c r="A25" s="148"/>
      <c r="B25" s="32">
        <v>2</v>
      </c>
      <c r="C25" s="10" t="s">
        <v>60</v>
      </c>
      <c r="D25" s="33">
        <v>18900</v>
      </c>
      <c r="E25" s="33">
        <v>4</v>
      </c>
      <c r="F25" s="33">
        <v>16595</v>
      </c>
      <c r="G25" s="34">
        <v>0.8</v>
      </c>
      <c r="H25" s="34">
        <v>5.4</v>
      </c>
      <c r="I25" s="33">
        <v>15172</v>
      </c>
      <c r="J25" s="34">
        <v>5.3</v>
      </c>
      <c r="K25" s="33">
        <v>15279</v>
      </c>
      <c r="L25" s="35">
        <v>7.6999999999999999E-2</v>
      </c>
      <c r="M25" s="36">
        <f>ROUND(K25*(1-L25),0)</f>
        <v>14103</v>
      </c>
      <c r="N25" s="37">
        <v>0.55100000000000005</v>
      </c>
      <c r="O25" s="24">
        <f t="shared" si="183"/>
        <v>7770.7530000000006</v>
      </c>
      <c r="P25" s="35">
        <v>0.41099999999999998</v>
      </c>
      <c r="Q25" s="24">
        <f t="shared" si="184"/>
        <v>5796.3329999999996</v>
      </c>
      <c r="R25" s="38">
        <v>3.7999999999999999E-2</v>
      </c>
      <c r="S25" s="105"/>
      <c r="T25" s="24">
        <f t="shared" si="185"/>
        <v>535.91399999999999</v>
      </c>
      <c r="U25" s="27">
        <v>0.21299999999999999</v>
      </c>
      <c r="V25" s="24">
        <f t="shared" si="186"/>
        <v>3003.9389999999999</v>
      </c>
      <c r="W25" s="38">
        <v>0.5</v>
      </c>
      <c r="X25" s="24">
        <f t="shared" si="187"/>
        <v>7051.5</v>
      </c>
      <c r="Y25" s="38">
        <v>0.37</v>
      </c>
      <c r="Z25" s="24">
        <f t="shared" si="188"/>
        <v>5218.1099999999997</v>
      </c>
      <c r="AA25" s="117">
        <v>2.5799999999999998E-3</v>
      </c>
      <c r="AB25" s="18">
        <f t="shared" si="60"/>
        <v>36.385739999999998</v>
      </c>
      <c r="AC25" s="39">
        <v>2.6800000000000001E-3</v>
      </c>
      <c r="AD25" s="17">
        <f t="shared" si="190"/>
        <v>37.796039999999998</v>
      </c>
      <c r="AE25" s="26">
        <f>IF(M25&gt;0,(AG25+AP25)/M25,0)</f>
        <v>2.7000095724313976E-3</v>
      </c>
      <c r="AF25" s="39">
        <v>2.5000000000000001E-4</v>
      </c>
      <c r="AG25" s="36">
        <f t="shared" si="191"/>
        <v>3.5257499999999999</v>
      </c>
      <c r="AH25" s="27">
        <v>0.20599999999999999</v>
      </c>
      <c r="AI25" s="40">
        <f t="shared" si="192"/>
        <v>32.725572</v>
      </c>
      <c r="AJ25" s="27">
        <f t="shared" si="193"/>
        <v>0.90781813895286612</v>
      </c>
      <c r="AK25" s="28">
        <f t="shared" si="6"/>
        <v>0.90845193330341201</v>
      </c>
      <c r="AL25" s="33">
        <v>174</v>
      </c>
      <c r="AM25" s="35">
        <v>8.6999999999999994E-2</v>
      </c>
      <c r="AN25" s="37">
        <v>0.2175</v>
      </c>
      <c r="AO25" s="103">
        <v>0.22450000000000001</v>
      </c>
      <c r="AP25" s="40">
        <f>AL25*(1-AM25)*AN25</f>
        <v>34.552484999999997</v>
      </c>
      <c r="AQ25" s="104">
        <f t="shared" si="21"/>
        <v>35.664518999999999</v>
      </c>
      <c r="AR25" s="41">
        <v>1.5</v>
      </c>
      <c r="AS25" s="41"/>
      <c r="AT25" s="129">
        <f>AT24+AL25-AS25</f>
        <v>269.69999999999897</v>
      </c>
      <c r="AU25" s="82"/>
      <c r="AV25" s="42"/>
      <c r="AW25" s="43"/>
      <c r="AX25" s="44"/>
      <c r="AY25" s="44"/>
      <c r="AZ25" s="44"/>
      <c r="BA25" s="44"/>
      <c r="BB25" s="31"/>
    </row>
    <row r="26" spans="1:54">
      <c r="A26" s="148"/>
      <c r="B26" s="32">
        <v>3</v>
      </c>
      <c r="C26" s="10" t="s">
        <v>57</v>
      </c>
      <c r="D26" s="42">
        <v>17000</v>
      </c>
      <c r="E26" s="42">
        <v>1</v>
      </c>
      <c r="F26" s="42">
        <v>15890</v>
      </c>
      <c r="G26" s="36">
        <v>0.6</v>
      </c>
      <c r="H26" s="36">
        <v>5.8</v>
      </c>
      <c r="I26" s="42">
        <v>15562</v>
      </c>
      <c r="J26" s="36">
        <v>5</v>
      </c>
      <c r="K26" s="42">
        <v>15253</v>
      </c>
      <c r="L26" s="38">
        <v>6.8000000000000005E-2</v>
      </c>
      <c r="M26" s="36">
        <f>ROUND(K26*(1-L26),0)</f>
        <v>14216</v>
      </c>
      <c r="N26" s="27">
        <v>0.60399999999999998</v>
      </c>
      <c r="O26" s="24">
        <f t="shared" si="183"/>
        <v>8586.4639999999999</v>
      </c>
      <c r="P26" s="38">
        <v>0.35899999999999999</v>
      </c>
      <c r="Q26" s="24">
        <f t="shared" si="184"/>
        <v>5103.5439999999999</v>
      </c>
      <c r="R26" s="38">
        <v>3.6999999999999998E-2</v>
      </c>
      <c r="S26" s="105"/>
      <c r="T26" s="24">
        <f t="shared" si="185"/>
        <v>525.99199999999996</v>
      </c>
      <c r="U26" s="27">
        <v>0.21099999999999999</v>
      </c>
      <c r="V26" s="24">
        <f t="shared" si="186"/>
        <v>2999.576</v>
      </c>
      <c r="W26" s="38">
        <v>0.51100000000000001</v>
      </c>
      <c r="X26" s="24">
        <f t="shared" si="187"/>
        <v>7264.3760000000002</v>
      </c>
      <c r="Y26" s="38">
        <v>0.39</v>
      </c>
      <c r="Z26" s="24">
        <f t="shared" si="188"/>
        <v>5544.24</v>
      </c>
      <c r="AA26" s="118">
        <v>2.6099999999999999E-3</v>
      </c>
      <c r="AB26" s="121">
        <f t="shared" si="60"/>
        <v>37.103760000000001</v>
      </c>
      <c r="AC26" s="45">
        <v>2.7399999999999998E-3</v>
      </c>
      <c r="AD26" s="17">
        <f t="shared" si="190"/>
        <v>38.951839999999997</v>
      </c>
      <c r="AE26" s="26">
        <f>IF(M26&gt;0,(AG26+AP26)/M26,0)</f>
        <v>2.6137971370287006E-3</v>
      </c>
      <c r="AF26" s="45">
        <v>2.5000000000000001E-4</v>
      </c>
      <c r="AG26" s="36">
        <f t="shared" si="191"/>
        <v>3.5540000000000003</v>
      </c>
      <c r="AH26" s="27">
        <v>0.20730000000000001</v>
      </c>
      <c r="AI26" s="40">
        <f t="shared" si="192"/>
        <v>32.506091100000006</v>
      </c>
      <c r="AJ26" s="27">
        <f t="shared" si="193"/>
        <v>0.90985639422051523</v>
      </c>
      <c r="AK26" s="28">
        <f t="shared" si="6"/>
        <v>0.90540995079890008</v>
      </c>
      <c r="AL26" s="42">
        <v>171</v>
      </c>
      <c r="AM26" s="38">
        <v>8.3000000000000004E-2</v>
      </c>
      <c r="AN26" s="27">
        <v>0.21429999999999999</v>
      </c>
      <c r="AO26" s="105">
        <v>0.22289999999999999</v>
      </c>
      <c r="AP26" s="40">
        <f>AL26*(1-AM26)*AN26</f>
        <v>33.603740100000003</v>
      </c>
      <c r="AQ26" s="106">
        <f t="shared" si="21"/>
        <v>34.952280299999998</v>
      </c>
      <c r="AR26" s="17">
        <v>1.5</v>
      </c>
      <c r="AS26" s="17"/>
      <c r="AT26" s="129">
        <f>AT25+AL26-AS26</f>
        <v>440.69999999999897</v>
      </c>
      <c r="AU26" s="82"/>
      <c r="AV26" s="42"/>
      <c r="AW26" s="46"/>
      <c r="AX26" s="40"/>
      <c r="AY26" s="40"/>
      <c r="AZ26" s="40"/>
      <c r="BA26" s="40"/>
      <c r="BB26" s="31"/>
    </row>
    <row r="27" spans="1:54">
      <c r="A27" s="149"/>
      <c r="B27" s="47" t="s">
        <v>56</v>
      </c>
      <c r="C27" s="48"/>
      <c r="D27" s="49">
        <f t="shared" ref="D27" si="195">SUM(D24:D26)</f>
        <v>39550</v>
      </c>
      <c r="E27" s="49"/>
      <c r="F27" s="49">
        <f t="shared" ref="F27" si="196">SUM(F24:F26)</f>
        <v>43263</v>
      </c>
      <c r="G27" s="50"/>
      <c r="H27" s="50"/>
      <c r="I27" s="49">
        <f t="shared" ref="I27:K27" si="197">SUM(I24:I26)</f>
        <v>41983</v>
      </c>
      <c r="J27" s="50"/>
      <c r="K27" s="49">
        <f t="shared" si="197"/>
        <v>45886</v>
      </c>
      <c r="L27" s="20">
        <f t="shared" ref="L27" si="198">IF(K27&gt;0,(K24*L24+K25*L25+K26*L26)/K27,0)</f>
        <v>7.2335243865231214E-2</v>
      </c>
      <c r="M27" s="50">
        <f t="shared" ref="M27" si="199">M24+M25+M26</f>
        <v>42568</v>
      </c>
      <c r="N27" s="51">
        <f t="shared" ref="N27" si="200">IF(M27&gt;0,O27/M27,0)</f>
        <v>0.60451651475286605</v>
      </c>
      <c r="O27" s="52">
        <f t="shared" ref="O27" si="201">O24+O25+O26</f>
        <v>25733.059000000001</v>
      </c>
      <c r="P27" s="20">
        <f t="shared" ref="P27" si="202">IF(M27&gt;0,Q27/M27,0)</f>
        <v>0.35045327476038335</v>
      </c>
      <c r="Q27" s="52">
        <f t="shared" ref="Q27" si="203">Q24+Q25+Q26</f>
        <v>14918.094999999999</v>
      </c>
      <c r="R27" s="20">
        <f t="shared" ref="R27" si="204">IF(M27&gt;0,T27/M27,0)</f>
        <v>4.5030210486750606E-2</v>
      </c>
      <c r="S27" s="107"/>
      <c r="T27" s="52">
        <f t="shared" ref="T27" si="205">T24+T25+T26</f>
        <v>1916.8459999999998</v>
      </c>
      <c r="U27" s="20">
        <f t="shared" ref="U27" si="206">IF(M27&gt;0,V27/M27,0)</f>
        <v>0.21367102048487124</v>
      </c>
      <c r="V27" s="52">
        <f t="shared" ref="V27" si="207">V24+V25+V26</f>
        <v>9095.5479999999989</v>
      </c>
      <c r="W27" s="20">
        <f t="shared" ref="W27" si="208">IF(M27&gt;0,X27/M27,0)</f>
        <v>0.50333882258973883</v>
      </c>
      <c r="X27" s="52">
        <f t="shared" ref="X27" si="209">X24+X25+X26</f>
        <v>21426.127</v>
      </c>
      <c r="Y27" s="20">
        <f t="shared" ref="Y27" si="210">IF(M27&gt;0,Z27/M27,0)</f>
        <v>0.38002654576207479</v>
      </c>
      <c r="Z27" s="52">
        <f t="shared" ref="Z27" si="211">Z24+Z25+Z26</f>
        <v>16176.97</v>
      </c>
      <c r="AA27" s="119">
        <f>IF(M27&gt;0,AB27/M27,0)</f>
        <v>2.5632399924826158E-3</v>
      </c>
      <c r="AB27" s="54">
        <f t="shared" ref="AB27" si="212">SUM(AB24:AB26)</f>
        <v>109.11199999999999</v>
      </c>
      <c r="AC27" s="53">
        <f t="shared" ref="AC27" si="213">IF(M27&gt;0,AD27/M27,0)</f>
        <v>2.653174685209547E-3</v>
      </c>
      <c r="AD27" s="54">
        <f t="shared" ref="AD27" si="214">SUM(AD24:AD26)</f>
        <v>112.94033999999999</v>
      </c>
      <c r="AE27" s="53">
        <f t="shared" ref="AE27" si="215">IF(M27&gt;0,(AE24*M24+AE25*M25+AE26*M26)/M27,0)</f>
        <v>2.6331715631460256E-3</v>
      </c>
      <c r="AF27" s="53">
        <f t="shared" ref="AF27" si="216">IF(K27&gt;0,(K24*AF24+K25*AF25+K26*AF26)/K27,0)</f>
        <v>2.5000000000000001E-4</v>
      </c>
      <c r="AG27" s="50">
        <f t="shared" ref="AG27" si="217">SUM(AG24:AG26)</f>
        <v>10.641999999999999</v>
      </c>
      <c r="AH27" s="51">
        <f t="shared" ref="AH27" si="218">IF(K27&gt;0,(K24*AH24+K25*AH25+K26*AH26)/K27,0)</f>
        <v>0.20733558601752167</v>
      </c>
      <c r="AI27" s="56">
        <f t="shared" ref="AI27" si="219">SUM(AI24:AI26)</f>
        <v>97.850220900000011</v>
      </c>
      <c r="AJ27" s="51">
        <f t="shared" ref="AJ27" si="220">IF(AND(AD27&gt;0),((AD24*AJ24+AD25*AJ25+AD26*AJ26)/AD27),0)</f>
        <v>0.90686689733724846</v>
      </c>
      <c r="AK27" s="55">
        <f t="shared" si="6"/>
        <v>0.90611141712323551</v>
      </c>
      <c r="AL27" s="49">
        <f t="shared" ref="AL27" si="221">SUM(AL24:AL26)</f>
        <v>516</v>
      </c>
      <c r="AM27" s="20">
        <f t="shared" ref="AM27" si="222">IF(AL27&gt;0,(AM24*AL24+AM25*AL25+AM26*AL26)/AL27,0)</f>
        <v>8.5343023255813957E-2</v>
      </c>
      <c r="AN27" s="51">
        <f>IF(K27&gt;0,(AN24*K24+AN25*K25+AN26*K26)/K27,0)</f>
        <v>0.21493053218846708</v>
      </c>
      <c r="AO27" s="107">
        <f>IF(K27&gt;0,(AO24*K24+AO25*K25+AO26*K26)/K27,0)</f>
        <v>0.22065548533321708</v>
      </c>
      <c r="AP27" s="56">
        <f t="shared" ref="AP27:AQ39" si="223">SUM(AP24:AP26)</f>
        <v>101.44684710000001</v>
      </c>
      <c r="AQ27" s="108">
        <f t="shared" si="223"/>
        <v>104.15749169999999</v>
      </c>
      <c r="AR27" s="54"/>
      <c r="AS27" s="54">
        <f t="shared" ref="AS27" si="224">SUM(AS24:AS26)</f>
        <v>510.82</v>
      </c>
      <c r="AT27" s="83"/>
      <c r="AU27" s="84">
        <f>AT26</f>
        <v>440.69999999999897</v>
      </c>
      <c r="AV27" s="49">
        <f t="shared" ref="AV27" si="225">SUM(AV24:AV26)</f>
        <v>0</v>
      </c>
      <c r="AW27" s="57"/>
      <c r="AX27" s="56"/>
      <c r="AY27" s="56"/>
      <c r="AZ27" s="56"/>
      <c r="BA27" s="56"/>
      <c r="BB27" s="21"/>
    </row>
    <row r="28" spans="1:54">
      <c r="A28" s="147">
        <v>7</v>
      </c>
      <c r="B28" s="22">
        <v>1</v>
      </c>
      <c r="C28" s="10" t="s">
        <v>58</v>
      </c>
      <c r="D28" s="11">
        <v>14630</v>
      </c>
      <c r="E28" s="11">
        <v>0</v>
      </c>
      <c r="F28" s="11">
        <v>17611</v>
      </c>
      <c r="G28" s="12">
        <v>1.1000000000000001</v>
      </c>
      <c r="H28" s="12">
        <v>7</v>
      </c>
      <c r="I28" s="11">
        <v>17358</v>
      </c>
      <c r="J28" s="12">
        <v>4.0999999999999996</v>
      </c>
      <c r="K28" s="11">
        <v>15231</v>
      </c>
      <c r="L28" s="13">
        <v>7.0000000000000007E-2</v>
      </c>
      <c r="M28" s="23">
        <f>ROUND(K28*(1-L28),0)</f>
        <v>14165</v>
      </c>
      <c r="N28" s="14">
        <v>0.81299999999999994</v>
      </c>
      <c r="O28" s="24">
        <f t="shared" ref="O28:O30" si="226">M28*N28</f>
        <v>11516.144999999999</v>
      </c>
      <c r="P28" s="13">
        <v>0.13100000000000001</v>
      </c>
      <c r="Q28" s="24">
        <f t="shared" ref="Q28:Q30" si="227">M28*P28</f>
        <v>1855.615</v>
      </c>
      <c r="R28" s="15">
        <v>5.6000000000000001E-2</v>
      </c>
      <c r="S28" s="112"/>
      <c r="T28" s="24">
        <f t="shared" ref="T28:T30" si="228">M28*R28</f>
        <v>793.24</v>
      </c>
      <c r="U28" s="25">
        <v>0.224</v>
      </c>
      <c r="V28" s="24">
        <f t="shared" ref="V28:V30" si="229">M28*U28</f>
        <v>3172.96</v>
      </c>
      <c r="W28" s="15">
        <v>0.48199999999999998</v>
      </c>
      <c r="X28" s="24">
        <f t="shared" ref="X28:X30" si="230">M28*W28</f>
        <v>6827.53</v>
      </c>
      <c r="Y28" s="15">
        <v>0.38</v>
      </c>
      <c r="Z28" s="24">
        <f t="shared" ref="Z28:Z30" si="231">Y28*M28</f>
        <v>5382.7</v>
      </c>
      <c r="AA28" s="116">
        <v>2.5600000000000002E-3</v>
      </c>
      <c r="AB28" s="18">
        <f t="shared" ref="AB28" si="232">M28*AA28</f>
        <v>36.2624</v>
      </c>
      <c r="AC28" s="16">
        <v>2.7299999999999998E-3</v>
      </c>
      <c r="AD28" s="17">
        <f t="shared" ref="AD28:AD30" si="233">M28*AC28</f>
        <v>38.670449999999995</v>
      </c>
      <c r="AE28" s="26">
        <f>IF(M28&gt;0,(AG28+AP28)/M28,0)</f>
        <v>2.7703989975291208E-3</v>
      </c>
      <c r="AF28" s="16">
        <v>2.4000000000000001E-4</v>
      </c>
      <c r="AG28" s="23">
        <f t="shared" ref="AG28:AG30" si="234">AF28*M28</f>
        <v>3.3996</v>
      </c>
      <c r="AH28" s="92">
        <v>0.20580000000000001</v>
      </c>
      <c r="AI28" s="29">
        <f t="shared" ref="AI28:AI30" si="235">AL28*(1-AM28)*AH28</f>
        <v>33.257485800000005</v>
      </c>
      <c r="AJ28" s="27">
        <f t="shared" ref="AJ28:AJ30" si="236">IF(AND(AH28&gt;0,AF28&gt;0,AC28&gt;0),((AC28-AF28)*AH28)/((AH28-AF28)*AC28),0)</f>
        <v>0.9131528133279444</v>
      </c>
      <c r="AK28" s="58">
        <f t="shared" si="6"/>
        <v>0.91435926698032488</v>
      </c>
      <c r="AL28" s="11">
        <v>177</v>
      </c>
      <c r="AM28" s="13">
        <v>8.6999999999999994E-2</v>
      </c>
      <c r="AN28" s="14">
        <v>0.2218</v>
      </c>
      <c r="AO28" s="101">
        <v>0.224</v>
      </c>
      <c r="AP28" s="29">
        <f>AL28*(1-AM28)*AN28</f>
        <v>35.843101799999999</v>
      </c>
      <c r="AQ28" s="102">
        <f t="shared" ref="AQ28" si="237">AL28*(1-AM28)*AO28</f>
        <v>36.198624000000002</v>
      </c>
      <c r="AR28" s="18">
        <v>1.55</v>
      </c>
      <c r="AS28" s="18"/>
      <c r="AT28" s="79">
        <f>AT26+AL28-AS28</f>
        <v>617.69999999999891</v>
      </c>
      <c r="AU28" s="80"/>
      <c r="AV28" s="11"/>
      <c r="AW28" s="30"/>
      <c r="AX28" s="19"/>
      <c r="AY28" s="19"/>
      <c r="AZ28" s="19"/>
      <c r="BA28" s="19"/>
      <c r="BB28" s="31"/>
    </row>
    <row r="29" spans="1:54">
      <c r="A29" s="148"/>
      <c r="B29" s="32">
        <v>2</v>
      </c>
      <c r="C29" s="10" t="s">
        <v>60</v>
      </c>
      <c r="D29" s="33">
        <v>20930</v>
      </c>
      <c r="E29" s="33">
        <v>2</v>
      </c>
      <c r="F29" s="33">
        <v>18165</v>
      </c>
      <c r="G29" s="34">
        <v>0.5</v>
      </c>
      <c r="H29" s="34">
        <v>5.5</v>
      </c>
      <c r="I29" s="33">
        <v>17289</v>
      </c>
      <c r="J29" s="34">
        <v>3.5</v>
      </c>
      <c r="K29" s="33">
        <v>15126</v>
      </c>
      <c r="L29" s="35">
        <v>5.6000000000000001E-2</v>
      </c>
      <c r="M29" s="36">
        <f>ROUND(K29*(1-L29),0)</f>
        <v>14279</v>
      </c>
      <c r="N29" s="37">
        <v>0.68300000000000005</v>
      </c>
      <c r="O29" s="24">
        <f t="shared" si="226"/>
        <v>9752.5570000000007</v>
      </c>
      <c r="P29" s="35">
        <v>0.23599999999999999</v>
      </c>
      <c r="Q29" s="24">
        <f t="shared" si="227"/>
        <v>3369.8439999999996</v>
      </c>
      <c r="R29" s="38">
        <v>8.1000000000000003E-2</v>
      </c>
      <c r="S29" s="105"/>
      <c r="T29" s="24">
        <f t="shared" si="228"/>
        <v>1156.5989999999999</v>
      </c>
      <c r="U29" s="27">
        <v>0.215</v>
      </c>
      <c r="V29" s="24">
        <f t="shared" si="229"/>
        <v>3069.9850000000001</v>
      </c>
      <c r="W29" s="38">
        <v>0.498</v>
      </c>
      <c r="X29" s="24">
        <f t="shared" si="230"/>
        <v>7110.942</v>
      </c>
      <c r="Y29" s="38">
        <v>0.39</v>
      </c>
      <c r="Z29" s="24">
        <f t="shared" si="231"/>
        <v>5568.81</v>
      </c>
      <c r="AA29" s="117">
        <v>2.6199999999999999E-3</v>
      </c>
      <c r="AB29" s="18">
        <f t="shared" si="60"/>
        <v>37.410980000000002</v>
      </c>
      <c r="AC29" s="39">
        <v>2.7200000000000002E-3</v>
      </c>
      <c r="AD29" s="17">
        <f t="shared" si="233"/>
        <v>38.838880000000003</v>
      </c>
      <c r="AE29" s="26">
        <f>IF(M29&gt;0,(AG29+AP29)/M29,0)</f>
        <v>2.6762260662511381E-3</v>
      </c>
      <c r="AF29" s="39">
        <v>2.4000000000000001E-4</v>
      </c>
      <c r="AG29" s="36">
        <f t="shared" si="234"/>
        <v>3.4269600000000002</v>
      </c>
      <c r="AH29" s="27">
        <v>0.20380000000000001</v>
      </c>
      <c r="AI29" s="40">
        <f t="shared" si="235"/>
        <v>32.898211200000006</v>
      </c>
      <c r="AJ29" s="27">
        <f t="shared" si="236"/>
        <v>0.91283968883289202</v>
      </c>
      <c r="AK29" s="28">
        <f t="shared" si="6"/>
        <v>0.91133642274820148</v>
      </c>
      <c r="AL29" s="33">
        <v>177</v>
      </c>
      <c r="AM29" s="35">
        <v>8.7999999999999995E-2</v>
      </c>
      <c r="AN29" s="37">
        <v>0.2155</v>
      </c>
      <c r="AO29" s="103">
        <v>0.221</v>
      </c>
      <c r="AP29" s="40">
        <f>AL29*(1-AM29)*AN29</f>
        <v>34.786872000000002</v>
      </c>
      <c r="AQ29" s="104">
        <f t="shared" si="21"/>
        <v>35.674703999999998</v>
      </c>
      <c r="AR29" s="41">
        <v>1.55</v>
      </c>
      <c r="AS29" s="41"/>
      <c r="AT29" s="129">
        <f>AT28+AL29-AS29</f>
        <v>794.69999999999891</v>
      </c>
      <c r="AU29" s="82"/>
      <c r="AV29" s="42"/>
      <c r="AW29" s="43"/>
      <c r="AX29" s="44"/>
      <c r="AY29" s="44"/>
      <c r="AZ29" s="44"/>
      <c r="BA29" s="44"/>
      <c r="BB29" s="31"/>
    </row>
    <row r="30" spans="1:54">
      <c r="A30" s="148"/>
      <c r="B30" s="32">
        <v>3</v>
      </c>
      <c r="C30" s="10" t="s">
        <v>57</v>
      </c>
      <c r="D30" s="42">
        <v>16500</v>
      </c>
      <c r="E30" s="42">
        <v>0</v>
      </c>
      <c r="F30" s="42">
        <v>16597</v>
      </c>
      <c r="G30" s="36">
        <v>0.8</v>
      </c>
      <c r="H30" s="36">
        <v>5.9</v>
      </c>
      <c r="I30" s="42">
        <v>16532</v>
      </c>
      <c r="J30" s="36">
        <v>2.7</v>
      </c>
      <c r="K30" s="42">
        <v>14958</v>
      </c>
      <c r="L30" s="38">
        <v>0.06</v>
      </c>
      <c r="M30" s="36">
        <f>ROUND(K30*(1-L30),0)</f>
        <v>14061</v>
      </c>
      <c r="N30" s="27">
        <v>0.51500000000000001</v>
      </c>
      <c r="O30" s="24">
        <f t="shared" si="226"/>
        <v>7241.415</v>
      </c>
      <c r="P30" s="38">
        <v>0.40799999999999997</v>
      </c>
      <c r="Q30" s="24">
        <f t="shared" si="227"/>
        <v>5736.8879999999999</v>
      </c>
      <c r="R30" s="38">
        <v>7.6999999999999999E-2</v>
      </c>
      <c r="S30" s="105"/>
      <c r="T30" s="24">
        <f t="shared" si="228"/>
        <v>1082.6969999999999</v>
      </c>
      <c r="U30" s="27">
        <v>0.21299999999999999</v>
      </c>
      <c r="V30" s="24">
        <f t="shared" si="229"/>
        <v>2994.9929999999999</v>
      </c>
      <c r="W30" s="38">
        <v>0.49399999999999999</v>
      </c>
      <c r="X30" s="24">
        <f t="shared" si="230"/>
        <v>6946.134</v>
      </c>
      <c r="Y30" s="38">
        <v>0.39</v>
      </c>
      <c r="Z30" s="24">
        <f t="shared" si="231"/>
        <v>5483.79</v>
      </c>
      <c r="AA30" s="118">
        <v>2.6199999999999999E-3</v>
      </c>
      <c r="AB30" s="121">
        <f t="shared" si="60"/>
        <v>36.839819999999996</v>
      </c>
      <c r="AC30" s="45">
        <v>2.6800000000000001E-3</v>
      </c>
      <c r="AD30" s="17">
        <f t="shared" si="233"/>
        <v>37.683480000000003</v>
      </c>
      <c r="AE30" s="26">
        <f>IF(M30&gt;0,(AG30+AP30)/M30,0)</f>
        <v>2.6323257805277007E-3</v>
      </c>
      <c r="AF30" s="45">
        <v>2.4000000000000001E-4</v>
      </c>
      <c r="AG30" s="36">
        <f t="shared" si="234"/>
        <v>3.3746400000000003</v>
      </c>
      <c r="AH30" s="27">
        <v>0.20530000000000001</v>
      </c>
      <c r="AI30" s="40">
        <f t="shared" si="235"/>
        <v>32.916980800000005</v>
      </c>
      <c r="AJ30" s="27">
        <f t="shared" si="236"/>
        <v>0.9115133393793734</v>
      </c>
      <c r="AK30" s="28">
        <f t="shared" si="6"/>
        <v>0.90986671385492324</v>
      </c>
      <c r="AL30" s="42">
        <v>176</v>
      </c>
      <c r="AM30" s="38">
        <v>8.8999999999999996E-2</v>
      </c>
      <c r="AN30" s="27">
        <v>0.20979999999999999</v>
      </c>
      <c r="AO30" s="105">
        <v>0.22059999999999999</v>
      </c>
      <c r="AP30" s="40">
        <f>AL30*(1-AM30)*AN30</f>
        <v>33.638492800000002</v>
      </c>
      <c r="AQ30" s="106">
        <f t="shared" si="21"/>
        <v>35.370121600000004</v>
      </c>
      <c r="AR30" s="17">
        <v>1.5</v>
      </c>
      <c r="AS30" s="17"/>
      <c r="AT30" s="129">
        <f>AT29+AL30-AS30</f>
        <v>970.69999999999891</v>
      </c>
      <c r="AU30" s="82"/>
      <c r="AV30" s="42"/>
      <c r="AW30" s="46"/>
      <c r="AX30" s="40"/>
      <c r="AY30" s="40"/>
      <c r="AZ30" s="40"/>
      <c r="BA30" s="40"/>
      <c r="BB30" s="31"/>
    </row>
    <row r="31" spans="1:54">
      <c r="A31" s="149"/>
      <c r="B31" s="47" t="s">
        <v>56</v>
      </c>
      <c r="C31" s="48"/>
      <c r="D31" s="49">
        <f t="shared" ref="D31" si="238">SUM(D28:D30)</f>
        <v>52060</v>
      </c>
      <c r="E31" s="49"/>
      <c r="F31" s="49">
        <f t="shared" ref="F31" si="239">SUM(F28:F30)</f>
        <v>52373</v>
      </c>
      <c r="G31" s="50"/>
      <c r="H31" s="50"/>
      <c r="I31" s="49">
        <f t="shared" ref="I31:K31" si="240">SUM(I28:I30)</f>
        <v>51179</v>
      </c>
      <c r="J31" s="50"/>
      <c r="K31" s="49">
        <f t="shared" si="240"/>
        <v>45315</v>
      </c>
      <c r="L31" s="20">
        <f t="shared" ref="L31" si="241">IF(K31&gt;0,(K28*L28+K29*L29+K30*L30)/K31,0)</f>
        <v>6.2025951671631913E-2</v>
      </c>
      <c r="M31" s="50">
        <f t="shared" ref="M31" si="242">M28+M29+M30</f>
        <v>42505</v>
      </c>
      <c r="N31" s="51">
        <f t="shared" ref="N31" si="243">IF(M31&gt;0,O31/M31,0)</f>
        <v>0.67074737089754144</v>
      </c>
      <c r="O31" s="52">
        <f t="shared" ref="O31" si="244">O28+O29+O30</f>
        <v>28510.116999999998</v>
      </c>
      <c r="P31" s="20">
        <f t="shared" ref="P31" si="245">IF(M31&gt;0,Q31/M31,0)</f>
        <v>0.25790723444300667</v>
      </c>
      <c r="Q31" s="52">
        <f t="shared" ref="Q31" si="246">Q28+Q29+Q30</f>
        <v>10962.347</v>
      </c>
      <c r="R31" s="20">
        <f t="shared" ref="R31" si="247">IF(M31&gt;0,T31/M31,0)</f>
        <v>7.1345394659451833E-2</v>
      </c>
      <c r="S31" s="107"/>
      <c r="T31" s="52">
        <f t="shared" ref="T31" si="248">T28+T29+T30</f>
        <v>3032.5360000000001</v>
      </c>
      <c r="U31" s="20">
        <f t="shared" ref="U31" si="249">IF(M31&gt;0,V31/M31,0)</f>
        <v>0.21733767792024469</v>
      </c>
      <c r="V31" s="52">
        <f t="shared" ref="V31" si="250">V28+V29+V30</f>
        <v>9237.9380000000001</v>
      </c>
      <c r="W31" s="20">
        <f t="shared" ref="W31" si="251">IF(M31&gt;0,X31/M31,0)</f>
        <v>0.4913446888601341</v>
      </c>
      <c r="X31" s="52">
        <f t="shared" ref="X31" si="252">X28+X29+X30</f>
        <v>20884.606</v>
      </c>
      <c r="Y31" s="20">
        <f t="shared" ref="Y31" si="253">IF(M31&gt;0,Z31/M31,0)</f>
        <v>0.38666745088813081</v>
      </c>
      <c r="Z31" s="52">
        <f t="shared" ref="Z31" si="254">Z28+Z29+Z30</f>
        <v>16435.3</v>
      </c>
      <c r="AA31" s="119">
        <f>IF(M31&gt;0,AB31/M31,0)</f>
        <v>2.6000047053287853E-3</v>
      </c>
      <c r="AB31" s="54">
        <f t="shared" ref="AB31" si="255">SUM(AB28:AB30)</f>
        <v>110.51320000000001</v>
      </c>
      <c r="AC31" s="53">
        <f t="shared" ref="AC31" si="256">IF(M31&gt;0,AD31/M31,0)</f>
        <v>2.7101002235031175E-3</v>
      </c>
      <c r="AD31" s="54">
        <f t="shared" ref="AD31" si="257">SUM(AD28:AD30)</f>
        <v>115.19281000000001</v>
      </c>
      <c r="AE31" s="53">
        <f t="shared" ref="AE31" si="258">IF(M31&gt;0,(AE28*M28+AE29*M29+AE30*M30)/M31,0)</f>
        <v>2.6930870862251501E-3</v>
      </c>
      <c r="AF31" s="53">
        <f t="shared" ref="AF31" si="259">IF(K31&gt;0,(K28*AF28+K29*AF29+K30*AF30)/K31,0)</f>
        <v>2.4000000000000001E-4</v>
      </c>
      <c r="AG31" s="50">
        <f t="shared" ref="AG31" si="260">SUM(AG28:AG30)</f>
        <v>10.2012</v>
      </c>
      <c r="AH31" s="51">
        <f t="shared" ref="AH31" si="261">IF(K31&gt;0,(K28*AH28+K29*AH29+K30*AH30)/K31,0)</f>
        <v>0.20496736180072828</v>
      </c>
      <c r="AI31" s="56">
        <f t="shared" ref="AI31" si="262">SUM(AI28:AI30)</f>
        <v>99.072677800000008</v>
      </c>
      <c r="AJ31" s="51">
        <f t="shared" ref="AJ31" si="263">IF(AND(AD31&gt;0),((AD28*AJ28+AD29*AJ29+AD30*AJ30)/AD31),0)</f>
        <v>0.91251091138597495</v>
      </c>
      <c r="AK31" s="55">
        <f t="shared" si="6"/>
        <v>0.91189740047155843</v>
      </c>
      <c r="AL31" s="49">
        <f t="shared" ref="AL31" si="264">SUM(AL28:AL30)</f>
        <v>530</v>
      </c>
      <c r="AM31" s="20">
        <f t="shared" ref="AM31" si="265">IF(AL31&gt;0,(AM28*AL28+AM29*AL29+AM30*AL30)/AL31,0)</f>
        <v>8.7998113207547163E-2</v>
      </c>
      <c r="AN31" s="51">
        <f>IF(K31&gt;0,(AN28*K28+AN29*K29+AN30*K30)/K31,0)</f>
        <v>0.21573600794438927</v>
      </c>
      <c r="AO31" s="107">
        <f>IF(L31&gt;0,(AO28*K28+AO29*K29+AO30*K30)/K31,0)</f>
        <v>0.2218763058589871</v>
      </c>
      <c r="AP31" s="56">
        <f t="shared" ref="AP31" si="266">SUM(AP28:AP30)</f>
        <v>104.26846660000001</v>
      </c>
      <c r="AQ31" s="108">
        <f t="shared" si="223"/>
        <v>107.24344960000001</v>
      </c>
      <c r="AR31" s="54"/>
      <c r="AS31" s="54">
        <f t="shared" ref="AS31" si="267">SUM(AS28:AS30)</f>
        <v>0</v>
      </c>
      <c r="AT31" s="83"/>
      <c r="AU31" s="84">
        <f>AT30</f>
        <v>970.69999999999891</v>
      </c>
      <c r="AV31" s="49">
        <f t="shared" ref="AV31" si="268">SUM(AV28:AV30)</f>
        <v>0</v>
      </c>
      <c r="AW31" s="57"/>
      <c r="AX31" s="56"/>
      <c r="AY31" s="56"/>
      <c r="AZ31" s="56"/>
      <c r="BA31" s="56"/>
      <c r="BB31" s="21"/>
    </row>
    <row r="32" spans="1:54">
      <c r="A32" s="147">
        <v>8</v>
      </c>
      <c r="B32" s="22">
        <v>1</v>
      </c>
      <c r="C32" s="10" t="s">
        <v>58</v>
      </c>
      <c r="D32" s="11">
        <v>12900</v>
      </c>
      <c r="E32" s="11">
        <v>0</v>
      </c>
      <c r="F32" s="11">
        <v>16957</v>
      </c>
      <c r="G32" s="12">
        <v>0.5</v>
      </c>
      <c r="H32" s="12">
        <v>5.5</v>
      </c>
      <c r="I32" s="11">
        <v>16154</v>
      </c>
      <c r="J32" s="12">
        <v>2.1</v>
      </c>
      <c r="K32" s="11">
        <v>14955</v>
      </c>
      <c r="L32" s="13">
        <v>6.6000000000000003E-2</v>
      </c>
      <c r="M32" s="23">
        <f>ROUND(K32*(1-L32),0)</f>
        <v>13968</v>
      </c>
      <c r="N32" s="14">
        <v>0.69599999999999995</v>
      </c>
      <c r="O32" s="24">
        <f t="shared" ref="O32:O34" si="269">M32*N32</f>
        <v>9721.7279999999992</v>
      </c>
      <c r="P32" s="13">
        <v>0.20599999999999999</v>
      </c>
      <c r="Q32" s="24">
        <f t="shared" ref="Q32:Q34" si="270">M32*P32</f>
        <v>2877.4079999999999</v>
      </c>
      <c r="R32" s="15">
        <v>9.8000000000000004E-2</v>
      </c>
      <c r="S32" s="112"/>
      <c r="T32" s="24">
        <f t="shared" ref="T32:T34" si="271">M32*R32</f>
        <v>1368.864</v>
      </c>
      <c r="U32" s="25">
        <v>0.21099999999999999</v>
      </c>
      <c r="V32" s="24">
        <f t="shared" ref="V32:V34" si="272">M32*U32</f>
        <v>2947.248</v>
      </c>
      <c r="W32" s="15">
        <v>0.496</v>
      </c>
      <c r="X32" s="24">
        <f t="shared" ref="X32:X34" si="273">M32*W32</f>
        <v>6928.1279999999997</v>
      </c>
      <c r="Y32" s="15">
        <v>0.39</v>
      </c>
      <c r="Z32" s="24">
        <f t="shared" ref="Z32:Z34" si="274">Y32*M32</f>
        <v>5447.52</v>
      </c>
      <c r="AA32" s="116">
        <v>2.5000000000000001E-3</v>
      </c>
      <c r="AB32" s="18">
        <f t="shared" ref="AB32" si="275">M32*AA32</f>
        <v>34.92</v>
      </c>
      <c r="AC32" s="16">
        <v>2.6099999999999999E-3</v>
      </c>
      <c r="AD32" s="17">
        <f t="shared" ref="AD32:AD34" si="276">M32*AC32</f>
        <v>36.456479999999999</v>
      </c>
      <c r="AE32" s="26">
        <f>IF(M32&gt;0,(AG32+AP32)/M32,0)</f>
        <v>2.7375663230240553E-3</v>
      </c>
      <c r="AF32" s="16">
        <v>2.4000000000000001E-4</v>
      </c>
      <c r="AG32" s="23">
        <f t="shared" ref="AG32:AG34" si="277">AF32*M32</f>
        <v>3.3523200000000002</v>
      </c>
      <c r="AH32" s="92">
        <v>0.2056</v>
      </c>
      <c r="AI32" s="29">
        <f t="shared" ref="AI32:AI34" si="278">AL32*(1-AM32)*AH32</f>
        <v>33.376281600000006</v>
      </c>
      <c r="AJ32" s="27">
        <f t="shared" ref="AJ32:AJ34" si="279">IF(AND(AH32&gt;0,AF32&gt;0,AC32&gt;0),((AC32-AF32)*AH32)/((AH32-AF32)*AC32),0)</f>
        <v>0.90910719163207632</v>
      </c>
      <c r="AK32" s="58">
        <f t="shared" si="6"/>
        <v>0.91335092008190755</v>
      </c>
      <c r="AL32" s="11">
        <v>178</v>
      </c>
      <c r="AM32" s="13">
        <v>8.7999999999999995E-2</v>
      </c>
      <c r="AN32" s="14">
        <v>0.21490000000000001</v>
      </c>
      <c r="AO32" s="101">
        <v>0.22189999999999999</v>
      </c>
      <c r="AP32" s="29">
        <f>AL32*(1-AM32)*AN32</f>
        <v>34.886006400000007</v>
      </c>
      <c r="AQ32" s="102">
        <f t="shared" ref="AQ32" si="280">AL32*(1-AM32)*AO32</f>
        <v>36.022358400000002</v>
      </c>
      <c r="AR32" s="18">
        <v>1.55</v>
      </c>
      <c r="AS32" s="18"/>
      <c r="AT32" s="79">
        <f>AT30+AL32-AS32</f>
        <v>1148.6999999999989</v>
      </c>
      <c r="AU32" s="80"/>
      <c r="AV32" s="11"/>
      <c r="AW32" s="30"/>
      <c r="AX32" s="19"/>
      <c r="AY32" s="19"/>
      <c r="AZ32" s="19"/>
      <c r="BA32" s="19"/>
      <c r="BB32" s="31"/>
    </row>
    <row r="33" spans="1:54">
      <c r="A33" s="148"/>
      <c r="B33" s="32">
        <v>2</v>
      </c>
      <c r="C33" s="10" t="s">
        <v>53</v>
      </c>
      <c r="D33" s="33">
        <v>18315</v>
      </c>
      <c r="E33" s="33">
        <v>0</v>
      </c>
      <c r="F33" s="33">
        <v>13891</v>
      </c>
      <c r="G33" s="34">
        <v>0.8</v>
      </c>
      <c r="H33" s="34">
        <v>5.4</v>
      </c>
      <c r="I33" s="33">
        <v>13873</v>
      </c>
      <c r="J33" s="34">
        <v>3</v>
      </c>
      <c r="K33" s="33">
        <v>14947</v>
      </c>
      <c r="L33" s="35">
        <v>6.2E-2</v>
      </c>
      <c r="M33" s="36">
        <f>ROUND(K33*(1-L33),0)</f>
        <v>14020</v>
      </c>
      <c r="N33" s="37">
        <v>0.72199999999999998</v>
      </c>
      <c r="O33" s="24">
        <f t="shared" si="269"/>
        <v>10122.44</v>
      </c>
      <c r="P33" s="35">
        <v>0.19500000000000001</v>
      </c>
      <c r="Q33" s="24">
        <f t="shared" si="270"/>
        <v>2733.9</v>
      </c>
      <c r="R33" s="38">
        <v>8.3000000000000004E-2</v>
      </c>
      <c r="S33" s="105"/>
      <c r="T33" s="24">
        <f t="shared" si="271"/>
        <v>1163.6600000000001</v>
      </c>
      <c r="U33" s="27">
        <v>0.20699999999999999</v>
      </c>
      <c r="V33" s="24">
        <f t="shared" si="272"/>
        <v>2902.14</v>
      </c>
      <c r="W33" s="38">
        <v>0.502</v>
      </c>
      <c r="X33" s="24">
        <f t="shared" si="273"/>
        <v>7038.04</v>
      </c>
      <c r="Y33" s="38">
        <v>0.38</v>
      </c>
      <c r="Z33" s="24">
        <f t="shared" si="274"/>
        <v>5327.6</v>
      </c>
      <c r="AA33" s="117">
        <v>2.5300000000000001E-3</v>
      </c>
      <c r="AB33" s="18">
        <f t="shared" si="60"/>
        <v>35.470600000000005</v>
      </c>
      <c r="AC33" s="39">
        <v>2.47E-3</v>
      </c>
      <c r="AD33" s="17">
        <f t="shared" si="276"/>
        <v>34.629399999999997</v>
      </c>
      <c r="AE33" s="26">
        <f>IF(M33&gt;0,(AG33+AP33)/M33,0)</f>
        <v>2.6159876747503569E-3</v>
      </c>
      <c r="AF33" s="39">
        <v>2.4000000000000001E-4</v>
      </c>
      <c r="AG33" s="36">
        <f t="shared" si="277"/>
        <v>3.3648000000000002</v>
      </c>
      <c r="AH33" s="27">
        <v>0.2036</v>
      </c>
      <c r="AI33" s="40">
        <f t="shared" si="278"/>
        <v>31.751827200000001</v>
      </c>
      <c r="AJ33" s="27">
        <f t="shared" si="279"/>
        <v>0.90389950850011291</v>
      </c>
      <c r="AK33" s="28">
        <f t="shared" si="6"/>
        <v>0.9092781092823532</v>
      </c>
      <c r="AL33" s="33">
        <v>171</v>
      </c>
      <c r="AM33" s="35">
        <v>8.7999999999999995E-2</v>
      </c>
      <c r="AN33" s="37">
        <v>0.21360000000000001</v>
      </c>
      <c r="AO33" s="103">
        <v>0.2167</v>
      </c>
      <c r="AP33" s="40">
        <f>AL33*(1-AM33)*AN33</f>
        <v>33.3113472</v>
      </c>
      <c r="AQ33" s="104">
        <f t="shared" si="21"/>
        <v>33.794798399999998</v>
      </c>
      <c r="AR33" s="41">
        <v>1.58</v>
      </c>
      <c r="AS33" s="41"/>
      <c r="AT33" s="129">
        <f>AT32+AL33-AS33</f>
        <v>1319.6999999999989</v>
      </c>
      <c r="AU33" s="82"/>
      <c r="AV33" s="42"/>
      <c r="AW33" s="43"/>
      <c r="AX33" s="44"/>
      <c r="AY33" s="44"/>
      <c r="AZ33" s="44"/>
      <c r="BA33" s="44"/>
      <c r="BB33" s="31"/>
    </row>
    <row r="34" spans="1:54">
      <c r="A34" s="148"/>
      <c r="B34" s="32">
        <v>3</v>
      </c>
      <c r="C34" s="10" t="s">
        <v>57</v>
      </c>
      <c r="D34" s="42">
        <v>13100</v>
      </c>
      <c r="E34" s="42">
        <v>1</v>
      </c>
      <c r="F34" s="42">
        <v>16245</v>
      </c>
      <c r="G34" s="36">
        <v>0.8</v>
      </c>
      <c r="H34" s="36">
        <v>6.5</v>
      </c>
      <c r="I34" s="42">
        <v>15746</v>
      </c>
      <c r="J34" s="36">
        <v>2.5</v>
      </c>
      <c r="K34" s="42">
        <v>14874</v>
      </c>
      <c r="L34" s="38">
        <v>5.2999999999999999E-2</v>
      </c>
      <c r="M34" s="36">
        <f>ROUND(K34*(1-L34),0)</f>
        <v>14086</v>
      </c>
      <c r="N34" s="27">
        <v>0.70099999999999996</v>
      </c>
      <c r="O34" s="24">
        <f t="shared" si="269"/>
        <v>9874.2860000000001</v>
      </c>
      <c r="P34" s="38">
        <v>0.25700000000000001</v>
      </c>
      <c r="Q34" s="24">
        <f t="shared" si="270"/>
        <v>3620.1019999999999</v>
      </c>
      <c r="R34" s="38">
        <v>4.2000000000000003E-2</v>
      </c>
      <c r="S34" s="105"/>
      <c r="T34" s="24">
        <f t="shared" si="271"/>
        <v>591.61200000000008</v>
      </c>
      <c r="U34" s="27">
        <v>0.224</v>
      </c>
      <c r="V34" s="24">
        <f t="shared" si="272"/>
        <v>3155.2640000000001</v>
      </c>
      <c r="W34" s="38">
        <v>0.48199999999999998</v>
      </c>
      <c r="X34" s="24">
        <f t="shared" si="273"/>
        <v>6789.4520000000002</v>
      </c>
      <c r="Y34" s="38">
        <v>0.39</v>
      </c>
      <c r="Z34" s="24">
        <f t="shared" si="274"/>
        <v>5493.54</v>
      </c>
      <c r="AA34" s="118">
        <v>2.4099999999999998E-3</v>
      </c>
      <c r="AB34" s="121">
        <f t="shared" si="60"/>
        <v>33.94726</v>
      </c>
      <c r="AC34" s="45">
        <v>2.4299999999999999E-3</v>
      </c>
      <c r="AD34" s="17">
        <f t="shared" si="276"/>
        <v>34.22898</v>
      </c>
      <c r="AE34" s="26">
        <f>IF(M34&gt;0,(AG34+AP34)/M34,0)</f>
        <v>2.5260059633678833E-3</v>
      </c>
      <c r="AF34" s="45">
        <v>2.4000000000000001E-4</v>
      </c>
      <c r="AG34" s="36">
        <f t="shared" si="277"/>
        <v>3.3806400000000001</v>
      </c>
      <c r="AH34" s="27">
        <v>0.20419999999999999</v>
      </c>
      <c r="AI34" s="40">
        <f t="shared" si="278"/>
        <v>31.015938000000002</v>
      </c>
      <c r="AJ34" s="27">
        <f t="shared" si="279"/>
        <v>0.90229505180149094</v>
      </c>
      <c r="AK34" s="28">
        <f t="shared" si="6"/>
        <v>0.9060140240721285</v>
      </c>
      <c r="AL34" s="42">
        <v>166</v>
      </c>
      <c r="AM34" s="38">
        <v>8.5000000000000006E-2</v>
      </c>
      <c r="AN34" s="27">
        <v>0.21199999999999999</v>
      </c>
      <c r="AO34" s="105">
        <v>0.21809999999999999</v>
      </c>
      <c r="AP34" s="40">
        <f>AL34*(1-AM34)*AN34</f>
        <v>32.200680000000006</v>
      </c>
      <c r="AQ34" s="106">
        <f t="shared" si="21"/>
        <v>33.127209000000001</v>
      </c>
      <c r="AR34" s="17">
        <v>1.5</v>
      </c>
      <c r="AS34" s="17"/>
      <c r="AT34" s="129">
        <f>AT33+AL34-AS34</f>
        <v>1485.6999999999989</v>
      </c>
      <c r="AU34" s="82"/>
      <c r="AV34" s="42"/>
      <c r="AW34" s="46"/>
      <c r="AX34" s="40"/>
      <c r="AY34" s="40"/>
      <c r="AZ34" s="40"/>
      <c r="BA34" s="40"/>
      <c r="BB34" s="31"/>
    </row>
    <row r="35" spans="1:54">
      <c r="A35" s="149"/>
      <c r="B35" s="47" t="s">
        <v>56</v>
      </c>
      <c r="C35" s="48"/>
      <c r="D35" s="49">
        <f t="shared" ref="D35" si="281">SUM(D32:D34)</f>
        <v>44315</v>
      </c>
      <c r="E35" s="49"/>
      <c r="F35" s="49">
        <f t="shared" ref="F35" si="282">SUM(F32:F34)</f>
        <v>47093</v>
      </c>
      <c r="G35" s="50"/>
      <c r="H35" s="50"/>
      <c r="I35" s="49">
        <f t="shared" ref="I35:K35" si="283">SUM(I32:I34)</f>
        <v>45773</v>
      </c>
      <c r="J35" s="50"/>
      <c r="K35" s="49">
        <f t="shared" si="283"/>
        <v>44776</v>
      </c>
      <c r="L35" s="20">
        <f t="shared" ref="L35" si="284">IF(K35&gt;0,(K32*L32+K33*L33+K34*L34)/K35,0)</f>
        <v>6.0346301590137583E-2</v>
      </c>
      <c r="M35" s="50">
        <f t="shared" ref="M35" si="285">M32+M33+M34</f>
        <v>42074</v>
      </c>
      <c r="N35" s="51">
        <f t="shared" ref="N35" si="286">IF(M35&gt;0,O35/M35,0)</f>
        <v>0.70633773827066593</v>
      </c>
      <c r="O35" s="52">
        <f t="shared" ref="O35" si="287">O32+O33+O34</f>
        <v>29718.453999999998</v>
      </c>
      <c r="P35" s="20">
        <f t="shared" ref="P35" si="288">IF(M35&gt;0,Q35/M35,0)</f>
        <v>0.21940889860721585</v>
      </c>
      <c r="Q35" s="52">
        <f t="shared" ref="Q35" si="289">Q32+Q33+Q34</f>
        <v>9231.41</v>
      </c>
      <c r="R35" s="20">
        <f t="shared" ref="R35" si="290">IF(M35&gt;0,T35/M35,0)</f>
        <v>7.4253363122118179E-2</v>
      </c>
      <c r="S35" s="107"/>
      <c r="T35" s="52">
        <f t="shared" ref="T35" si="291">T32+T33+T34</f>
        <v>3124.1360000000004</v>
      </c>
      <c r="U35" s="20">
        <f t="shared" ref="U35" si="292">IF(M35&gt;0,V35/M35,0)</f>
        <v>0.21401939440034226</v>
      </c>
      <c r="V35" s="52">
        <f t="shared" ref="V35" si="293">V32+V33+V34</f>
        <v>9004.652</v>
      </c>
      <c r="W35" s="20">
        <f t="shared" ref="W35" si="294">IF(M35&gt;0,X35/M35,0)</f>
        <v>0.49331225935256928</v>
      </c>
      <c r="X35" s="52">
        <f t="shared" ref="X35" si="295">X32+X33+X34</f>
        <v>20755.62</v>
      </c>
      <c r="Y35" s="20">
        <f t="shared" ref="Y35" si="296">IF(M35&gt;0,Z35/M35,0)</f>
        <v>0.386667775823549</v>
      </c>
      <c r="Z35" s="52">
        <f t="shared" ref="Z35" si="297">Z32+Z33+Z34</f>
        <v>16268.66</v>
      </c>
      <c r="AA35" s="119">
        <f>IF(M35&gt;0,AB35/M35,0)</f>
        <v>2.4798654751152734E-3</v>
      </c>
      <c r="AB35" s="54">
        <f t="shared" ref="AB35" si="298">SUM(AB32:AB34)</f>
        <v>104.33786000000001</v>
      </c>
      <c r="AC35" s="53">
        <f t="shared" ref="AC35" si="299">IF(M35&gt;0,AD35/M35,0)</f>
        <v>2.5030864667015262E-3</v>
      </c>
      <c r="AD35" s="54">
        <f t="shared" ref="AD35" si="300">SUM(AD32:AD34)</f>
        <v>105.31486000000001</v>
      </c>
      <c r="AE35" s="53">
        <f t="shared" ref="AE35" si="301">IF(M35&gt;0,(AE32*M32+AE33*M33+AE34*M34)/M35,0)</f>
        <v>2.6262250701145603E-3</v>
      </c>
      <c r="AF35" s="53">
        <f t="shared" ref="AF35" si="302">IF(K35&gt;0,(K32*AF32+K33*AF33+K34*AF34)/K35,0)</f>
        <v>2.4000000000000001E-4</v>
      </c>
      <c r="AG35" s="50">
        <f t="shared" ref="AG35" si="303">SUM(AG32:AG34)</f>
        <v>10.097760000000001</v>
      </c>
      <c r="AH35" s="51">
        <f t="shared" ref="AH35" si="304">IF(K35&gt;0,(K32*AH32+K33*AH33+K34*AH34)/K35,0)</f>
        <v>0.20446730391281046</v>
      </c>
      <c r="AI35" s="56">
        <f t="shared" ref="AI35" si="305">SUM(AI32:AI34)</f>
        <v>96.144046800000012</v>
      </c>
      <c r="AJ35" s="51">
        <f t="shared" ref="AJ35" si="306">IF(AND(AD35&gt;0),((AD32*AJ32+AD33*AJ33+AD34*AJ34)/AD35),0)</f>
        <v>0.90518076054468444</v>
      </c>
      <c r="AK35" s="55">
        <f t="shared" si="6"/>
        <v>0.90963660718757</v>
      </c>
      <c r="AL35" s="49">
        <f t="shared" ref="AL35" si="307">SUM(AL32:AL34)</f>
        <v>515</v>
      </c>
      <c r="AM35" s="20">
        <f t="shared" ref="AM35" si="308">IF(AL35&gt;0,(AM32*AL32+AM33*AL33+AM34*AL34)/AL35,0)</f>
        <v>8.7033009708737855E-2</v>
      </c>
      <c r="AN35" s="51">
        <f>IF(K35&gt;0,(AN32*K32+AN33*K33+AN34*K34)/K35,0)</f>
        <v>0.21350269564052174</v>
      </c>
      <c r="AO35" s="107">
        <f>IF(L35&gt;0,(AO32*K32+AO33*K33+AO34*K34)/K35,0)</f>
        <v>0.21890184027157403</v>
      </c>
      <c r="AP35" s="56">
        <f t="shared" ref="AP35" si="309">SUM(AP32:AP34)</f>
        <v>100.39803360000002</v>
      </c>
      <c r="AQ35" s="108">
        <f t="shared" si="223"/>
        <v>102.94436579999999</v>
      </c>
      <c r="AR35" s="54"/>
      <c r="AS35" s="54">
        <f t="shared" ref="AS35" si="310">SUM(AS32:AS34)</f>
        <v>0</v>
      </c>
      <c r="AT35" s="83"/>
      <c r="AU35" s="84">
        <f>AT34</f>
        <v>1485.6999999999989</v>
      </c>
      <c r="AV35" s="49">
        <f t="shared" ref="AV35" si="311">SUM(AV32:AV34)</f>
        <v>0</v>
      </c>
      <c r="AW35" s="57"/>
      <c r="AX35" s="56"/>
      <c r="AY35" s="56"/>
      <c r="AZ35" s="56"/>
      <c r="BA35" s="56"/>
      <c r="BB35" s="21"/>
    </row>
    <row r="36" spans="1:54">
      <c r="A36" s="147">
        <v>9</v>
      </c>
      <c r="B36" s="22">
        <v>1</v>
      </c>
      <c r="C36" s="10" t="s">
        <v>58</v>
      </c>
      <c r="D36" s="11">
        <v>4000</v>
      </c>
      <c r="E36" s="11">
        <v>0</v>
      </c>
      <c r="F36" s="11">
        <v>11467</v>
      </c>
      <c r="G36" s="12">
        <v>0.6</v>
      </c>
      <c r="H36" s="12">
        <v>5.3</v>
      </c>
      <c r="I36" s="11">
        <v>11536</v>
      </c>
      <c r="J36" s="12">
        <v>4.0999999999999996</v>
      </c>
      <c r="K36" s="11">
        <v>15031</v>
      </c>
      <c r="L36" s="13">
        <v>0.06</v>
      </c>
      <c r="M36" s="23">
        <f>ROUND(K36*(1-L36),0)</f>
        <v>14129</v>
      </c>
      <c r="N36" s="14">
        <v>0.65900000000000003</v>
      </c>
      <c r="O36" s="24">
        <f t="shared" ref="O36:O38" si="312">M36*N36</f>
        <v>9311.0110000000004</v>
      </c>
      <c r="P36" s="13">
        <v>0.24199999999999999</v>
      </c>
      <c r="Q36" s="24">
        <f t="shared" ref="Q36:Q38" si="313">M36*P36</f>
        <v>3419.2179999999998</v>
      </c>
      <c r="R36" s="15">
        <v>9.9000000000000005E-2</v>
      </c>
      <c r="S36" s="112"/>
      <c r="T36" s="24">
        <f t="shared" ref="T36:T38" si="314">M36*R36</f>
        <v>1398.771</v>
      </c>
      <c r="U36" s="25">
        <v>0.20699999999999999</v>
      </c>
      <c r="V36" s="24">
        <f t="shared" ref="V36:V38" si="315">M36*U36</f>
        <v>2924.703</v>
      </c>
      <c r="W36" s="15">
        <v>0.496</v>
      </c>
      <c r="X36" s="24">
        <f t="shared" ref="X36:X38" si="316">M36*W36</f>
        <v>7007.9840000000004</v>
      </c>
      <c r="Y36" s="15">
        <v>0.38</v>
      </c>
      <c r="Z36" s="24">
        <f t="shared" ref="Z36:Z38" si="317">Y36*M36</f>
        <v>5369.02</v>
      </c>
      <c r="AA36" s="116">
        <v>2.66E-3</v>
      </c>
      <c r="AB36" s="18">
        <f t="shared" ref="AB36" si="318">M36*AA36</f>
        <v>37.58314</v>
      </c>
      <c r="AC36" s="16">
        <v>2.5500000000000002E-3</v>
      </c>
      <c r="AD36" s="17">
        <f t="shared" ref="AD36:AD38" si="319">M36*AC36</f>
        <v>36.028950000000002</v>
      </c>
      <c r="AE36" s="26">
        <f>IF(M36&gt;0,(AG36+AP36)/M36,0)</f>
        <v>2.5796793828296418E-3</v>
      </c>
      <c r="AF36" s="16">
        <v>2.3000000000000001E-4</v>
      </c>
      <c r="AG36" s="23">
        <f t="shared" ref="AG36:AG38" si="320">AF36*M36</f>
        <v>3.2496700000000001</v>
      </c>
      <c r="AH36" s="92">
        <v>0.2039</v>
      </c>
      <c r="AI36" s="29">
        <f t="shared" ref="AI36:AI38" si="321">AL36*(1-AM36)*AH36</f>
        <v>31.543330000000005</v>
      </c>
      <c r="AJ36" s="27">
        <f t="shared" ref="AJ36:AJ38" si="322">IF(AND(AH36&gt;0,AF36&gt;0,AC36&gt;0),((AC36-AF36)*AH36)/((AH36-AF36)*AC36),0)</f>
        <v>0.9108313428970547</v>
      </c>
      <c r="AK36" s="58">
        <f t="shared" si="6"/>
        <v>0.91181888574903613</v>
      </c>
      <c r="AL36" s="11">
        <v>170</v>
      </c>
      <c r="AM36" s="13">
        <v>0.09</v>
      </c>
      <c r="AN36" s="14">
        <v>0.21460000000000001</v>
      </c>
      <c r="AO36" s="101">
        <v>0.22059999999999999</v>
      </c>
      <c r="AP36" s="29">
        <f>AL36*(1-AM36)*AN36</f>
        <v>33.198620000000005</v>
      </c>
      <c r="AQ36" s="102">
        <f t="shared" ref="AQ36" si="323">AL36*(1-AM36)*AO36</f>
        <v>34.126820000000002</v>
      </c>
      <c r="AR36" s="18">
        <v>1.55</v>
      </c>
      <c r="AS36" s="18">
        <v>1009.86</v>
      </c>
      <c r="AT36" s="79">
        <f>AT34+AL36-AS36</f>
        <v>645.83999999999889</v>
      </c>
      <c r="AU36" s="80"/>
      <c r="AV36" s="11"/>
      <c r="AW36" s="30"/>
      <c r="AX36" s="19"/>
      <c r="AY36" s="19"/>
      <c r="AZ36" s="19"/>
      <c r="BA36" s="19"/>
      <c r="BB36" s="31"/>
    </row>
    <row r="37" spans="1:54">
      <c r="A37" s="148"/>
      <c r="B37" s="32">
        <v>2</v>
      </c>
      <c r="C37" s="10" t="s">
        <v>53</v>
      </c>
      <c r="D37" s="33">
        <v>17255</v>
      </c>
      <c r="E37" s="33">
        <v>5</v>
      </c>
      <c r="F37" s="33">
        <v>17323</v>
      </c>
      <c r="G37" s="34">
        <v>0.5</v>
      </c>
      <c r="H37" s="34">
        <v>5.0999999999999996</v>
      </c>
      <c r="I37" s="33">
        <v>16390</v>
      </c>
      <c r="J37" s="34">
        <v>3.2</v>
      </c>
      <c r="K37" s="33">
        <v>15451</v>
      </c>
      <c r="L37" s="35">
        <v>6.3E-2</v>
      </c>
      <c r="M37" s="36">
        <f>ROUND(K37*(1-L37),0)</f>
        <v>14478</v>
      </c>
      <c r="N37" s="37">
        <v>0.65900000000000003</v>
      </c>
      <c r="O37" s="24">
        <f t="shared" si="312"/>
        <v>9541.0020000000004</v>
      </c>
      <c r="P37" s="35">
        <v>0.19700000000000001</v>
      </c>
      <c r="Q37" s="24">
        <f t="shared" si="313"/>
        <v>2852.1660000000002</v>
      </c>
      <c r="R37" s="38">
        <v>0.114</v>
      </c>
      <c r="S37" s="105"/>
      <c r="T37" s="24">
        <f t="shared" si="314"/>
        <v>1650.492</v>
      </c>
      <c r="U37" s="27">
        <v>0.22</v>
      </c>
      <c r="V37" s="24">
        <f t="shared" si="315"/>
        <v>3185.16</v>
      </c>
      <c r="W37" s="38">
        <v>0.48499999999999999</v>
      </c>
      <c r="X37" s="24">
        <f t="shared" si="316"/>
        <v>7021.83</v>
      </c>
      <c r="Y37" s="38">
        <v>0.4</v>
      </c>
      <c r="Z37" s="24">
        <f t="shared" si="317"/>
        <v>5791.2000000000007</v>
      </c>
      <c r="AA37" s="117">
        <v>2.5000000000000001E-3</v>
      </c>
      <c r="AB37" s="18">
        <f t="shared" si="60"/>
        <v>36.195</v>
      </c>
      <c r="AC37" s="39">
        <v>2.5300000000000001E-3</v>
      </c>
      <c r="AD37" s="17">
        <f t="shared" si="319"/>
        <v>36.629339999999999</v>
      </c>
      <c r="AE37" s="26">
        <f>IF(M37&gt;0,(AG37+AP37)/M37,0)</f>
        <v>2.6661543307086614E-3</v>
      </c>
      <c r="AF37" s="39">
        <v>2.4000000000000001E-4</v>
      </c>
      <c r="AG37" s="36">
        <f t="shared" si="320"/>
        <v>3.47472</v>
      </c>
      <c r="AH37" s="27">
        <v>0.20549999999999999</v>
      </c>
      <c r="AI37" s="40">
        <f t="shared" si="321"/>
        <v>33.172632</v>
      </c>
      <c r="AJ37" s="27">
        <f t="shared" si="322"/>
        <v>0.9061966718004234</v>
      </c>
      <c r="AK37" s="28">
        <f t="shared" si="6"/>
        <v>0.91098747093160271</v>
      </c>
      <c r="AL37" s="33">
        <v>177</v>
      </c>
      <c r="AM37" s="35">
        <v>8.7999999999999995E-2</v>
      </c>
      <c r="AN37" s="37">
        <v>0.21759999999999999</v>
      </c>
      <c r="AO37" s="103">
        <v>0.2215</v>
      </c>
      <c r="AP37" s="40">
        <f>AL37*(1-AM37)*AN37</f>
        <v>35.125862400000003</v>
      </c>
      <c r="AQ37" s="104">
        <f t="shared" si="21"/>
        <v>35.755416000000004</v>
      </c>
      <c r="AR37" s="41">
        <v>1.6</v>
      </c>
      <c r="AS37" s="41"/>
      <c r="AT37" s="129">
        <f>AT36+AL37-AS37</f>
        <v>822.83999999999889</v>
      </c>
      <c r="AU37" s="82"/>
      <c r="AV37" s="42"/>
      <c r="AW37" s="43"/>
      <c r="AX37" s="44"/>
      <c r="AY37" s="44"/>
      <c r="AZ37" s="44"/>
      <c r="BA37" s="44"/>
      <c r="BB37" s="31"/>
    </row>
    <row r="38" spans="1:54">
      <c r="A38" s="148"/>
      <c r="B38" s="32">
        <v>3</v>
      </c>
      <c r="C38" s="10" t="s">
        <v>54</v>
      </c>
      <c r="D38" s="42">
        <v>22100</v>
      </c>
      <c r="E38" s="42">
        <v>0</v>
      </c>
      <c r="F38" s="42">
        <v>17244</v>
      </c>
      <c r="G38" s="36">
        <v>0.9</v>
      </c>
      <c r="H38" s="36">
        <v>7.6</v>
      </c>
      <c r="I38" s="42">
        <v>16827</v>
      </c>
      <c r="J38" s="36">
        <v>2.6</v>
      </c>
      <c r="K38" s="42">
        <v>15679</v>
      </c>
      <c r="L38" s="38">
        <v>6.2E-2</v>
      </c>
      <c r="M38" s="36">
        <f>ROUND(K38*(1-L38),0)</f>
        <v>14707</v>
      </c>
      <c r="N38" s="27">
        <v>0.78200000000000003</v>
      </c>
      <c r="O38" s="24">
        <f t="shared" si="312"/>
        <v>11500.874</v>
      </c>
      <c r="P38" s="38">
        <v>0.17299999999999999</v>
      </c>
      <c r="Q38" s="24">
        <f t="shared" si="313"/>
        <v>2544.3109999999997</v>
      </c>
      <c r="R38" s="38">
        <v>4.4999999999999998E-2</v>
      </c>
      <c r="S38" s="105"/>
      <c r="T38" s="24">
        <f t="shared" si="314"/>
        <v>661.81499999999994</v>
      </c>
      <c r="U38" s="27">
        <v>0.22700000000000001</v>
      </c>
      <c r="V38" s="24">
        <f t="shared" si="315"/>
        <v>3338.489</v>
      </c>
      <c r="W38" s="38">
        <v>0.48599999999999999</v>
      </c>
      <c r="X38" s="24">
        <f t="shared" si="316"/>
        <v>7147.6019999999999</v>
      </c>
      <c r="Y38" s="38">
        <v>0.41</v>
      </c>
      <c r="Z38" s="24">
        <f t="shared" si="317"/>
        <v>6029.87</v>
      </c>
      <c r="AA38" s="118">
        <v>2.64E-3</v>
      </c>
      <c r="AB38" s="121">
        <f t="shared" si="60"/>
        <v>38.826479999999997</v>
      </c>
      <c r="AC38" s="45">
        <v>2.5799999999999998E-3</v>
      </c>
      <c r="AD38" s="17">
        <f t="shared" si="319"/>
        <v>37.94406</v>
      </c>
      <c r="AE38" s="26">
        <f>IF(M38&gt;0,(AG38+AP38)/M38,0)</f>
        <v>2.5539414904467259E-3</v>
      </c>
      <c r="AF38" s="45">
        <v>2.4000000000000001E-4</v>
      </c>
      <c r="AG38" s="36">
        <f t="shared" si="320"/>
        <v>3.5296799999999999</v>
      </c>
      <c r="AH38" s="27">
        <v>0.2056</v>
      </c>
      <c r="AI38" s="40">
        <f t="shared" si="321"/>
        <v>32.169204000000001</v>
      </c>
      <c r="AJ38" s="27">
        <f t="shared" si="322"/>
        <v>0.9080367092162599</v>
      </c>
      <c r="AK38" s="28">
        <f t="shared" si="6"/>
        <v>0.90702846342525789</v>
      </c>
      <c r="AL38" s="42">
        <v>171</v>
      </c>
      <c r="AM38" s="38">
        <v>8.5000000000000006E-2</v>
      </c>
      <c r="AN38" s="27">
        <v>0.2175</v>
      </c>
      <c r="AO38" s="105">
        <v>0.21829999999999999</v>
      </c>
      <c r="AP38" s="40">
        <f>AL38*(1-AM38)*AN38</f>
        <v>34.0311375</v>
      </c>
      <c r="AQ38" s="106">
        <f t="shared" si="21"/>
        <v>34.156309499999999</v>
      </c>
      <c r="AR38" s="17">
        <v>1.55</v>
      </c>
      <c r="AS38" s="17"/>
      <c r="AT38" s="129">
        <f>AT37+AL38-AS38</f>
        <v>993.83999999999889</v>
      </c>
      <c r="AU38" s="82"/>
      <c r="AV38" s="42"/>
      <c r="AW38" s="46"/>
      <c r="AX38" s="40"/>
      <c r="AY38" s="40"/>
      <c r="AZ38" s="40"/>
      <c r="BA38" s="40"/>
      <c r="BB38" s="31"/>
    </row>
    <row r="39" spans="1:54">
      <c r="A39" s="149"/>
      <c r="B39" s="47" t="s">
        <v>56</v>
      </c>
      <c r="C39" s="48"/>
      <c r="D39" s="49">
        <f t="shared" ref="D39" si="324">SUM(D36:D38)</f>
        <v>43355</v>
      </c>
      <c r="E39" s="49"/>
      <c r="F39" s="49">
        <f t="shared" ref="F39" si="325">SUM(F36:F38)</f>
        <v>46034</v>
      </c>
      <c r="G39" s="50"/>
      <c r="H39" s="50"/>
      <c r="I39" s="49">
        <f t="shared" ref="I39:K39" si="326">SUM(I36:I38)</f>
        <v>44753</v>
      </c>
      <c r="J39" s="50"/>
      <c r="K39" s="49">
        <f t="shared" si="326"/>
        <v>46161</v>
      </c>
      <c r="L39" s="20">
        <f t="shared" ref="L39" si="327">IF(K39&gt;0,(K36*L36+K37*L37+K38*L38)/K39,0)</f>
        <v>6.1683477394337216E-2</v>
      </c>
      <c r="M39" s="50">
        <f t="shared" ref="M39" si="328">M36+M37+M38</f>
        <v>43314</v>
      </c>
      <c r="N39" s="51">
        <f t="shared" ref="N39" si="329">IF(M39&gt;0,O39/M39,0)</f>
        <v>0.70076388696495362</v>
      </c>
      <c r="O39" s="52">
        <f t="shared" ref="O39" si="330">O36+O37+O38</f>
        <v>30352.886999999999</v>
      </c>
      <c r="P39" s="20">
        <f t="shared" ref="P39" si="331">IF(M39&gt;0,Q39/M39,0)</f>
        <v>0.20352992104169551</v>
      </c>
      <c r="Q39" s="52">
        <f t="shared" ref="Q39" si="332">Q36+Q37+Q38</f>
        <v>8815.6949999999997</v>
      </c>
      <c r="R39" s="20">
        <f t="shared" ref="R39" si="333">IF(M39&gt;0,T39/M39,0)</f>
        <v>8.567848732511428E-2</v>
      </c>
      <c r="S39" s="107"/>
      <c r="T39" s="52">
        <f t="shared" ref="T39" si="334">T36+T37+T38</f>
        <v>3711.078</v>
      </c>
      <c r="U39" s="20">
        <f t="shared" ref="U39" si="335">IF(M39&gt;0,V39/M39,0)</f>
        <v>0.21813621461882993</v>
      </c>
      <c r="V39" s="52">
        <f t="shared" ref="V39" si="336">V36+V37+V38</f>
        <v>9448.351999999999</v>
      </c>
      <c r="W39" s="20">
        <f t="shared" ref="W39" si="337">IF(M39&gt;0,X39/M39,0)</f>
        <v>0.48892773699034958</v>
      </c>
      <c r="X39" s="52">
        <f t="shared" ref="X39" si="338">X36+X37+X38</f>
        <v>21177.416000000001</v>
      </c>
      <c r="Y39" s="20">
        <f t="shared" ref="Y39" si="339">IF(M39&gt;0,Z39/M39,0)</f>
        <v>0.3968714503393822</v>
      </c>
      <c r="Z39" s="52">
        <f t="shared" ref="Z39" si="340">Z36+Z37+Z38</f>
        <v>17190.09</v>
      </c>
      <c r="AA39" s="119">
        <f>IF(M39&gt;0,AB39/M39,0)</f>
        <v>2.599728032506811E-3</v>
      </c>
      <c r="AB39" s="54">
        <f t="shared" ref="AB39" si="341">SUM(AB36:AB38)</f>
        <v>112.60462000000001</v>
      </c>
      <c r="AC39" s="53">
        <f t="shared" ref="AC39" si="342">IF(M39&gt;0,AD39/M39,0)</f>
        <v>2.5535011774484003E-3</v>
      </c>
      <c r="AD39" s="54">
        <f t="shared" ref="AD39" si="343">SUM(AD36:AD38)</f>
        <v>110.60235</v>
      </c>
      <c r="AE39" s="53">
        <f t="shared" ref="AE39" si="344">IF(M39&gt;0,(AE36*M36+AE37*M37+AE38*M38)/M39,0)</f>
        <v>2.5998450824213882E-3</v>
      </c>
      <c r="AF39" s="53">
        <f t="shared" ref="AF39" si="345">IF(K39&gt;0,(K36*AF36+K37*AF37+K38*AF38)/K39,0)</f>
        <v>2.367437880461862E-4</v>
      </c>
      <c r="AG39" s="50">
        <f t="shared" ref="AG39" si="346">SUM(AG36:AG38)</f>
        <v>10.254069999999999</v>
      </c>
      <c r="AH39" s="51">
        <f t="shared" ref="AH39" si="347">IF(K39&gt;0,(K36*AH36+K37*AH37+K38*AH38)/K39,0)</f>
        <v>0.20501297198934168</v>
      </c>
      <c r="AI39" s="56">
        <f t="shared" ref="AI39" si="348">SUM(AI36:AI38)</f>
        <v>96.885165999999998</v>
      </c>
      <c r="AJ39" s="51">
        <f t="shared" ref="AJ39" si="349">IF(AND(AD39&gt;0),((AD36*AJ36+AD37*AJ37+AD38*AJ38)/AD39),0)</f>
        <v>0.90833768257746139</v>
      </c>
      <c r="AK39" s="55">
        <f t="shared" si="6"/>
        <v>0.90993387857870278</v>
      </c>
      <c r="AL39" s="49">
        <f t="shared" ref="AL39" si="350">SUM(AL36:AL38)</f>
        <v>518</v>
      </c>
      <c r="AM39" s="20">
        <f t="shared" ref="AM39" si="351">IF(AL39&gt;0,(AM36*AL36+AM37*AL37+AM38*AL38)/AL39,0)</f>
        <v>8.7666023166023163E-2</v>
      </c>
      <c r="AN39" s="51">
        <f>IF(K39&gt;0,(AN36*K36+AN37*K37+AN38*K38)/K39,0)</f>
        <v>0.21658917051190399</v>
      </c>
      <c r="AO39" s="107">
        <f>IF(L39&gt;0,(AO36*K36+AO37*K37+AO38*K38)/K39,0)</f>
        <v>0.22012003206169711</v>
      </c>
      <c r="AP39" s="56">
        <f t="shared" ref="AP39" si="352">SUM(AP36:AP38)</f>
        <v>102.35561990000001</v>
      </c>
      <c r="AQ39" s="108">
        <f t="shared" si="223"/>
        <v>104.0385455</v>
      </c>
      <c r="AR39" s="54"/>
      <c r="AS39" s="54">
        <f t="shared" ref="AS39" si="353">SUM(AS36:AS38)</f>
        <v>1009.86</v>
      </c>
      <c r="AT39" s="83"/>
      <c r="AU39" s="84">
        <f>AT38</f>
        <v>993.83999999999889</v>
      </c>
      <c r="AV39" s="49">
        <f t="shared" ref="AV39" si="354">SUM(AV36:AV38)</f>
        <v>0</v>
      </c>
      <c r="AW39" s="57"/>
      <c r="AX39" s="56"/>
      <c r="AY39" s="56"/>
      <c r="AZ39" s="56"/>
      <c r="BA39" s="56"/>
      <c r="BB39" s="21"/>
    </row>
    <row r="40" spans="1:54">
      <c r="A40" s="147">
        <v>10</v>
      </c>
      <c r="B40" s="22">
        <v>1</v>
      </c>
      <c r="C40" s="10" t="s">
        <v>55</v>
      </c>
      <c r="D40" s="11">
        <v>5500</v>
      </c>
      <c r="E40" s="11">
        <v>1</v>
      </c>
      <c r="F40" s="11">
        <v>5764</v>
      </c>
      <c r="G40" s="12">
        <v>1</v>
      </c>
      <c r="H40" s="12">
        <v>7</v>
      </c>
      <c r="I40" s="11">
        <v>6193</v>
      </c>
      <c r="J40" s="12">
        <v>6.9</v>
      </c>
      <c r="K40" s="11">
        <v>15455</v>
      </c>
      <c r="L40" s="13">
        <v>6.4000000000000001E-2</v>
      </c>
      <c r="M40" s="23">
        <f>ROUND(K40*(1-L40),0)</f>
        <v>14466</v>
      </c>
      <c r="N40" s="14">
        <v>0.746</v>
      </c>
      <c r="O40" s="24">
        <f t="shared" ref="O40:O42" si="355">M40*N40</f>
        <v>10791.636</v>
      </c>
      <c r="P40" s="13">
        <v>0.20699999999999999</v>
      </c>
      <c r="Q40" s="24">
        <f t="shared" ref="Q40:Q42" si="356">M40*P40</f>
        <v>2994.462</v>
      </c>
      <c r="R40" s="15">
        <v>4.7E-2</v>
      </c>
      <c r="S40" s="112"/>
      <c r="T40" s="24">
        <f t="shared" ref="T40:T42" si="357">M40*R40</f>
        <v>679.90200000000004</v>
      </c>
      <c r="U40" s="25">
        <v>0.22800000000000001</v>
      </c>
      <c r="V40" s="24">
        <f t="shared" ref="V40:V42" si="358">M40*U40</f>
        <v>3298.248</v>
      </c>
      <c r="W40" s="15">
        <v>0.48699999999999999</v>
      </c>
      <c r="X40" s="24">
        <f t="shared" ref="X40:X42" si="359">M40*W40</f>
        <v>7044.942</v>
      </c>
      <c r="Y40" s="15">
        <v>0.42</v>
      </c>
      <c r="Z40" s="24">
        <f t="shared" ref="Z40:Z42" si="360">Y40*M40</f>
        <v>6075.7199999999993</v>
      </c>
      <c r="AA40" s="116">
        <v>2.6700000000000001E-3</v>
      </c>
      <c r="AB40" s="18">
        <f t="shared" ref="AB40" si="361">M40*AA40</f>
        <v>38.624220000000001</v>
      </c>
      <c r="AC40" s="16">
        <v>2.5600000000000002E-3</v>
      </c>
      <c r="AD40" s="17">
        <f t="shared" ref="AD40:AD42" si="362">M40*AC40</f>
        <v>37.032960000000003</v>
      </c>
      <c r="AE40" s="26">
        <f>IF(M40&gt;0,(AG40+AP40)/M40,0)</f>
        <v>2.531124326005807E-3</v>
      </c>
      <c r="AF40" s="16">
        <v>2.4000000000000001E-4</v>
      </c>
      <c r="AG40" s="23">
        <f t="shared" ref="AG40:AG42" si="363">AF40*M40</f>
        <v>3.4718400000000003</v>
      </c>
      <c r="AH40" s="92">
        <v>0.20610000000000001</v>
      </c>
      <c r="AI40" s="29">
        <f t="shared" ref="AI40:AI42" si="364">AL40*(1-AM40)*AH40</f>
        <v>31.493110500000004</v>
      </c>
      <c r="AJ40" s="27">
        <f t="shared" ref="AJ40:AJ42" si="365">IF(AND(AH40&gt;0,AF40&gt;0,AC40&gt;0),((AC40-AF40)*AH40)/((AH40-AF40)*AC40),0)</f>
        <v>0.9073065432818419</v>
      </c>
      <c r="AK40" s="58">
        <f t="shared" si="6"/>
        <v>0.90618316979616242</v>
      </c>
      <c r="AL40" s="11">
        <v>167</v>
      </c>
      <c r="AM40" s="13">
        <v>8.5000000000000006E-2</v>
      </c>
      <c r="AN40" s="14">
        <v>0.21690000000000001</v>
      </c>
      <c r="AO40" s="101">
        <v>0.22009999999999999</v>
      </c>
      <c r="AP40" s="29">
        <f>AL40*(1-AM40)*AN40</f>
        <v>33.143404500000003</v>
      </c>
      <c r="AQ40" s="102">
        <f t="shared" ref="AQ40" si="366">AL40*(1-AM40)*AO40</f>
        <v>33.632380499999996</v>
      </c>
      <c r="AR40" s="18">
        <v>1.56</v>
      </c>
      <c r="AS40" s="18">
        <v>905.2</v>
      </c>
      <c r="AT40" s="79">
        <f>AT38+AL40-AS40+AU40</f>
        <v>295.11999999999875</v>
      </c>
      <c r="AU40" s="80">
        <v>39.479999999999997</v>
      </c>
      <c r="AV40" s="11"/>
      <c r="AW40" s="30"/>
      <c r="AX40" s="19"/>
      <c r="AY40" s="19"/>
      <c r="AZ40" s="19"/>
      <c r="BA40" s="19"/>
      <c r="BB40" s="31"/>
    </row>
    <row r="41" spans="1:54">
      <c r="A41" s="148"/>
      <c r="B41" s="32">
        <v>2</v>
      </c>
      <c r="C41" s="10" t="s">
        <v>53</v>
      </c>
      <c r="D41" s="33">
        <v>16996</v>
      </c>
      <c r="E41" s="33">
        <v>1</v>
      </c>
      <c r="F41" s="33">
        <v>15956</v>
      </c>
      <c r="G41" s="34">
        <v>1</v>
      </c>
      <c r="H41" s="34">
        <v>5.7</v>
      </c>
      <c r="I41" s="33">
        <v>15220</v>
      </c>
      <c r="J41" s="34">
        <v>5.0999999999999996</v>
      </c>
      <c r="K41" s="33">
        <v>15653</v>
      </c>
      <c r="L41" s="35">
        <v>6.2E-2</v>
      </c>
      <c r="M41" s="36">
        <f>ROUND(K41*(1-L41),0)</f>
        <v>14683</v>
      </c>
      <c r="N41" s="37">
        <v>0.79800000000000004</v>
      </c>
      <c r="O41" s="24">
        <f t="shared" si="355"/>
        <v>11717.034000000001</v>
      </c>
      <c r="P41" s="35">
        <v>0.129</v>
      </c>
      <c r="Q41" s="24">
        <f t="shared" si="356"/>
        <v>1894.107</v>
      </c>
      <c r="R41" s="38">
        <v>7.2999999999999995E-2</v>
      </c>
      <c r="S41" s="105"/>
      <c r="T41" s="24">
        <f t="shared" si="357"/>
        <v>1071.8589999999999</v>
      </c>
      <c r="U41" s="27">
        <v>0.219</v>
      </c>
      <c r="V41" s="24">
        <f t="shared" si="358"/>
        <v>3215.5770000000002</v>
      </c>
      <c r="W41" s="38">
        <v>0.502</v>
      </c>
      <c r="X41" s="24">
        <f t="shared" si="359"/>
        <v>7370.866</v>
      </c>
      <c r="Y41" s="38">
        <v>0.43</v>
      </c>
      <c r="Z41" s="24">
        <f t="shared" si="360"/>
        <v>6313.69</v>
      </c>
      <c r="AA41" s="117">
        <v>2.6700000000000001E-3</v>
      </c>
      <c r="AB41" s="18">
        <f t="shared" si="60"/>
        <v>39.203609999999998</v>
      </c>
      <c r="AC41" s="39">
        <v>2.5999999999999999E-3</v>
      </c>
      <c r="AD41" s="17">
        <f t="shared" si="362"/>
        <v>38.175799999999995</v>
      </c>
      <c r="AE41" s="26">
        <f>IF(M41&gt;0,(AG41+AP41)/M41,0)</f>
        <v>2.5972972280869032E-3</v>
      </c>
      <c r="AF41" s="39">
        <v>2.4000000000000001E-4</v>
      </c>
      <c r="AG41" s="36">
        <f t="shared" si="363"/>
        <v>3.5239199999999999</v>
      </c>
      <c r="AH41" s="27">
        <v>0.20349999999999999</v>
      </c>
      <c r="AI41" s="40">
        <f t="shared" si="364"/>
        <v>32.700008000000004</v>
      </c>
      <c r="AJ41" s="27">
        <f t="shared" si="365"/>
        <v>0.90876406875619697</v>
      </c>
      <c r="AK41" s="28">
        <f t="shared" si="6"/>
        <v>0.90860862874211434</v>
      </c>
      <c r="AL41" s="33">
        <v>176</v>
      </c>
      <c r="AM41" s="35">
        <v>8.6999999999999994E-2</v>
      </c>
      <c r="AN41" s="37">
        <v>0.21540000000000001</v>
      </c>
      <c r="AO41" s="103">
        <v>0.221</v>
      </c>
      <c r="AP41" s="40">
        <f>AL41*(1-AM41)*AN41</f>
        <v>34.612195200000002</v>
      </c>
      <c r="AQ41" s="104">
        <f t="shared" si="21"/>
        <v>35.512048000000007</v>
      </c>
      <c r="AR41" s="41">
        <v>1.6</v>
      </c>
      <c r="AS41" s="41"/>
      <c r="AT41" s="129">
        <f>AT40+AL41-AS41</f>
        <v>471.11999999999875</v>
      </c>
      <c r="AU41" s="82"/>
      <c r="AV41" s="42"/>
      <c r="AW41" s="43"/>
      <c r="AX41" s="44"/>
      <c r="AY41" s="44"/>
      <c r="AZ41" s="44"/>
      <c r="BA41" s="44"/>
      <c r="BB41" s="31"/>
    </row>
    <row r="42" spans="1:54">
      <c r="A42" s="148"/>
      <c r="B42" s="32">
        <v>3</v>
      </c>
      <c r="C42" s="10" t="s">
        <v>54</v>
      </c>
      <c r="D42" s="42">
        <v>16074</v>
      </c>
      <c r="E42" s="42">
        <v>0</v>
      </c>
      <c r="F42" s="42">
        <v>18582</v>
      </c>
      <c r="G42" s="36">
        <v>1.3</v>
      </c>
      <c r="H42" s="36">
        <v>7.2</v>
      </c>
      <c r="I42" s="42">
        <v>17931</v>
      </c>
      <c r="J42" s="36">
        <v>4.3</v>
      </c>
      <c r="K42" s="42">
        <v>15879</v>
      </c>
      <c r="L42" s="38">
        <v>6.3E-2</v>
      </c>
      <c r="M42" s="36">
        <f>ROUND(K42*(1-L42),0)</f>
        <v>14879</v>
      </c>
      <c r="N42" s="27">
        <v>0.66600000000000004</v>
      </c>
      <c r="O42" s="24">
        <f t="shared" si="355"/>
        <v>9909.4140000000007</v>
      </c>
      <c r="P42" s="38">
        <v>0.29499999999999998</v>
      </c>
      <c r="Q42" s="24">
        <f t="shared" si="356"/>
        <v>4389.3049999999994</v>
      </c>
      <c r="R42" s="38">
        <v>3.9E-2</v>
      </c>
      <c r="S42" s="105"/>
      <c r="T42" s="24">
        <f t="shared" si="357"/>
        <v>580.28099999999995</v>
      </c>
      <c r="U42" s="27">
        <v>0.217</v>
      </c>
      <c r="V42" s="24">
        <f t="shared" si="358"/>
        <v>3228.7429999999999</v>
      </c>
      <c r="W42" s="38">
        <v>0.505</v>
      </c>
      <c r="X42" s="24">
        <f t="shared" si="359"/>
        <v>7513.8950000000004</v>
      </c>
      <c r="Y42" s="38">
        <v>0.41</v>
      </c>
      <c r="Z42" s="24">
        <f t="shared" si="360"/>
        <v>6100.3899999999994</v>
      </c>
      <c r="AA42" s="118">
        <v>2.65E-3</v>
      </c>
      <c r="AB42" s="121">
        <f t="shared" si="60"/>
        <v>39.429349999999999</v>
      </c>
      <c r="AC42" s="45">
        <v>2.5899999999999999E-3</v>
      </c>
      <c r="AD42" s="17">
        <f t="shared" si="362"/>
        <v>38.536609999999996</v>
      </c>
      <c r="AE42" s="26">
        <f>IF(M42&gt;0,(AG42+AP42)/M42,0)</f>
        <v>2.6318157806304188E-3</v>
      </c>
      <c r="AF42" s="45">
        <v>2.4000000000000001E-4</v>
      </c>
      <c r="AG42" s="36">
        <f t="shared" si="363"/>
        <v>3.5709599999999999</v>
      </c>
      <c r="AH42" s="27">
        <v>0.2046</v>
      </c>
      <c r="AI42" s="40">
        <f t="shared" si="364"/>
        <v>34.184363400000002</v>
      </c>
      <c r="AJ42" s="27">
        <f t="shared" si="365"/>
        <v>0.90840148092056472</v>
      </c>
      <c r="AK42" s="28">
        <f t="shared" si="6"/>
        <v>0.90983337131697661</v>
      </c>
      <c r="AL42" s="42">
        <v>183</v>
      </c>
      <c r="AM42" s="38">
        <v>8.6999999999999994E-2</v>
      </c>
      <c r="AN42" s="27">
        <v>0.21299999999999999</v>
      </c>
      <c r="AO42" s="105">
        <v>0.21809999999999999</v>
      </c>
      <c r="AP42" s="40">
        <f>AL42*(1-AM42)*AN42</f>
        <v>35.587827000000004</v>
      </c>
      <c r="AQ42" s="106">
        <f t="shared" si="21"/>
        <v>36.439929900000003</v>
      </c>
      <c r="AR42" s="17">
        <v>1.55</v>
      </c>
      <c r="AS42" s="17"/>
      <c r="AT42" s="129">
        <f>AT41+AL42-AS42</f>
        <v>654.11999999999875</v>
      </c>
      <c r="AU42" s="82"/>
      <c r="AV42" s="42"/>
      <c r="AW42" s="46"/>
      <c r="AX42" s="40"/>
      <c r="AY42" s="40"/>
      <c r="AZ42" s="40"/>
      <c r="BA42" s="40"/>
      <c r="BB42" s="31"/>
    </row>
    <row r="43" spans="1:54">
      <c r="A43" s="149"/>
      <c r="B43" s="47" t="s">
        <v>56</v>
      </c>
      <c r="C43" s="48"/>
      <c r="D43" s="49">
        <f t="shared" ref="D43" si="367">SUM(D40:D42)</f>
        <v>38570</v>
      </c>
      <c r="E43" s="49"/>
      <c r="F43" s="49">
        <f t="shared" ref="F43" si="368">SUM(F40:F42)</f>
        <v>40302</v>
      </c>
      <c r="G43" s="50"/>
      <c r="H43" s="50"/>
      <c r="I43" s="49">
        <f t="shared" ref="I43:K43" si="369">SUM(I40:I42)</f>
        <v>39344</v>
      </c>
      <c r="J43" s="50"/>
      <c r="K43" s="49">
        <f t="shared" si="369"/>
        <v>46987</v>
      </c>
      <c r="L43" s="20">
        <f t="shared" ref="L43" si="370">IF(K43&gt;0,(K40*L40+K41*L41+K42*L42)/K43,0)</f>
        <v>6.2995786068487034E-2</v>
      </c>
      <c r="M43" s="50">
        <f t="shared" ref="M43" si="371">M40+M41+M42</f>
        <v>44028</v>
      </c>
      <c r="N43" s="51">
        <f t="shared" ref="N43" si="372">IF(M43&gt;0,O43/M43,0)</f>
        <v>0.73630607795039527</v>
      </c>
      <c r="O43" s="52">
        <f t="shared" ref="O43" si="373">O40+O41+O42</f>
        <v>32418.084000000003</v>
      </c>
      <c r="P43" s="20">
        <f t="shared" ref="P43" si="374">IF(M43&gt;0,Q43/M43,0)</f>
        <v>0.21072667393476877</v>
      </c>
      <c r="Q43" s="52">
        <f t="shared" ref="Q43" si="375">Q40+Q41+Q42</f>
        <v>9277.8739999999998</v>
      </c>
      <c r="R43" s="20">
        <f t="shared" ref="R43" si="376">IF(M43&gt;0,T43/M43,0)</f>
        <v>5.296724811483601E-2</v>
      </c>
      <c r="S43" s="107"/>
      <c r="T43" s="52">
        <f t="shared" ref="T43" si="377">T40+T41+T42</f>
        <v>2332.0419999999999</v>
      </c>
      <c r="U43" s="20">
        <f t="shared" ref="U43" si="378">IF(M43&gt;0,V43/M43,0)</f>
        <v>0.22128118470064506</v>
      </c>
      <c r="V43" s="52">
        <f t="shared" ref="V43" si="379">V40+V41+V42</f>
        <v>9742.5680000000011</v>
      </c>
      <c r="W43" s="20">
        <f t="shared" ref="W43" si="380">IF(M43&gt;0,X43/M43,0)</f>
        <v>0.49808537748705373</v>
      </c>
      <c r="X43" s="52">
        <f t="shared" ref="X43" si="381">X40+X41+X42</f>
        <v>21929.703000000001</v>
      </c>
      <c r="Y43" s="20">
        <f t="shared" ref="Y43" si="382">IF(M43&gt;0,Z43/M43,0)</f>
        <v>0.41995548287453438</v>
      </c>
      <c r="Z43" s="52">
        <f t="shared" ref="Z43" si="383">Z40+Z41+Z42</f>
        <v>18489.8</v>
      </c>
      <c r="AA43" s="119">
        <f>IF(M43&gt;0,AB43/M43,0)</f>
        <v>2.6632411192877262E-3</v>
      </c>
      <c r="AB43" s="54">
        <f t="shared" ref="AB43" si="384">SUM(AB40:AB42)</f>
        <v>117.25718000000001</v>
      </c>
      <c r="AC43" s="53">
        <f t="shared" ref="AC43" si="385">IF(M43&gt;0,AD43/M43,0)</f>
        <v>2.5834780139910966E-3</v>
      </c>
      <c r="AD43" s="54">
        <f t="shared" ref="AD43" si="386">SUM(AD40:AD42)</f>
        <v>113.74536999999999</v>
      </c>
      <c r="AE43" s="53">
        <f t="shared" ref="AE43" si="387">IF(M43&gt;0,(AE40*M40+AE41*M41+AE42*M42)/M43,0)</f>
        <v>2.5872205573725811E-3</v>
      </c>
      <c r="AF43" s="53">
        <f t="shared" ref="AF43" si="388">IF(K43&gt;0,(K40*AF40+K41*AF41+K42*AF42)/K43,0)</f>
        <v>2.4000000000000001E-4</v>
      </c>
      <c r="AG43" s="50">
        <f t="shared" ref="AG43" si="389">SUM(AG40:AG42)</f>
        <v>10.56672</v>
      </c>
      <c r="AH43" s="51">
        <f t="shared" ref="AH43" si="390">IF(K43&gt;0,(K40*AH40+K41*AH41+K42*AH42)/K43,0)</f>
        <v>0.20472693298146297</v>
      </c>
      <c r="AI43" s="56">
        <f t="shared" ref="AI43" si="391">SUM(AI40:AI42)</f>
        <v>98.377481900000021</v>
      </c>
      <c r="AJ43" s="51">
        <f t="shared" ref="AJ43" si="392">IF(AND(AD43&gt;0),((AD40*AJ40+AD41*AJ41+AD42*AJ42)/AD43),0)</f>
        <v>0.90816668717835092</v>
      </c>
      <c r="AK43" s="55">
        <f t="shared" si="6"/>
        <v>0.90824983086398892</v>
      </c>
      <c r="AL43" s="49">
        <f t="shared" ref="AL43" si="393">SUM(AL40:AL42)</f>
        <v>526</v>
      </c>
      <c r="AM43" s="20">
        <f t="shared" ref="AM43" si="394">IF(AL43&gt;0,(AM40*AL40+AM41*AL41+AM42*AL42)/AL43,0)</f>
        <v>8.6365019011406835E-2</v>
      </c>
      <c r="AN43" s="51">
        <f>IF(K43&gt;0,(AN40*K40+AN41*K41+AN42*K42)/K43,0)</f>
        <v>0.21508231425713498</v>
      </c>
      <c r="AO43" s="107">
        <f>IF(L43&gt;0,(AO40*K40+AO41*K41+AO42*K42)/K43,0)</f>
        <v>0.21972393215144612</v>
      </c>
      <c r="AP43" s="56">
        <f t="shared" ref="AP43:AQ55" si="395">SUM(AP40:AP42)</f>
        <v>103.34342670000001</v>
      </c>
      <c r="AQ43" s="108">
        <f t="shared" si="395"/>
        <v>105.58435840000001</v>
      </c>
      <c r="AR43" s="54"/>
      <c r="AS43" s="54">
        <f t="shared" ref="AS43" si="396">SUM(AS40:AS42)</f>
        <v>905.2</v>
      </c>
      <c r="AT43" s="83"/>
      <c r="AU43" s="84">
        <f>AT42</f>
        <v>654.11999999999875</v>
      </c>
      <c r="AV43" s="49">
        <f t="shared" ref="AV43" si="397">SUM(AV40:AV42)</f>
        <v>0</v>
      </c>
      <c r="AW43" s="57"/>
      <c r="AX43" s="56"/>
      <c r="AY43" s="56"/>
      <c r="AZ43" s="56"/>
      <c r="BA43" s="56"/>
      <c r="BB43" s="21"/>
    </row>
    <row r="44" spans="1:54">
      <c r="A44" s="147">
        <v>11</v>
      </c>
      <c r="B44" s="22">
        <v>1</v>
      </c>
      <c r="C44" s="10" t="s">
        <v>55</v>
      </c>
      <c r="D44" s="11">
        <v>4200</v>
      </c>
      <c r="E44" s="11">
        <v>1</v>
      </c>
      <c r="F44" s="11">
        <v>15040</v>
      </c>
      <c r="G44" s="12">
        <v>1</v>
      </c>
      <c r="H44" s="12">
        <v>5.0999999999999996</v>
      </c>
      <c r="I44" s="11">
        <v>14789</v>
      </c>
      <c r="J44" s="12">
        <v>4.5</v>
      </c>
      <c r="K44" s="11">
        <v>15801</v>
      </c>
      <c r="L44" s="13">
        <v>7.0999999999999994E-2</v>
      </c>
      <c r="M44" s="23">
        <f>ROUND(K44*(1-L44),0)</f>
        <v>14679</v>
      </c>
      <c r="N44" s="14">
        <v>0.60199999999999998</v>
      </c>
      <c r="O44" s="24">
        <f t="shared" ref="O44:O46" si="398">M44*N44</f>
        <v>8836.7579999999998</v>
      </c>
      <c r="P44" s="13">
        <v>0.376</v>
      </c>
      <c r="Q44" s="24">
        <f t="shared" ref="Q44:Q46" si="399">M44*P44</f>
        <v>5519.3040000000001</v>
      </c>
      <c r="R44" s="15">
        <v>2.1999999999999999E-2</v>
      </c>
      <c r="S44" s="112"/>
      <c r="T44" s="24">
        <f t="shared" ref="T44:T46" si="400">M44*R44</f>
        <v>322.93799999999999</v>
      </c>
      <c r="U44" s="25">
        <v>0.22500000000000001</v>
      </c>
      <c r="V44" s="24">
        <f t="shared" ref="V44:V46" si="401">M44*U44</f>
        <v>3302.7750000000001</v>
      </c>
      <c r="W44" s="15">
        <v>0.498</v>
      </c>
      <c r="X44" s="24">
        <f t="shared" ref="X44:X46" si="402">M44*W44</f>
        <v>7310.1419999999998</v>
      </c>
      <c r="Y44" s="15">
        <v>0.41</v>
      </c>
      <c r="Z44" s="24">
        <f t="shared" ref="Z44:Z46" si="403">Y44*M44</f>
        <v>6018.3899999999994</v>
      </c>
      <c r="AA44" s="116">
        <v>2.7000000000000001E-3</v>
      </c>
      <c r="AB44" s="18">
        <f t="shared" ref="AB44" si="404">M44*AA44</f>
        <v>39.633300000000006</v>
      </c>
      <c r="AC44" s="16">
        <v>2.5699999999999998E-3</v>
      </c>
      <c r="AD44" s="17">
        <f t="shared" ref="AD44:AD46" si="405">M44*AC44</f>
        <v>37.725029999999997</v>
      </c>
      <c r="AE44" s="26">
        <f>IF(M44&gt;0,(AG44+AP44)/M44,0)</f>
        <v>2.4774044553443693E-3</v>
      </c>
      <c r="AF44" s="16">
        <v>2.5999999999999998E-4</v>
      </c>
      <c r="AG44" s="23">
        <f t="shared" ref="AG44:AG46" si="406">AF44*M44</f>
        <v>3.8165399999999998</v>
      </c>
      <c r="AH44" s="92">
        <v>0.20480000000000001</v>
      </c>
      <c r="AI44" s="29">
        <f t="shared" ref="AI44:AI46" si="407">AL44*(1-AM44)*AH44</f>
        <v>31.0050816</v>
      </c>
      <c r="AJ44" s="27">
        <f t="shared" ref="AJ44:AJ46" si="408">IF(AND(AH44&gt;0,AF44&gt;0,AC44&gt;0),((AC44-AF44)*AH44)/((AH44-AF44)*AC44),0)</f>
        <v>0.89997523150552505</v>
      </c>
      <c r="AK44" s="58">
        <f t="shared" si="6"/>
        <v>0.89613515048181069</v>
      </c>
      <c r="AL44" s="11">
        <v>166</v>
      </c>
      <c r="AM44" s="13">
        <v>8.7999999999999995E-2</v>
      </c>
      <c r="AN44" s="14">
        <v>0.215</v>
      </c>
      <c r="AO44" s="101">
        <v>0.2155</v>
      </c>
      <c r="AP44" s="29">
        <f>AL44*(1-AM44)*AN44</f>
        <v>32.549279999999996</v>
      </c>
      <c r="AQ44" s="102">
        <f t="shared" ref="AQ44" si="409">AL44*(1-AM44)*AO44</f>
        <v>32.624975999999997</v>
      </c>
      <c r="AR44" s="18">
        <v>1.6</v>
      </c>
      <c r="AS44" s="18">
        <v>812.46</v>
      </c>
      <c r="AT44" s="79">
        <f>AT42+AL44-AS44+AU44</f>
        <v>-1.2825296380469808E-12</v>
      </c>
      <c r="AU44" s="130">
        <v>-7.66</v>
      </c>
      <c r="AV44" s="11"/>
      <c r="AW44" s="30"/>
      <c r="AX44" s="19"/>
      <c r="AY44" s="19"/>
      <c r="AZ44" s="19"/>
      <c r="BA44" s="19"/>
      <c r="BB44" s="31"/>
    </row>
    <row r="45" spans="1:54">
      <c r="A45" s="148"/>
      <c r="B45" s="32">
        <v>2</v>
      </c>
      <c r="C45" s="10" t="s">
        <v>57</v>
      </c>
      <c r="D45" s="33">
        <v>21200</v>
      </c>
      <c r="E45" s="33">
        <v>4</v>
      </c>
      <c r="F45" s="33">
        <v>17302</v>
      </c>
      <c r="G45" s="34">
        <v>0.7</v>
      </c>
      <c r="H45" s="34">
        <v>6</v>
      </c>
      <c r="I45" s="33">
        <v>17479</v>
      </c>
      <c r="J45" s="34">
        <v>3.7</v>
      </c>
      <c r="K45" s="33">
        <v>15812</v>
      </c>
      <c r="L45" s="35">
        <v>6.6000000000000003E-2</v>
      </c>
      <c r="M45" s="36">
        <f>ROUND(K45*(1-L45),0)</f>
        <v>14768</v>
      </c>
      <c r="N45" s="37">
        <v>0.64300000000000002</v>
      </c>
      <c r="O45" s="24">
        <f t="shared" si="398"/>
        <v>9495.8240000000005</v>
      </c>
      <c r="P45" s="35">
        <v>0.308</v>
      </c>
      <c r="Q45" s="24">
        <f t="shared" si="399"/>
        <v>4548.5439999999999</v>
      </c>
      <c r="R45" s="38">
        <v>4.9000000000000002E-2</v>
      </c>
      <c r="S45" s="105"/>
      <c r="T45" s="24">
        <f t="shared" si="400"/>
        <v>723.63200000000006</v>
      </c>
      <c r="U45" s="27">
        <v>0.216</v>
      </c>
      <c r="V45" s="24">
        <f t="shared" si="401"/>
        <v>3189.8879999999999</v>
      </c>
      <c r="W45" s="38">
        <v>0.495</v>
      </c>
      <c r="X45" s="24">
        <f t="shared" si="402"/>
        <v>7310.16</v>
      </c>
      <c r="Y45" s="38">
        <v>0.41</v>
      </c>
      <c r="Z45" s="24">
        <f t="shared" si="403"/>
        <v>6054.8799999999992</v>
      </c>
      <c r="AA45" s="117">
        <v>2.63E-3</v>
      </c>
      <c r="AB45" s="18">
        <f t="shared" si="60"/>
        <v>38.839840000000002</v>
      </c>
      <c r="AC45" s="39">
        <v>2.5899999999999999E-3</v>
      </c>
      <c r="AD45" s="17">
        <f t="shared" si="405"/>
        <v>38.249119999999998</v>
      </c>
      <c r="AE45" s="26">
        <f>IF(M45&gt;0,(AG45+AP45)/M45,0)</f>
        <v>2.7855099674972917E-3</v>
      </c>
      <c r="AF45" s="39">
        <v>2.5000000000000001E-4</v>
      </c>
      <c r="AG45" s="36">
        <f t="shared" si="406"/>
        <v>3.6920000000000002</v>
      </c>
      <c r="AH45" s="27">
        <v>0.21010000000000001</v>
      </c>
      <c r="AI45" s="40">
        <f t="shared" si="407"/>
        <v>36.220399600000007</v>
      </c>
      <c r="AJ45" s="27">
        <f t="shared" si="408"/>
        <v>0.90455123764630563</v>
      </c>
      <c r="AK45" s="28">
        <f t="shared" si="6"/>
        <v>0.91129874413228529</v>
      </c>
      <c r="AL45" s="33">
        <v>188</v>
      </c>
      <c r="AM45" s="35">
        <v>8.3000000000000004E-2</v>
      </c>
      <c r="AN45" s="37">
        <v>0.2172</v>
      </c>
      <c r="AO45" s="103">
        <v>0.22140000000000001</v>
      </c>
      <c r="AP45" s="40">
        <f>AL45*(1-AM45)*AN45</f>
        <v>37.444411200000005</v>
      </c>
      <c r="AQ45" s="104">
        <f t="shared" si="21"/>
        <v>38.168474400000008</v>
      </c>
      <c r="AR45" s="41">
        <v>1.65</v>
      </c>
      <c r="AS45" s="41"/>
      <c r="AT45" s="129">
        <f>AT44+AL45-AS45</f>
        <v>187.99999999999872</v>
      </c>
      <c r="AU45" s="82"/>
      <c r="AV45" s="42"/>
      <c r="AW45" s="43"/>
      <c r="AX45" s="44"/>
      <c r="AY45" s="44"/>
      <c r="AZ45" s="44"/>
      <c r="BA45" s="44"/>
      <c r="BB45" s="31"/>
    </row>
    <row r="46" spans="1:54">
      <c r="A46" s="148"/>
      <c r="B46" s="32">
        <v>3</v>
      </c>
      <c r="C46" s="10" t="s">
        <v>54</v>
      </c>
      <c r="D46" s="42">
        <v>22820</v>
      </c>
      <c r="E46" s="42">
        <v>1</v>
      </c>
      <c r="F46" s="42">
        <v>19304</v>
      </c>
      <c r="G46" s="36">
        <v>0.5</v>
      </c>
      <c r="H46" s="36">
        <v>5.5</v>
      </c>
      <c r="I46" s="42">
        <v>18766</v>
      </c>
      <c r="J46" s="36">
        <v>2.1</v>
      </c>
      <c r="K46" s="42">
        <v>16009</v>
      </c>
      <c r="L46" s="38">
        <v>6.2E-2</v>
      </c>
      <c r="M46" s="36">
        <f>ROUND(K46*(1-L46),0)</f>
        <v>15016</v>
      </c>
      <c r="N46" s="27">
        <v>0.67700000000000005</v>
      </c>
      <c r="O46" s="24">
        <f t="shared" si="398"/>
        <v>10165.832</v>
      </c>
      <c r="P46" s="38">
        <v>0.26</v>
      </c>
      <c r="Q46" s="24">
        <f t="shared" si="399"/>
        <v>3904.1600000000003</v>
      </c>
      <c r="R46" s="38">
        <v>6.3E-2</v>
      </c>
      <c r="S46" s="105"/>
      <c r="T46" s="24">
        <f t="shared" si="400"/>
        <v>946.00800000000004</v>
      </c>
      <c r="U46" s="27">
        <v>0.216</v>
      </c>
      <c r="V46" s="24">
        <f t="shared" si="401"/>
        <v>3243.4560000000001</v>
      </c>
      <c r="W46" s="38">
        <v>0.48199999999999998</v>
      </c>
      <c r="X46" s="24">
        <f t="shared" si="402"/>
        <v>7237.7119999999995</v>
      </c>
      <c r="Y46" s="38">
        <v>0.4</v>
      </c>
      <c r="Z46" s="24">
        <f t="shared" si="403"/>
        <v>6006.4000000000005</v>
      </c>
      <c r="AA46" s="118">
        <v>2.7299999999999998E-3</v>
      </c>
      <c r="AB46" s="121">
        <f t="shared" si="60"/>
        <v>40.993679999999998</v>
      </c>
      <c r="AC46" s="45">
        <v>2.7000000000000001E-3</v>
      </c>
      <c r="AD46" s="17">
        <f t="shared" si="405"/>
        <v>40.543199999999999</v>
      </c>
      <c r="AE46" s="26">
        <f>IF(M46&gt;0,(AG46+AP46)/M46,0)</f>
        <v>2.6786139318060735E-3</v>
      </c>
      <c r="AF46" s="45">
        <v>2.5000000000000001E-4</v>
      </c>
      <c r="AG46" s="36">
        <f t="shared" si="406"/>
        <v>3.754</v>
      </c>
      <c r="AH46" s="27">
        <v>0.2056</v>
      </c>
      <c r="AI46" s="40">
        <f t="shared" si="407"/>
        <v>35.217635200000004</v>
      </c>
      <c r="AJ46" s="27">
        <f t="shared" si="408"/>
        <v>0.90851211571932289</v>
      </c>
      <c r="AK46" s="28">
        <f t="shared" si="6"/>
        <v>0.90773406364246656</v>
      </c>
      <c r="AL46" s="42">
        <v>187</v>
      </c>
      <c r="AM46" s="38">
        <v>8.4000000000000005E-2</v>
      </c>
      <c r="AN46" s="27">
        <v>0.21290000000000001</v>
      </c>
      <c r="AO46" s="105">
        <v>0.21909999999999999</v>
      </c>
      <c r="AP46" s="40">
        <f>AL46*(1-AM46)*AN46</f>
        <v>36.468066800000003</v>
      </c>
      <c r="AQ46" s="106">
        <f t="shared" si="21"/>
        <v>37.530077200000001</v>
      </c>
      <c r="AR46" s="17">
        <v>1.55</v>
      </c>
      <c r="AS46" s="17"/>
      <c r="AT46" s="129">
        <f>AT45+AL46-AS46</f>
        <v>374.99999999999875</v>
      </c>
      <c r="AU46" s="82"/>
      <c r="AV46" s="42"/>
      <c r="AW46" s="46"/>
      <c r="AX46" s="40"/>
      <c r="AY46" s="40"/>
      <c r="AZ46" s="40"/>
      <c r="BA46" s="40"/>
      <c r="BB46" s="31"/>
    </row>
    <row r="47" spans="1:54">
      <c r="A47" s="149"/>
      <c r="B47" s="47" t="s">
        <v>56</v>
      </c>
      <c r="C47" s="48"/>
      <c r="D47" s="49">
        <f t="shared" ref="D47" si="410">SUM(D44:D46)</f>
        <v>48220</v>
      </c>
      <c r="E47" s="49"/>
      <c r="F47" s="49">
        <f t="shared" ref="F47" si="411">SUM(F44:F46)</f>
        <v>51646</v>
      </c>
      <c r="G47" s="50"/>
      <c r="H47" s="50"/>
      <c r="I47" s="49">
        <f t="shared" ref="I47:K47" si="412">SUM(I44:I46)</f>
        <v>51034</v>
      </c>
      <c r="J47" s="50"/>
      <c r="K47" s="49">
        <f t="shared" si="412"/>
        <v>47622</v>
      </c>
      <c r="L47" s="20">
        <f t="shared" ref="L47" si="413">IF(K47&gt;0,(K44*L44+K45*L45+K46*L46)/K47,0)</f>
        <v>6.6314329511570277E-2</v>
      </c>
      <c r="M47" s="50">
        <f t="shared" ref="M47" si="414">M44+M45+M46</f>
        <v>44463</v>
      </c>
      <c r="N47" s="51">
        <f t="shared" ref="N47" si="415">IF(M47&gt;0,O47/M47,0)</f>
        <v>0.64094671974450679</v>
      </c>
      <c r="O47" s="52">
        <f t="shared" ref="O47" si="416">O44+O45+O46</f>
        <v>28498.414000000004</v>
      </c>
      <c r="P47" s="20">
        <f t="shared" ref="P47" si="417">IF(M47&gt;0,Q47/M47,0)</f>
        <v>0.31423898522366911</v>
      </c>
      <c r="Q47" s="52">
        <f t="shared" ref="Q47" si="418">Q44+Q45+Q46</f>
        <v>13972.008</v>
      </c>
      <c r="R47" s="20">
        <f t="shared" ref="R47" si="419">IF(M47&gt;0,T47/M47,0)</f>
        <v>4.4814295031824221E-2</v>
      </c>
      <c r="S47" s="107"/>
      <c r="T47" s="52">
        <f t="shared" ref="T47" si="420">T44+T45+T46</f>
        <v>1992.5780000000002</v>
      </c>
      <c r="U47" s="20">
        <f t="shared" ref="U47" si="421">IF(M47&gt;0,V47/M47,0)</f>
        <v>0.21897125700020242</v>
      </c>
      <c r="V47" s="52">
        <f t="shared" ref="V47" si="422">V44+V45+V46</f>
        <v>9736.1190000000006</v>
      </c>
      <c r="W47" s="20">
        <f t="shared" ref="W47" si="423">IF(M47&gt;0,X47/M47,0)</f>
        <v>0.49160007196995253</v>
      </c>
      <c r="X47" s="52">
        <f t="shared" ref="X47" si="424">X44+X45+X46</f>
        <v>21858.013999999999</v>
      </c>
      <c r="Y47" s="20">
        <f t="shared" ref="Y47" si="425">IF(M47&gt;0,Z47/M47,0)</f>
        <v>0.40662280997683464</v>
      </c>
      <c r="Z47" s="52">
        <f t="shared" ref="Z47" si="426">Z44+Z45+Z46</f>
        <v>18079.669999999998</v>
      </c>
      <c r="AA47" s="119">
        <f>IF(M47&gt;0,AB47/M47,0)</f>
        <v>2.6868816768998941E-3</v>
      </c>
      <c r="AB47" s="54">
        <f t="shared" ref="AB47" si="427">SUM(AB44:AB46)</f>
        <v>119.46682</v>
      </c>
      <c r="AC47" s="53">
        <f t="shared" ref="AC47" si="428">IF(M47&gt;0,AD47/M47,0)</f>
        <v>2.6205462969210351E-3</v>
      </c>
      <c r="AD47" s="54">
        <f t="shared" ref="AD47" si="429">SUM(AD44:AD46)</f>
        <v>116.51734999999999</v>
      </c>
      <c r="AE47" s="53">
        <f t="shared" ref="AE47" si="430">IF(M47&gt;0,(AE44*M44+AE45*M45+AE46*M46)/M47,0)</f>
        <v>2.6476912938848034E-3</v>
      </c>
      <c r="AF47" s="53">
        <f t="shared" ref="AF47" si="431">IF(K47&gt;0,(K44*AF44+K45*AF45+K46*AF46)/K47,0)</f>
        <v>2.5331800428373444E-4</v>
      </c>
      <c r="AG47" s="50">
        <f t="shared" ref="AG47" si="432">SUM(AG44:AG46)</f>
        <v>11.26254</v>
      </c>
      <c r="AH47" s="51">
        <f t="shared" ref="AH47" si="433">IF(K47&gt;0,(K44*AH44+K45*AH45+K46*AH46)/K47,0)</f>
        <v>0.20682870102053674</v>
      </c>
      <c r="AI47" s="56">
        <f t="shared" ref="AI47" si="434">SUM(AI44:AI46)</f>
        <v>102.44311640000001</v>
      </c>
      <c r="AJ47" s="51">
        <f t="shared" ref="AJ47" si="435">IF(AND(AD47&gt;0),((AD44*AJ44+AD45*AJ45+AD46*AJ46)/AD47),0)</f>
        <v>0.90444787709913232</v>
      </c>
      <c r="AK47" s="55">
        <f t="shared" si="6"/>
        <v>0.90539157902782541</v>
      </c>
      <c r="AL47" s="49">
        <f t="shared" ref="AL47" si="436">SUM(AL44:AL46)</f>
        <v>541</v>
      </c>
      <c r="AM47" s="20">
        <f t="shared" ref="AM47" si="437">IF(AL47&gt;0,(AM44*AL44+AM45*AL45+AM46*AL46)/AL47,0)</f>
        <v>8.487985212569317E-2</v>
      </c>
      <c r="AN47" s="51">
        <f>IF(K47&gt;0,(AN44*K44+AN45*K45+AN46*K46)/K47,0)</f>
        <v>0.21502451598000921</v>
      </c>
      <c r="AO47" s="107">
        <f>IF(L47&gt;0,(AO44*K44+AO45*K45+AO46*K46)/K47,0)</f>
        <v>0.21866919071017593</v>
      </c>
      <c r="AP47" s="56">
        <f t="shared" ref="AP47" si="438">SUM(AP44:AP46)</f>
        <v>106.461758</v>
      </c>
      <c r="AQ47" s="108">
        <f t="shared" si="395"/>
        <v>108.32352760000001</v>
      </c>
      <c r="AR47" s="54"/>
      <c r="AS47" s="54">
        <f t="shared" ref="AS47" si="439">SUM(AS44:AS46)</f>
        <v>812.46</v>
      </c>
      <c r="AT47" s="83"/>
      <c r="AU47" s="84">
        <f>AT46</f>
        <v>374.99999999999875</v>
      </c>
      <c r="AV47" s="49">
        <f t="shared" ref="AV47" si="440">SUM(AV44:AV46)</f>
        <v>0</v>
      </c>
      <c r="AW47" s="57"/>
      <c r="AX47" s="56"/>
      <c r="AY47" s="56"/>
      <c r="AZ47" s="56"/>
      <c r="BA47" s="56"/>
      <c r="BB47" s="21"/>
    </row>
    <row r="48" spans="1:54">
      <c r="A48" s="147">
        <v>12</v>
      </c>
      <c r="B48" s="22">
        <v>1</v>
      </c>
      <c r="C48" s="10" t="s">
        <v>55</v>
      </c>
      <c r="D48" s="11">
        <v>6002</v>
      </c>
      <c r="E48" s="11">
        <v>0</v>
      </c>
      <c r="F48" s="11">
        <v>13465</v>
      </c>
      <c r="G48" s="12">
        <v>0.5</v>
      </c>
      <c r="H48" s="12">
        <v>4.3</v>
      </c>
      <c r="I48" s="11">
        <v>13457</v>
      </c>
      <c r="J48" s="12">
        <v>3.7</v>
      </c>
      <c r="K48" s="11">
        <v>16057</v>
      </c>
      <c r="L48" s="13">
        <v>6.6000000000000003E-2</v>
      </c>
      <c r="M48" s="23">
        <f>ROUND(K48*(1-L48),0)</f>
        <v>14997</v>
      </c>
      <c r="N48" s="14">
        <v>0.77800000000000002</v>
      </c>
      <c r="O48" s="24">
        <f t="shared" ref="O48:O50" si="441">M48*N48</f>
        <v>11667.666000000001</v>
      </c>
      <c r="P48" s="13">
        <v>0.185</v>
      </c>
      <c r="Q48" s="24">
        <f t="shared" ref="Q48:Q50" si="442">M48*P48</f>
        <v>2774.4450000000002</v>
      </c>
      <c r="R48" s="15">
        <v>3.6999999999999998E-2</v>
      </c>
      <c r="S48" s="112"/>
      <c r="T48" s="24">
        <f t="shared" ref="T48:T50" si="443">M48*R48</f>
        <v>554.88900000000001</v>
      </c>
      <c r="U48" s="25">
        <v>0.21099999999999999</v>
      </c>
      <c r="V48" s="24">
        <f t="shared" ref="V48:V50" si="444">M48*U48</f>
        <v>3164.3669999999997</v>
      </c>
      <c r="W48" s="15">
        <v>0.498</v>
      </c>
      <c r="X48" s="24">
        <f t="shared" ref="X48:X50" si="445">M48*W48</f>
        <v>7468.5060000000003</v>
      </c>
      <c r="Y48" s="15">
        <v>0.39</v>
      </c>
      <c r="Z48" s="24">
        <f t="shared" ref="Z48:Z50" si="446">Y48*M48</f>
        <v>5848.83</v>
      </c>
      <c r="AA48" s="116">
        <v>2.7699999999999999E-3</v>
      </c>
      <c r="AB48" s="18">
        <f t="shared" ref="AB48" si="447">M48*AA48</f>
        <v>41.541689999999996</v>
      </c>
      <c r="AC48" s="16">
        <v>2.7200000000000002E-3</v>
      </c>
      <c r="AD48" s="17">
        <f t="shared" ref="AD48:AD50" si="448">M48*AC48</f>
        <v>40.791840000000001</v>
      </c>
      <c r="AE48" s="26">
        <f>IF(M48&gt;0,(AG48+AP48)/M48,0)</f>
        <v>2.6449424884976993E-3</v>
      </c>
      <c r="AF48" s="16">
        <v>2.5000000000000001E-4</v>
      </c>
      <c r="AG48" s="23">
        <f t="shared" ref="AG48:AG50" si="449">AF48*M48</f>
        <v>3.74925</v>
      </c>
      <c r="AH48" s="92">
        <v>0.20599999999999999</v>
      </c>
      <c r="AI48" s="29">
        <f t="shared" ref="AI48:AI50" si="450">AL48*(1-AM48)*AH48</f>
        <v>34.493669999999995</v>
      </c>
      <c r="AJ48" s="27">
        <f t="shared" ref="AJ48:AJ50" si="451">IF(AND(AH48&gt;0,AF48&gt;0,AC48&gt;0),((AC48-AF48)*AH48)/((AH48-AF48)*AC48),0)</f>
        <v>0.90919162318633406</v>
      </c>
      <c r="AK48" s="58">
        <f t="shared" si="6"/>
        <v>0.9065365558063202</v>
      </c>
      <c r="AL48" s="11">
        <v>183</v>
      </c>
      <c r="AM48" s="13">
        <v>8.5000000000000006E-2</v>
      </c>
      <c r="AN48" s="14">
        <v>0.2145</v>
      </c>
      <c r="AO48" s="101">
        <v>0.21890000000000001</v>
      </c>
      <c r="AP48" s="29">
        <f>AL48*(1-AM48)*AN48</f>
        <v>35.916952500000001</v>
      </c>
      <c r="AQ48" s="102">
        <f t="shared" ref="AQ48" si="452">AL48*(1-AM48)*AO48</f>
        <v>36.653710500000003</v>
      </c>
      <c r="AR48" s="18">
        <v>1.55</v>
      </c>
      <c r="AS48" s="18">
        <v>504.12</v>
      </c>
      <c r="AT48" s="79">
        <f>AT46+AL48-AS48</f>
        <v>53.879999999998745</v>
      </c>
      <c r="AU48" s="80"/>
      <c r="AV48" s="11"/>
      <c r="AW48" s="30"/>
      <c r="AX48" s="19"/>
      <c r="AY48" s="19"/>
      <c r="AZ48" s="19"/>
      <c r="BA48" s="19"/>
      <c r="BB48" s="31"/>
    </row>
    <row r="49" spans="1:54">
      <c r="A49" s="148"/>
      <c r="B49" s="32">
        <v>2</v>
      </c>
      <c r="C49" s="10" t="s">
        <v>57</v>
      </c>
      <c r="D49" s="33">
        <v>18700</v>
      </c>
      <c r="E49" s="33">
        <v>7</v>
      </c>
      <c r="F49" s="33">
        <v>17775</v>
      </c>
      <c r="G49" s="34">
        <v>0.7</v>
      </c>
      <c r="H49" s="34">
        <v>6.1</v>
      </c>
      <c r="I49" s="33">
        <v>16832</v>
      </c>
      <c r="J49" s="34">
        <v>3</v>
      </c>
      <c r="K49" s="33">
        <v>16054</v>
      </c>
      <c r="L49" s="35">
        <v>7.1999999999999995E-2</v>
      </c>
      <c r="M49" s="36">
        <f>ROUND(K49*(1-L49),0)</f>
        <v>14898</v>
      </c>
      <c r="N49" s="37">
        <v>0.76100000000000001</v>
      </c>
      <c r="O49" s="24">
        <f t="shared" si="441"/>
        <v>11337.378000000001</v>
      </c>
      <c r="P49" s="35">
        <v>0.19600000000000001</v>
      </c>
      <c r="Q49" s="24">
        <f t="shared" si="442"/>
        <v>2920.0080000000003</v>
      </c>
      <c r="R49" s="38">
        <v>4.2999999999999997E-2</v>
      </c>
      <c r="S49" s="105"/>
      <c r="T49" s="24">
        <f t="shared" si="443"/>
        <v>640.61399999999992</v>
      </c>
      <c r="U49" s="27">
        <v>0.20899999999999999</v>
      </c>
      <c r="V49" s="24">
        <f t="shared" si="444"/>
        <v>3113.6819999999998</v>
      </c>
      <c r="W49" s="38">
        <v>0.51100000000000001</v>
      </c>
      <c r="X49" s="24">
        <f t="shared" si="445"/>
        <v>7612.8779999999997</v>
      </c>
      <c r="Y49" s="38">
        <v>0.41</v>
      </c>
      <c r="Z49" s="24">
        <f t="shared" si="446"/>
        <v>6108.1799999999994</v>
      </c>
      <c r="AA49" s="117">
        <v>2.7799999999999999E-3</v>
      </c>
      <c r="AB49" s="18">
        <f t="shared" si="60"/>
        <v>41.416440000000001</v>
      </c>
      <c r="AC49" s="39">
        <v>2.7000000000000001E-3</v>
      </c>
      <c r="AD49" s="17">
        <f t="shared" si="448"/>
        <v>40.224600000000002</v>
      </c>
      <c r="AE49" s="26">
        <f>IF(M49&gt;0,(AG49+AP49)/M49,0)</f>
        <v>2.6238014498590413E-3</v>
      </c>
      <c r="AF49" s="39">
        <v>2.4000000000000001E-4</v>
      </c>
      <c r="AG49" s="36">
        <f t="shared" si="449"/>
        <v>3.57552</v>
      </c>
      <c r="AH49" s="27">
        <v>0.20599999999999999</v>
      </c>
      <c r="AI49" s="40">
        <f t="shared" si="450"/>
        <v>33.854039999999998</v>
      </c>
      <c r="AJ49" s="27">
        <f t="shared" si="451"/>
        <v>0.91217383791256246</v>
      </c>
      <c r="AK49" s="28">
        <f t="shared" si="6"/>
        <v>0.90953979620208147</v>
      </c>
      <c r="AL49" s="33">
        <v>180</v>
      </c>
      <c r="AM49" s="35">
        <v>8.6999999999999994E-2</v>
      </c>
      <c r="AN49" s="37">
        <v>0.21609999999999999</v>
      </c>
      <c r="AO49" s="103">
        <v>0.21929999999999999</v>
      </c>
      <c r="AP49" s="40">
        <f>AL49*(1-AM49)*AN49</f>
        <v>35.513874000000001</v>
      </c>
      <c r="AQ49" s="104">
        <f t="shared" si="21"/>
        <v>36.039762000000003</v>
      </c>
      <c r="AR49" s="41">
        <v>1.6</v>
      </c>
      <c r="AS49" s="41"/>
      <c r="AT49" s="129">
        <f>AT48+AL49-AS49</f>
        <v>233.87999999999874</v>
      </c>
      <c r="AU49" s="82"/>
      <c r="AV49" s="42"/>
      <c r="AW49" s="43"/>
      <c r="AX49" s="44"/>
      <c r="AY49" s="44"/>
      <c r="AZ49" s="44"/>
      <c r="BA49" s="44"/>
      <c r="BB49" s="31"/>
    </row>
    <row r="50" spans="1:54">
      <c r="A50" s="148"/>
      <c r="B50" s="32">
        <v>3</v>
      </c>
      <c r="C50" s="10" t="s">
        <v>58</v>
      </c>
      <c r="D50" s="42">
        <v>21458</v>
      </c>
      <c r="E50" s="42">
        <v>1</v>
      </c>
      <c r="F50" s="42">
        <v>17896</v>
      </c>
      <c r="G50" s="36">
        <v>0.4</v>
      </c>
      <c r="H50" s="36">
        <v>5.6</v>
      </c>
      <c r="I50" s="42">
        <v>17935</v>
      </c>
      <c r="J50" s="36">
        <v>1.7</v>
      </c>
      <c r="K50" s="42">
        <v>16053</v>
      </c>
      <c r="L50" s="38">
        <v>7.4999999999999997E-2</v>
      </c>
      <c r="M50" s="36">
        <f>ROUND(K50*(1-L50),0)</f>
        <v>14849</v>
      </c>
      <c r="N50" s="27">
        <v>0.74099999999999999</v>
      </c>
      <c r="O50" s="24">
        <f t="shared" si="441"/>
        <v>11003.109</v>
      </c>
      <c r="P50" s="38">
        <v>0.19800000000000001</v>
      </c>
      <c r="Q50" s="24">
        <f t="shared" si="442"/>
        <v>2940.1020000000003</v>
      </c>
      <c r="R50" s="38">
        <v>6.0999999999999999E-2</v>
      </c>
      <c r="S50" s="105"/>
      <c r="T50" s="24">
        <f t="shared" si="443"/>
        <v>905.78899999999999</v>
      </c>
      <c r="U50" s="27">
        <v>0.21199999999999999</v>
      </c>
      <c r="V50" s="24">
        <f t="shared" si="444"/>
        <v>3147.9879999999998</v>
      </c>
      <c r="W50" s="38">
        <v>0.499</v>
      </c>
      <c r="X50" s="24">
        <f t="shared" si="445"/>
        <v>7409.6509999999998</v>
      </c>
      <c r="Y50" s="38">
        <v>0.39</v>
      </c>
      <c r="Z50" s="24">
        <f t="shared" si="446"/>
        <v>5791.1100000000006</v>
      </c>
      <c r="AA50" s="118">
        <v>2.7000000000000001E-3</v>
      </c>
      <c r="AB50" s="121">
        <f t="shared" si="60"/>
        <v>40.092300000000002</v>
      </c>
      <c r="AC50" s="45">
        <v>2.7200000000000002E-3</v>
      </c>
      <c r="AD50" s="17">
        <f t="shared" si="448"/>
        <v>40.389279999999999</v>
      </c>
      <c r="AE50" s="26">
        <f>IF(M50&gt;0,(AG50+AP50)/M50,0)</f>
        <v>2.4886343861539499E-3</v>
      </c>
      <c r="AF50" s="45">
        <v>2.4000000000000001E-4</v>
      </c>
      <c r="AG50" s="36">
        <f t="shared" si="449"/>
        <v>3.5637600000000003</v>
      </c>
      <c r="AH50" s="27">
        <v>0.20169999999999999</v>
      </c>
      <c r="AI50" s="40">
        <f t="shared" si="450"/>
        <v>34.3610069</v>
      </c>
      <c r="AJ50" s="27">
        <f t="shared" si="451"/>
        <v>0.9128508943535717</v>
      </c>
      <c r="AK50" s="28">
        <f t="shared" si="6"/>
        <v>0.90466932556300639</v>
      </c>
      <c r="AL50" s="42">
        <v>187</v>
      </c>
      <c r="AM50" s="38">
        <v>8.8999999999999996E-2</v>
      </c>
      <c r="AN50" s="27">
        <v>0.19600000000000001</v>
      </c>
      <c r="AO50" s="105">
        <v>0.22</v>
      </c>
      <c r="AP50" s="40">
        <f>AL50*(1-AM50)*AN50</f>
        <v>33.389972</v>
      </c>
      <c r="AQ50" s="106">
        <f t="shared" si="21"/>
        <v>37.478540000000002</v>
      </c>
      <c r="AR50" s="17">
        <v>1.55</v>
      </c>
      <c r="AS50" s="17"/>
      <c r="AT50" s="129">
        <f>AT49+AL50-AS50</f>
        <v>420.87999999999874</v>
      </c>
      <c r="AU50" s="82"/>
      <c r="AV50" s="42"/>
      <c r="AW50" s="46"/>
      <c r="AX50" s="40"/>
      <c r="AY50" s="40"/>
      <c r="AZ50" s="40"/>
      <c r="BA50" s="40"/>
      <c r="BB50" s="31"/>
    </row>
    <row r="51" spans="1:54">
      <c r="A51" s="149"/>
      <c r="B51" s="47" t="s">
        <v>56</v>
      </c>
      <c r="C51" s="48"/>
      <c r="D51" s="49">
        <f t="shared" ref="D51" si="453">SUM(D48:D50)</f>
        <v>46160</v>
      </c>
      <c r="E51" s="49"/>
      <c r="F51" s="49">
        <f t="shared" ref="F51" si="454">SUM(F48:F50)</f>
        <v>49136</v>
      </c>
      <c r="G51" s="50"/>
      <c r="H51" s="50"/>
      <c r="I51" s="49">
        <f t="shared" ref="I51:K51" si="455">SUM(I48:I50)</f>
        <v>48224</v>
      </c>
      <c r="J51" s="50"/>
      <c r="K51" s="49">
        <f t="shared" si="455"/>
        <v>48164</v>
      </c>
      <c r="L51" s="20">
        <f t="shared" ref="L51" si="456">IF(K51&gt;0,(K48*L48+K49*L49+K50*L50)/K51,0)</f>
        <v>7.0999605514492137E-2</v>
      </c>
      <c r="M51" s="50">
        <f t="shared" ref="M51" si="457">M48+M49+M50</f>
        <v>44744</v>
      </c>
      <c r="N51" s="51">
        <f t="shared" ref="N51" si="458">IF(M51&gt;0,O51/M51,0)</f>
        <v>0.76006063382799938</v>
      </c>
      <c r="O51" s="52">
        <f t="shared" ref="O51" si="459">O48+O49+O50</f>
        <v>34008.153000000006</v>
      </c>
      <c r="P51" s="20">
        <f t="shared" ref="P51" si="460">IF(M51&gt;0,Q51/M51,0)</f>
        <v>0.19297682370820671</v>
      </c>
      <c r="Q51" s="52">
        <f t="shared" ref="Q51" si="461">Q48+Q49+Q50</f>
        <v>8634.5550000000003</v>
      </c>
      <c r="R51" s="20">
        <f t="shared" ref="R51" si="462">IF(M51&gt;0,T51/M51,0)</f>
        <v>4.6962542463794027E-2</v>
      </c>
      <c r="S51" s="107"/>
      <c r="T51" s="52">
        <f t="shared" ref="T51" si="463">T48+T49+T50</f>
        <v>2101.2919999999999</v>
      </c>
      <c r="U51" s="20">
        <f t="shared" ref="U51" si="464">IF(M51&gt;0,V51/M51,0)</f>
        <v>0.2106659440371893</v>
      </c>
      <c r="V51" s="52">
        <f t="shared" ref="V51" si="465">V48+V49+V50</f>
        <v>9426.0369999999984</v>
      </c>
      <c r="W51" s="20">
        <f t="shared" ref="W51" si="466">IF(M51&gt;0,X51/M51,0)</f>
        <v>0.50266035669586984</v>
      </c>
      <c r="X51" s="52">
        <f t="shared" ref="X51" si="467">X48+X49+X50</f>
        <v>22491.035</v>
      </c>
      <c r="Y51" s="20">
        <f t="shared" ref="Y51" si="468">IF(M51&gt;0,Z51/M51,0)</f>
        <v>0.39665921687824063</v>
      </c>
      <c r="Z51" s="52">
        <f t="shared" ref="Z51" si="469">Z48+Z49+Z50</f>
        <v>17748.12</v>
      </c>
      <c r="AA51" s="119">
        <f t="shared" ref="AA51" si="470">IF(M51&gt;0,AB51/M51,0)</f>
        <v>2.7500990076881819E-3</v>
      </c>
      <c r="AB51" s="54">
        <f t="shared" ref="AB51" si="471">SUM(AB48:AB50)</f>
        <v>123.05043000000001</v>
      </c>
      <c r="AC51" s="53">
        <f t="shared" ref="AC51" si="472">IF(M51&gt;0,AD51/M51,0)</f>
        <v>2.7133407831217596E-3</v>
      </c>
      <c r="AD51" s="54">
        <f t="shared" ref="AD51" si="473">SUM(AD48:AD50)</f>
        <v>121.40572</v>
      </c>
      <c r="AE51" s="53">
        <f t="shared" ref="AE51" si="474">IF(M51&gt;0,(AE48*M48+AE49*M49+AE50*M50)/M51,0)</f>
        <v>2.5860300487216162E-3</v>
      </c>
      <c r="AF51" s="53">
        <f t="shared" ref="AF51" si="475">IF(K51&gt;0,(K48*AF48+K49*AF49+K50*AF50)/K51,0)</f>
        <v>2.4333381778922017E-4</v>
      </c>
      <c r="AG51" s="50">
        <f t="shared" ref="AG51" si="476">SUM(AG48:AG50)</f>
        <v>10.888529999999999</v>
      </c>
      <c r="AH51" s="51">
        <f t="shared" ref="AH51" si="477">IF(K51&gt;0,(K48*AH48+K49*AH49+K50*AH50)/K51,0)</f>
        <v>0.20456681546383187</v>
      </c>
      <c r="AI51" s="56">
        <f t="shared" ref="AI51" si="478">SUM(AI48:AI50)</f>
        <v>102.70871689999998</v>
      </c>
      <c r="AJ51" s="51">
        <f t="shared" ref="AJ51" si="479">IF(AND(AD51&gt;0),((AD48*AJ48+AD49*AJ49+AD50*AJ50)/AD51),0)</f>
        <v>0.91139706887905869</v>
      </c>
      <c r="AK51" s="55">
        <f t="shared" si="6"/>
        <v>0.90696111402465296</v>
      </c>
      <c r="AL51" s="49">
        <f t="shared" ref="AL51" si="480">SUM(AL48:AL50)</f>
        <v>550</v>
      </c>
      <c r="AM51" s="20">
        <f t="shared" ref="AM51" si="481">IF(AL51&gt;0,(AM48*AL48+AM49*AL49+AM50*AL50)/AL51,0)</f>
        <v>8.7014545454545456E-2</v>
      </c>
      <c r="AN51" s="51">
        <f>IF(K51&gt;0,(AN48*K48+AN49*K49+AN50*K50)/K51,0)</f>
        <v>0.20886728469396232</v>
      </c>
      <c r="AO51" s="107">
        <f>IF(L51&gt;0,(AO48*K48+AO49*K49+AO50*K50)/K51,0)</f>
        <v>0.2193999563989702</v>
      </c>
      <c r="AP51" s="56">
        <f t="shared" ref="AP51" si="482">SUM(AP48:AP50)</f>
        <v>104.8207985</v>
      </c>
      <c r="AQ51" s="108">
        <f t="shared" si="395"/>
        <v>110.17201250000002</v>
      </c>
      <c r="AR51" s="54"/>
      <c r="AS51" s="54">
        <f t="shared" ref="AS51" si="483">SUM(AS48:AS50)</f>
        <v>504.12</v>
      </c>
      <c r="AT51" s="83"/>
      <c r="AU51" s="84">
        <f>AT50</f>
        <v>420.87999999999874</v>
      </c>
      <c r="AV51" s="49">
        <f t="shared" ref="AV51" si="484">SUM(AV48:AV50)</f>
        <v>0</v>
      </c>
      <c r="AW51" s="57"/>
      <c r="AX51" s="56"/>
      <c r="AY51" s="56"/>
      <c r="AZ51" s="56"/>
      <c r="BA51" s="56"/>
      <c r="BB51" s="21"/>
    </row>
    <row r="52" spans="1:54">
      <c r="A52" s="147">
        <v>13</v>
      </c>
      <c r="B52" s="22">
        <v>1</v>
      </c>
      <c r="C52" s="10" t="s">
        <v>53</v>
      </c>
      <c r="D52" s="11">
        <v>5515</v>
      </c>
      <c r="E52" s="11">
        <v>0</v>
      </c>
      <c r="F52" s="11">
        <v>10002</v>
      </c>
      <c r="G52" s="12">
        <v>0.6</v>
      </c>
      <c r="H52" s="12">
        <v>5.2</v>
      </c>
      <c r="I52" s="11">
        <v>9924</v>
      </c>
      <c r="J52" s="12">
        <v>4</v>
      </c>
      <c r="K52" s="11">
        <v>16055</v>
      </c>
      <c r="L52" s="13">
        <v>7.3999999999999996E-2</v>
      </c>
      <c r="M52" s="23">
        <f>ROUND(K52*(1-L52),0)</f>
        <v>14867</v>
      </c>
      <c r="N52" s="14">
        <v>0.77900000000000003</v>
      </c>
      <c r="O52" s="24">
        <f t="shared" ref="O52:O54" si="485">M52*N52</f>
        <v>11581.393</v>
      </c>
      <c r="P52" s="13">
        <v>0.16200000000000001</v>
      </c>
      <c r="Q52" s="24">
        <f t="shared" ref="Q52:Q54" si="486">M52*P52</f>
        <v>2408.4540000000002</v>
      </c>
      <c r="R52" s="15">
        <v>5.8999999999999997E-2</v>
      </c>
      <c r="S52" s="112"/>
      <c r="T52" s="24">
        <f t="shared" ref="T52:T54" si="487">M52*R52</f>
        <v>877.15299999999991</v>
      </c>
      <c r="U52" s="25">
        <v>0.21199999999999999</v>
      </c>
      <c r="V52" s="24">
        <f t="shared" ref="V52:V54" si="488">M52*U52</f>
        <v>3151.8040000000001</v>
      </c>
      <c r="W52" s="15">
        <v>0.501</v>
      </c>
      <c r="X52" s="24">
        <f t="shared" ref="X52:X54" si="489">M52*W52</f>
        <v>7448.3670000000002</v>
      </c>
      <c r="Y52" s="15">
        <v>0.39</v>
      </c>
      <c r="Z52" s="24">
        <f t="shared" ref="Z52:Z54" si="490">Y52*M52</f>
        <v>5798.13</v>
      </c>
      <c r="AA52" s="116">
        <v>2.8600000000000001E-3</v>
      </c>
      <c r="AB52" s="18">
        <f t="shared" ref="AB52" si="491">M52*AA52</f>
        <v>42.519620000000003</v>
      </c>
      <c r="AC52" s="16">
        <v>2.7899999999999999E-3</v>
      </c>
      <c r="AD52" s="17">
        <f t="shared" ref="AD52:AD54" si="492">M52*AC52</f>
        <v>41.478929999999998</v>
      </c>
      <c r="AE52" s="26">
        <f>IF(M52&gt;0,(AG52+AP52)/M52,0)</f>
        <v>2.7494516445819603E-3</v>
      </c>
      <c r="AF52" s="16">
        <v>2.4000000000000001E-4</v>
      </c>
      <c r="AG52" s="23">
        <f t="shared" ref="AG52:AG54" si="493">AF52*M52</f>
        <v>3.5680800000000001</v>
      </c>
      <c r="AH52" s="92">
        <v>0.20280000000000001</v>
      </c>
      <c r="AI52" s="29">
        <f t="shared" ref="AI52:AI54" si="494">AL52*(1-AM52)*AH52</f>
        <v>36.5157624</v>
      </c>
      <c r="AJ52" s="27">
        <f t="shared" ref="AJ52:AJ54" si="495">IF(AND(AH52&gt;0,AF52&gt;0,AC52&gt;0),((AC52-AF52)*AH52)/((AH52-AF52)*AC52),0)</f>
        <v>0.91506140753197751</v>
      </c>
      <c r="AK52" s="58">
        <f t="shared" si="6"/>
        <v>0.91376828576657676</v>
      </c>
      <c r="AL52" s="11">
        <v>197</v>
      </c>
      <c r="AM52" s="13">
        <v>8.5999999999999993E-2</v>
      </c>
      <c r="AN52" s="14">
        <v>0.2072</v>
      </c>
      <c r="AO52" s="101">
        <v>0.20979999999999999</v>
      </c>
      <c r="AP52" s="29">
        <f>AL52*(1-AM52)*AN52</f>
        <v>37.308017599999999</v>
      </c>
      <c r="AQ52" s="102">
        <f t="shared" ref="AQ52" si="496">AL52*(1-AM52)*AO52</f>
        <v>37.776168399999996</v>
      </c>
      <c r="AR52" s="18">
        <v>1.7</v>
      </c>
      <c r="AS52" s="18">
        <v>502.68</v>
      </c>
      <c r="AT52" s="79">
        <f>AT50+AL52-AS52</f>
        <v>115.19999999999874</v>
      </c>
      <c r="AU52" s="80"/>
      <c r="AV52" s="11"/>
      <c r="AW52" s="30"/>
      <c r="AX52" s="19"/>
      <c r="AY52" s="19"/>
      <c r="AZ52" s="19"/>
      <c r="BA52" s="19"/>
      <c r="BB52" s="31"/>
    </row>
    <row r="53" spans="1:54">
      <c r="A53" s="148"/>
      <c r="B53" s="32">
        <v>2</v>
      </c>
      <c r="C53" s="10" t="s">
        <v>57</v>
      </c>
      <c r="D53" s="33">
        <v>18900</v>
      </c>
      <c r="E53" s="33">
        <v>6</v>
      </c>
      <c r="F53" s="33">
        <v>17750</v>
      </c>
      <c r="G53" s="34">
        <v>0.7</v>
      </c>
      <c r="H53" s="34">
        <v>6.1</v>
      </c>
      <c r="I53" s="33">
        <v>16993</v>
      </c>
      <c r="J53" s="34">
        <v>3.4</v>
      </c>
      <c r="K53" s="33">
        <v>16106</v>
      </c>
      <c r="L53" s="35">
        <v>6.5000000000000002E-2</v>
      </c>
      <c r="M53" s="36">
        <f>ROUND(K53*(1-L53),0)</f>
        <v>15059</v>
      </c>
      <c r="N53" s="37">
        <v>0.57399999999999995</v>
      </c>
      <c r="O53" s="24">
        <f t="shared" si="485"/>
        <v>8643.866</v>
      </c>
      <c r="P53" s="35">
        <v>0.378</v>
      </c>
      <c r="Q53" s="24">
        <f t="shared" si="486"/>
        <v>5692.3019999999997</v>
      </c>
      <c r="R53" s="38">
        <v>4.8000000000000001E-2</v>
      </c>
      <c r="S53" s="105"/>
      <c r="T53" s="24">
        <f t="shared" si="487"/>
        <v>722.83199999999999</v>
      </c>
      <c r="U53" s="27">
        <v>0.21299999999999999</v>
      </c>
      <c r="V53" s="24">
        <f t="shared" si="488"/>
        <v>3207.567</v>
      </c>
      <c r="W53" s="38">
        <v>0.499</v>
      </c>
      <c r="X53" s="24">
        <f t="shared" si="489"/>
        <v>7514.4409999999998</v>
      </c>
      <c r="Y53" s="38">
        <v>0.4</v>
      </c>
      <c r="Z53" s="24">
        <f t="shared" si="490"/>
        <v>6023.6</v>
      </c>
      <c r="AA53" s="117">
        <v>2.7599999999999999E-3</v>
      </c>
      <c r="AB53" s="18">
        <f t="shared" si="60"/>
        <v>41.562840000000001</v>
      </c>
      <c r="AC53" s="39">
        <v>2.6700000000000001E-3</v>
      </c>
      <c r="AD53" s="17">
        <f t="shared" si="492"/>
        <v>40.207529999999998</v>
      </c>
      <c r="AE53" s="26">
        <f>IF(M53&gt;0,(AG53+AP53)/M53,0)</f>
        <v>2.5225964937910885E-3</v>
      </c>
      <c r="AF53" s="39">
        <v>2.4000000000000001E-4</v>
      </c>
      <c r="AG53" s="36">
        <f t="shared" si="493"/>
        <v>3.61416</v>
      </c>
      <c r="AH53" s="27">
        <v>0.20580000000000001</v>
      </c>
      <c r="AI53" s="40">
        <f t="shared" si="494"/>
        <v>33.6701148</v>
      </c>
      <c r="AJ53" s="27">
        <f t="shared" si="495"/>
        <v>0.91117495424939488</v>
      </c>
      <c r="AK53" s="28">
        <f t="shared" si="6"/>
        <v>0.90589474828979744</v>
      </c>
      <c r="AL53" s="33">
        <v>179</v>
      </c>
      <c r="AM53" s="35">
        <v>8.5999999999999993E-2</v>
      </c>
      <c r="AN53" s="37">
        <v>0.21010000000000001</v>
      </c>
      <c r="AO53" s="103">
        <v>0.21210000000000001</v>
      </c>
      <c r="AP53" s="40">
        <f>AL53*(1-AM53)*AN53</f>
        <v>34.373620600000002</v>
      </c>
      <c r="AQ53" s="104">
        <f t="shared" si="21"/>
        <v>34.700832599999998</v>
      </c>
      <c r="AR53" s="41">
        <v>1.6</v>
      </c>
      <c r="AS53" s="41"/>
      <c r="AT53" s="129">
        <f>AT52+AL53-AS53</f>
        <v>294.19999999999874</v>
      </c>
      <c r="AU53" s="82"/>
      <c r="AV53" s="42"/>
      <c r="AW53" s="43"/>
      <c r="AX53" s="44"/>
      <c r="AY53" s="44"/>
      <c r="AZ53" s="44"/>
      <c r="BA53" s="44"/>
      <c r="BB53" s="31"/>
    </row>
    <row r="54" spans="1:54">
      <c r="A54" s="148"/>
      <c r="B54" s="32">
        <v>3</v>
      </c>
      <c r="C54" s="10" t="s">
        <v>58</v>
      </c>
      <c r="D54" s="42">
        <v>19665</v>
      </c>
      <c r="E54" s="42">
        <v>0</v>
      </c>
      <c r="F54" s="42">
        <v>17564</v>
      </c>
      <c r="G54" s="36">
        <v>0.5</v>
      </c>
      <c r="H54" s="36">
        <v>5.2</v>
      </c>
      <c r="I54" s="42">
        <v>17413</v>
      </c>
      <c r="J54" s="36">
        <v>2.2999999999999998</v>
      </c>
      <c r="K54" s="42">
        <v>16074</v>
      </c>
      <c r="L54" s="38">
        <v>7.1999999999999995E-2</v>
      </c>
      <c r="M54" s="36">
        <f>ROUND(K54*(1-L54),0)</f>
        <v>14917</v>
      </c>
      <c r="N54" s="27">
        <v>0.69099999999999995</v>
      </c>
      <c r="O54" s="24">
        <f t="shared" si="485"/>
        <v>10307.646999999999</v>
      </c>
      <c r="P54" s="38">
        <v>0.24099999999999999</v>
      </c>
      <c r="Q54" s="24">
        <f t="shared" si="486"/>
        <v>3594.9969999999998</v>
      </c>
      <c r="R54" s="38">
        <v>6.8000000000000005E-2</v>
      </c>
      <c r="S54" s="105"/>
      <c r="T54" s="24">
        <f t="shared" si="487"/>
        <v>1014.3560000000001</v>
      </c>
      <c r="U54" s="27">
        <v>0.215</v>
      </c>
      <c r="V54" s="24">
        <f t="shared" si="488"/>
        <v>3207.1549999999997</v>
      </c>
      <c r="W54" s="38">
        <v>0.495</v>
      </c>
      <c r="X54" s="24">
        <f t="shared" si="489"/>
        <v>7383.915</v>
      </c>
      <c r="Y54" s="38">
        <v>0.39</v>
      </c>
      <c r="Z54" s="24">
        <f t="shared" si="490"/>
        <v>5817.63</v>
      </c>
      <c r="AA54" s="118">
        <v>2.5300000000000001E-3</v>
      </c>
      <c r="AB54" s="121">
        <f t="shared" si="60"/>
        <v>37.740010000000005</v>
      </c>
      <c r="AC54" s="45">
        <v>2.5200000000000001E-3</v>
      </c>
      <c r="AD54" s="17">
        <f t="shared" si="492"/>
        <v>37.59084</v>
      </c>
      <c r="AE54" s="26">
        <f>IF(M54&gt;0,(AG54+AP54)/M54,0)</f>
        <v>2.3703522692230341E-3</v>
      </c>
      <c r="AF54" s="45">
        <v>2.3000000000000001E-4</v>
      </c>
      <c r="AG54" s="36">
        <f t="shared" si="493"/>
        <v>3.4309099999999999</v>
      </c>
      <c r="AH54" s="27">
        <v>0.20180000000000001</v>
      </c>
      <c r="AI54" s="40">
        <f t="shared" si="494"/>
        <v>30.149727200000001</v>
      </c>
      <c r="AJ54" s="27">
        <f t="shared" si="495"/>
        <v>0.90976705874756181</v>
      </c>
      <c r="AK54" s="28">
        <f t="shared" si="6"/>
        <v>0.90394089815044509</v>
      </c>
      <c r="AL54" s="42">
        <v>164</v>
      </c>
      <c r="AM54" s="38">
        <v>8.8999999999999996E-2</v>
      </c>
      <c r="AN54" s="27">
        <v>0.2137</v>
      </c>
      <c r="AO54" s="105">
        <v>0.22370000000000001</v>
      </c>
      <c r="AP54" s="40">
        <f>AL54*(1-AM54)*AN54</f>
        <v>31.9276348</v>
      </c>
      <c r="AQ54" s="106">
        <f t="shared" si="21"/>
        <v>33.421674799999998</v>
      </c>
      <c r="AR54" s="17">
        <v>1.58</v>
      </c>
      <c r="AS54" s="17"/>
      <c r="AT54" s="129">
        <f>AT53+AL54-AS54</f>
        <v>458.19999999999874</v>
      </c>
      <c r="AU54" s="82"/>
      <c r="AV54" s="42"/>
      <c r="AW54" s="46"/>
      <c r="AX54" s="40"/>
      <c r="AY54" s="40"/>
      <c r="AZ54" s="40"/>
      <c r="BA54" s="40"/>
      <c r="BB54" s="31"/>
    </row>
    <row r="55" spans="1:54">
      <c r="A55" s="149"/>
      <c r="B55" s="47" t="s">
        <v>56</v>
      </c>
      <c r="C55" s="48"/>
      <c r="D55" s="49">
        <f t="shared" ref="D55" si="497">SUM(D52:D54)</f>
        <v>44080</v>
      </c>
      <c r="E55" s="49"/>
      <c r="F55" s="49">
        <f t="shared" ref="F55" si="498">SUM(F52:F54)</f>
        <v>45316</v>
      </c>
      <c r="G55" s="50"/>
      <c r="H55" s="50"/>
      <c r="I55" s="49">
        <f t="shared" ref="I55:K55" si="499">SUM(I52:I54)</f>
        <v>44330</v>
      </c>
      <c r="J55" s="50"/>
      <c r="K55" s="49">
        <f t="shared" si="499"/>
        <v>48235</v>
      </c>
      <c r="L55" s="20">
        <f t="shared" ref="L55" si="500">IF(K55&gt;0,(K52*L52+K53*L53+K54*L54)/K55,0)</f>
        <v>7.0328350782626725E-2</v>
      </c>
      <c r="M55" s="50">
        <f t="shared" ref="M55" si="501">M52+M53+M54</f>
        <v>44843</v>
      </c>
      <c r="N55" s="51">
        <f t="shared" ref="N55" si="502">IF(M55&gt;0,O55/M55,0)</f>
        <v>0.68088455277300797</v>
      </c>
      <c r="O55" s="52">
        <f t="shared" ref="O55" si="503">O52+O53+O54</f>
        <v>30532.905999999995</v>
      </c>
      <c r="P55" s="20">
        <f t="shared" ref="P55" si="504">IF(M55&gt;0,Q55/M55,0)</f>
        <v>0.26081557879713663</v>
      </c>
      <c r="Q55" s="52">
        <f t="shared" ref="Q55" si="505">Q52+Q53+Q54</f>
        <v>11695.752999999999</v>
      </c>
      <c r="R55" s="20">
        <f t="shared" ref="R55" si="506">IF(M55&gt;0,T55/M55,0)</f>
        <v>5.8299868429855267E-2</v>
      </c>
      <c r="S55" s="107"/>
      <c r="T55" s="52">
        <f t="shared" ref="T55" si="507">T52+T53+T54</f>
        <v>2614.3409999999999</v>
      </c>
      <c r="U55" s="20">
        <f t="shared" ref="U55" si="508">IF(M55&gt;0,V55/M55,0)</f>
        <v>0.21333376446714092</v>
      </c>
      <c r="V55" s="52">
        <f t="shared" ref="V55" si="509">V52+V53+V54</f>
        <v>9566.5259999999998</v>
      </c>
      <c r="W55" s="20">
        <f t="shared" ref="W55" si="510">IF(M55&gt;0,X55/M55,0)</f>
        <v>0.49833247106571821</v>
      </c>
      <c r="X55" s="52">
        <f t="shared" ref="X55" si="511">X52+X53+X54</f>
        <v>22346.723000000002</v>
      </c>
      <c r="Y55" s="20">
        <f t="shared" ref="Y55" si="512">IF(M55&gt;0,Z55/M55,0)</f>
        <v>0.39335816069397678</v>
      </c>
      <c r="Z55" s="52">
        <f t="shared" ref="Z55" si="513">Z52+Z53+Z54</f>
        <v>17639.36</v>
      </c>
      <c r="AA55" s="119">
        <f t="shared" ref="AA55" si="514">IF(M55&gt;0,AB55/M55,0)</f>
        <v>2.7166440693084763E-3</v>
      </c>
      <c r="AB55" s="54">
        <f t="shared" ref="AB55" si="515">SUM(AB52:AB54)</f>
        <v>121.82247000000001</v>
      </c>
      <c r="AC55" s="53">
        <f t="shared" ref="AC55" si="516">IF(M55&gt;0,AD55/M55,0)</f>
        <v>2.6598867158753874E-3</v>
      </c>
      <c r="AD55" s="54">
        <f t="shared" ref="AD55" si="517">SUM(AD52:AD54)</f>
        <v>119.2773</v>
      </c>
      <c r="AE55" s="53">
        <f t="shared" ref="AE55" si="518">IF(M55&gt;0,(AE52*M52+AE53*M53+AE54*M54)/M55,0)</f>
        <v>2.5471628347791182E-3</v>
      </c>
      <c r="AF55" s="53">
        <f t="shared" ref="AF55" si="519">IF(K55&gt;0,(K52*AF52+K53*AF53+K54*AF54)/K55,0)</f>
        <v>2.3666756504612835E-4</v>
      </c>
      <c r="AG55" s="50">
        <f t="shared" ref="AG55" si="520">SUM(AG52:AG54)</f>
        <v>10.613150000000001</v>
      </c>
      <c r="AH55" s="51">
        <f t="shared" ref="AH55" si="521">IF(K55&gt;0,(K52*AH52+K53*AH53+K54*AH54)/K55,0)</f>
        <v>0.20346847724681252</v>
      </c>
      <c r="AI55" s="56">
        <f t="shared" ref="AI55" si="522">SUM(AI52:AI54)</f>
        <v>100.33560439999999</v>
      </c>
      <c r="AJ55" s="51">
        <f t="shared" ref="AJ55" si="523">IF(AND(AD55&gt;0),((AD52*AJ52+AD53*AJ53+AD54*AJ54)/AD55),0)</f>
        <v>0.91208277115261438</v>
      </c>
      <c r="AK55" s="55">
        <f t="shared" si="6"/>
        <v>0.9081076121627476</v>
      </c>
      <c r="AL55" s="49">
        <f t="shared" ref="AL55" si="524">SUM(AL52:AL54)</f>
        <v>540</v>
      </c>
      <c r="AM55" s="20">
        <f t="shared" ref="AM55" si="525">IF(AL55&gt;0,(AM52*AL52+AM53*AL53+AM54*AL54)/AL55,0)</f>
        <v>8.691111111111112E-2</v>
      </c>
      <c r="AN55" s="51">
        <f>IF(K55&gt;0,(AN52*K52+AN53*K53+AN54*K54)/K55,0)</f>
        <v>0.21033441277080958</v>
      </c>
      <c r="AO55" s="107">
        <f>IF(L55&gt;0,(AO52*K52+AO53*K53+AO54*K54)/K55,0)</f>
        <v>0.2152000704882347</v>
      </c>
      <c r="AP55" s="56">
        <f t="shared" ref="AP55" si="526">SUM(AP52:AP54)</f>
        <v>103.609273</v>
      </c>
      <c r="AQ55" s="108">
        <f t="shared" si="395"/>
        <v>105.89867580000001</v>
      </c>
      <c r="AR55" s="54"/>
      <c r="AS55" s="54">
        <f t="shared" ref="AS55" si="527">SUM(AS52:AS54)</f>
        <v>502.68</v>
      </c>
      <c r="AT55" s="83"/>
      <c r="AU55" s="84">
        <f>AT54</f>
        <v>458.19999999999874</v>
      </c>
      <c r="AV55" s="49">
        <f t="shared" ref="AV55" si="528">SUM(AV52:AV54)</f>
        <v>0</v>
      </c>
      <c r="AW55" s="57"/>
      <c r="AX55" s="56"/>
      <c r="AY55" s="56"/>
      <c r="AZ55" s="56"/>
      <c r="BA55" s="56"/>
      <c r="BB55" s="21"/>
    </row>
    <row r="56" spans="1:54">
      <c r="A56" s="147">
        <v>14</v>
      </c>
      <c r="B56" s="22">
        <v>1</v>
      </c>
      <c r="C56" s="10" t="s">
        <v>53</v>
      </c>
      <c r="D56" s="11">
        <v>12600</v>
      </c>
      <c r="E56" s="11">
        <v>0</v>
      </c>
      <c r="F56" s="11">
        <v>18041</v>
      </c>
      <c r="G56" s="12">
        <v>1</v>
      </c>
      <c r="H56" s="12">
        <v>4.5999999999999996</v>
      </c>
      <c r="I56" s="11">
        <v>17856</v>
      </c>
      <c r="J56" s="12">
        <v>1.5</v>
      </c>
      <c r="K56" s="11">
        <v>16088</v>
      </c>
      <c r="L56" s="13">
        <v>6.2E-2</v>
      </c>
      <c r="M56" s="23">
        <f>ROUND(K56*(1-L56),0)</f>
        <v>15091</v>
      </c>
      <c r="N56" s="14">
        <v>0.75600000000000001</v>
      </c>
      <c r="O56" s="24">
        <f t="shared" ref="O56:O58" si="529">M56*N56</f>
        <v>11408.796</v>
      </c>
      <c r="P56" s="13">
        <v>0.20899999999999999</v>
      </c>
      <c r="Q56" s="24">
        <f t="shared" ref="Q56:Q58" si="530">M56*P56</f>
        <v>3154.0189999999998</v>
      </c>
      <c r="R56" s="15">
        <v>3.5000000000000003E-2</v>
      </c>
      <c r="S56" s="112"/>
      <c r="T56" s="24">
        <f t="shared" ref="T56:T58" si="531">M56*R56</f>
        <v>528.18500000000006</v>
      </c>
      <c r="U56" s="25">
        <v>0.217</v>
      </c>
      <c r="V56" s="24">
        <f t="shared" ref="V56:V58" si="532">M56*U56</f>
        <v>3274.7469999999998</v>
      </c>
      <c r="W56" s="15">
        <v>0.497</v>
      </c>
      <c r="X56" s="24">
        <f t="shared" ref="X56:X58" si="533">M56*W56</f>
        <v>7500.2269999999999</v>
      </c>
      <c r="Y56" s="15">
        <v>0.39</v>
      </c>
      <c r="Z56" s="24">
        <f t="shared" ref="Z56:Z58" si="534">Y56*M56</f>
        <v>5885.49</v>
      </c>
      <c r="AA56" s="116">
        <v>2.7299999999999998E-3</v>
      </c>
      <c r="AB56" s="18">
        <f t="shared" ref="AB56" si="535">M56*AA56</f>
        <v>41.198429999999995</v>
      </c>
      <c r="AC56" s="16">
        <v>2.5699999999999998E-3</v>
      </c>
      <c r="AD56" s="17">
        <f t="shared" ref="AD56:AD58" si="536">M56*AC56</f>
        <v>38.78387</v>
      </c>
      <c r="AE56" s="26">
        <f>IF(M56&gt;0,(AG56+AP56)/M56,0)</f>
        <v>2.4083832482936851E-3</v>
      </c>
      <c r="AF56" s="16">
        <v>2.3000000000000001E-4</v>
      </c>
      <c r="AG56" s="23">
        <f t="shared" ref="AG56:AG58" si="537">AF56*M56</f>
        <v>3.4709300000000001</v>
      </c>
      <c r="AH56" s="92">
        <v>0.20630000000000001</v>
      </c>
      <c r="AI56" s="29">
        <f t="shared" ref="AI56:AI58" si="538">AL56*(1-AM56)*AH56</f>
        <v>32.325559600000005</v>
      </c>
      <c r="AJ56" s="27">
        <f t="shared" ref="AJ56:AJ58" si="539">IF(AND(AH56&gt;0,AF56&gt;0,AC56&gt;0),((AC56-AF56)*AH56)/((AH56-AF56)*AC56),0)</f>
        <v>0.91152207543845831</v>
      </c>
      <c r="AK56" s="58">
        <f t="shared" si="6"/>
        <v>0.90549292496970335</v>
      </c>
      <c r="AL56" s="11">
        <v>172</v>
      </c>
      <c r="AM56" s="13">
        <v>8.8999999999999996E-2</v>
      </c>
      <c r="AN56" s="14">
        <v>0.20979999999999999</v>
      </c>
      <c r="AO56" s="101">
        <v>0.21840000000000001</v>
      </c>
      <c r="AP56" s="29">
        <f>AL56*(1-AM56)*AN56</f>
        <v>32.8739816</v>
      </c>
      <c r="AQ56" s="102">
        <f t="shared" ref="AQ56" si="540">AL56*(1-AM56)*AO56</f>
        <v>34.221532800000006</v>
      </c>
      <c r="AR56" s="18">
        <v>1.6</v>
      </c>
      <c r="AS56" s="18"/>
      <c r="AT56" s="79">
        <f>AT54+AL56-AS56</f>
        <v>630.19999999999868</v>
      </c>
      <c r="AU56" s="80"/>
      <c r="AV56" s="11"/>
      <c r="AW56" s="30"/>
      <c r="AX56" s="19"/>
      <c r="AY56" s="19"/>
      <c r="AZ56" s="19"/>
      <c r="BA56" s="19"/>
      <c r="BB56" s="31"/>
    </row>
    <row r="57" spans="1:54">
      <c r="A57" s="148"/>
      <c r="B57" s="32">
        <v>2</v>
      </c>
      <c r="C57" s="10" t="s">
        <v>54</v>
      </c>
      <c r="D57" s="33">
        <v>18800</v>
      </c>
      <c r="E57" s="33">
        <v>2</v>
      </c>
      <c r="F57" s="33">
        <v>12720</v>
      </c>
      <c r="G57" s="34">
        <v>1.1000000000000001</v>
      </c>
      <c r="H57" s="34">
        <v>6.7</v>
      </c>
      <c r="I57" s="33">
        <v>11841</v>
      </c>
      <c r="J57" s="34">
        <v>3.1</v>
      </c>
      <c r="K57" s="33">
        <v>16097</v>
      </c>
      <c r="L57" s="35">
        <v>6.8000000000000005E-2</v>
      </c>
      <c r="M57" s="36">
        <f>ROUND(K57*(1-L57),0)</f>
        <v>15002</v>
      </c>
      <c r="N57" s="37">
        <v>0.72699999999999998</v>
      </c>
      <c r="O57" s="24">
        <f t="shared" si="529"/>
        <v>10906.454</v>
      </c>
      <c r="P57" s="35">
        <v>0.224</v>
      </c>
      <c r="Q57" s="24">
        <f t="shared" si="530"/>
        <v>3360.4479999999999</v>
      </c>
      <c r="R57" s="38">
        <v>4.9000000000000002E-2</v>
      </c>
      <c r="S57" s="105"/>
      <c r="T57" s="24">
        <f t="shared" si="531"/>
        <v>735.09800000000007</v>
      </c>
      <c r="U57" s="27">
        <v>0.21099999999999999</v>
      </c>
      <c r="V57" s="24">
        <f t="shared" si="532"/>
        <v>3165.422</v>
      </c>
      <c r="W57" s="38">
        <v>0.5</v>
      </c>
      <c r="X57" s="24">
        <f t="shared" si="533"/>
        <v>7501</v>
      </c>
      <c r="Y57" s="38">
        <v>0.39</v>
      </c>
      <c r="Z57" s="24">
        <f t="shared" si="534"/>
        <v>5850.7800000000007</v>
      </c>
      <c r="AA57" s="117">
        <v>2.7399999999999998E-3</v>
      </c>
      <c r="AB57" s="18">
        <f t="shared" si="60"/>
        <v>41.10548</v>
      </c>
      <c r="AC57" s="39">
        <v>2.5699999999999998E-3</v>
      </c>
      <c r="AD57" s="17">
        <f t="shared" si="536"/>
        <v>38.555139999999994</v>
      </c>
      <c r="AE57" s="26">
        <f>IF(M57&gt;0,(AG57+AP57)/M57,0)</f>
        <v>2.3319883882149048E-3</v>
      </c>
      <c r="AF57" s="39">
        <v>2.4000000000000001E-4</v>
      </c>
      <c r="AG57" s="36">
        <f t="shared" si="537"/>
        <v>3.6004800000000001</v>
      </c>
      <c r="AH57" s="27">
        <v>0.20169999999999999</v>
      </c>
      <c r="AI57" s="40">
        <f t="shared" si="538"/>
        <v>31.121704899999997</v>
      </c>
      <c r="AJ57" s="27">
        <f t="shared" si="539"/>
        <v>0.90769483934592632</v>
      </c>
      <c r="AK57" s="28">
        <f t="shared" si="6"/>
        <v>0.89814329166932039</v>
      </c>
      <c r="AL57" s="33">
        <v>169</v>
      </c>
      <c r="AM57" s="35">
        <v>8.6999999999999994E-2</v>
      </c>
      <c r="AN57" s="37">
        <v>0.2034</v>
      </c>
      <c r="AO57" s="103">
        <v>0.20699999999999999</v>
      </c>
      <c r="AP57" s="40">
        <f>AL57*(1-AM57)*AN57</f>
        <v>31.384009799999998</v>
      </c>
      <c r="AQ57" s="104">
        <f t="shared" si="21"/>
        <v>31.939478999999999</v>
      </c>
      <c r="AR57" s="41">
        <v>1.58</v>
      </c>
      <c r="AS57" s="41"/>
      <c r="AT57" s="129">
        <f>AT56+AL57-AS57</f>
        <v>799.19999999999868</v>
      </c>
      <c r="AU57" s="82"/>
      <c r="AV57" s="42"/>
      <c r="AW57" s="43"/>
      <c r="AX57" s="44"/>
      <c r="AY57" s="44"/>
      <c r="AZ57" s="44"/>
      <c r="BA57" s="44"/>
      <c r="BB57" s="31"/>
    </row>
    <row r="58" spans="1:54">
      <c r="A58" s="148"/>
      <c r="B58" s="32">
        <v>3</v>
      </c>
      <c r="C58" s="10" t="s">
        <v>58</v>
      </c>
      <c r="D58" s="42">
        <v>13600</v>
      </c>
      <c r="E58" s="42">
        <v>0</v>
      </c>
      <c r="F58" s="42">
        <v>17503</v>
      </c>
      <c r="G58" s="36">
        <v>0.4</v>
      </c>
      <c r="H58" s="36">
        <v>5.9</v>
      </c>
      <c r="I58" s="42">
        <v>17576</v>
      </c>
      <c r="J58" s="36">
        <v>1.6</v>
      </c>
      <c r="K58" s="42">
        <v>16114</v>
      </c>
      <c r="L58" s="38">
        <v>7.0999999999999994E-2</v>
      </c>
      <c r="M58" s="36">
        <f>ROUND(K58*(1-L58),0)</f>
        <v>14970</v>
      </c>
      <c r="N58" s="27">
        <v>0.80600000000000005</v>
      </c>
      <c r="O58" s="24">
        <f t="shared" si="529"/>
        <v>12065.820000000002</v>
      </c>
      <c r="P58" s="38">
        <v>0.16300000000000001</v>
      </c>
      <c r="Q58" s="24">
        <f t="shared" si="530"/>
        <v>2440.11</v>
      </c>
      <c r="R58" s="38">
        <v>3.1E-2</v>
      </c>
      <c r="S58" s="105"/>
      <c r="T58" s="24">
        <f t="shared" si="531"/>
        <v>464.07</v>
      </c>
      <c r="U58" s="27">
        <v>0.214</v>
      </c>
      <c r="V58" s="24">
        <f t="shared" si="532"/>
        <v>3203.58</v>
      </c>
      <c r="W58" s="38">
        <v>0.498</v>
      </c>
      <c r="X58" s="24">
        <f t="shared" si="533"/>
        <v>7455.06</v>
      </c>
      <c r="Y58" s="38">
        <v>0.38</v>
      </c>
      <c r="Z58" s="24">
        <f t="shared" si="534"/>
        <v>5688.6</v>
      </c>
      <c r="AA58" s="118">
        <v>2.5600000000000002E-3</v>
      </c>
      <c r="AB58" s="121">
        <f t="shared" si="60"/>
        <v>38.3232</v>
      </c>
      <c r="AC58" s="45">
        <v>2.5699999999999998E-3</v>
      </c>
      <c r="AD58" s="17">
        <f t="shared" si="536"/>
        <v>38.472899999999996</v>
      </c>
      <c r="AE58" s="26">
        <f>IF(M58&gt;0,(AG58+AP58)/M58,0)</f>
        <v>2.4819150300601201E-3</v>
      </c>
      <c r="AF58" s="45">
        <v>2.4000000000000001E-4</v>
      </c>
      <c r="AG58" s="36">
        <f t="shared" si="537"/>
        <v>3.5928</v>
      </c>
      <c r="AH58" s="27">
        <v>0.20269999999999999</v>
      </c>
      <c r="AI58" s="40">
        <f t="shared" si="538"/>
        <v>32.271867</v>
      </c>
      <c r="AJ58" s="27">
        <f t="shared" si="539"/>
        <v>0.90768950469535969</v>
      </c>
      <c r="AK58" s="28">
        <f t="shared" si="6"/>
        <v>0.90433007461989368</v>
      </c>
      <c r="AL58" s="42">
        <v>174</v>
      </c>
      <c r="AM58" s="38">
        <v>8.5000000000000006E-2</v>
      </c>
      <c r="AN58" s="27">
        <v>0.21079999999999999</v>
      </c>
      <c r="AO58" s="105">
        <v>0.2198</v>
      </c>
      <c r="AP58" s="40">
        <f>AL58*(1-AM58)*AN58</f>
        <v>33.561467999999998</v>
      </c>
      <c r="AQ58" s="106">
        <f t="shared" si="21"/>
        <v>34.994357999999998</v>
      </c>
      <c r="AR58" s="17">
        <v>1.55</v>
      </c>
      <c r="AS58" s="17"/>
      <c r="AT58" s="129">
        <f>AT57+AL58-AS58</f>
        <v>973.19999999999868</v>
      </c>
      <c r="AU58" s="82"/>
      <c r="AV58" s="42"/>
      <c r="AW58" s="46"/>
      <c r="AX58" s="40"/>
      <c r="AY58" s="40"/>
      <c r="AZ58" s="40"/>
      <c r="BA58" s="40"/>
      <c r="BB58" s="31"/>
    </row>
    <row r="59" spans="1:54">
      <c r="A59" s="149"/>
      <c r="B59" s="47" t="s">
        <v>56</v>
      </c>
      <c r="C59" s="48"/>
      <c r="D59" s="49">
        <f t="shared" ref="D59" si="541">SUM(D56:D58)</f>
        <v>45000</v>
      </c>
      <c r="E59" s="49"/>
      <c r="F59" s="49">
        <f t="shared" ref="F59" si="542">SUM(F56:F58)</f>
        <v>48264</v>
      </c>
      <c r="G59" s="50"/>
      <c r="H59" s="50"/>
      <c r="I59" s="49">
        <f t="shared" ref="I59:K59" si="543">SUM(I56:I58)</f>
        <v>47273</v>
      </c>
      <c r="J59" s="50"/>
      <c r="K59" s="49">
        <f t="shared" si="543"/>
        <v>48299</v>
      </c>
      <c r="L59" s="20">
        <f t="shared" ref="L59" si="544">IF(K59&gt;0,(K56*L56+K57*L57+K58*L58)/K59,0)</f>
        <v>6.7002339592952223E-2</v>
      </c>
      <c r="M59" s="50">
        <f t="shared" ref="M59" si="545">M56+M57+M58</f>
        <v>45063</v>
      </c>
      <c r="N59" s="51">
        <f t="shared" ref="N59" si="546">IF(M59&gt;0,O59/M59,0)</f>
        <v>0.76295563988194304</v>
      </c>
      <c r="O59" s="52">
        <f t="shared" ref="O59" si="547">O56+O57+O58</f>
        <v>34381.07</v>
      </c>
      <c r="P59" s="20">
        <f t="shared" ref="P59" si="548">IF(M59&gt;0,Q59/M59,0)</f>
        <v>0.19871240263630915</v>
      </c>
      <c r="Q59" s="52">
        <f t="shared" ref="Q59" si="549">Q56+Q57+Q58</f>
        <v>8954.5769999999993</v>
      </c>
      <c r="R59" s="20">
        <f t="shared" ref="R59" si="550">IF(M59&gt;0,T59/M59,0)</f>
        <v>3.8331957481747773E-2</v>
      </c>
      <c r="S59" s="107"/>
      <c r="T59" s="52">
        <f t="shared" ref="T59" si="551">T56+T57+T58</f>
        <v>1727.3530000000001</v>
      </c>
      <c r="U59" s="20">
        <f t="shared" ref="U59" si="552">IF(M59&gt;0,V59/M59,0)</f>
        <v>0.21400592503827973</v>
      </c>
      <c r="V59" s="52">
        <f t="shared" ref="V59" si="553">V56+V57+V58</f>
        <v>9643.7489999999998</v>
      </c>
      <c r="W59" s="20">
        <f t="shared" ref="W59" si="554">IF(M59&gt;0,X59/M59,0)</f>
        <v>0.49833093668863593</v>
      </c>
      <c r="X59" s="52">
        <f t="shared" ref="X59" si="555">X56+X57+X58</f>
        <v>22456.287</v>
      </c>
      <c r="Y59" s="20">
        <f t="shared" ref="Y59" si="556">IF(M59&gt;0,Z59/M59,0)</f>
        <v>0.38667798415551569</v>
      </c>
      <c r="Z59" s="52">
        <f t="shared" ref="Z59" si="557">Z56+Z57+Z58</f>
        <v>17424.870000000003</v>
      </c>
      <c r="AA59" s="119">
        <f t="shared" ref="AA59" si="558">IF(M59&gt;0,AB59/M59,0)</f>
        <v>2.6768548476577237E-3</v>
      </c>
      <c r="AB59" s="54">
        <f t="shared" ref="AB59" si="559">SUM(AB56:AB58)</f>
        <v>120.62711</v>
      </c>
      <c r="AC59" s="53">
        <f t="shared" ref="AC59" si="560">IF(M59&gt;0,AD59/M59,0)</f>
        <v>2.5699999999999998E-3</v>
      </c>
      <c r="AD59" s="54">
        <f t="shared" ref="AD59" si="561">SUM(AD56:AD58)</f>
        <v>115.81191</v>
      </c>
      <c r="AE59" s="53">
        <f t="shared" ref="AE59" si="562">IF(M59&gt;0,(AE56*M56+AE57*M57+AE58*M58)/M59,0)</f>
        <v>2.4073778798570887E-3</v>
      </c>
      <c r="AF59" s="53">
        <f t="shared" ref="AF59" si="563">IF(K59&gt;0,(K56*AF56+K57*AF57+K58*AF58)/K59,0)</f>
        <v>2.3666908217561441E-4</v>
      </c>
      <c r="AG59" s="50">
        <f t="shared" ref="AG59" si="564">SUM(AG56:AG58)</f>
        <v>10.664210000000001</v>
      </c>
      <c r="AH59" s="51">
        <f t="shared" ref="AH59" si="565">IF(K59&gt;0,(K56*AH56+K57*AH57+K58*AH58)/K59,0)</f>
        <v>0.20356585229507856</v>
      </c>
      <c r="AI59" s="56">
        <f t="shared" ref="AI59" si="566">SUM(AI56:AI58)</f>
        <v>95.719131500000003</v>
      </c>
      <c r="AJ59" s="51">
        <f t="shared" ref="AJ59" si="567">IF(AND(AD59&gt;0),((AD56*AJ56+AD57*AJ57+AD58*AJ58)/AD59),0)</f>
        <v>0.90897475768588176</v>
      </c>
      <c r="AK59" s="55">
        <f t="shared" si="6"/>
        <v>0.90271723598886722</v>
      </c>
      <c r="AL59" s="49">
        <f t="shared" ref="AL59" si="568">SUM(AL56:AL58)</f>
        <v>515</v>
      </c>
      <c r="AM59" s="20">
        <f t="shared" ref="AM59" si="569">IF(AL59&gt;0,(AM56*AL56+AM57*AL57+AM58*AL58)/AL59,0)</f>
        <v>8.6992233009708736E-2</v>
      </c>
      <c r="AN59" s="51">
        <f>IF(K59&gt;0,(AN56*K56+AN57*K57+AN58*K58)/K59,0)</f>
        <v>0.20800065011697963</v>
      </c>
      <c r="AO59" s="107">
        <f>IF(L59&gt;0,(AO56*K56+AO57*K57+AO58*K58)/K59,0)</f>
        <v>0.21506771154682289</v>
      </c>
      <c r="AP59" s="56">
        <f t="shared" ref="AP59:AQ71" si="570">SUM(AP56:AP58)</f>
        <v>97.8194594</v>
      </c>
      <c r="AQ59" s="108">
        <f t="shared" si="570"/>
        <v>101.15536980000002</v>
      </c>
      <c r="AR59" s="54"/>
      <c r="AS59" s="54">
        <f t="shared" ref="AS59" si="571">SUM(AS56:AS58)</f>
        <v>0</v>
      </c>
      <c r="AT59" s="83"/>
      <c r="AU59" s="84">
        <f>AT58</f>
        <v>973.19999999999868</v>
      </c>
      <c r="AV59" s="49">
        <f t="shared" ref="AV59" si="572">SUM(AV56:AV58)</f>
        <v>0</v>
      </c>
      <c r="AW59" s="57"/>
      <c r="AX59" s="56"/>
      <c r="AY59" s="56"/>
      <c r="AZ59" s="56"/>
      <c r="BA59" s="56"/>
      <c r="BB59" s="21"/>
    </row>
    <row r="60" spans="1:54">
      <c r="A60" s="147">
        <v>15</v>
      </c>
      <c r="B60" s="22">
        <v>1</v>
      </c>
      <c r="C60" s="10" t="s">
        <v>59</v>
      </c>
      <c r="D60" s="11">
        <v>12200</v>
      </c>
      <c r="E60" s="11">
        <v>1</v>
      </c>
      <c r="F60" s="11">
        <v>14998</v>
      </c>
      <c r="G60" s="12">
        <v>0.6</v>
      </c>
      <c r="H60" s="12">
        <v>5.6</v>
      </c>
      <c r="I60" s="11">
        <v>15020</v>
      </c>
      <c r="J60" s="12">
        <v>2</v>
      </c>
      <c r="K60" s="11">
        <v>16115</v>
      </c>
      <c r="L60" s="13">
        <v>7.1999999999999995E-2</v>
      </c>
      <c r="M60" s="23">
        <f>ROUND(K60*(1-L60),0)</f>
        <v>14955</v>
      </c>
      <c r="N60" s="14">
        <v>0.78500000000000003</v>
      </c>
      <c r="O60" s="24">
        <f t="shared" ref="O60:O62" si="573">M60*N60</f>
        <v>11739.675000000001</v>
      </c>
      <c r="P60" s="13">
        <v>0.16600000000000001</v>
      </c>
      <c r="Q60" s="24">
        <f t="shared" ref="Q60:Q62" si="574">M60*P60</f>
        <v>2482.5300000000002</v>
      </c>
      <c r="R60" s="15">
        <v>4.9000000000000002E-2</v>
      </c>
      <c r="S60" s="112"/>
      <c r="T60" s="24">
        <f t="shared" ref="T60:T62" si="575">M60*R60</f>
        <v>732.79500000000007</v>
      </c>
      <c r="U60" s="25">
        <v>0.21299999999999999</v>
      </c>
      <c r="V60" s="24">
        <f t="shared" ref="V60:V62" si="576">M60*U60</f>
        <v>3185.415</v>
      </c>
      <c r="W60" s="15">
        <v>0.50600000000000001</v>
      </c>
      <c r="X60" s="24">
        <f t="shared" ref="X60:X62" si="577">M60*W60</f>
        <v>7567.2300000000005</v>
      </c>
      <c r="Y60" s="15">
        <v>0.39</v>
      </c>
      <c r="Z60" s="24">
        <f t="shared" ref="Z60:Z62" si="578">Y60*M60</f>
        <v>5832.45</v>
      </c>
      <c r="AA60" s="116">
        <v>2.7000000000000001E-3</v>
      </c>
      <c r="AB60" s="18">
        <f t="shared" ref="AB60" si="579">M60*AA60</f>
        <v>40.378500000000003</v>
      </c>
      <c r="AC60" s="16">
        <v>2.5899999999999999E-3</v>
      </c>
      <c r="AD60" s="17">
        <f t="shared" ref="AD60:AD62" si="580">M60*AC60</f>
        <v>38.733449999999998</v>
      </c>
      <c r="AE60" s="26">
        <f>IF(M60&gt;0,(AG60+AP60)/M60,0)</f>
        <v>2.4979999598796396E-3</v>
      </c>
      <c r="AF60" s="16">
        <v>2.5000000000000001E-4</v>
      </c>
      <c r="AG60" s="23">
        <f t="shared" ref="AG60:AG62" si="581">AF60*M60</f>
        <v>3.73875</v>
      </c>
      <c r="AH60" s="92">
        <v>0.2077</v>
      </c>
      <c r="AI60" s="29">
        <f t="shared" ref="AI60:AI62" si="582">AL60*(1-AM60)*AH60</f>
        <v>32.462263800000002</v>
      </c>
      <c r="AJ60" s="27">
        <f t="shared" ref="AJ60:AJ62" si="583">IF(AND(AH60&gt;0,AF60&gt;0,AC60&gt;0),((AC60-AF60)*AH60)/((AH60-AF60)*AC60),0)</f>
        <v>0.90456368981314761</v>
      </c>
      <c r="AK60" s="58">
        <f t="shared" si="6"/>
        <v>0.9009670834388156</v>
      </c>
      <c r="AL60" s="11">
        <v>171</v>
      </c>
      <c r="AM60" s="13">
        <v>8.5999999999999993E-2</v>
      </c>
      <c r="AN60" s="14">
        <v>0.21510000000000001</v>
      </c>
      <c r="AO60" s="101">
        <v>0.2266</v>
      </c>
      <c r="AP60" s="29">
        <f>AL60*(1-AM60)*AN60</f>
        <v>33.618839400000006</v>
      </c>
      <c r="AQ60" s="102">
        <f t="shared" ref="AQ60" si="584">AL60*(1-AM60)*AO60</f>
        <v>35.4162204</v>
      </c>
      <c r="AR60" s="18">
        <v>1.63</v>
      </c>
      <c r="AS60" s="18"/>
      <c r="AT60" s="79">
        <f>AT58+AL60-AS60</f>
        <v>1144.1999999999987</v>
      </c>
      <c r="AU60" s="80"/>
      <c r="AV60" s="11"/>
      <c r="AW60" s="30"/>
      <c r="AX60" s="19"/>
      <c r="AY60" s="19"/>
      <c r="AZ60" s="19"/>
      <c r="BA60" s="19"/>
      <c r="BB60" s="31"/>
    </row>
    <row r="61" spans="1:54">
      <c r="A61" s="148"/>
      <c r="B61" s="32">
        <v>2</v>
      </c>
      <c r="C61" s="10" t="s">
        <v>54</v>
      </c>
      <c r="D61" s="33">
        <v>19100</v>
      </c>
      <c r="E61" s="33">
        <v>3</v>
      </c>
      <c r="F61" s="33">
        <v>17220</v>
      </c>
      <c r="G61" s="34">
        <v>0.8</v>
      </c>
      <c r="H61" s="34">
        <v>6.2</v>
      </c>
      <c r="I61" s="33">
        <v>16302</v>
      </c>
      <c r="J61" s="34">
        <v>2.1</v>
      </c>
      <c r="K61" s="33">
        <v>16158</v>
      </c>
      <c r="L61" s="35">
        <v>6.5000000000000002E-2</v>
      </c>
      <c r="M61" s="36">
        <f>ROUND(K61*(1-L61),0)</f>
        <v>15108</v>
      </c>
      <c r="N61" s="37">
        <v>0.63800000000000001</v>
      </c>
      <c r="O61" s="24">
        <f t="shared" si="573"/>
        <v>9638.9040000000005</v>
      </c>
      <c r="P61" s="35">
        <v>0.30399999999999999</v>
      </c>
      <c r="Q61" s="24">
        <f t="shared" si="574"/>
        <v>4592.8320000000003</v>
      </c>
      <c r="R61" s="38">
        <v>5.8000000000000003E-2</v>
      </c>
      <c r="S61" s="105"/>
      <c r="T61" s="24">
        <f t="shared" si="575"/>
        <v>876.26400000000001</v>
      </c>
      <c r="U61" s="27">
        <v>0.215</v>
      </c>
      <c r="V61" s="24">
        <f t="shared" si="576"/>
        <v>3248.22</v>
      </c>
      <c r="W61" s="38">
        <v>0.502</v>
      </c>
      <c r="X61" s="24">
        <f t="shared" si="577"/>
        <v>7584.2160000000003</v>
      </c>
      <c r="Y61" s="38">
        <v>0.39</v>
      </c>
      <c r="Z61" s="24">
        <f t="shared" si="578"/>
        <v>5892.12</v>
      </c>
      <c r="AA61" s="117">
        <v>2.6800000000000001E-3</v>
      </c>
      <c r="AB61" s="18">
        <f t="shared" si="60"/>
        <v>40.489440000000002</v>
      </c>
      <c r="AC61" s="39">
        <v>2.5699999999999998E-3</v>
      </c>
      <c r="AD61" s="17">
        <f t="shared" si="580"/>
        <v>38.827559999999998</v>
      </c>
      <c r="AE61" s="26">
        <f>IF(M61&gt;0,(AG61+AP61)/M61,0)</f>
        <v>2.6082086576648135E-3</v>
      </c>
      <c r="AF61" s="39">
        <v>2.5000000000000001E-4</v>
      </c>
      <c r="AG61" s="36">
        <f t="shared" si="581"/>
        <v>3.7770000000000001</v>
      </c>
      <c r="AH61" s="27">
        <v>0.2044</v>
      </c>
      <c r="AI61" s="40">
        <f t="shared" si="582"/>
        <v>34.710799200000004</v>
      </c>
      <c r="AJ61" s="27">
        <f t="shared" si="583"/>
        <v>0.90382920165324387</v>
      </c>
      <c r="AK61" s="28">
        <f t="shared" si="6"/>
        <v>0.90522745208391087</v>
      </c>
      <c r="AL61" s="33">
        <v>186</v>
      </c>
      <c r="AM61" s="35">
        <v>8.6999999999999994E-2</v>
      </c>
      <c r="AN61" s="37">
        <v>0.20979999999999999</v>
      </c>
      <c r="AO61" s="103">
        <v>0.21790000000000001</v>
      </c>
      <c r="AP61" s="40">
        <f>AL61*(1-AM61)*AN61</f>
        <v>35.6278164</v>
      </c>
      <c r="AQ61" s="104">
        <f t="shared" si="21"/>
        <v>37.003342200000006</v>
      </c>
      <c r="AR61" s="41">
        <v>1.55</v>
      </c>
      <c r="AS61" s="41"/>
      <c r="AT61" s="129">
        <f>AT60+AL61-AS61</f>
        <v>1330.1999999999987</v>
      </c>
      <c r="AU61" s="82"/>
      <c r="AV61" s="42"/>
      <c r="AW61" s="43"/>
      <c r="AX61" s="44"/>
      <c r="AY61" s="44"/>
      <c r="AZ61" s="44"/>
      <c r="BA61" s="44"/>
      <c r="BB61" s="31"/>
    </row>
    <row r="62" spans="1:54">
      <c r="A62" s="148"/>
      <c r="B62" s="32">
        <v>3</v>
      </c>
      <c r="C62" s="10" t="s">
        <v>55</v>
      </c>
      <c r="D62" s="42">
        <v>17500</v>
      </c>
      <c r="E62" s="42">
        <v>2</v>
      </c>
      <c r="F62" s="42">
        <v>17763</v>
      </c>
      <c r="G62" s="36">
        <v>0.7</v>
      </c>
      <c r="H62" s="36">
        <v>6.8</v>
      </c>
      <c r="I62" s="42">
        <v>17814</v>
      </c>
      <c r="J62" s="36">
        <v>1</v>
      </c>
      <c r="K62" s="42">
        <v>16154</v>
      </c>
      <c r="L62" s="38">
        <v>6.4000000000000001E-2</v>
      </c>
      <c r="M62" s="36">
        <f>ROUND(K62*(1-L62),0)</f>
        <v>15120</v>
      </c>
      <c r="N62" s="27">
        <v>0.70399999999999996</v>
      </c>
      <c r="O62" s="24">
        <f t="shared" si="573"/>
        <v>10644.48</v>
      </c>
      <c r="P62" s="38">
        <v>0.249</v>
      </c>
      <c r="Q62" s="24">
        <f t="shared" si="574"/>
        <v>3764.88</v>
      </c>
      <c r="R62" s="38">
        <v>4.7E-2</v>
      </c>
      <c r="S62" s="105"/>
      <c r="T62" s="24">
        <f t="shared" si="575"/>
        <v>710.64</v>
      </c>
      <c r="U62" s="27">
        <v>0.216</v>
      </c>
      <c r="V62" s="24">
        <f t="shared" si="576"/>
        <v>3265.92</v>
      </c>
      <c r="W62" s="38">
        <v>0.51700000000000002</v>
      </c>
      <c r="X62" s="24">
        <f t="shared" si="577"/>
        <v>7817.04</v>
      </c>
      <c r="Y62" s="38">
        <v>0.37</v>
      </c>
      <c r="Z62" s="24">
        <f t="shared" si="578"/>
        <v>5594.4</v>
      </c>
      <c r="AA62" s="118">
        <v>2.5200000000000001E-3</v>
      </c>
      <c r="AB62" s="121">
        <f t="shared" si="60"/>
        <v>38.102400000000003</v>
      </c>
      <c r="AC62" s="45">
        <v>2.3400000000000001E-3</v>
      </c>
      <c r="AD62" s="17">
        <f t="shared" si="580"/>
        <v>35.380800000000001</v>
      </c>
      <c r="AE62" s="26">
        <f>IF(M62&gt;0,(AG62+AP62)/M62,0)</f>
        <v>2.0137562433862432E-3</v>
      </c>
      <c r="AF62" s="45">
        <v>2.7E-4</v>
      </c>
      <c r="AG62" s="36">
        <f t="shared" si="581"/>
        <v>4.0823999999999998</v>
      </c>
      <c r="AH62" s="27">
        <v>0.20200000000000001</v>
      </c>
      <c r="AI62" s="40">
        <f t="shared" si="582"/>
        <v>26.274544000000002</v>
      </c>
      <c r="AJ62" s="27">
        <f t="shared" si="583"/>
        <v>0.88579937387749819</v>
      </c>
      <c r="AK62" s="28">
        <f t="shared" si="6"/>
        <v>0.8670771655854066</v>
      </c>
      <c r="AL62" s="42">
        <v>142</v>
      </c>
      <c r="AM62" s="38">
        <v>8.4000000000000005E-2</v>
      </c>
      <c r="AN62" s="27">
        <v>0.20269999999999999</v>
      </c>
      <c r="AO62" s="105">
        <v>0.22339999999999999</v>
      </c>
      <c r="AP62" s="40">
        <f>AL62*(1-AM62)*AN62</f>
        <v>26.365594399999999</v>
      </c>
      <c r="AQ62" s="106">
        <f t="shared" si="21"/>
        <v>29.0580848</v>
      </c>
      <c r="AR62" s="17">
        <v>1.55</v>
      </c>
      <c r="AS62" s="17"/>
      <c r="AT62" s="129">
        <f>AT61+AL62-AS62</f>
        <v>1472.1999999999987</v>
      </c>
      <c r="AU62" s="82"/>
      <c r="AV62" s="42"/>
      <c r="AW62" s="46"/>
      <c r="AX62" s="40"/>
      <c r="AY62" s="40"/>
      <c r="AZ62" s="40"/>
      <c r="BA62" s="40"/>
      <c r="BB62" s="31"/>
    </row>
    <row r="63" spans="1:54">
      <c r="A63" s="149"/>
      <c r="B63" s="47" t="s">
        <v>56</v>
      </c>
      <c r="C63" s="48"/>
      <c r="D63" s="49">
        <f t="shared" ref="D63" si="585">SUM(D60:D62)</f>
        <v>48800</v>
      </c>
      <c r="E63" s="49"/>
      <c r="F63" s="49">
        <f t="shared" ref="F63" si="586">SUM(F60:F62)</f>
        <v>49981</v>
      </c>
      <c r="G63" s="50"/>
      <c r="H63" s="50"/>
      <c r="I63" s="49">
        <f t="shared" ref="I63:K63" si="587">SUM(I60:I62)</f>
        <v>49136</v>
      </c>
      <c r="J63" s="50"/>
      <c r="K63" s="49">
        <f t="shared" si="587"/>
        <v>48427</v>
      </c>
      <c r="L63" s="20">
        <f t="shared" ref="L63" si="588">IF(K63&gt;0,(K60*L60+K61*L61+K62*L62)/K63,0)</f>
        <v>6.6995808123567424E-2</v>
      </c>
      <c r="M63" s="50">
        <f t="shared" ref="M63" si="589">M60+M61+M62</f>
        <v>45183</v>
      </c>
      <c r="N63" s="51">
        <f t="shared" ref="N63" si="590">IF(M63&gt;0,O63/M63,0)</f>
        <v>0.70874131863754064</v>
      </c>
      <c r="O63" s="52">
        <f t="shared" ref="O63" si="591">O60+O61+O62</f>
        <v>32023.059000000001</v>
      </c>
      <c r="P63" s="20">
        <f t="shared" ref="P63" si="592">IF(M63&gt;0,Q63/M63,0)</f>
        <v>0.23991859770267582</v>
      </c>
      <c r="Q63" s="52">
        <f t="shared" ref="Q63" si="593">Q60+Q61+Q62</f>
        <v>10840.242000000002</v>
      </c>
      <c r="R63" s="20">
        <f t="shared" ref="R63" si="594">IF(M63&gt;0,T63/M63,0)</f>
        <v>5.1340083659783549E-2</v>
      </c>
      <c r="S63" s="107"/>
      <c r="T63" s="52">
        <f t="shared" ref="T63" si="595">T60+T61+T62</f>
        <v>2319.6990000000001</v>
      </c>
      <c r="U63" s="20">
        <f t="shared" ref="U63" si="596">IF(M63&gt;0,V63/M63,0)</f>
        <v>0.21467266449770933</v>
      </c>
      <c r="V63" s="52">
        <f t="shared" ref="V63" si="597">V60+V61+V62</f>
        <v>9699.5550000000003</v>
      </c>
      <c r="W63" s="20">
        <f t="shared" ref="W63" si="598">IF(M63&gt;0,X63/M63,0)</f>
        <v>0.50834353628577122</v>
      </c>
      <c r="X63" s="52">
        <f t="shared" ref="X63" si="599">X60+X61+X62</f>
        <v>22968.486000000001</v>
      </c>
      <c r="Y63" s="20">
        <f t="shared" ref="Y63" si="600">IF(M63&gt;0,Z63/M63,0)</f>
        <v>0.38330721731624728</v>
      </c>
      <c r="Z63" s="52">
        <f t="shared" ref="Z63" si="601">Z60+Z61+Z62</f>
        <v>17318.97</v>
      </c>
      <c r="AA63" s="119">
        <f t="shared" ref="AA63" si="602">IF(M63&gt;0,AB63/M63,0)</f>
        <v>2.6330774848947617E-3</v>
      </c>
      <c r="AB63" s="54">
        <f t="shared" ref="AB63" si="603">SUM(AB60:AB62)</f>
        <v>118.97034000000001</v>
      </c>
      <c r="AC63" s="53">
        <f t="shared" ref="AC63" si="604">IF(M63&gt;0,AD63/M63,0)</f>
        <v>2.4996527455016268E-3</v>
      </c>
      <c r="AD63" s="54">
        <f t="shared" ref="AD63" si="605">SUM(AD60:AD62)</f>
        <v>112.94181</v>
      </c>
      <c r="AE63" s="53">
        <f t="shared" ref="AE63" si="606">IF(M63&gt;0,(AE60*M60+AE61*M61+AE62*M62)/M63,0)</f>
        <v>2.3728039351083373E-3</v>
      </c>
      <c r="AF63" s="53">
        <f t="shared" ref="AF63" si="607">IF(K63&gt;0,(K60*AF60+K61*AF61+K62*AF62)/K63,0)</f>
        <v>2.5667148491543976E-4</v>
      </c>
      <c r="AG63" s="50">
        <f t="shared" ref="AG63" si="608">SUM(AG60:AG62)</f>
        <v>11.59815</v>
      </c>
      <c r="AH63" s="51">
        <f t="shared" ref="AH63" si="609">IF(K63&gt;0,(K60*AH60+K61*AH61+K62*AH62)/K63,0)</f>
        <v>0.20469755921283581</v>
      </c>
      <c r="AI63" s="56">
        <f t="shared" ref="AI63" si="610">SUM(AI60:AI62)</f>
        <v>93.447607000000019</v>
      </c>
      <c r="AJ63" s="51">
        <f t="shared" ref="AJ63" si="611">IF(AND(AD63&gt;0),((AD60*AJ60+AD61*AJ61+AD62*AJ62)/AD63),0)</f>
        <v>0.89843296734328482</v>
      </c>
      <c r="AK63" s="55">
        <f t="shared" si="6"/>
        <v>0.89292334277990293</v>
      </c>
      <c r="AL63" s="49">
        <f t="shared" ref="AL63" si="612">SUM(AL60:AL62)</f>
        <v>499</v>
      </c>
      <c r="AM63" s="20">
        <f t="shared" ref="AM63" si="613">IF(AL63&gt;0,(AM60*AL60+AM61*AL61+AM62*AL62)/AL63,0)</f>
        <v>8.5803607214428868E-2</v>
      </c>
      <c r="AN63" s="51">
        <f>IF(K63&gt;0,(AN60*K60+AN61*K61+AN62*K62)/K63,0)</f>
        <v>0.20919529807751877</v>
      </c>
      <c r="AO63" s="107">
        <f>IF(L63&gt;0,(AO60*K60+AO61*K61+AO62*K62)/K63,0)</f>
        <v>0.22262974786792494</v>
      </c>
      <c r="AP63" s="56">
        <f t="shared" ref="AP63" si="614">SUM(AP60:AP62)</f>
        <v>95.612250200000005</v>
      </c>
      <c r="AQ63" s="108">
        <f t="shared" si="570"/>
        <v>101.47764740000001</v>
      </c>
      <c r="AR63" s="54"/>
      <c r="AS63" s="54">
        <f t="shared" ref="AS63" si="615">SUM(AS60:AS62)</f>
        <v>0</v>
      </c>
      <c r="AT63" s="83"/>
      <c r="AU63" s="84">
        <f>AT62</f>
        <v>1472.1999999999987</v>
      </c>
      <c r="AV63" s="49">
        <f t="shared" ref="AV63" si="616">SUM(AV60:AV62)</f>
        <v>0</v>
      </c>
      <c r="AW63" s="57"/>
      <c r="AX63" s="56"/>
      <c r="AY63" s="56"/>
      <c r="AZ63" s="56"/>
      <c r="BA63" s="56"/>
      <c r="BB63" s="21"/>
    </row>
    <row r="64" spans="1:54">
      <c r="A64" s="147">
        <v>16</v>
      </c>
      <c r="B64" s="22">
        <v>1</v>
      </c>
      <c r="C64" s="10" t="s">
        <v>57</v>
      </c>
      <c r="D64" s="11">
        <v>5400</v>
      </c>
      <c r="E64" s="11">
        <v>0</v>
      </c>
      <c r="F64" s="11">
        <v>9073</v>
      </c>
      <c r="G64" s="12">
        <v>0.7</v>
      </c>
      <c r="H64" s="12">
        <v>7.7</v>
      </c>
      <c r="I64" s="11">
        <v>8883</v>
      </c>
      <c r="J64" s="12">
        <v>3.9</v>
      </c>
      <c r="K64" s="11">
        <v>15884</v>
      </c>
      <c r="L64" s="13">
        <v>7.1999999999999995E-2</v>
      </c>
      <c r="M64" s="23">
        <f>ROUND(K64*(1-L64),0)</f>
        <v>14740</v>
      </c>
      <c r="N64" s="14">
        <v>0.65500000000000003</v>
      </c>
      <c r="O64" s="24">
        <f t="shared" ref="O64:O66" si="617">M64*N64</f>
        <v>9654.7000000000007</v>
      </c>
      <c r="P64" s="13">
        <v>0.3</v>
      </c>
      <c r="Q64" s="24">
        <f t="shared" ref="Q64:Q66" si="618">M64*P64</f>
        <v>4422</v>
      </c>
      <c r="R64" s="15">
        <v>4.4999999999999998E-2</v>
      </c>
      <c r="S64" s="112">
        <v>0.24099999999999999</v>
      </c>
      <c r="T64" s="24">
        <f t="shared" ref="T64:T66" si="619">M64*R64</f>
        <v>663.3</v>
      </c>
      <c r="U64" s="25">
        <v>0.214</v>
      </c>
      <c r="V64" s="24">
        <f t="shared" ref="V64:V66" si="620">M64*U64</f>
        <v>3154.36</v>
      </c>
      <c r="W64" s="15">
        <v>0.50800000000000001</v>
      </c>
      <c r="X64" s="24">
        <f t="shared" ref="X64:X66" si="621">M64*W64</f>
        <v>7487.92</v>
      </c>
      <c r="Y64" s="15">
        <v>0.39</v>
      </c>
      <c r="Z64" s="24">
        <f t="shared" ref="Z64:Z66" si="622">Y64*M64</f>
        <v>5748.6</v>
      </c>
      <c r="AA64" s="116">
        <v>2.7100000000000002E-3</v>
      </c>
      <c r="AB64" s="18">
        <f t="shared" ref="AB64" si="623">M64*AA64</f>
        <v>39.945399999999999</v>
      </c>
      <c r="AC64" s="16">
        <v>2.4399999999999999E-3</v>
      </c>
      <c r="AD64" s="17">
        <f t="shared" ref="AD64:AD66" si="624">M64*AC64</f>
        <v>35.965599999999995</v>
      </c>
      <c r="AE64" s="26">
        <f>IF(M64&gt;0,(AG64+AP64)/M64,0)</f>
        <v>2.7041214654002716E-3</v>
      </c>
      <c r="AF64" s="16">
        <v>2.7999999999999998E-4</v>
      </c>
      <c r="AG64" s="23">
        <f t="shared" ref="AG64:AG66" si="625">AF64*M64</f>
        <v>4.1271999999999993</v>
      </c>
      <c r="AH64" s="92">
        <v>0.2064</v>
      </c>
      <c r="AI64" s="29">
        <f t="shared" ref="AI64:AI66" si="626">AL64*(1-AM64)*AH64</f>
        <v>34.334227200000001</v>
      </c>
      <c r="AJ64" s="27">
        <f t="shared" ref="AJ64:AJ66" si="627">IF(AND(AH64&gt;0,AF64&gt;0,AC64&gt;0),((AC64-AF64)*AH64)/((AH64-AF64)*AC64),0)</f>
        <v>0.88644844798350808</v>
      </c>
      <c r="AK64" s="58">
        <f t="shared" si="6"/>
        <v>0.89762444320681389</v>
      </c>
      <c r="AL64" s="42">
        <v>182</v>
      </c>
      <c r="AM64" s="13">
        <v>8.5999999999999993E-2</v>
      </c>
      <c r="AN64" s="14">
        <v>0.21479999999999999</v>
      </c>
      <c r="AO64" s="101">
        <v>0.22070000000000001</v>
      </c>
      <c r="AP64" s="29">
        <f>AL64*(1-AM64)*AN64</f>
        <v>35.731550400000003</v>
      </c>
      <c r="AQ64" s="102">
        <f t="shared" ref="AQ64" si="628">AL64*(1-AM64)*AO64</f>
        <v>36.713003600000008</v>
      </c>
      <c r="AR64" s="18">
        <v>1.6</v>
      </c>
      <c r="AS64" s="18">
        <v>1062.9000000000001</v>
      </c>
      <c r="AT64" s="79">
        <f>AT62+AL64-AS64</f>
        <v>591.29999999999859</v>
      </c>
      <c r="AU64" s="80"/>
      <c r="AV64" s="11"/>
      <c r="AW64" s="30"/>
      <c r="AX64" s="19"/>
      <c r="AY64" s="19"/>
      <c r="AZ64" s="19"/>
      <c r="BA64" s="19"/>
      <c r="BB64" s="31"/>
    </row>
    <row r="65" spans="1:54">
      <c r="A65" s="148"/>
      <c r="B65" s="32">
        <v>2</v>
      </c>
      <c r="C65" s="10" t="s">
        <v>54</v>
      </c>
      <c r="D65" s="33">
        <v>18300</v>
      </c>
      <c r="E65" s="33">
        <v>3</v>
      </c>
      <c r="F65" s="33">
        <v>17939</v>
      </c>
      <c r="G65" s="34">
        <v>1</v>
      </c>
      <c r="H65" s="34">
        <v>6.6</v>
      </c>
      <c r="I65" s="33">
        <v>17204</v>
      </c>
      <c r="J65" s="34">
        <v>2.7</v>
      </c>
      <c r="K65" s="33">
        <v>16078</v>
      </c>
      <c r="L65" s="35">
        <v>7.1999999999999995E-2</v>
      </c>
      <c r="M65" s="36">
        <f>ROUND(K65*(1-L65),0)</f>
        <v>14920</v>
      </c>
      <c r="N65" s="37">
        <v>0.63500000000000001</v>
      </c>
      <c r="O65" s="24">
        <f t="shared" si="617"/>
        <v>9474.2000000000007</v>
      </c>
      <c r="P65" s="35">
        <v>0.29099999999999998</v>
      </c>
      <c r="Q65" s="24">
        <f t="shared" si="618"/>
        <v>4341.7199999999993</v>
      </c>
      <c r="R65" s="38">
        <v>7.3999999999999996E-2</v>
      </c>
      <c r="S65" s="105">
        <v>0.2389</v>
      </c>
      <c r="T65" s="24">
        <f t="shared" si="619"/>
        <v>1104.08</v>
      </c>
      <c r="U65" s="27">
        <v>0.22500000000000001</v>
      </c>
      <c r="V65" s="24">
        <f t="shared" si="620"/>
        <v>3357</v>
      </c>
      <c r="W65" s="38">
        <v>0.501</v>
      </c>
      <c r="X65" s="24">
        <f t="shared" si="621"/>
        <v>7474.92</v>
      </c>
      <c r="Y65" s="38">
        <v>0.39</v>
      </c>
      <c r="Z65" s="24">
        <f t="shared" si="622"/>
        <v>5818.8</v>
      </c>
      <c r="AA65" s="117">
        <v>2.5400000000000002E-3</v>
      </c>
      <c r="AB65" s="18">
        <f t="shared" si="60"/>
        <v>37.896799999999999</v>
      </c>
      <c r="AC65" s="39">
        <v>2.5500000000000002E-3</v>
      </c>
      <c r="AD65" s="17">
        <f t="shared" si="624"/>
        <v>38.045999999999999</v>
      </c>
      <c r="AE65" s="26">
        <f>IF(M65&gt;0,(AG65+AP65)/M65,0)</f>
        <v>2.731899584450402E-3</v>
      </c>
      <c r="AF65" s="39">
        <v>2.5999999999999998E-4</v>
      </c>
      <c r="AG65" s="36">
        <f t="shared" si="625"/>
        <v>3.8791999999999995</v>
      </c>
      <c r="AH65" s="27">
        <v>0.20669999999999999</v>
      </c>
      <c r="AI65" s="40">
        <f t="shared" si="626"/>
        <v>35.589399299999997</v>
      </c>
      <c r="AJ65" s="27">
        <f t="shared" si="627"/>
        <v>0.89917024744406582</v>
      </c>
      <c r="AK65" s="28">
        <f>IF(AND(AE65&gt;0,AN65&gt;0,AF65&gt;0),((AN65*(AE65-AF65))/(AE65*(AN65-AF65))),0)</f>
        <v>0.90592775931068226</v>
      </c>
      <c r="AL65" s="33">
        <v>189</v>
      </c>
      <c r="AM65" s="35">
        <v>8.8999999999999996E-2</v>
      </c>
      <c r="AN65" s="37">
        <v>0.2142</v>
      </c>
      <c r="AO65" s="103">
        <v>0.22020000000000001</v>
      </c>
      <c r="AP65" s="40">
        <f>AL65*(1-AM65)*AN65</f>
        <v>36.880741800000003</v>
      </c>
      <c r="AQ65" s="104">
        <f t="shared" si="21"/>
        <v>37.913815800000002</v>
      </c>
      <c r="AR65" s="41">
        <v>1.55</v>
      </c>
      <c r="AS65" s="41"/>
      <c r="AT65" s="129">
        <f>AT64+AL65-AS65</f>
        <v>780.29999999999859</v>
      </c>
      <c r="AU65" s="82"/>
      <c r="AV65" s="42"/>
      <c r="AW65" s="43"/>
      <c r="AX65" s="44"/>
      <c r="AY65" s="44"/>
      <c r="AZ65" s="44"/>
      <c r="BA65" s="44"/>
      <c r="BB65" s="31"/>
    </row>
    <row r="66" spans="1:54">
      <c r="A66" s="148"/>
      <c r="B66" s="32">
        <v>3</v>
      </c>
      <c r="C66" s="10" t="s">
        <v>55</v>
      </c>
      <c r="D66" s="42">
        <v>18300</v>
      </c>
      <c r="E66" s="42">
        <v>2</v>
      </c>
      <c r="F66" s="42">
        <v>16671</v>
      </c>
      <c r="G66" s="36">
        <v>1.2</v>
      </c>
      <c r="H66" s="36">
        <v>7</v>
      </c>
      <c r="I66" s="42">
        <v>16894</v>
      </c>
      <c r="J66" s="36">
        <v>2</v>
      </c>
      <c r="K66" s="42">
        <v>15888</v>
      </c>
      <c r="L66" s="38">
        <v>6.8000000000000005E-2</v>
      </c>
      <c r="M66" s="36">
        <f>ROUND(K66*(1-L66),0)</f>
        <v>14808</v>
      </c>
      <c r="N66" s="27">
        <v>0.39900000000000002</v>
      </c>
      <c r="O66" s="24">
        <f t="shared" si="617"/>
        <v>5908.3920000000007</v>
      </c>
      <c r="P66" s="38">
        <v>0.54600000000000004</v>
      </c>
      <c r="Q66" s="24">
        <f t="shared" si="618"/>
        <v>8085.1680000000006</v>
      </c>
      <c r="R66" s="38">
        <v>5.5E-2</v>
      </c>
      <c r="S66" s="105">
        <v>0.22969999999999999</v>
      </c>
      <c r="T66" s="24">
        <f t="shared" si="619"/>
        <v>814.44</v>
      </c>
      <c r="U66" s="27">
        <v>0.22700000000000001</v>
      </c>
      <c r="V66" s="24">
        <f t="shared" si="620"/>
        <v>3361.4160000000002</v>
      </c>
      <c r="W66" s="38">
        <v>0.49</v>
      </c>
      <c r="X66" s="24">
        <f t="shared" si="621"/>
        <v>7255.92</v>
      </c>
      <c r="Y66" s="38">
        <v>0.38</v>
      </c>
      <c r="Z66" s="24">
        <f t="shared" si="622"/>
        <v>5627.04</v>
      </c>
      <c r="AA66" s="118">
        <v>2.6099999999999999E-3</v>
      </c>
      <c r="AB66" s="121">
        <f t="shared" si="60"/>
        <v>38.648879999999998</v>
      </c>
      <c r="AC66" s="45">
        <v>2.5999999999999999E-3</v>
      </c>
      <c r="AD66" s="17">
        <f t="shared" si="624"/>
        <v>38.500799999999998</v>
      </c>
      <c r="AE66" s="26">
        <f>IF(M66&gt;0,(AG66+AP66)/M66,0)</f>
        <v>2.4319363857374389E-3</v>
      </c>
      <c r="AF66" s="45">
        <v>2.5000000000000001E-4</v>
      </c>
      <c r="AG66" s="36">
        <f t="shared" si="625"/>
        <v>3.702</v>
      </c>
      <c r="AH66" s="27">
        <v>0.20660000000000001</v>
      </c>
      <c r="AI66" s="40">
        <f t="shared" si="626"/>
        <v>32.514707999999999</v>
      </c>
      <c r="AJ66" s="27">
        <f t="shared" si="627"/>
        <v>0.90494119401315898</v>
      </c>
      <c r="AK66" s="28">
        <f t="shared" si="6"/>
        <v>0.89829513951908846</v>
      </c>
      <c r="AL66" s="42">
        <v>172</v>
      </c>
      <c r="AM66" s="38">
        <v>8.5000000000000006E-2</v>
      </c>
      <c r="AN66" s="27">
        <v>0.20530000000000001</v>
      </c>
      <c r="AO66" s="105">
        <v>0.2084</v>
      </c>
      <c r="AP66" s="40">
        <f>AL66*(1-AM66)*AN66</f>
        <v>32.310113999999999</v>
      </c>
      <c r="AQ66" s="106">
        <f t="shared" si="21"/>
        <v>32.797992000000001</v>
      </c>
      <c r="AR66" s="17">
        <v>1.55</v>
      </c>
      <c r="AS66" s="17"/>
      <c r="AT66" s="129">
        <f>AT65+AL66-AS66</f>
        <v>952.29999999999859</v>
      </c>
      <c r="AU66" s="82"/>
      <c r="AV66" s="42"/>
      <c r="AW66" s="46"/>
      <c r="AX66" s="40"/>
      <c r="AY66" s="40"/>
      <c r="AZ66" s="40"/>
      <c r="BA66" s="40"/>
      <c r="BB66" s="31"/>
    </row>
    <row r="67" spans="1:54">
      <c r="A67" s="149"/>
      <c r="B67" s="47" t="s">
        <v>56</v>
      </c>
      <c r="C67" s="48"/>
      <c r="D67" s="49">
        <f t="shared" ref="D67" si="629">SUM(D64:D66)</f>
        <v>42000</v>
      </c>
      <c r="E67" s="49"/>
      <c r="F67" s="49">
        <f t="shared" ref="F67" si="630">SUM(F64:F66)</f>
        <v>43683</v>
      </c>
      <c r="G67" s="50"/>
      <c r="H67" s="50"/>
      <c r="I67" s="49">
        <f t="shared" ref="I67:K67" si="631">SUM(I64:I66)</f>
        <v>42981</v>
      </c>
      <c r="J67" s="50"/>
      <c r="K67" s="49">
        <f t="shared" si="631"/>
        <v>47850</v>
      </c>
      <c r="L67" s="20">
        <f t="shared" ref="L67" si="632">IF(K67&gt;0,(K64*L64+K65*L65+K66*L66)/K67,0)</f>
        <v>7.0671849529780562E-2</v>
      </c>
      <c r="M67" s="50">
        <f t="shared" ref="M67" si="633">M64+M65+M66</f>
        <v>44468</v>
      </c>
      <c r="N67" s="51">
        <f t="shared" ref="N67" si="634">IF(M67&gt;0,O67/M67,0)</f>
        <v>0.56304065845102103</v>
      </c>
      <c r="O67" s="52">
        <f t="shared" ref="O67" si="635">O64+O65+O66</f>
        <v>25037.292000000001</v>
      </c>
      <c r="P67" s="20">
        <f t="shared" ref="P67" si="636">IF(M67&gt;0,Q67/M67,0)</f>
        <v>0.37889916344337499</v>
      </c>
      <c r="Q67" s="52">
        <f t="shared" ref="Q67" si="637">Q64+Q65+Q66</f>
        <v>16848.887999999999</v>
      </c>
      <c r="R67" s="20">
        <f t="shared" ref="R67" si="638">IF(M67&gt;0,T67/M67,0)</f>
        <v>5.8060178105604023E-2</v>
      </c>
      <c r="S67" s="107"/>
      <c r="T67" s="52">
        <f t="shared" ref="T67" si="639">T64+T65+T66</f>
        <v>2581.8199999999997</v>
      </c>
      <c r="U67" s="20">
        <f t="shared" ref="U67" si="640">IF(M67&gt;0,V67/M67,0)</f>
        <v>0.2220197895115589</v>
      </c>
      <c r="V67" s="52">
        <f t="shared" ref="V67" si="641">V64+V65+V66</f>
        <v>9872.7760000000017</v>
      </c>
      <c r="W67" s="20">
        <f t="shared" ref="W67" si="642">IF(M67&gt;0,X67/M67,0)</f>
        <v>0.49965728164073048</v>
      </c>
      <c r="X67" s="52">
        <f t="shared" ref="X67" si="643">X64+X65+X66</f>
        <v>22218.760000000002</v>
      </c>
      <c r="Y67" s="20">
        <f t="shared" ref="Y67" si="644">IF(M67&gt;0,Z67/M67,0)</f>
        <v>0.38666996491859318</v>
      </c>
      <c r="Z67" s="52">
        <f t="shared" ref="Z67" si="645">Z64+Z65+Z66</f>
        <v>17194.440000000002</v>
      </c>
      <c r="AA67" s="119">
        <f t="shared" ref="AA67" si="646">IF(M67&gt;0,AB67/M67,0)</f>
        <v>2.6196608797337409E-3</v>
      </c>
      <c r="AB67" s="54">
        <f t="shared" ref="AB67" si="647">SUM(AB64:AB66)</f>
        <v>116.49107999999998</v>
      </c>
      <c r="AC67" s="53">
        <f t="shared" ref="AC67" si="648">IF(M67&gt;0,AD67/M67,0)</f>
        <v>2.530188000359809E-3</v>
      </c>
      <c r="AD67" s="54">
        <f t="shared" ref="AD67" si="649">SUM(AD64:AD66)</f>
        <v>112.51239999999999</v>
      </c>
      <c r="AE67" s="53">
        <f t="shared" ref="AE67" si="650">IF(M67&gt;0,(AE64*M64+AE65*M65+AE66*M66)/M67,0)</f>
        <v>2.6228030538814427E-3</v>
      </c>
      <c r="AF67" s="53">
        <f t="shared" ref="AF67" si="651">IF(K67&gt;0,(K64*AF64+K65*AF65+K66*AF66)/K67,0)</f>
        <v>2.6331870428422151E-4</v>
      </c>
      <c r="AG67" s="50">
        <f t="shared" ref="AG67" si="652">SUM(AG64:AG66)</f>
        <v>11.708399999999999</v>
      </c>
      <c r="AH67" s="51">
        <f t="shared" ref="AH67" si="653">IF(K67&gt;0,(K64*AH64+K65*AH65+K66*AH66)/K67,0)</f>
        <v>0.20656721003134795</v>
      </c>
      <c r="AI67" s="56">
        <f t="shared" ref="AI67" si="654">SUM(AI64:AI66)</f>
        <v>102.4383345</v>
      </c>
      <c r="AJ67" s="51">
        <f t="shared" ref="AJ67" si="655">IF(AND(AD67&gt;0),((AD64*AJ64+AD65*AJ65+AD66*AJ66)/AD67),0)</f>
        <v>0.89707837942764024</v>
      </c>
      <c r="AK67" s="55">
        <f t="shared" si="6"/>
        <v>0.90072579365928851</v>
      </c>
      <c r="AL67" s="49">
        <f t="shared" ref="AL67" si="656">SUM(AL64:AL66)</f>
        <v>543</v>
      </c>
      <c r="AM67" s="20">
        <f t="shared" ref="AM67" si="657">IF(AL67&gt;0,(AM64*AL64+AM65*AL65+AM66*AL66)/AL67,0)</f>
        <v>8.6727440147329651E-2</v>
      </c>
      <c r="AN67" s="51">
        <f>IF(K67&gt;0,(AN64*K64+AN65*K65+AN66*K66)/K67,0)</f>
        <v>0.21144403761755487</v>
      </c>
      <c r="AO67" s="107">
        <f>IF(L67&gt;0,(AO64*K64+AO65*K65+AO66*K66)/K67,0)</f>
        <v>0.21644793312434693</v>
      </c>
      <c r="AP67" s="56">
        <f t="shared" ref="AP67" si="658">SUM(AP64:AP66)</f>
        <v>104.92240620000001</v>
      </c>
      <c r="AQ67" s="108">
        <f t="shared" si="570"/>
        <v>107.42481140000001</v>
      </c>
      <c r="AR67" s="54"/>
      <c r="AS67" s="54">
        <f t="shared" ref="AS67" si="659">SUM(AS64:AS66)</f>
        <v>1062.9000000000001</v>
      </c>
      <c r="AT67" s="83"/>
      <c r="AU67" s="84">
        <f>AT66</f>
        <v>952.29999999999859</v>
      </c>
      <c r="AV67" s="49">
        <f t="shared" ref="AV67" si="660">SUM(AV64:AV66)</f>
        <v>0</v>
      </c>
      <c r="AW67" s="57"/>
      <c r="AX67" s="56"/>
      <c r="AY67" s="56"/>
      <c r="AZ67" s="56"/>
      <c r="BA67" s="56"/>
      <c r="BB67" s="21"/>
    </row>
    <row r="68" spans="1:54">
      <c r="A68" s="147">
        <v>17</v>
      </c>
      <c r="B68" s="22">
        <v>1</v>
      </c>
      <c r="C68" s="10" t="s">
        <v>57</v>
      </c>
      <c r="D68" s="11">
        <v>5200</v>
      </c>
      <c r="E68" s="11">
        <v>0</v>
      </c>
      <c r="F68" s="11">
        <v>11445</v>
      </c>
      <c r="G68" s="12">
        <v>0.9</v>
      </c>
      <c r="H68" s="12">
        <v>6.1</v>
      </c>
      <c r="I68" s="11">
        <v>11143</v>
      </c>
      <c r="J68" s="12">
        <v>3.6</v>
      </c>
      <c r="K68" s="11">
        <v>15582</v>
      </c>
      <c r="L68" s="13">
        <v>7.2999999999999995E-2</v>
      </c>
      <c r="M68" s="23">
        <f>ROUND(K68*(1-L68),0)</f>
        <v>14445</v>
      </c>
      <c r="N68" s="14">
        <v>0.61</v>
      </c>
      <c r="O68" s="24">
        <f t="shared" ref="O68:O70" si="661">M68*N68</f>
        <v>8811.4499999999989</v>
      </c>
      <c r="P68" s="13">
        <v>0.33400000000000002</v>
      </c>
      <c r="Q68" s="24">
        <f t="shared" ref="Q68:Q70" si="662">M68*P68</f>
        <v>4824.63</v>
      </c>
      <c r="R68" s="15">
        <v>5.6000000000000001E-2</v>
      </c>
      <c r="S68" s="112">
        <v>0.24299999999999999</v>
      </c>
      <c r="T68" s="24">
        <f t="shared" ref="T68:T70" si="663">M68*R68</f>
        <v>808.92000000000007</v>
      </c>
      <c r="U68" s="25">
        <v>0.224</v>
      </c>
      <c r="V68" s="24">
        <f t="shared" ref="V68:V70" si="664">M68*U68</f>
        <v>3235.6800000000003</v>
      </c>
      <c r="W68" s="15">
        <v>0.49</v>
      </c>
      <c r="X68" s="24">
        <f t="shared" ref="X68:X70" si="665">M68*W68</f>
        <v>7078.05</v>
      </c>
      <c r="Y68" s="15">
        <v>0.39</v>
      </c>
      <c r="Z68" s="24">
        <f t="shared" ref="Z68:Z70" si="666">Y68*M68</f>
        <v>5633.55</v>
      </c>
      <c r="AA68" s="116">
        <v>2.5899999999999999E-3</v>
      </c>
      <c r="AB68" s="18">
        <f t="shared" ref="AB68" si="667">M68*AA68</f>
        <v>37.412549999999996</v>
      </c>
      <c r="AC68" s="16">
        <v>2.5600000000000002E-3</v>
      </c>
      <c r="AD68" s="17">
        <f t="shared" ref="AD68:AD70" si="668">M68*AC68</f>
        <v>36.979200000000006</v>
      </c>
      <c r="AE68" s="26">
        <f>IF(M68&gt;0,(AG68+AP68)/M68,0)</f>
        <v>2.7790797923156804E-3</v>
      </c>
      <c r="AF68" s="16">
        <v>2.5000000000000001E-4</v>
      </c>
      <c r="AG68" s="23">
        <f t="shared" ref="AG68:AG70" si="669">AF68*M68</f>
        <v>3.6112500000000001</v>
      </c>
      <c r="AH68" s="92">
        <v>0.20030000000000001</v>
      </c>
      <c r="AI68" s="29">
        <f t="shared" ref="AI68:AI70" si="670">AL68*(1-AM68)*AH68</f>
        <v>33.940033800000002</v>
      </c>
      <c r="AJ68" s="27">
        <f t="shared" ref="AJ68:AJ70" si="671">IF(AND(AH68&gt;0,AF68&gt;0,AC68&gt;0),((AC68-AF68)*AH68)/((AH68-AF68)*AC68),0)</f>
        <v>0.90347139777555618</v>
      </c>
      <c r="AK68" s="58">
        <f t="shared" ref="AK68:AK115" si="672">IF(AND(AE68&gt;0,AN68&gt;0,AF68&gt;0),((AN68*(AE68-AF68))/(AE68*(AN68-AF68))),0)</f>
        <v>0.91109863423871473</v>
      </c>
      <c r="AL68" s="11">
        <v>186</v>
      </c>
      <c r="AM68" s="13">
        <v>8.8999999999999996E-2</v>
      </c>
      <c r="AN68" s="14">
        <v>0.21560000000000001</v>
      </c>
      <c r="AO68" s="101">
        <v>0.215</v>
      </c>
      <c r="AP68" s="29">
        <f>AL68*(1-AM68)*AN68</f>
        <v>36.532557600000004</v>
      </c>
      <c r="AQ68" s="102">
        <f t="shared" ref="AQ68" si="673">AL68*(1-AM68)*AO68</f>
        <v>36.430889999999998</v>
      </c>
      <c r="AR68" s="18">
        <v>1.5</v>
      </c>
      <c r="AS68" s="18">
        <v>1062.56</v>
      </c>
      <c r="AT68" s="79">
        <f>AT66+AL68-AS68+AU68</f>
        <v>157.03999999999866</v>
      </c>
      <c r="AU68" s="80">
        <v>81.3</v>
      </c>
      <c r="AV68" s="11"/>
      <c r="AW68" s="30"/>
      <c r="AX68" s="19"/>
      <c r="AY68" s="19"/>
      <c r="AZ68" s="19"/>
      <c r="BA68" s="19"/>
      <c r="BB68" s="31"/>
    </row>
    <row r="69" spans="1:54">
      <c r="A69" s="148"/>
      <c r="B69" s="32">
        <v>2</v>
      </c>
      <c r="C69" s="10" t="s">
        <v>58</v>
      </c>
      <c r="D69" s="33">
        <v>18500</v>
      </c>
      <c r="E69" s="33">
        <v>2</v>
      </c>
      <c r="F69" s="33">
        <v>13759</v>
      </c>
      <c r="G69" s="34">
        <v>0.4</v>
      </c>
      <c r="H69" s="34">
        <v>6.2</v>
      </c>
      <c r="I69" s="33">
        <v>12500</v>
      </c>
      <c r="J69" s="34">
        <v>4.3</v>
      </c>
      <c r="K69" s="33">
        <v>15505</v>
      </c>
      <c r="L69" s="35">
        <v>6.9000000000000006E-2</v>
      </c>
      <c r="M69" s="36">
        <f>ROUND(K69*(1-L69),0)</f>
        <v>14435</v>
      </c>
      <c r="N69" s="37">
        <v>0.61699999999999999</v>
      </c>
      <c r="O69" s="24">
        <f t="shared" si="661"/>
        <v>8906.3950000000004</v>
      </c>
      <c r="P69" s="35">
        <v>0.30499999999999999</v>
      </c>
      <c r="Q69" s="24">
        <f t="shared" si="662"/>
        <v>4402.6750000000002</v>
      </c>
      <c r="R69" s="38">
        <v>7.8E-2</v>
      </c>
      <c r="S69" s="105">
        <v>0.23749999999999999</v>
      </c>
      <c r="T69" s="24">
        <f t="shared" si="663"/>
        <v>1125.93</v>
      </c>
      <c r="U69" s="27">
        <v>0.216</v>
      </c>
      <c r="V69" s="24">
        <f t="shared" si="664"/>
        <v>3117.96</v>
      </c>
      <c r="W69" s="38">
        <v>0.498</v>
      </c>
      <c r="X69" s="24">
        <f t="shared" si="665"/>
        <v>7188.63</v>
      </c>
      <c r="Y69" s="38">
        <v>0.37</v>
      </c>
      <c r="Z69" s="24">
        <f t="shared" si="666"/>
        <v>5340.95</v>
      </c>
      <c r="AA69" s="117">
        <v>2.64E-3</v>
      </c>
      <c r="AB69" s="18">
        <f t="shared" si="60"/>
        <v>38.108400000000003</v>
      </c>
      <c r="AC69" s="39">
        <v>2.5999999999999999E-3</v>
      </c>
      <c r="AD69" s="17">
        <f t="shared" si="668"/>
        <v>37.530999999999999</v>
      </c>
      <c r="AE69" s="26">
        <f>IF(M69&gt;0,(AG69+AP69)/M69,0)</f>
        <v>2.6996023484586072E-3</v>
      </c>
      <c r="AF69" s="39">
        <v>2.5999999999999998E-4</v>
      </c>
      <c r="AG69" s="36">
        <f t="shared" si="669"/>
        <v>3.7530999999999999</v>
      </c>
      <c r="AH69" s="27">
        <v>0.20630000000000001</v>
      </c>
      <c r="AI69" s="40">
        <f t="shared" si="670"/>
        <v>34.3173861</v>
      </c>
      <c r="AJ69" s="27">
        <f t="shared" si="671"/>
        <v>0.90113570180547464</v>
      </c>
      <c r="AK69" s="28">
        <f t="shared" si="672"/>
        <v>0.90480075305672192</v>
      </c>
      <c r="AL69" s="33">
        <v>183</v>
      </c>
      <c r="AM69" s="35">
        <v>9.0999999999999998E-2</v>
      </c>
      <c r="AN69" s="37">
        <v>0.2117</v>
      </c>
      <c r="AO69" s="103">
        <v>0.21479999999999999</v>
      </c>
      <c r="AP69" s="40">
        <f>AL69*(1-AM69)*AN69</f>
        <v>35.215659899999999</v>
      </c>
      <c r="AQ69" s="104">
        <f t="shared" si="21"/>
        <v>35.731335600000001</v>
      </c>
      <c r="AR69" s="41">
        <v>1.55</v>
      </c>
      <c r="AS69" s="41"/>
      <c r="AT69" s="129">
        <f>AT68+AL69-AS69</f>
        <v>340.03999999999866</v>
      </c>
      <c r="AU69" s="82"/>
      <c r="AV69" s="42"/>
      <c r="AW69" s="43"/>
      <c r="AX69" s="44"/>
      <c r="AY69" s="44"/>
      <c r="AZ69" s="44"/>
      <c r="BA69" s="44"/>
      <c r="BB69" s="31"/>
    </row>
    <row r="70" spans="1:54">
      <c r="A70" s="148"/>
      <c r="B70" s="32">
        <v>3</v>
      </c>
      <c r="C70" s="10" t="s">
        <v>55</v>
      </c>
      <c r="D70" s="42">
        <v>15800</v>
      </c>
      <c r="E70" s="42">
        <v>2</v>
      </c>
      <c r="F70" s="42">
        <v>17429</v>
      </c>
      <c r="G70" s="36">
        <v>0.5</v>
      </c>
      <c r="H70" s="36">
        <v>5.7</v>
      </c>
      <c r="I70" s="42">
        <v>16857</v>
      </c>
      <c r="J70" s="36">
        <v>3.5</v>
      </c>
      <c r="K70" s="42">
        <v>15535</v>
      </c>
      <c r="L70" s="38">
        <v>6.7000000000000004E-2</v>
      </c>
      <c r="M70" s="36">
        <f>ROUND(K70*(1-L70),0)</f>
        <v>14494</v>
      </c>
      <c r="N70" s="27">
        <v>0.66100000000000003</v>
      </c>
      <c r="O70" s="24">
        <f t="shared" si="661"/>
        <v>9580.5339999999997</v>
      </c>
      <c r="P70" s="38">
        <v>0.29699999999999999</v>
      </c>
      <c r="Q70" s="24">
        <f t="shared" si="662"/>
        <v>4304.7179999999998</v>
      </c>
      <c r="R70" s="38">
        <v>4.2000000000000003E-2</v>
      </c>
      <c r="S70" s="105">
        <v>0.24260000000000001</v>
      </c>
      <c r="T70" s="24">
        <f t="shared" si="663"/>
        <v>608.74800000000005</v>
      </c>
      <c r="U70" s="27">
        <v>0.20599999999999999</v>
      </c>
      <c r="V70" s="24">
        <f t="shared" si="664"/>
        <v>2985.7639999999997</v>
      </c>
      <c r="W70" s="38">
        <v>0.503</v>
      </c>
      <c r="X70" s="24">
        <f t="shared" si="665"/>
        <v>7290.482</v>
      </c>
      <c r="Y70" s="38">
        <v>0.39</v>
      </c>
      <c r="Z70" s="24">
        <f t="shared" si="666"/>
        <v>5652.66</v>
      </c>
      <c r="AA70" s="118">
        <v>2.63E-3</v>
      </c>
      <c r="AB70" s="121">
        <f t="shared" si="60"/>
        <v>38.119219999999999</v>
      </c>
      <c r="AC70" s="45">
        <v>2.5899999999999999E-3</v>
      </c>
      <c r="AD70" s="17">
        <f t="shared" si="668"/>
        <v>37.539459999999998</v>
      </c>
      <c r="AE70" s="26">
        <f>IF(M70&gt;0,(AG70+AP70)/M70,0)</f>
        <v>2.6772950186283984E-3</v>
      </c>
      <c r="AF70" s="45">
        <v>2.5999999999999998E-4</v>
      </c>
      <c r="AG70" s="36">
        <f t="shared" si="669"/>
        <v>3.7684399999999996</v>
      </c>
      <c r="AH70" s="27">
        <v>0.2051</v>
      </c>
      <c r="AI70" s="40">
        <f t="shared" si="670"/>
        <v>33.222098000000003</v>
      </c>
      <c r="AJ70" s="27">
        <f t="shared" si="671"/>
        <v>0.90075576455189832</v>
      </c>
      <c r="AK70" s="28">
        <f t="shared" si="672"/>
        <v>0.90397366372432886</v>
      </c>
      <c r="AL70" s="42">
        <v>178</v>
      </c>
      <c r="AM70" s="38">
        <v>0.09</v>
      </c>
      <c r="AN70" s="27">
        <v>0.21629999999999999</v>
      </c>
      <c r="AO70" s="105">
        <v>0.21909999999999999</v>
      </c>
      <c r="AP70" s="40">
        <f>AL70*(1-AM70)*AN70</f>
        <v>35.036274000000006</v>
      </c>
      <c r="AQ70" s="106">
        <f t="shared" si="21"/>
        <v>35.489818</v>
      </c>
      <c r="AR70" s="17">
        <v>1.55</v>
      </c>
      <c r="AS70" s="17"/>
      <c r="AT70" s="129">
        <f>AT69+AL70-AS70</f>
        <v>518.0399999999986</v>
      </c>
      <c r="AU70" s="82"/>
      <c r="AV70" s="42"/>
      <c r="AW70" s="46"/>
      <c r="AX70" s="40"/>
      <c r="AY70" s="40"/>
      <c r="AZ70" s="40"/>
      <c r="BA70" s="40"/>
      <c r="BB70" s="31"/>
    </row>
    <row r="71" spans="1:54">
      <c r="A71" s="149"/>
      <c r="B71" s="47" t="s">
        <v>56</v>
      </c>
      <c r="C71" s="48"/>
      <c r="D71" s="49">
        <f t="shared" ref="D71" si="674">SUM(D68:D70)</f>
        <v>39500</v>
      </c>
      <c r="E71" s="49"/>
      <c r="F71" s="49">
        <f t="shared" ref="F71" si="675">SUM(F68:F70)</f>
        <v>42633</v>
      </c>
      <c r="G71" s="50"/>
      <c r="H71" s="50"/>
      <c r="I71" s="49">
        <f t="shared" ref="I71:K71" si="676">SUM(I68:I70)</f>
        <v>40500</v>
      </c>
      <c r="J71" s="50"/>
      <c r="K71" s="49">
        <f t="shared" si="676"/>
        <v>46622</v>
      </c>
      <c r="L71" s="20">
        <f t="shared" ref="L71" si="677">IF(K71&gt;0,(K68*L68+K69*L69+K70*L70)/K71,0)</f>
        <v>6.9670456007893275E-2</v>
      </c>
      <c r="M71" s="50">
        <f t="shared" ref="M71" si="678">M68+M69+M70</f>
        <v>43374</v>
      </c>
      <c r="N71" s="51">
        <f t="shared" ref="N71" si="679">IF(M71&gt;0,O71/M71,0)</f>
        <v>0.62937195093835019</v>
      </c>
      <c r="O71" s="52">
        <f t="shared" ref="O71" si="680">O68+O69+O70</f>
        <v>27298.379000000001</v>
      </c>
      <c r="P71" s="20">
        <f t="shared" ref="P71" si="681">IF(M71&gt;0,Q71/M71,0)</f>
        <v>0.31198466823442617</v>
      </c>
      <c r="Q71" s="52">
        <f t="shared" ref="Q71" si="682">Q68+Q69+Q70</f>
        <v>13532.023000000001</v>
      </c>
      <c r="R71" s="20">
        <f t="shared" ref="R71" si="683">IF(M71&gt;0,T71/M71,0)</f>
        <v>5.864338082722368E-2</v>
      </c>
      <c r="S71" s="107"/>
      <c r="T71" s="52">
        <f t="shared" ref="T71" si="684">T68+T69+T70</f>
        <v>2543.598</v>
      </c>
      <c r="U71" s="20">
        <f t="shared" ref="U71" si="685">IF(M71&gt;0,V71/M71,0)</f>
        <v>0.21532263568036153</v>
      </c>
      <c r="V71" s="52">
        <f t="shared" ref="V71" si="686">V68+V69+V70</f>
        <v>9339.4040000000005</v>
      </c>
      <c r="W71" s="20">
        <f t="shared" ref="W71" si="687">IF(M71&gt;0,X71/M71,0)</f>
        <v>0.49700654770138791</v>
      </c>
      <c r="X71" s="52">
        <f t="shared" ref="X71" si="688">X68+X69+X70</f>
        <v>21557.162</v>
      </c>
      <c r="Y71" s="20">
        <f t="shared" ref="Y71" si="689">IF(M71&gt;0,Z71/M71,0)</f>
        <v>0.38334393876515882</v>
      </c>
      <c r="Z71" s="52">
        <f t="shared" ref="Z71" si="690">Z68+Z69+Z70</f>
        <v>16627.16</v>
      </c>
      <c r="AA71" s="119">
        <f t="shared" ref="AA71" si="691">IF(M71&gt;0,AB71/M71,0)</f>
        <v>2.6200066860331073E-3</v>
      </c>
      <c r="AB71" s="54">
        <f t="shared" ref="AB71" si="692">SUM(AB68:AB70)</f>
        <v>113.64017</v>
      </c>
      <c r="AC71" s="53">
        <f t="shared" ref="AC71" si="693">IF(M71&gt;0,AD71/M71,0)</f>
        <v>2.5833370221791854E-3</v>
      </c>
      <c r="AD71" s="54">
        <f t="shared" ref="AD71" si="694">SUM(AD68:AD70)</f>
        <v>112.04965999999999</v>
      </c>
      <c r="AE71" s="53">
        <f t="shared" ref="AE71" si="695">IF(M71&gt;0,(AE68*M68+AE69*M69+AE70*M70)/M71,0)</f>
        <v>2.7186167173882973E-3</v>
      </c>
      <c r="AF71" s="53">
        <f t="shared" ref="AF71" si="696">IF(K71&gt;0,(K68*AF68+K69*AF69+K70*AF70)/K71,0)</f>
        <v>2.5665780103813652E-4</v>
      </c>
      <c r="AG71" s="50">
        <f t="shared" ref="AG71" si="697">SUM(AG68:AG70)</f>
        <v>11.13279</v>
      </c>
      <c r="AH71" s="51">
        <f t="shared" ref="AH71" si="698">IF(K71&gt;0,(K68*AH68+K69*AH69+K70*AH70)/K71,0)</f>
        <v>0.20389482647677062</v>
      </c>
      <c r="AI71" s="56">
        <f t="shared" ref="AI71" si="699">SUM(AI68:AI70)</f>
        <v>101.4795179</v>
      </c>
      <c r="AJ71" s="51">
        <f t="shared" ref="AJ71" si="700">IF(AND(AD71&gt;0),((AD68*AJ68+AD69*AJ69+AD70*AJ70)/AD71),0)</f>
        <v>0.90177925154122318</v>
      </c>
      <c r="AK71" s="55">
        <f t="shared" si="672"/>
        <v>0.90667719465723606</v>
      </c>
      <c r="AL71" s="49">
        <f t="shared" ref="AL71" si="701">SUM(AL68:AL70)</f>
        <v>547</v>
      </c>
      <c r="AM71" s="20">
        <f t="shared" ref="AM71" si="702">IF(AL71&gt;0,(AM68*AL68+AM69*AL69+AM70*AL70)/AL71,0)</f>
        <v>8.9994515539305278E-2</v>
      </c>
      <c r="AN71" s="51">
        <f>IF(K71&gt;0,(AN68*K68+AN69*K69+AN70*K70)/K71,0)</f>
        <v>0.21453623182188666</v>
      </c>
      <c r="AO71" s="107">
        <f>IF(L71&gt;0,(AO68*K68+AO69*K69+AO70*K70)/K71,0)</f>
        <v>0.21629965466946932</v>
      </c>
      <c r="AP71" s="56">
        <f t="shared" ref="AP71" si="703">SUM(AP68:AP70)</f>
        <v>106.78449150000002</v>
      </c>
      <c r="AQ71" s="108">
        <f t="shared" si="570"/>
        <v>107.6520436</v>
      </c>
      <c r="AR71" s="54"/>
      <c r="AS71" s="54">
        <f t="shared" ref="AS71" si="704">SUM(AS68:AS70)</f>
        <v>1062.56</v>
      </c>
      <c r="AT71" s="83"/>
      <c r="AU71" s="84">
        <f>AT70</f>
        <v>518.0399999999986</v>
      </c>
      <c r="AV71" s="49">
        <f t="shared" ref="AV71" si="705">SUM(AV68:AV70)</f>
        <v>0</v>
      </c>
      <c r="AW71" s="57"/>
      <c r="AX71" s="56"/>
      <c r="AY71" s="56"/>
      <c r="AZ71" s="56"/>
      <c r="BA71" s="56"/>
      <c r="BB71" s="21"/>
    </row>
    <row r="72" spans="1:54">
      <c r="A72" s="147">
        <v>18</v>
      </c>
      <c r="B72" s="22">
        <v>1</v>
      </c>
      <c r="C72" s="10" t="s">
        <v>57</v>
      </c>
      <c r="D72" s="11">
        <v>3700</v>
      </c>
      <c r="E72" s="11">
        <v>0</v>
      </c>
      <c r="F72" s="11">
        <v>9291</v>
      </c>
      <c r="G72" s="12">
        <v>0.5</v>
      </c>
      <c r="H72" s="12">
        <v>5.8</v>
      </c>
      <c r="I72" s="11">
        <v>8960</v>
      </c>
      <c r="J72" s="131">
        <v>5.4</v>
      </c>
      <c r="K72" s="11">
        <v>15287</v>
      </c>
      <c r="L72" s="13">
        <v>7.4999999999999997E-2</v>
      </c>
      <c r="M72" s="23">
        <f>ROUND(K72*(1-L72),0)</f>
        <v>14140</v>
      </c>
      <c r="N72" s="14">
        <v>0.627</v>
      </c>
      <c r="O72" s="24">
        <f t="shared" ref="O72:O74" si="706">M72*N72</f>
        <v>8865.7800000000007</v>
      </c>
      <c r="P72" s="13">
        <v>0.314</v>
      </c>
      <c r="Q72" s="24">
        <f t="shared" ref="Q72:Q74" si="707">M72*P72</f>
        <v>4439.96</v>
      </c>
      <c r="R72" s="15">
        <v>5.8999999999999997E-2</v>
      </c>
      <c r="S72" s="112">
        <v>0.2422</v>
      </c>
      <c r="T72" s="24">
        <f t="shared" ref="T72:T74" si="708">M72*R72</f>
        <v>834.26</v>
      </c>
      <c r="U72" s="25">
        <v>0.21299999999999999</v>
      </c>
      <c r="V72" s="24">
        <f t="shared" ref="V72:V74" si="709">M72*U72</f>
        <v>3011.8199999999997</v>
      </c>
      <c r="W72" s="15">
        <v>0.497</v>
      </c>
      <c r="X72" s="24">
        <f t="shared" ref="X72:X74" si="710">M72*W72</f>
        <v>7027.58</v>
      </c>
      <c r="Y72" s="15">
        <v>0.39</v>
      </c>
      <c r="Z72" s="24">
        <f t="shared" ref="Z72:Z74" si="711">Y72*M72</f>
        <v>5514.6</v>
      </c>
      <c r="AA72" s="116">
        <v>2.5400000000000002E-3</v>
      </c>
      <c r="AB72" s="18">
        <f t="shared" ref="AB72" si="712">M72*AA72</f>
        <v>35.915600000000005</v>
      </c>
      <c r="AC72" s="16">
        <v>2.5400000000000002E-3</v>
      </c>
      <c r="AD72" s="17">
        <f t="shared" ref="AD72:AD74" si="713">M72*AC72</f>
        <v>35.915600000000005</v>
      </c>
      <c r="AE72" s="26">
        <f>IF(M72&gt;0,(AG72+AP72)/M72,0)</f>
        <v>2.6080983734087697E-3</v>
      </c>
      <c r="AF72" s="16">
        <v>2.5000000000000001E-4</v>
      </c>
      <c r="AG72" s="23">
        <f t="shared" ref="AG72:AG74" si="714">AF72*M72</f>
        <v>3.5350000000000001</v>
      </c>
      <c r="AH72" s="92">
        <v>0.2099</v>
      </c>
      <c r="AI72" s="29">
        <f t="shared" ref="AI72:AI74" si="715">AL72*(1-AM72)*AH72</f>
        <v>32.507213</v>
      </c>
      <c r="AJ72" s="27">
        <f t="shared" ref="AJ72:AJ74" si="716">IF(AND(AH72&gt;0,AF72&gt;0,AC72&gt;0),((AC72-AF72)*AH72)/((AH72-AF72)*AC72),0)</f>
        <v>0.90264989831195974</v>
      </c>
      <c r="AK72" s="58">
        <f t="shared" si="672"/>
        <v>0.90519580657368237</v>
      </c>
      <c r="AL72" s="11">
        <v>170</v>
      </c>
      <c r="AM72" s="13">
        <v>8.8999999999999996E-2</v>
      </c>
      <c r="AN72" s="14">
        <v>0.21529999999999999</v>
      </c>
      <c r="AO72" s="101">
        <v>0.2205</v>
      </c>
      <c r="AP72" s="29">
        <f>AL72*(1-AM72)*AN72</f>
        <v>33.343510999999999</v>
      </c>
      <c r="AQ72" s="102">
        <f t="shared" ref="AQ72:AQ115" si="717">AL72*(1-AM72)*AO72</f>
        <v>34.148834999999998</v>
      </c>
      <c r="AR72" s="18">
        <v>1.5</v>
      </c>
      <c r="AS72" s="18">
        <v>532.67999999999995</v>
      </c>
      <c r="AT72" s="79">
        <f>AT70+AL72-AS72+AU72</f>
        <v>160.29999999999865</v>
      </c>
      <c r="AU72" s="80">
        <v>4.9400000000000004</v>
      </c>
      <c r="AV72" s="11"/>
      <c r="AW72" s="30"/>
      <c r="AX72" s="19"/>
      <c r="AY72" s="19"/>
      <c r="AZ72" s="19"/>
      <c r="BA72" s="19"/>
      <c r="BB72" s="31"/>
    </row>
    <row r="73" spans="1:54">
      <c r="A73" s="148"/>
      <c r="B73" s="32">
        <v>2</v>
      </c>
      <c r="C73" s="10" t="s">
        <v>58</v>
      </c>
      <c r="D73" s="33">
        <v>21700</v>
      </c>
      <c r="E73" s="33">
        <v>1</v>
      </c>
      <c r="F73" s="33">
        <v>16070</v>
      </c>
      <c r="G73" s="34">
        <v>0.3</v>
      </c>
      <c r="H73" s="34">
        <v>5.4</v>
      </c>
      <c r="I73" s="33">
        <v>15763</v>
      </c>
      <c r="J73" s="132">
        <v>5</v>
      </c>
      <c r="K73" s="33">
        <v>15333</v>
      </c>
      <c r="L73" s="35">
        <v>6.7000000000000004E-2</v>
      </c>
      <c r="M73" s="36">
        <f>ROUND(K73*(1-L73),0)</f>
        <v>14306</v>
      </c>
      <c r="N73" s="37">
        <v>0.69799999999999995</v>
      </c>
      <c r="O73" s="24">
        <f t="shared" si="706"/>
        <v>9985.5879999999997</v>
      </c>
      <c r="P73" s="35">
        <v>0.25800000000000001</v>
      </c>
      <c r="Q73" s="24">
        <f t="shared" si="707"/>
        <v>3690.9480000000003</v>
      </c>
      <c r="R73" s="38">
        <v>4.3999999999999997E-2</v>
      </c>
      <c r="S73" s="105">
        <v>0.2074</v>
      </c>
      <c r="T73" s="24">
        <f t="shared" si="708"/>
        <v>629.46399999999994</v>
      </c>
      <c r="U73" s="27">
        <v>0.20699999999999999</v>
      </c>
      <c r="V73" s="24">
        <f t="shared" si="709"/>
        <v>2961.3419999999996</v>
      </c>
      <c r="W73" s="38">
        <v>0.5</v>
      </c>
      <c r="X73" s="24">
        <f t="shared" si="710"/>
        <v>7153</v>
      </c>
      <c r="Y73" s="38">
        <v>0.4</v>
      </c>
      <c r="Z73" s="24">
        <f t="shared" si="711"/>
        <v>5722.4000000000005</v>
      </c>
      <c r="AA73" s="117">
        <v>2.5200000000000001E-3</v>
      </c>
      <c r="AB73" s="18">
        <f t="shared" si="60"/>
        <v>36.051120000000004</v>
      </c>
      <c r="AC73" s="39">
        <v>2.5100000000000001E-3</v>
      </c>
      <c r="AD73" s="17">
        <f t="shared" si="713"/>
        <v>35.908059999999999</v>
      </c>
      <c r="AE73" s="26">
        <f>IF(M73&gt;0,(AG73+AP73)/M73,0)</f>
        <v>2.7807739410037747E-3</v>
      </c>
      <c r="AF73" s="39">
        <v>2.4000000000000001E-4</v>
      </c>
      <c r="AG73" s="36">
        <f t="shared" si="714"/>
        <v>3.43344</v>
      </c>
      <c r="AH73" s="27">
        <v>0.20569999999999999</v>
      </c>
      <c r="AI73" s="40">
        <f t="shared" si="715"/>
        <v>35.003969000000005</v>
      </c>
      <c r="AJ73" s="27">
        <f t="shared" si="716"/>
        <v>0.90543888885226143</v>
      </c>
      <c r="AK73" s="28">
        <f t="shared" si="672"/>
        <v>0.91472086850668299</v>
      </c>
      <c r="AL73" s="33">
        <v>187</v>
      </c>
      <c r="AM73" s="35">
        <v>0.09</v>
      </c>
      <c r="AN73" s="37">
        <v>0.21360000000000001</v>
      </c>
      <c r="AO73" s="103">
        <v>0.21290000000000001</v>
      </c>
      <c r="AP73" s="40">
        <f>AL73*(1-AM73)*AN73</f>
        <v>36.348312000000007</v>
      </c>
      <c r="AQ73" s="104">
        <f t="shared" si="717"/>
        <v>36.229193000000002</v>
      </c>
      <c r="AR73" s="41">
        <v>1.55</v>
      </c>
      <c r="AS73" s="41"/>
      <c r="AT73" s="129">
        <f>AT72+AL73-AS73</f>
        <v>347.29999999999865</v>
      </c>
      <c r="AU73" s="82"/>
      <c r="AV73" s="42"/>
      <c r="AW73" s="43"/>
      <c r="AX73" s="44"/>
      <c r="AY73" s="44"/>
      <c r="AZ73" s="44"/>
      <c r="BA73" s="44"/>
      <c r="BB73" s="31"/>
    </row>
    <row r="74" spans="1:54">
      <c r="A74" s="148"/>
      <c r="B74" s="32">
        <v>3</v>
      </c>
      <c r="C74" s="10" t="s">
        <v>59</v>
      </c>
      <c r="D74" s="42">
        <v>16200</v>
      </c>
      <c r="E74" s="42">
        <v>0</v>
      </c>
      <c r="F74" s="42">
        <v>16553</v>
      </c>
      <c r="G74" s="36">
        <v>0.4</v>
      </c>
      <c r="H74" s="36">
        <v>5.7</v>
      </c>
      <c r="I74" s="42">
        <v>16064</v>
      </c>
      <c r="J74" s="36">
        <v>3.8</v>
      </c>
      <c r="K74" s="42">
        <v>15320</v>
      </c>
      <c r="L74" s="38">
        <v>6.7000000000000004E-2</v>
      </c>
      <c r="M74" s="36">
        <f>ROUND(K74*(1-L74),0)</f>
        <v>14294</v>
      </c>
      <c r="N74" s="27">
        <v>0.79600000000000004</v>
      </c>
      <c r="O74" s="24">
        <f t="shared" si="706"/>
        <v>11378.024000000001</v>
      </c>
      <c r="P74" s="38">
        <v>0.16700000000000001</v>
      </c>
      <c r="Q74" s="24">
        <f t="shared" si="707"/>
        <v>2387.098</v>
      </c>
      <c r="R74" s="38">
        <v>3.6999999999999998E-2</v>
      </c>
      <c r="S74" s="105">
        <v>0.21199999999999999</v>
      </c>
      <c r="T74" s="24">
        <f t="shared" si="708"/>
        <v>528.87799999999993</v>
      </c>
      <c r="U74" s="27">
        <v>0.20699999999999999</v>
      </c>
      <c r="V74" s="24">
        <f t="shared" si="709"/>
        <v>2958.8579999999997</v>
      </c>
      <c r="W74" s="38">
        <v>0.499</v>
      </c>
      <c r="X74" s="24">
        <f t="shared" si="710"/>
        <v>7132.7060000000001</v>
      </c>
      <c r="Y74" s="38">
        <v>0.39</v>
      </c>
      <c r="Z74" s="24">
        <f t="shared" si="711"/>
        <v>5574.66</v>
      </c>
      <c r="AA74" s="118">
        <v>2.3900000000000002E-3</v>
      </c>
      <c r="AB74" s="121">
        <f t="shared" si="60"/>
        <v>34.162660000000002</v>
      </c>
      <c r="AC74" s="45">
        <v>2.48E-3</v>
      </c>
      <c r="AD74" s="17">
        <f t="shared" si="713"/>
        <v>35.449120000000001</v>
      </c>
      <c r="AE74" s="26">
        <f>IF(M74&gt;0,(AG74+AP74)/M74,0)</f>
        <v>2.5312414999300401E-3</v>
      </c>
      <c r="AF74" s="45">
        <v>2.3000000000000001E-4</v>
      </c>
      <c r="AG74" s="36">
        <f t="shared" si="714"/>
        <v>3.28762</v>
      </c>
      <c r="AH74" s="27">
        <v>0.2084</v>
      </c>
      <c r="AI74" s="40">
        <f t="shared" si="715"/>
        <v>32.381191999999999</v>
      </c>
      <c r="AJ74" s="27">
        <f t="shared" si="716"/>
        <v>0.90826046330000143</v>
      </c>
      <c r="AK74" s="28">
        <f t="shared" si="672"/>
        <v>0.91012429558410335</v>
      </c>
      <c r="AL74" s="42">
        <v>170</v>
      </c>
      <c r="AM74" s="38">
        <v>8.5999999999999993E-2</v>
      </c>
      <c r="AN74" s="27">
        <v>0.2117</v>
      </c>
      <c r="AO74" s="105">
        <v>0.21679999999999999</v>
      </c>
      <c r="AP74" s="40">
        <f>AL74*(1-AM74)*AN74</f>
        <v>32.893946</v>
      </c>
      <c r="AQ74" s="106">
        <f t="shared" si="717"/>
        <v>33.686383999999997</v>
      </c>
      <c r="AR74" s="17">
        <v>1.6</v>
      </c>
      <c r="AS74" s="17"/>
      <c r="AT74" s="129">
        <f>AT73+AL74-AS74</f>
        <v>517.29999999999859</v>
      </c>
      <c r="AU74" s="82"/>
      <c r="AV74" s="42"/>
      <c r="AW74" s="46"/>
      <c r="AX74" s="40"/>
      <c r="AY74" s="40"/>
      <c r="AZ74" s="40"/>
      <c r="BA74" s="40"/>
      <c r="BB74" s="31"/>
    </row>
    <row r="75" spans="1:54">
      <c r="A75" s="149"/>
      <c r="B75" s="47" t="s">
        <v>56</v>
      </c>
      <c r="C75" s="48"/>
      <c r="D75" s="49">
        <f t="shared" ref="D75" si="718">SUM(D72:D74)</f>
        <v>41600</v>
      </c>
      <c r="E75" s="49"/>
      <c r="F75" s="49">
        <f t="shared" ref="F75" si="719">SUM(F72:F74)</f>
        <v>41914</v>
      </c>
      <c r="G75" s="50"/>
      <c r="H75" s="50"/>
      <c r="I75" s="49">
        <f t="shared" ref="I75:K75" si="720">SUM(I72:I74)</f>
        <v>40787</v>
      </c>
      <c r="J75" s="50"/>
      <c r="K75" s="49">
        <f t="shared" si="720"/>
        <v>45940</v>
      </c>
      <c r="L75" s="20">
        <f t="shared" ref="L75" si="721">IF(K75&gt;0,(K72*L72+K73*L73+K74*L74)/K75,0)</f>
        <v>6.9662080975185031E-2</v>
      </c>
      <c r="M75" s="50">
        <f t="shared" ref="M75" si="722">M72+M73+M74</f>
        <v>42740</v>
      </c>
      <c r="N75" s="51">
        <f t="shared" ref="N75" si="723">IF(M75&gt;0,O75/M75,0)</f>
        <v>0.70728572765559206</v>
      </c>
      <c r="O75" s="52">
        <f t="shared" ref="O75" si="724">O72+O73+O74</f>
        <v>30229.392000000003</v>
      </c>
      <c r="P75" s="20">
        <f t="shared" ref="P75" si="725">IF(M75&gt;0,Q75/M75,0)</f>
        <v>0.24609279363593825</v>
      </c>
      <c r="Q75" s="52">
        <f t="shared" ref="Q75" si="726">Q72+Q73+Q74</f>
        <v>10518.006000000001</v>
      </c>
      <c r="R75" s="20">
        <f t="shared" ref="R75" si="727">IF(M75&gt;0,T75/M75,0)</f>
        <v>4.6621478708469812E-2</v>
      </c>
      <c r="S75" s="107"/>
      <c r="T75" s="52">
        <f t="shared" ref="T75" si="728">T72+T73+T74</f>
        <v>1992.6019999999999</v>
      </c>
      <c r="U75" s="20">
        <f t="shared" ref="U75" si="729">IF(M75&gt;0,V75/M75,0)</f>
        <v>0.20898502573701447</v>
      </c>
      <c r="V75" s="52">
        <f t="shared" ref="V75" si="730">V72+V73+V74</f>
        <v>8932.0199999999986</v>
      </c>
      <c r="W75" s="20">
        <f t="shared" ref="W75" si="731">IF(M75&gt;0,X75/M75,0)</f>
        <v>0.49867304632662612</v>
      </c>
      <c r="X75" s="52">
        <f t="shared" ref="X75" si="732">X72+X73+X74</f>
        <v>21313.286</v>
      </c>
      <c r="Y75" s="20">
        <f t="shared" ref="Y75" si="733">IF(M75&gt;0,Z75/M75,0)</f>
        <v>0.39334721572297615</v>
      </c>
      <c r="Z75" s="52">
        <f t="shared" ref="Z75" si="734">Z72+Z73+Z74</f>
        <v>16811.66</v>
      </c>
      <c r="AA75" s="119">
        <f t="shared" ref="AA75" si="735">IF(M75&gt;0,AB75/M75,0)</f>
        <v>2.4831394478240527E-3</v>
      </c>
      <c r="AB75" s="54">
        <f t="shared" ref="AB75" si="736">SUM(AB72:AB74)</f>
        <v>106.12938000000001</v>
      </c>
      <c r="AC75" s="53">
        <f t="shared" ref="AC75" si="737">IF(M75&gt;0,AD75/M75,0)</f>
        <v>2.5098919045390736E-3</v>
      </c>
      <c r="AD75" s="54">
        <f t="shared" ref="AD75" si="738">SUM(AD72:AD74)</f>
        <v>107.27278000000001</v>
      </c>
      <c r="AE75" s="53">
        <f t="shared" ref="AE75" si="739">IF(M75&gt;0,(AE72*M72+AE73*M73+AE74*M74)/M75,0)</f>
        <v>2.6401925362657935E-3</v>
      </c>
      <c r="AF75" s="53">
        <f t="shared" ref="AF75" si="740">IF(K75&gt;0,(K72*AF72+K73*AF73+K74*AF74)/K75,0)</f>
        <v>2.3999281671745757E-4</v>
      </c>
      <c r="AG75" s="50">
        <f t="shared" ref="AG75" si="741">SUM(AG72:AG74)</f>
        <v>10.25606</v>
      </c>
      <c r="AH75" s="51">
        <f t="shared" ref="AH75" si="742">IF(K75&gt;0,(K72*AH72+K73*AH73+K74*AH74)/K75,0)</f>
        <v>0.20799798432738356</v>
      </c>
      <c r="AI75" s="56">
        <f t="shared" ref="AI75" si="743">SUM(AI72:AI74)</f>
        <v>99.892374000000004</v>
      </c>
      <c r="AJ75" s="51">
        <f t="shared" ref="AJ75" si="744">IF(AND(AD75&gt;0),((AD72*AJ72+AD73*AJ73+AD74*AJ74)/AD75),0)</f>
        <v>0.90543752841895864</v>
      </c>
      <c r="AK75" s="55">
        <f t="shared" si="672"/>
        <v>0.91012316432164775</v>
      </c>
      <c r="AL75" s="49">
        <f t="shared" ref="AL75" si="745">SUM(AL72:AL74)</f>
        <v>527</v>
      </c>
      <c r="AM75" s="20">
        <f t="shared" ref="AM75" si="746">IF(AL75&gt;0,(AM72*AL72+AM73*AL73+AM74*AL74)/AL75,0)</f>
        <v>8.8387096774193541E-2</v>
      </c>
      <c r="AN75" s="51">
        <f>IF(K75&gt;0,(AN72*K72+AN73*K73+AN74*K74)/K75,0)</f>
        <v>0.21353208315193734</v>
      </c>
      <c r="AO75" s="107">
        <f>IF(L75&gt;0,(AO72*K72+AO73*K73+AO74*K74)/K75,0)</f>
        <v>0.21672954288202004</v>
      </c>
      <c r="AP75" s="56">
        <f t="shared" ref="AP75:AQ87" si="747">SUM(AP72:AP74)</f>
        <v>102.585769</v>
      </c>
      <c r="AQ75" s="108">
        <f t="shared" si="747"/>
        <v>104.064412</v>
      </c>
      <c r="AR75" s="54"/>
      <c r="AS75" s="54">
        <f t="shared" ref="AS75" si="748">SUM(AS72:AS74)</f>
        <v>532.67999999999995</v>
      </c>
      <c r="AT75" s="83"/>
      <c r="AU75" s="84">
        <f>AT74</f>
        <v>517.29999999999859</v>
      </c>
      <c r="AV75" s="49">
        <f t="shared" ref="AV75" si="749">SUM(AV72:AV74)</f>
        <v>0</v>
      </c>
      <c r="AW75" s="57"/>
      <c r="AX75" s="56"/>
      <c r="AY75" s="56"/>
      <c r="AZ75" s="56"/>
      <c r="BA75" s="56"/>
      <c r="BB75" s="21"/>
    </row>
    <row r="76" spans="1:54">
      <c r="A76" s="147">
        <v>19</v>
      </c>
      <c r="B76" s="22">
        <v>1</v>
      </c>
      <c r="C76" s="10" t="s">
        <v>54</v>
      </c>
      <c r="D76" s="11">
        <v>2900</v>
      </c>
      <c r="E76" s="11">
        <v>0</v>
      </c>
      <c r="F76" s="11">
        <v>9186</v>
      </c>
      <c r="G76" s="12">
        <v>0.5</v>
      </c>
      <c r="H76" s="12">
        <v>6.8</v>
      </c>
      <c r="I76" s="11">
        <v>9127</v>
      </c>
      <c r="J76" s="12">
        <v>5.9</v>
      </c>
      <c r="K76" s="11">
        <v>15155</v>
      </c>
      <c r="L76" s="13">
        <v>6.8000000000000005E-2</v>
      </c>
      <c r="M76" s="23">
        <f>ROUND(K76*(1-L76),0)</f>
        <v>14124</v>
      </c>
      <c r="N76" s="14">
        <v>0.753</v>
      </c>
      <c r="O76" s="24">
        <f t="shared" ref="O76:O78" si="750">M76*N76</f>
        <v>10635.371999999999</v>
      </c>
      <c r="P76" s="13">
        <v>0.218</v>
      </c>
      <c r="Q76" s="24">
        <f t="shared" ref="Q76:Q78" si="751">M76*P76</f>
        <v>3079.0320000000002</v>
      </c>
      <c r="R76" s="15">
        <v>2.9000000000000001E-2</v>
      </c>
      <c r="S76" s="112">
        <v>0.217</v>
      </c>
      <c r="T76" s="24">
        <f t="shared" ref="T76:T78" si="752">M76*R76</f>
        <v>409.596</v>
      </c>
      <c r="U76" s="25">
        <v>0.20300000000000001</v>
      </c>
      <c r="V76" s="24">
        <f t="shared" ref="V76:V78" si="753">M76*U76</f>
        <v>2867.172</v>
      </c>
      <c r="W76" s="15">
        <v>0.51200000000000001</v>
      </c>
      <c r="X76" s="24">
        <f t="shared" ref="X76:X78" si="754">M76*W76</f>
        <v>7231.4880000000003</v>
      </c>
      <c r="Y76" s="15">
        <v>0.38</v>
      </c>
      <c r="Z76" s="24">
        <f t="shared" ref="Z76:Z78" si="755">Y76*M76</f>
        <v>5367.12</v>
      </c>
      <c r="AA76" s="116">
        <v>2.4099999999999998E-3</v>
      </c>
      <c r="AB76" s="18">
        <f t="shared" ref="AB76:AB115" si="756">M76*AA76</f>
        <v>34.03884</v>
      </c>
      <c r="AC76" s="16">
        <v>2.3900000000000002E-3</v>
      </c>
      <c r="AD76" s="17">
        <f t="shared" ref="AD76:AD78" si="757">M76*AC76</f>
        <v>33.756360000000001</v>
      </c>
      <c r="AE76" s="26">
        <f>IF(M76&gt;0,(AG76+AP76)/M76,0)</f>
        <v>2.6134608326253187E-3</v>
      </c>
      <c r="AF76" s="16">
        <v>2.3000000000000001E-4</v>
      </c>
      <c r="AG76" s="23">
        <f t="shared" ref="AG76:AG78" si="758">AF76*M76</f>
        <v>3.2485200000000001</v>
      </c>
      <c r="AH76" s="92">
        <v>0.20380000000000001</v>
      </c>
      <c r="AI76" s="29">
        <f t="shared" ref="AI76:AI78" si="759">AL76*(1-AM76)*AH76</f>
        <v>32.119491400000001</v>
      </c>
      <c r="AJ76" s="27">
        <f t="shared" ref="AJ76:AJ78" si="760">IF(AND(AH76&gt;0,AF76&gt;0,AC76&gt;0),((AC76-AF76)*AH76)/((AH76-AF76)*AC76),0)</f>
        <v>0.9047867942169513</v>
      </c>
      <c r="AK76" s="58">
        <f t="shared" si="672"/>
        <v>0.91297716421207087</v>
      </c>
      <c r="AL76" s="11">
        <v>173</v>
      </c>
      <c r="AM76" s="13">
        <v>8.8999999999999996E-2</v>
      </c>
      <c r="AN76" s="14">
        <v>0.21360000000000001</v>
      </c>
      <c r="AO76" s="101">
        <v>0.21579999999999999</v>
      </c>
      <c r="AP76" s="29">
        <f>AL76*(1-AM76)*AN76</f>
        <v>33.664000800000004</v>
      </c>
      <c r="AQ76" s="102">
        <f t="shared" ref="AQ76" si="761">AL76*(1-AM76)*AO76</f>
        <v>34.0107274</v>
      </c>
      <c r="AR76" s="18">
        <v>1.55</v>
      </c>
      <c r="AS76" s="18">
        <v>533.79999999999995</v>
      </c>
      <c r="AT76" s="79">
        <f>AT74+AL76-AS76+AU76</f>
        <v>161.23999999999864</v>
      </c>
      <c r="AU76" s="80">
        <v>4.74</v>
      </c>
      <c r="AV76" s="11"/>
      <c r="AW76" s="30"/>
      <c r="AX76" s="19"/>
      <c r="AY76" s="19"/>
      <c r="AZ76" s="19"/>
      <c r="BA76" s="19"/>
      <c r="BB76" s="31"/>
    </row>
    <row r="77" spans="1:54">
      <c r="A77" s="148"/>
      <c r="B77" s="32">
        <v>2</v>
      </c>
      <c r="C77" s="10" t="s">
        <v>58</v>
      </c>
      <c r="D77" s="33">
        <v>20200</v>
      </c>
      <c r="E77" s="33">
        <v>2</v>
      </c>
      <c r="F77" s="33">
        <v>16535</v>
      </c>
      <c r="G77" s="34">
        <v>0.4</v>
      </c>
      <c r="H77" s="34">
        <v>5.6</v>
      </c>
      <c r="I77" s="33">
        <v>16041</v>
      </c>
      <c r="J77" s="34">
        <v>4.5999999999999996</v>
      </c>
      <c r="K77" s="33">
        <v>15165</v>
      </c>
      <c r="L77" s="35">
        <v>6.8000000000000005E-2</v>
      </c>
      <c r="M77" s="36">
        <f>ROUND(K77*(1-L77),0)</f>
        <v>14134</v>
      </c>
      <c r="N77" s="37">
        <v>0.77</v>
      </c>
      <c r="O77" s="24">
        <f t="shared" si="750"/>
        <v>10883.18</v>
      </c>
      <c r="P77" s="35">
        <v>0.192</v>
      </c>
      <c r="Q77" s="24">
        <f t="shared" si="751"/>
        <v>2713.7280000000001</v>
      </c>
      <c r="R77" s="38">
        <v>3.7999999999999999E-2</v>
      </c>
      <c r="S77" s="105">
        <v>0.2054</v>
      </c>
      <c r="T77" s="24">
        <f t="shared" si="752"/>
        <v>537.09199999999998</v>
      </c>
      <c r="U77" s="27">
        <v>0.20300000000000001</v>
      </c>
      <c r="V77" s="24">
        <f t="shared" si="753"/>
        <v>2869.2020000000002</v>
      </c>
      <c r="W77" s="38">
        <v>0.49399999999999999</v>
      </c>
      <c r="X77" s="24">
        <f t="shared" si="754"/>
        <v>6982.1959999999999</v>
      </c>
      <c r="Y77" s="38">
        <v>0.37</v>
      </c>
      <c r="Z77" s="24">
        <f t="shared" si="755"/>
        <v>5229.58</v>
      </c>
      <c r="AA77" s="117">
        <v>2.4099999999999998E-3</v>
      </c>
      <c r="AB77" s="18">
        <f t="shared" si="756"/>
        <v>34.062939999999998</v>
      </c>
      <c r="AC77" s="39">
        <v>2.3800000000000002E-3</v>
      </c>
      <c r="AD77" s="17">
        <f t="shared" si="757"/>
        <v>33.638920000000006</v>
      </c>
      <c r="AE77" s="26">
        <f>IF(M77&gt;0,(AG77+AP77)/M77,0)</f>
        <v>2.4992228668459034E-3</v>
      </c>
      <c r="AF77" s="39">
        <v>2.4000000000000001E-4</v>
      </c>
      <c r="AG77" s="36">
        <f t="shared" si="758"/>
        <v>3.3921600000000001</v>
      </c>
      <c r="AH77" s="27">
        <v>0.20599999999999999</v>
      </c>
      <c r="AI77" s="40">
        <f t="shared" si="759"/>
        <v>30.998880000000003</v>
      </c>
      <c r="AJ77" s="27">
        <f t="shared" si="760"/>
        <v>0.90020845040971276</v>
      </c>
      <c r="AK77" s="28">
        <f t="shared" si="672"/>
        <v>0.90499370436384419</v>
      </c>
      <c r="AL77" s="33">
        <v>165</v>
      </c>
      <c r="AM77" s="35">
        <v>8.7999999999999995E-2</v>
      </c>
      <c r="AN77" s="37">
        <v>0.2122</v>
      </c>
      <c r="AO77" s="103">
        <v>0.21970000000000001</v>
      </c>
      <c r="AP77" s="40">
        <f>AL77*(1-AM77)*AN77</f>
        <v>31.931856000000003</v>
      </c>
      <c r="AQ77" s="104">
        <f t="shared" si="717"/>
        <v>33.060456000000002</v>
      </c>
      <c r="AR77" s="41">
        <v>1.5</v>
      </c>
      <c r="AS77" s="41"/>
      <c r="AT77" s="129">
        <f>AT76+AL77-AS77</f>
        <v>326.23999999999864</v>
      </c>
      <c r="AU77" s="82"/>
      <c r="AV77" s="42"/>
      <c r="AW77" s="43"/>
      <c r="AX77" s="44"/>
      <c r="AY77" s="44"/>
      <c r="AZ77" s="44"/>
      <c r="BA77" s="44"/>
      <c r="BB77" s="31"/>
    </row>
    <row r="78" spans="1:54">
      <c r="A78" s="148"/>
      <c r="B78" s="32">
        <v>3</v>
      </c>
      <c r="C78" s="10" t="s">
        <v>53</v>
      </c>
      <c r="D78" s="42">
        <v>16900</v>
      </c>
      <c r="E78" s="42">
        <v>2</v>
      </c>
      <c r="F78" s="42">
        <v>17159</v>
      </c>
      <c r="G78" s="36">
        <v>1.1000000000000001</v>
      </c>
      <c r="H78" s="36">
        <v>5.5</v>
      </c>
      <c r="I78" s="42">
        <v>16609</v>
      </c>
      <c r="J78" s="133">
        <v>4.0999999999999996</v>
      </c>
      <c r="K78" s="42">
        <v>15150</v>
      </c>
      <c r="L78" s="38">
        <v>6.8000000000000005E-2</v>
      </c>
      <c r="M78" s="36">
        <f>ROUND(K78*(1-L78),0)</f>
        <v>14120</v>
      </c>
      <c r="N78" s="27">
        <v>0.76800000000000002</v>
      </c>
      <c r="O78" s="24">
        <f t="shared" si="750"/>
        <v>10844.16</v>
      </c>
      <c r="P78" s="38">
        <v>0.192</v>
      </c>
      <c r="Q78" s="24">
        <f t="shared" si="751"/>
        <v>2711.04</v>
      </c>
      <c r="R78" s="38">
        <v>0.04</v>
      </c>
      <c r="S78" s="105">
        <v>0.21840000000000001</v>
      </c>
      <c r="T78" s="24">
        <f t="shared" si="752"/>
        <v>564.80000000000007</v>
      </c>
      <c r="U78" s="27">
        <v>0.21</v>
      </c>
      <c r="V78" s="24">
        <f t="shared" si="753"/>
        <v>2965.2</v>
      </c>
      <c r="W78" s="38">
        <v>0.50900000000000001</v>
      </c>
      <c r="X78" s="24">
        <f t="shared" si="754"/>
        <v>7187.08</v>
      </c>
      <c r="Y78" s="38">
        <v>0.39</v>
      </c>
      <c r="Z78" s="24">
        <f t="shared" si="755"/>
        <v>5506.8</v>
      </c>
      <c r="AA78" s="118">
        <v>2.2399999999999998E-3</v>
      </c>
      <c r="AB78" s="121">
        <f t="shared" si="756"/>
        <v>31.628799999999998</v>
      </c>
      <c r="AC78" s="45">
        <v>2.2599999999999999E-3</v>
      </c>
      <c r="AD78" s="17">
        <f t="shared" si="757"/>
        <v>31.911199999999997</v>
      </c>
      <c r="AE78" s="26">
        <f>IF(M78&gt;0,(AG78+AP78)/M78,0)</f>
        <v>2.3151859490084989E-3</v>
      </c>
      <c r="AF78" s="45">
        <v>2.3000000000000001E-4</v>
      </c>
      <c r="AG78" s="36">
        <f t="shared" si="758"/>
        <v>3.2476000000000003</v>
      </c>
      <c r="AH78" s="27">
        <v>0.20660000000000001</v>
      </c>
      <c r="AI78" s="40">
        <f t="shared" si="759"/>
        <v>28.451299200000005</v>
      </c>
      <c r="AJ78" s="27">
        <f t="shared" si="760"/>
        <v>0.89923116869305542</v>
      </c>
      <c r="AK78" s="28">
        <f t="shared" si="672"/>
        <v>0.9016258714732438</v>
      </c>
      <c r="AL78" s="42">
        <v>151</v>
      </c>
      <c r="AM78" s="38">
        <v>8.7999999999999995E-2</v>
      </c>
      <c r="AN78" s="27">
        <v>0.21379999999999999</v>
      </c>
      <c r="AO78" s="105">
        <v>0.22090000000000001</v>
      </c>
      <c r="AP78" s="40">
        <f>AL78*(1-AM78)*AN78</f>
        <v>29.442825600000003</v>
      </c>
      <c r="AQ78" s="106">
        <f t="shared" si="717"/>
        <v>30.420580800000007</v>
      </c>
      <c r="AR78" s="17">
        <v>1.5</v>
      </c>
      <c r="AS78" s="17"/>
      <c r="AT78" s="129">
        <f>AT77+AL78-AS78</f>
        <v>477.23999999999864</v>
      </c>
      <c r="AU78" s="82"/>
      <c r="AV78" s="42"/>
      <c r="AW78" s="46"/>
      <c r="AX78" s="40"/>
      <c r="AY78" s="40"/>
      <c r="AZ78" s="40"/>
      <c r="BA78" s="40"/>
      <c r="BB78" s="31"/>
    </row>
    <row r="79" spans="1:54">
      <c r="A79" s="149"/>
      <c r="B79" s="47" t="s">
        <v>56</v>
      </c>
      <c r="C79" s="48"/>
      <c r="D79" s="49">
        <f t="shared" ref="D79" si="762">SUM(D76:D78)</f>
        <v>40000</v>
      </c>
      <c r="E79" s="49"/>
      <c r="F79" s="49">
        <f t="shared" ref="F79" si="763">SUM(F76:F78)</f>
        <v>42880</v>
      </c>
      <c r="G79" s="50"/>
      <c r="H79" s="50"/>
      <c r="I79" s="49">
        <f t="shared" ref="I79:K79" si="764">SUM(I76:I78)</f>
        <v>41777</v>
      </c>
      <c r="J79" s="50"/>
      <c r="K79" s="49">
        <f t="shared" si="764"/>
        <v>45470</v>
      </c>
      <c r="L79" s="20">
        <f t="shared" ref="L79" si="765">IF(K79&gt;0,(K76*L76+K77*L77+K78*L78)/K79,0)</f>
        <v>6.8000000000000005E-2</v>
      </c>
      <c r="M79" s="50">
        <f t="shared" ref="M79" si="766">M76+M77+M78</f>
        <v>42378</v>
      </c>
      <c r="N79" s="51">
        <f t="shared" ref="N79" si="767">IF(M79&gt;0,O79/M79,0)</f>
        <v>0.76366775213554206</v>
      </c>
      <c r="O79" s="52">
        <f t="shared" ref="O79" si="768">O76+O77+O78</f>
        <v>32362.712</v>
      </c>
      <c r="P79" s="20">
        <f t="shared" ref="P79" si="769">IF(M79&gt;0,Q79/M79,0)</f>
        <v>0.2006654396148945</v>
      </c>
      <c r="Q79" s="52">
        <f t="shared" ref="Q79" si="770">Q76+Q77+Q78</f>
        <v>8503.7999999999993</v>
      </c>
      <c r="R79" s="20">
        <f t="shared" ref="R79" si="771">IF(M79&gt;0,T79/M79,0)</f>
        <v>3.5666808249563454E-2</v>
      </c>
      <c r="S79" s="107"/>
      <c r="T79" s="52">
        <f t="shared" ref="T79" si="772">T76+T77+T78</f>
        <v>1511.4880000000001</v>
      </c>
      <c r="U79" s="20">
        <f t="shared" ref="U79" si="773">IF(M79&gt;0,V79/M79,0)</f>
        <v>0.20533234225305586</v>
      </c>
      <c r="V79" s="52">
        <f t="shared" ref="V79" si="774">V76+V77+V78</f>
        <v>8701.5740000000005</v>
      </c>
      <c r="W79" s="20">
        <f t="shared" ref="W79" si="775">IF(M79&gt;0,X79/M79,0)</f>
        <v>0.50499702675916758</v>
      </c>
      <c r="X79" s="52">
        <f t="shared" ref="X79" si="776">X76+X77+X78</f>
        <v>21400.764000000003</v>
      </c>
      <c r="Y79" s="20">
        <f t="shared" ref="Y79" si="777">IF(M79&gt;0,Z79/M79,0)</f>
        <v>0.37999669639907502</v>
      </c>
      <c r="Z79" s="52">
        <f t="shared" ref="Z79" si="778">Z76+Z77+Z78</f>
        <v>16103.5</v>
      </c>
      <c r="AA79" s="119">
        <f t="shared" ref="AA79" si="779">IF(M79&gt;0,AB79/M79,0)</f>
        <v>2.3533574024257866E-3</v>
      </c>
      <c r="AB79" s="54">
        <f t="shared" ref="AB79" si="780">SUM(AB76:AB78)</f>
        <v>99.730579999999989</v>
      </c>
      <c r="AC79" s="53">
        <f t="shared" ref="AC79" si="781">IF(M79&gt;0,AD79/M79,0)</f>
        <v>2.3433498513379587E-3</v>
      </c>
      <c r="AD79" s="54">
        <f t="shared" ref="AD79" si="782">SUM(AD76:AD78)</f>
        <v>99.306480000000008</v>
      </c>
      <c r="AE79" s="53">
        <f t="shared" ref="AE79" si="783">IF(M79&gt;0,(AE76*M76+AE77*M77+AE78*M78)/M79,0)</f>
        <v>2.4759772145924773E-3</v>
      </c>
      <c r="AF79" s="53">
        <f t="shared" ref="AF79" si="784">IF(K79&gt;0,(K76*AF76+K77*AF77+K78*AF78)/K79,0)</f>
        <v>2.3333516604354519E-4</v>
      </c>
      <c r="AG79" s="50">
        <f t="shared" ref="AG79" si="785">SUM(AG76:AG78)</f>
        <v>9.88828</v>
      </c>
      <c r="AH79" s="51">
        <f t="shared" ref="AH79" si="786">IF(K79&gt;0,(K76*AH76+K77*AH77+K78*AH78)/K79,0)</f>
        <v>0.20546665933582581</v>
      </c>
      <c r="AI79" s="56">
        <f t="shared" ref="AI79" si="787">SUM(AI76:AI78)</f>
        <v>91.569670600000009</v>
      </c>
      <c r="AJ79" s="51">
        <f t="shared" ref="AJ79" si="788">IF(AND(AD79&gt;0),((AD76*AJ76+AD77*AJ77+AD78*AJ78)/AD79),0)</f>
        <v>0.90145068545262563</v>
      </c>
      <c r="AK79" s="55">
        <f t="shared" si="672"/>
        <v>0.9067527644599005</v>
      </c>
      <c r="AL79" s="49">
        <f t="shared" ref="AL79" si="789">SUM(AL76:AL78)</f>
        <v>489</v>
      </c>
      <c r="AM79" s="20">
        <f t="shared" ref="AM79" si="790">IF(AL79&gt;0,(AM76*AL76+AM77*AL77+AM78*AL78)/AL79,0)</f>
        <v>8.8353783231083838E-2</v>
      </c>
      <c r="AN79" s="51">
        <f>IF(K79&gt;0,(AN76*K76+AN77*K77+AN78*K78)/K79,0)</f>
        <v>0.21319971409720692</v>
      </c>
      <c r="AO79" s="107">
        <f>IF(L79&gt;0,(AO76*K76+AO77*K77+AO78*K78)/K79,0)</f>
        <v>0.21879996701121621</v>
      </c>
      <c r="AP79" s="56">
        <f t="shared" ref="AP79" si="791">SUM(AP76:AP78)</f>
        <v>95.038682400000013</v>
      </c>
      <c r="AQ79" s="108">
        <f t="shared" si="747"/>
        <v>97.491764200000006</v>
      </c>
      <c r="AR79" s="54"/>
      <c r="AS79" s="54">
        <f t="shared" ref="AS79" si="792">SUM(AS76:AS78)</f>
        <v>533.79999999999995</v>
      </c>
      <c r="AT79" s="83"/>
      <c r="AU79" s="84">
        <f>AT78</f>
        <v>477.23999999999864</v>
      </c>
      <c r="AV79" s="49">
        <f t="shared" ref="AV79" si="793">SUM(AV76:AV78)</f>
        <v>0</v>
      </c>
      <c r="AW79" s="57"/>
      <c r="AX79" s="56"/>
      <c r="AY79" s="56"/>
      <c r="AZ79" s="56"/>
      <c r="BA79" s="56"/>
      <c r="BB79" s="21"/>
    </row>
    <row r="80" spans="1:54">
      <c r="A80" s="147">
        <v>20</v>
      </c>
      <c r="B80" s="22">
        <v>1</v>
      </c>
      <c r="C80" s="10" t="s">
        <v>54</v>
      </c>
      <c r="D80" s="11">
        <v>4843</v>
      </c>
      <c r="E80" s="11">
        <v>0</v>
      </c>
      <c r="F80" s="11">
        <v>11001</v>
      </c>
      <c r="G80" s="12">
        <v>1</v>
      </c>
      <c r="H80" s="12">
        <v>6</v>
      </c>
      <c r="I80" s="11">
        <v>11532</v>
      </c>
      <c r="J80" s="131">
        <v>5.5</v>
      </c>
      <c r="K80" s="11">
        <v>15063</v>
      </c>
      <c r="L80" s="13">
        <v>6.9000000000000006E-2</v>
      </c>
      <c r="M80" s="23">
        <f>ROUND(K80*(1-L80),0)</f>
        <v>14024</v>
      </c>
      <c r="N80" s="14">
        <v>0.65600000000000003</v>
      </c>
      <c r="O80" s="24">
        <f t="shared" ref="O80:O82" si="794">M80*N80</f>
        <v>9199.7440000000006</v>
      </c>
      <c r="P80" s="13">
        <v>0.29099999999999998</v>
      </c>
      <c r="Q80" s="24">
        <f t="shared" ref="Q80:Q82" si="795">M80*P80</f>
        <v>4080.9839999999999</v>
      </c>
      <c r="R80" s="15">
        <v>5.2999999999999999E-2</v>
      </c>
      <c r="S80" s="112">
        <v>0.21290000000000001</v>
      </c>
      <c r="T80" s="24">
        <f t="shared" ref="T80:T82" si="796">M80*R80</f>
        <v>743.27199999999993</v>
      </c>
      <c r="U80" s="25">
        <v>0.20699999999999999</v>
      </c>
      <c r="V80" s="24">
        <f t="shared" ref="V80:V82" si="797">M80*U80</f>
        <v>2902.9679999999998</v>
      </c>
      <c r="W80" s="15">
        <v>0.503</v>
      </c>
      <c r="X80" s="24">
        <f t="shared" ref="X80:X82" si="798">M80*W80</f>
        <v>7054.0720000000001</v>
      </c>
      <c r="Y80" s="15">
        <v>0.38</v>
      </c>
      <c r="Z80" s="24">
        <f t="shared" ref="Z80:Z82" si="799">Y80*M80</f>
        <v>5329.12</v>
      </c>
      <c r="AA80" s="116">
        <v>2.32E-3</v>
      </c>
      <c r="AB80" s="18">
        <f t="shared" ref="AB80" si="800">M80*AA80</f>
        <v>32.535679999999999</v>
      </c>
      <c r="AC80" s="16">
        <v>2.3600000000000001E-3</v>
      </c>
      <c r="AD80" s="17">
        <f t="shared" ref="AD80:AD82" si="801">M80*AC80</f>
        <v>33.096640000000001</v>
      </c>
      <c r="AE80" s="26">
        <f>IF(M80&gt;0,(AG80+AP80)/M80,0)</f>
        <v>2.4073333571021107E-3</v>
      </c>
      <c r="AF80" s="16">
        <v>2.4000000000000001E-4</v>
      </c>
      <c r="AG80" s="23">
        <f t="shared" ref="AG80:AG82" si="802">AF80*M80</f>
        <v>3.3657600000000003</v>
      </c>
      <c r="AH80" s="92">
        <v>0.19739999999999999</v>
      </c>
      <c r="AI80" s="29">
        <f t="shared" ref="AI80:AI82" si="803">AL80*(1-AM80)*AH80</f>
        <v>29.1966444</v>
      </c>
      <c r="AJ80" s="27">
        <f t="shared" ref="AJ80:AJ82" si="804">IF(AND(AH80&gt;0,AF80&gt;0,AC80&gt;0),((AC80-AF80)*AH80)/((AH80-AF80)*AC80),0)</f>
        <v>0.89939857845817373</v>
      </c>
      <c r="AK80" s="58">
        <f t="shared" si="672"/>
        <v>0.90135730580720219</v>
      </c>
      <c r="AL80" s="11">
        <v>162</v>
      </c>
      <c r="AM80" s="13">
        <v>8.6999999999999994E-2</v>
      </c>
      <c r="AN80" s="14">
        <v>0.20549999999999999</v>
      </c>
      <c r="AO80" s="101">
        <v>0.21329999999999999</v>
      </c>
      <c r="AP80" s="29">
        <f>AL80*(1-AM80)*AN80</f>
        <v>30.394683000000001</v>
      </c>
      <c r="AQ80" s="102">
        <f t="shared" ref="AQ80" si="805">AL80*(1-AM80)*AO80</f>
        <v>31.5483498</v>
      </c>
      <c r="AR80" s="18">
        <v>1.52</v>
      </c>
      <c r="AS80" s="18">
        <v>537.86</v>
      </c>
      <c r="AT80" s="79">
        <f>AT78+AL80-AS80+AU80</f>
        <v>104.17999999999863</v>
      </c>
      <c r="AU80" s="80">
        <v>2.8</v>
      </c>
      <c r="AV80" s="11"/>
      <c r="AW80" s="30"/>
      <c r="AX80" s="19"/>
      <c r="AY80" s="19"/>
      <c r="AZ80" s="19"/>
      <c r="BA80" s="19"/>
      <c r="BB80" s="31"/>
    </row>
    <row r="81" spans="1:54">
      <c r="A81" s="148"/>
      <c r="B81" s="32">
        <v>2</v>
      </c>
      <c r="C81" s="10" t="s">
        <v>59</v>
      </c>
      <c r="D81" s="33">
        <v>20700</v>
      </c>
      <c r="E81" s="33">
        <v>3</v>
      </c>
      <c r="F81" s="33">
        <v>18684</v>
      </c>
      <c r="G81" s="34">
        <v>1.5</v>
      </c>
      <c r="H81" s="34">
        <v>7.8</v>
      </c>
      <c r="I81" s="33">
        <v>18167</v>
      </c>
      <c r="J81" s="34">
        <v>3.7</v>
      </c>
      <c r="K81" s="33">
        <v>15061</v>
      </c>
      <c r="L81" s="35">
        <v>6.3E-2</v>
      </c>
      <c r="M81" s="36">
        <f>ROUND(K81*(1-L81),0)</f>
        <v>14112</v>
      </c>
      <c r="N81" s="37">
        <v>0.57899999999999996</v>
      </c>
      <c r="O81" s="24">
        <f t="shared" si="794"/>
        <v>8170.847999999999</v>
      </c>
      <c r="P81" s="35">
        <v>0.38200000000000001</v>
      </c>
      <c r="Q81" s="24">
        <f t="shared" si="795"/>
        <v>5390.7839999999997</v>
      </c>
      <c r="R81" s="38">
        <v>3.9E-2</v>
      </c>
      <c r="S81" s="105">
        <v>0.1855</v>
      </c>
      <c r="T81" s="24">
        <f t="shared" si="796"/>
        <v>550.36800000000005</v>
      </c>
      <c r="U81" s="27">
        <v>0.19700000000000001</v>
      </c>
      <c r="V81" s="24">
        <f t="shared" si="797"/>
        <v>2780.0640000000003</v>
      </c>
      <c r="W81" s="38">
        <v>0.51100000000000001</v>
      </c>
      <c r="X81" s="24">
        <f t="shared" si="798"/>
        <v>7211.232</v>
      </c>
      <c r="Y81" s="38">
        <v>0.39</v>
      </c>
      <c r="Z81" s="24">
        <f t="shared" si="799"/>
        <v>5503.68</v>
      </c>
      <c r="AA81" s="117">
        <v>2.5799999999999998E-3</v>
      </c>
      <c r="AB81" s="18">
        <f t="shared" si="756"/>
        <v>36.40896</v>
      </c>
      <c r="AC81" s="39">
        <v>2.65E-3</v>
      </c>
      <c r="AD81" s="17">
        <f t="shared" si="801"/>
        <v>37.396799999999999</v>
      </c>
      <c r="AE81" s="26">
        <f>IF(M81&gt;0,(AG81+AP81)/M81,0)</f>
        <v>2.3626103316326534E-3</v>
      </c>
      <c r="AF81" s="39">
        <v>2.4000000000000001E-4</v>
      </c>
      <c r="AG81" s="36">
        <f t="shared" si="802"/>
        <v>3.3868800000000001</v>
      </c>
      <c r="AH81" s="27">
        <v>0.20280000000000001</v>
      </c>
      <c r="AI81" s="40">
        <f t="shared" si="803"/>
        <v>28.573506000000002</v>
      </c>
      <c r="AJ81" s="27">
        <f t="shared" si="804"/>
        <v>0.91051149065545922</v>
      </c>
      <c r="AK81" s="28">
        <f t="shared" si="672"/>
        <v>0.89943279460909364</v>
      </c>
      <c r="AL81" s="33">
        <v>155</v>
      </c>
      <c r="AM81" s="35">
        <v>9.0999999999999998E-2</v>
      </c>
      <c r="AN81" s="37">
        <v>0.21260000000000001</v>
      </c>
      <c r="AO81" s="103">
        <v>0.22109999999999999</v>
      </c>
      <c r="AP81" s="40">
        <f>AL81*(1-AM81)*AN81</f>
        <v>29.954277000000005</v>
      </c>
      <c r="AQ81" s="104">
        <f t="shared" si="717"/>
        <v>31.151884500000001</v>
      </c>
      <c r="AR81" s="41">
        <v>1.52</v>
      </c>
      <c r="AS81" s="41"/>
      <c r="AT81" s="129">
        <f>AT80+AL81-AS81</f>
        <v>259.17999999999864</v>
      </c>
      <c r="AU81" s="82"/>
      <c r="AV81" s="42"/>
      <c r="AW81" s="43"/>
      <c r="AX81" s="44"/>
      <c r="AY81" s="44"/>
      <c r="AZ81" s="44"/>
      <c r="BA81" s="44"/>
      <c r="BB81" s="31"/>
    </row>
    <row r="82" spans="1:54">
      <c r="A82" s="148"/>
      <c r="B82" s="32">
        <v>3</v>
      </c>
      <c r="C82" s="10" t="s">
        <v>53</v>
      </c>
      <c r="D82" s="42">
        <v>17400</v>
      </c>
      <c r="E82" s="42">
        <v>3</v>
      </c>
      <c r="F82" s="42">
        <v>18566</v>
      </c>
      <c r="G82" s="36">
        <v>0.1</v>
      </c>
      <c r="H82" s="36">
        <v>4.7</v>
      </c>
      <c r="I82" s="42">
        <v>18329</v>
      </c>
      <c r="J82" s="36">
        <v>3.4</v>
      </c>
      <c r="K82" s="42">
        <v>15489</v>
      </c>
      <c r="L82" s="38">
        <v>6.3E-2</v>
      </c>
      <c r="M82" s="36">
        <f>ROUND(K82*(1-L82),0)</f>
        <v>14513</v>
      </c>
      <c r="N82" s="27">
        <v>0.69499999999999995</v>
      </c>
      <c r="O82" s="24">
        <f t="shared" si="794"/>
        <v>10086.535</v>
      </c>
      <c r="P82" s="38">
        <v>0.27300000000000002</v>
      </c>
      <c r="Q82" s="24">
        <f t="shared" si="795"/>
        <v>3962.0490000000004</v>
      </c>
      <c r="R82" s="38">
        <v>3.2000000000000001E-2</v>
      </c>
      <c r="S82" s="105">
        <v>0.1968</v>
      </c>
      <c r="T82" s="24">
        <f t="shared" si="796"/>
        <v>464.416</v>
      </c>
      <c r="U82" s="27">
        <v>0.19800000000000001</v>
      </c>
      <c r="V82" s="24">
        <f t="shared" si="797"/>
        <v>2873.5740000000001</v>
      </c>
      <c r="W82" s="38">
        <v>0.51500000000000001</v>
      </c>
      <c r="X82" s="24">
        <f t="shared" si="798"/>
        <v>7474.1950000000006</v>
      </c>
      <c r="Y82" s="38">
        <v>0.39</v>
      </c>
      <c r="Z82" s="24">
        <f t="shared" si="799"/>
        <v>5660.0700000000006</v>
      </c>
      <c r="AA82" s="118">
        <v>2.6900000000000001E-3</v>
      </c>
      <c r="AB82" s="121">
        <f t="shared" si="756"/>
        <v>39.039970000000004</v>
      </c>
      <c r="AC82" s="45">
        <v>2.6700000000000001E-3</v>
      </c>
      <c r="AD82" s="17">
        <f t="shared" si="801"/>
        <v>38.74971</v>
      </c>
      <c r="AE82" s="26">
        <f>IF(M82&gt;0,(AG82+AP82)/M82,0)</f>
        <v>2.6494580031695717E-3</v>
      </c>
      <c r="AF82" s="45">
        <v>2.5000000000000001E-4</v>
      </c>
      <c r="AG82" s="36">
        <f t="shared" si="802"/>
        <v>3.62825</v>
      </c>
      <c r="AH82" s="27">
        <v>0.21110000000000001</v>
      </c>
      <c r="AI82" s="40">
        <f t="shared" si="803"/>
        <v>34.001877</v>
      </c>
      <c r="AJ82" s="27">
        <f t="shared" si="804"/>
        <v>0.90744169977236777</v>
      </c>
      <c r="AK82" s="28">
        <f t="shared" si="672"/>
        <v>0.90668951678801257</v>
      </c>
      <c r="AL82" s="42">
        <v>177</v>
      </c>
      <c r="AM82" s="38">
        <v>0.09</v>
      </c>
      <c r="AN82" s="27">
        <v>0.2162</v>
      </c>
      <c r="AO82" s="105">
        <v>0.21659999999999999</v>
      </c>
      <c r="AP82" s="40">
        <f>AL82*(1-AM82)*AN82</f>
        <v>34.823333999999996</v>
      </c>
      <c r="AQ82" s="106">
        <f t="shared" si="717"/>
        <v>34.887761999999995</v>
      </c>
      <c r="AR82" s="17">
        <v>1.6</v>
      </c>
      <c r="AS82" s="17"/>
      <c r="AT82" s="129">
        <f>AT81+AL82-AS82</f>
        <v>436.17999999999864</v>
      </c>
      <c r="AU82" s="82"/>
      <c r="AV82" s="42"/>
      <c r="AW82" s="46"/>
      <c r="AX82" s="40"/>
      <c r="AY82" s="40"/>
      <c r="AZ82" s="40"/>
      <c r="BA82" s="40"/>
      <c r="BB82" s="31"/>
    </row>
    <row r="83" spans="1:54">
      <c r="A83" s="149"/>
      <c r="B83" s="47" t="s">
        <v>56</v>
      </c>
      <c r="C83" s="48"/>
      <c r="D83" s="49">
        <f t="shared" ref="D83" si="806">SUM(D80:D82)</f>
        <v>42943</v>
      </c>
      <c r="E83" s="49"/>
      <c r="F83" s="49">
        <f t="shared" ref="F83" si="807">SUM(F80:F82)</f>
        <v>48251</v>
      </c>
      <c r="G83" s="50"/>
      <c r="H83" s="50"/>
      <c r="I83" s="49">
        <f t="shared" ref="I83:K83" si="808">SUM(I80:I82)</f>
        <v>48028</v>
      </c>
      <c r="J83" s="50"/>
      <c r="K83" s="49">
        <f t="shared" si="808"/>
        <v>45613</v>
      </c>
      <c r="L83" s="20">
        <f t="shared" ref="L83" si="809">IF(K83&gt;0,(K80*L80+K81*L81+K82*L82)/K83,0)</f>
        <v>6.4981408808892208E-2</v>
      </c>
      <c r="M83" s="50">
        <f t="shared" ref="M83" si="810">M80+M81+M82</f>
        <v>42649</v>
      </c>
      <c r="N83" s="51">
        <f t="shared" ref="N83" si="811">IF(M83&gt;0,O83/M83,0)</f>
        <v>0.64379298459518397</v>
      </c>
      <c r="O83" s="52">
        <f t="shared" ref="O83" si="812">O80+O81+O82</f>
        <v>27457.127</v>
      </c>
      <c r="P83" s="20">
        <f t="shared" ref="P83" si="813">IF(M83&gt;0,Q83/M83,0)</f>
        <v>0.31498550962507915</v>
      </c>
      <c r="Q83" s="52">
        <f t="shared" ref="Q83" si="814">Q80+Q81+Q82</f>
        <v>13433.817000000001</v>
      </c>
      <c r="R83" s="20">
        <f t="shared" ref="R83" si="815">IF(M83&gt;0,T83/M83,0)</f>
        <v>4.1221505779736919E-2</v>
      </c>
      <c r="S83" s="107"/>
      <c r="T83" s="52">
        <f t="shared" ref="T83" si="816">T80+T81+T82</f>
        <v>1758.0559999999998</v>
      </c>
      <c r="U83" s="20">
        <f t="shared" ref="U83" si="817">IF(M83&gt;0,V83/M83,0)</f>
        <v>0.20062852587399468</v>
      </c>
      <c r="V83" s="52">
        <f t="shared" ref="V83" si="818">V80+V81+V82</f>
        <v>8556.6059999999998</v>
      </c>
      <c r="W83" s="20">
        <f t="shared" ref="W83" si="819">IF(M83&gt;0,X83/M83,0)</f>
        <v>0.50973056812586459</v>
      </c>
      <c r="X83" s="52">
        <f t="shared" ref="X83" si="820">X80+X81+X82</f>
        <v>21739.499</v>
      </c>
      <c r="Y83" s="20">
        <f t="shared" ref="Y83" si="821">IF(M83&gt;0,Z83/M83,0)</f>
        <v>0.38671176346455954</v>
      </c>
      <c r="Z83" s="52">
        <f t="shared" ref="Z83" si="822">Z80+Z81+Z82</f>
        <v>16492.87</v>
      </c>
      <c r="AA83" s="119">
        <f t="shared" ref="AA83" si="823">IF(M83&gt;0,AB83/M83,0)</f>
        <v>2.5319376773195153E-3</v>
      </c>
      <c r="AB83" s="54">
        <f t="shared" ref="AB83" si="824">SUM(AB80:AB82)</f>
        <v>107.98461</v>
      </c>
      <c r="AC83" s="53">
        <f t="shared" ref="AC83" si="825">IF(M83&gt;0,AD83/M83,0)</f>
        <v>2.5614469272433114E-3</v>
      </c>
      <c r="AD83" s="54">
        <f t="shared" ref="AD83" si="826">SUM(AD80:AD82)</f>
        <v>109.24314999999999</v>
      </c>
      <c r="AE83" s="53">
        <f t="shared" ref="AE83" si="827">IF(M83&gt;0,(AE80*M80+AE81*M81+AE82*M82)/M83,0)</f>
        <v>2.4749275246781872E-3</v>
      </c>
      <c r="AF83" s="53">
        <f t="shared" ref="AF83" si="828">IF(K83&gt;0,(K80*AF80+K81*AF81+K82*AF82)/K83,0)</f>
        <v>2.4339574244184773E-4</v>
      </c>
      <c r="AG83" s="50">
        <f t="shared" ref="AG83" si="829">SUM(AG80:AG82)</f>
        <v>10.380890000000001</v>
      </c>
      <c r="AH83" s="51">
        <f t="shared" ref="AH83" si="830">IF(K83&gt;0,(K80*AH80+K81*AH81+K82*AH82)/K83,0)</f>
        <v>0.20383519829873065</v>
      </c>
      <c r="AI83" s="56">
        <f t="shared" ref="AI83" si="831">SUM(AI80:AI82)</f>
        <v>91.772027400000013</v>
      </c>
      <c r="AJ83" s="51">
        <f t="shared" ref="AJ83" si="832">IF(AND(AD83&gt;0),((AD80*AJ80+AD81*AJ81+AD82*AJ82)/AD83),0)</f>
        <v>0.90605580111496564</v>
      </c>
      <c r="AK83" s="55">
        <f t="shared" si="672"/>
        <v>0.90269434234438117</v>
      </c>
      <c r="AL83" s="49">
        <f t="shared" ref="AL83" si="833">SUM(AL80:AL82)</f>
        <v>494</v>
      </c>
      <c r="AM83" s="20">
        <f t="shared" ref="AM83" si="834">IF(AL83&gt;0,(AM80*AL80+AM81*AL81+AM82*AL82)/AL83,0)</f>
        <v>8.932995951417004E-2</v>
      </c>
      <c r="AN83" s="51">
        <f>IF(K83&gt;0,(AN80*K80+AN81*K81+AN82*K82)/K83,0)</f>
        <v>0.21147780018854276</v>
      </c>
      <c r="AO83" s="107">
        <f>IF(L83&gt;0,(AO80*K80+AO81*K81+AO82*K82)/K83,0)</f>
        <v>0.21699608444960866</v>
      </c>
      <c r="AP83" s="56">
        <f t="shared" ref="AP83" si="835">SUM(AP80:AP82)</f>
        <v>95.172293999999994</v>
      </c>
      <c r="AQ83" s="108">
        <f t="shared" si="747"/>
        <v>97.5879963</v>
      </c>
      <c r="AR83" s="54"/>
      <c r="AS83" s="54">
        <f t="shared" ref="AS83" si="836">SUM(AS80:AS82)</f>
        <v>537.86</v>
      </c>
      <c r="AT83" s="83"/>
      <c r="AU83" s="84">
        <f>AT82</f>
        <v>436.17999999999864</v>
      </c>
      <c r="AV83" s="49">
        <f t="shared" ref="AV83" si="837">SUM(AV80:AV82)</f>
        <v>0</v>
      </c>
      <c r="AW83" s="57"/>
      <c r="AX83" s="56"/>
      <c r="AY83" s="56"/>
      <c r="AZ83" s="56"/>
      <c r="BA83" s="56"/>
      <c r="BB83" s="21"/>
    </row>
    <row r="84" spans="1:54">
      <c r="A84" s="147">
        <v>21</v>
      </c>
      <c r="B84" s="22">
        <v>1</v>
      </c>
      <c r="C84" s="10" t="s">
        <v>54</v>
      </c>
      <c r="D84" s="11">
        <v>15304</v>
      </c>
      <c r="E84" s="11">
        <v>1</v>
      </c>
      <c r="F84" s="11">
        <v>16839</v>
      </c>
      <c r="G84" s="12">
        <v>0.2</v>
      </c>
      <c r="H84" s="12">
        <v>4.5999999999999996</v>
      </c>
      <c r="I84" s="11">
        <v>15582</v>
      </c>
      <c r="J84" s="12">
        <v>3.2</v>
      </c>
      <c r="K84" s="11">
        <v>15742</v>
      </c>
      <c r="L84" s="13">
        <v>6.6000000000000003E-2</v>
      </c>
      <c r="M84" s="23">
        <f>ROUND(K84*(1-L84),0)</f>
        <v>14703</v>
      </c>
      <c r="N84" s="14">
        <v>0.73799999999999999</v>
      </c>
      <c r="O84" s="24">
        <f t="shared" ref="O84:O86" si="838">M84*N84</f>
        <v>10850.814</v>
      </c>
      <c r="P84" s="13">
        <v>0.22500000000000001</v>
      </c>
      <c r="Q84" s="24">
        <f t="shared" ref="Q84:Q86" si="839">M84*P84</f>
        <v>3308.1750000000002</v>
      </c>
      <c r="R84" s="15">
        <v>3.6999999999999998E-2</v>
      </c>
      <c r="S84" s="112">
        <v>0.21740000000000001</v>
      </c>
      <c r="T84" s="24">
        <f t="shared" ref="T84:T86" si="840">M84*R84</f>
        <v>544.01099999999997</v>
      </c>
      <c r="U84" s="25">
        <v>0.218</v>
      </c>
      <c r="V84" s="24">
        <f t="shared" ref="V84:V86" si="841">M84*U84</f>
        <v>3205.2539999999999</v>
      </c>
      <c r="W84" s="15">
        <v>0.49</v>
      </c>
      <c r="X84" s="24">
        <f t="shared" ref="X84:X86" si="842">M84*W84</f>
        <v>7204.47</v>
      </c>
      <c r="Y84" s="15">
        <v>0.39</v>
      </c>
      <c r="Z84" s="24">
        <f t="shared" ref="Z84:Z86" si="843">Y84*M84</f>
        <v>5734.17</v>
      </c>
      <c r="AA84" s="116">
        <v>2.3400000000000001E-3</v>
      </c>
      <c r="AB84" s="18">
        <f t="shared" ref="AB84" si="844">M84*AA84</f>
        <v>34.40502</v>
      </c>
      <c r="AC84" s="16">
        <v>2.3E-3</v>
      </c>
      <c r="AD84" s="17">
        <f t="shared" ref="AD84:AD86" si="845">M84*AC84</f>
        <v>33.816899999999997</v>
      </c>
      <c r="AE84" s="26">
        <f>IF(M84&gt;0,(AG84+AP84)/M84,0)</f>
        <v>2.3365913078963476E-3</v>
      </c>
      <c r="AF84" s="16">
        <v>2.5000000000000001E-4</v>
      </c>
      <c r="AG84" s="23">
        <f t="shared" ref="AG84:AG86" si="846">AF84*M84</f>
        <v>3.6757500000000003</v>
      </c>
      <c r="AH84" s="92">
        <v>0.19889999999999999</v>
      </c>
      <c r="AI84" s="29">
        <f t="shared" ref="AI84:AI86" si="847">AL84*(1-AM84)*AH84</f>
        <v>29.912173200000002</v>
      </c>
      <c r="AJ84" s="27">
        <f t="shared" ref="AJ84:AJ86" si="848">IF(AND(AH84&gt;0,AF84&gt;0,AC84&gt;0),((AC84-AF84)*AH84)/((AH84-AF84)*AC84),0)</f>
        <v>0.89242604974884809</v>
      </c>
      <c r="AK84" s="58">
        <f t="shared" si="672"/>
        <v>0.89410224867730215</v>
      </c>
      <c r="AL84" s="11">
        <v>164</v>
      </c>
      <c r="AM84" s="13">
        <v>8.3000000000000004E-2</v>
      </c>
      <c r="AN84" s="14">
        <v>0.20399999999999999</v>
      </c>
      <c r="AO84" s="101">
        <v>0.21149999999999999</v>
      </c>
      <c r="AP84" s="29">
        <f>AL84*(1-AM84)*AN84</f>
        <v>30.679151999999998</v>
      </c>
      <c r="AQ84" s="102">
        <f t="shared" ref="AQ84" si="849">AL84*(1-AM84)*AO84</f>
        <v>31.807061999999998</v>
      </c>
      <c r="AR84" s="18">
        <v>1.55</v>
      </c>
      <c r="AS84" s="18"/>
      <c r="AT84" s="79">
        <f>AT82+AL84-AS84</f>
        <v>600.1799999999987</v>
      </c>
      <c r="AU84" s="80"/>
      <c r="AV84" s="11"/>
      <c r="AW84" s="30"/>
      <c r="AX84" s="19"/>
      <c r="AY84" s="19"/>
      <c r="AZ84" s="19"/>
      <c r="BA84" s="19"/>
      <c r="BB84" s="31"/>
    </row>
    <row r="85" spans="1:54">
      <c r="A85" s="148"/>
      <c r="B85" s="32">
        <v>2</v>
      </c>
      <c r="C85" s="10" t="s">
        <v>59</v>
      </c>
      <c r="D85" s="33">
        <v>20000</v>
      </c>
      <c r="E85" s="33">
        <v>2</v>
      </c>
      <c r="F85" s="33">
        <v>16528</v>
      </c>
      <c r="G85" s="34">
        <v>0.4</v>
      </c>
      <c r="H85" s="34">
        <v>5</v>
      </c>
      <c r="I85" s="33">
        <v>16520</v>
      </c>
      <c r="J85" s="34">
        <v>3</v>
      </c>
      <c r="K85" s="33">
        <v>15684</v>
      </c>
      <c r="L85" s="35">
        <v>6.6000000000000003E-2</v>
      </c>
      <c r="M85" s="36">
        <f>ROUND(K85*(1-L85),0)</f>
        <v>14649</v>
      </c>
      <c r="N85" s="37">
        <v>0.61199999999999999</v>
      </c>
      <c r="O85" s="24">
        <f t="shared" si="838"/>
        <v>8965.1880000000001</v>
      </c>
      <c r="P85" s="35">
        <v>0.32100000000000001</v>
      </c>
      <c r="Q85" s="24">
        <f t="shared" si="839"/>
        <v>4702.3289999999997</v>
      </c>
      <c r="R85" s="38">
        <v>6.7000000000000004E-2</v>
      </c>
      <c r="S85" s="105">
        <v>0.20030000000000001</v>
      </c>
      <c r="T85" s="24">
        <f t="shared" si="840"/>
        <v>981.48300000000006</v>
      </c>
      <c r="U85" s="27">
        <v>0.219</v>
      </c>
      <c r="V85" s="24">
        <f t="shared" si="841"/>
        <v>3208.1309999999999</v>
      </c>
      <c r="W85" s="38">
        <v>0.496</v>
      </c>
      <c r="X85" s="24">
        <f t="shared" si="842"/>
        <v>7265.9039999999995</v>
      </c>
      <c r="Y85" s="38">
        <v>0.4</v>
      </c>
      <c r="Z85" s="24">
        <f t="shared" si="843"/>
        <v>5859.6</v>
      </c>
      <c r="AA85" s="117">
        <v>2.2100000000000002E-3</v>
      </c>
      <c r="AB85" s="18">
        <f t="shared" si="756"/>
        <v>32.374290000000002</v>
      </c>
      <c r="AC85" s="39">
        <v>2.1800000000000001E-3</v>
      </c>
      <c r="AD85" s="17">
        <f t="shared" si="845"/>
        <v>31.934820000000002</v>
      </c>
      <c r="AE85" s="26">
        <f>IF(M85&gt;0,(AG85+AP85)/M85,0)</f>
        <v>2.1551408560311286E-3</v>
      </c>
      <c r="AF85" s="39">
        <v>2.5999999999999998E-4</v>
      </c>
      <c r="AG85" s="36">
        <f t="shared" si="846"/>
        <v>3.8087399999999998</v>
      </c>
      <c r="AH85" s="27">
        <v>0.1963</v>
      </c>
      <c r="AI85" s="40">
        <f t="shared" si="847"/>
        <v>26.674814400000002</v>
      </c>
      <c r="AJ85" s="27">
        <f t="shared" si="848"/>
        <v>0.88190202710923993</v>
      </c>
      <c r="AK85" s="28">
        <f t="shared" si="672"/>
        <v>0.88047876444430906</v>
      </c>
      <c r="AL85" s="33">
        <v>149</v>
      </c>
      <c r="AM85" s="35">
        <v>8.7999999999999995E-2</v>
      </c>
      <c r="AN85" s="37">
        <v>0.20430000000000001</v>
      </c>
      <c r="AO85" s="103">
        <v>0.2127</v>
      </c>
      <c r="AP85" s="40">
        <f>AL85*(1-AM85)*AN85</f>
        <v>27.761918400000003</v>
      </c>
      <c r="AQ85" s="104">
        <f t="shared" si="717"/>
        <v>28.903377600000002</v>
      </c>
      <c r="AR85" s="41">
        <v>1.5</v>
      </c>
      <c r="AS85" s="41"/>
      <c r="AT85" s="129">
        <f>AT84+AL85-AS85</f>
        <v>749.1799999999987</v>
      </c>
      <c r="AU85" s="82"/>
      <c r="AV85" s="42"/>
      <c r="AW85" s="43"/>
      <c r="AX85" s="44"/>
      <c r="AY85" s="44"/>
      <c r="AZ85" s="44"/>
      <c r="BA85" s="44"/>
      <c r="BB85" s="31"/>
    </row>
    <row r="86" spans="1:54">
      <c r="A86" s="148"/>
      <c r="B86" s="32">
        <v>3</v>
      </c>
      <c r="C86" s="10" t="s">
        <v>57</v>
      </c>
      <c r="D86" s="42">
        <v>16700</v>
      </c>
      <c r="E86" s="42">
        <v>2</v>
      </c>
      <c r="F86" s="42">
        <v>17581</v>
      </c>
      <c r="G86" s="36">
        <v>0.4</v>
      </c>
      <c r="H86" s="36">
        <v>5.5</v>
      </c>
      <c r="I86" s="42">
        <v>16587</v>
      </c>
      <c r="J86" s="133">
        <v>2.1</v>
      </c>
      <c r="K86" s="42">
        <v>16089</v>
      </c>
      <c r="L86" s="38">
        <v>7.2999999999999995E-2</v>
      </c>
      <c r="M86" s="36">
        <f>ROUND(K86*(1-L86),0)</f>
        <v>14915</v>
      </c>
      <c r="N86" s="27">
        <v>0.61299999999999999</v>
      </c>
      <c r="O86" s="24">
        <f t="shared" si="838"/>
        <v>9142.8950000000004</v>
      </c>
      <c r="P86" s="38">
        <v>0.32800000000000001</v>
      </c>
      <c r="Q86" s="24">
        <f t="shared" si="839"/>
        <v>4892.12</v>
      </c>
      <c r="R86" s="38">
        <v>5.8999999999999997E-2</v>
      </c>
      <c r="S86" s="105">
        <v>0.20380000000000001</v>
      </c>
      <c r="T86" s="24">
        <f t="shared" si="840"/>
        <v>879.9849999999999</v>
      </c>
      <c r="U86" s="27">
        <v>0.22800000000000001</v>
      </c>
      <c r="V86" s="24">
        <f t="shared" si="841"/>
        <v>3400.6200000000003</v>
      </c>
      <c r="W86" s="38">
        <v>0.49299999999999999</v>
      </c>
      <c r="X86" s="24">
        <f t="shared" si="842"/>
        <v>7353.0950000000003</v>
      </c>
      <c r="Y86" s="38">
        <v>0.41</v>
      </c>
      <c r="Z86" s="24">
        <f t="shared" si="843"/>
        <v>6115.15</v>
      </c>
      <c r="AA86" s="118">
        <v>2.3400000000000001E-3</v>
      </c>
      <c r="AB86" s="121">
        <f t="shared" si="756"/>
        <v>34.9011</v>
      </c>
      <c r="AC86" s="45">
        <v>2.2699999999999999E-3</v>
      </c>
      <c r="AD86" s="17">
        <f t="shared" si="845"/>
        <v>33.857050000000001</v>
      </c>
      <c r="AE86" s="26">
        <f>IF(M86&gt;0,(AG86+AP86)/M86,0)</f>
        <v>2.1326202346630906E-3</v>
      </c>
      <c r="AF86" s="45">
        <v>2.5999999999999998E-4</v>
      </c>
      <c r="AG86" s="36">
        <f t="shared" si="846"/>
        <v>3.8778999999999995</v>
      </c>
      <c r="AH86" s="27">
        <v>0.19969999999999999</v>
      </c>
      <c r="AI86" s="40">
        <f t="shared" si="847"/>
        <v>26.984262799999996</v>
      </c>
      <c r="AJ86" s="27">
        <f t="shared" si="848"/>
        <v>0.88661688852134002</v>
      </c>
      <c r="AK86" s="28">
        <f t="shared" si="672"/>
        <v>0.8791901473873589</v>
      </c>
      <c r="AL86" s="42">
        <v>148</v>
      </c>
      <c r="AM86" s="38">
        <v>8.6999999999999994E-2</v>
      </c>
      <c r="AN86" s="27">
        <v>0.20669999999999999</v>
      </c>
      <c r="AO86" s="105">
        <v>0.21829999999999999</v>
      </c>
      <c r="AP86" s="40">
        <f>AL86*(1-AM86)*AN86</f>
        <v>27.930130799999997</v>
      </c>
      <c r="AQ86" s="106">
        <f t="shared" si="717"/>
        <v>29.497569199999997</v>
      </c>
      <c r="AR86" s="17">
        <v>1.5</v>
      </c>
      <c r="AS86" s="17"/>
      <c r="AT86" s="129">
        <f>AT85+AL86-AS86</f>
        <v>897.1799999999987</v>
      </c>
      <c r="AU86" s="82"/>
      <c r="AV86" s="42"/>
      <c r="AW86" s="46"/>
      <c r="AX86" s="40"/>
      <c r="AY86" s="40"/>
      <c r="AZ86" s="40"/>
      <c r="BA86" s="40"/>
      <c r="BB86" s="31"/>
    </row>
    <row r="87" spans="1:54">
      <c r="A87" s="149"/>
      <c r="B87" s="47" t="s">
        <v>56</v>
      </c>
      <c r="C87" s="48"/>
      <c r="D87" s="49">
        <f t="shared" ref="D87" si="850">SUM(D84:D86)</f>
        <v>52004</v>
      </c>
      <c r="E87" s="49"/>
      <c r="F87" s="49">
        <f t="shared" ref="F87" si="851">SUM(F84:F86)</f>
        <v>50948</v>
      </c>
      <c r="G87" s="50"/>
      <c r="H87" s="50"/>
      <c r="I87" s="49">
        <f t="shared" ref="I87:K87" si="852">SUM(I84:I86)</f>
        <v>48689</v>
      </c>
      <c r="J87" s="50"/>
      <c r="K87" s="49">
        <f t="shared" si="852"/>
        <v>47515</v>
      </c>
      <c r="L87" s="20">
        <f t="shared" ref="L87" si="853">IF(K87&gt;0,(K84*L84+K85*L85+K86*L86)/K87,0)</f>
        <v>6.8370262022519196E-2</v>
      </c>
      <c r="M87" s="50">
        <f t="shared" ref="M87" si="854">M84+M85+M86</f>
        <v>44267</v>
      </c>
      <c r="N87" s="51">
        <f t="shared" ref="N87" si="855">IF(M87&gt;0,O87/M87,0)</f>
        <v>0.65418702419409491</v>
      </c>
      <c r="O87" s="52">
        <f t="shared" ref="O87" si="856">O84+O85+O86</f>
        <v>28958.897000000001</v>
      </c>
      <c r="P87" s="20">
        <f t="shared" ref="P87" si="857">IF(M87&gt;0,Q87/M87,0)</f>
        <v>0.2914727449341496</v>
      </c>
      <c r="Q87" s="52">
        <f t="shared" ref="Q87" si="858">Q84+Q85+Q86</f>
        <v>12902.624</v>
      </c>
      <c r="R87" s="20">
        <f t="shared" ref="R87" si="859">IF(M87&gt;0,T87/M87,0)</f>
        <v>5.434023087175549E-2</v>
      </c>
      <c r="S87" s="107"/>
      <c r="T87" s="52">
        <f t="shared" ref="T87" si="860">T84+T85+T86</f>
        <v>2405.4790000000003</v>
      </c>
      <c r="U87" s="20">
        <f t="shared" ref="U87" si="861">IF(M87&gt;0,V87/M87,0)</f>
        <v>0.22170025075112387</v>
      </c>
      <c r="V87" s="52">
        <f t="shared" ref="V87" si="862">V84+V85+V86</f>
        <v>9814.005000000001</v>
      </c>
      <c r="W87" s="20">
        <f t="shared" ref="W87" si="863">IF(M87&gt;0,X87/M87,0)</f>
        <v>0.49299634038900314</v>
      </c>
      <c r="X87" s="52">
        <f t="shared" ref="X87" si="864">X84+X85+X86</f>
        <v>21823.469000000001</v>
      </c>
      <c r="Y87" s="20">
        <f t="shared" ref="Y87" si="865">IF(M87&gt;0,Z87/M87,0)</f>
        <v>0.4000478912056385</v>
      </c>
      <c r="Z87" s="52">
        <f t="shared" ref="Z87" si="866">Z84+Z85+Z86</f>
        <v>17708.919999999998</v>
      </c>
      <c r="AA87" s="119">
        <f t="shared" ref="AA87" si="867">IF(M87&gt;0,AB87/M87,0)</f>
        <v>2.2969799173198999E-3</v>
      </c>
      <c r="AB87" s="54">
        <f t="shared" ref="AB87" si="868">SUM(AB84:AB86)</f>
        <v>101.68041000000001</v>
      </c>
      <c r="AC87" s="53">
        <f t="shared" ref="AC87" si="869">IF(M87&gt;0,AD87/M87,0)</f>
        <v>2.2501811733345381E-3</v>
      </c>
      <c r="AD87" s="54">
        <f t="shared" ref="AD87" si="870">SUM(AD84:AD86)</f>
        <v>99.608770000000007</v>
      </c>
      <c r="AE87" s="53">
        <f t="shared" ref="AE87" si="871">IF(M87&gt;0,(AE84*M84+AE85*M85+AE86*M86)/M87,0)</f>
        <v>2.2078205254478503E-3</v>
      </c>
      <c r="AF87" s="53">
        <f t="shared" ref="AF87" si="872">IF(K87&gt;0,(K84*AF84+K85*AF85+K86*AF86)/K87,0)</f>
        <v>2.5668694096601073E-4</v>
      </c>
      <c r="AG87" s="50">
        <f t="shared" ref="AG87" si="873">SUM(AG84:AG86)</f>
        <v>11.36239</v>
      </c>
      <c r="AH87" s="51">
        <f t="shared" ref="AH87" si="874">IF(K87&gt;0,(K84*AH84+K85*AH85+K86*AH86)/K87,0)</f>
        <v>0.19831266547406085</v>
      </c>
      <c r="AI87" s="56">
        <f t="shared" ref="AI87" si="875">SUM(AI84:AI86)</f>
        <v>83.571250399999997</v>
      </c>
      <c r="AJ87" s="51">
        <f t="shared" ref="AJ87" si="876">IF(AND(AD87&gt;0),((AD84*AJ84+AD85*AJ85+AD86*AJ86)/AD87),0)</f>
        <v>0.88707748625579808</v>
      </c>
      <c r="AK87" s="55">
        <f t="shared" si="672"/>
        <v>0.88484527704626326</v>
      </c>
      <c r="AL87" s="49">
        <f t="shared" ref="AL87" si="877">SUM(AL84:AL86)</f>
        <v>461</v>
      </c>
      <c r="AM87" s="20">
        <f t="shared" ref="AM87" si="878">IF(AL87&gt;0,(AM84*AL84+AM85*AL85+AM86*AL86)/AL87,0)</f>
        <v>8.5900216919739703E-2</v>
      </c>
      <c r="AN87" s="51">
        <f>IF(K87&gt;0,(AN84*K84+AN85*K85+AN86*K86)/K87,0)</f>
        <v>0.20501326949384405</v>
      </c>
      <c r="AO87" s="107">
        <f>IF(L87&gt;0,(AO84*K84+AO85*K85+AO86*K86)/K87,0)</f>
        <v>0.21419864253393664</v>
      </c>
      <c r="AP87" s="56">
        <f t="shared" ref="AP87" si="879">SUM(AP84:AP86)</f>
        <v>86.371201200000002</v>
      </c>
      <c r="AQ87" s="108">
        <f t="shared" si="747"/>
        <v>90.208008800000002</v>
      </c>
      <c r="AR87" s="54"/>
      <c r="AS87" s="54">
        <f t="shared" ref="AS87" si="880">SUM(AS84:AS86)</f>
        <v>0</v>
      </c>
      <c r="AT87" s="83"/>
      <c r="AU87" s="84">
        <f>AT86</f>
        <v>897.1799999999987</v>
      </c>
      <c r="AV87" s="49">
        <f t="shared" ref="AV87" si="881">SUM(AV84:AV86)</f>
        <v>0</v>
      </c>
      <c r="AW87" s="57"/>
      <c r="AX87" s="56"/>
      <c r="AY87" s="56"/>
      <c r="AZ87" s="56"/>
      <c r="BA87" s="56"/>
      <c r="BB87" s="21"/>
    </row>
    <row r="88" spans="1:54">
      <c r="A88" s="147">
        <v>22</v>
      </c>
      <c r="B88" s="22">
        <v>1</v>
      </c>
      <c r="C88" s="10" t="s">
        <v>58</v>
      </c>
      <c r="D88" s="11">
        <v>10181</v>
      </c>
      <c r="E88" s="11">
        <v>0</v>
      </c>
      <c r="F88" s="11">
        <v>14011</v>
      </c>
      <c r="G88" s="12">
        <v>0.6</v>
      </c>
      <c r="H88" s="12">
        <v>4.8</v>
      </c>
      <c r="I88" s="11">
        <v>14083</v>
      </c>
      <c r="J88" s="131">
        <v>2.5</v>
      </c>
      <c r="K88" s="11">
        <v>16387</v>
      </c>
      <c r="L88" s="13">
        <v>6.9000000000000006E-2</v>
      </c>
      <c r="M88" s="23">
        <f>ROUND(K88*(1-L88),0)</f>
        <v>15256</v>
      </c>
      <c r="N88" s="14">
        <v>0.69699999999999995</v>
      </c>
      <c r="O88" s="24">
        <f t="shared" ref="O88:O90" si="882">M88*N88</f>
        <v>10633.431999999999</v>
      </c>
      <c r="P88" s="13">
        <v>0.20599999999999999</v>
      </c>
      <c r="Q88" s="24">
        <f t="shared" ref="Q88:Q90" si="883">M88*P88</f>
        <v>3142.7359999999999</v>
      </c>
      <c r="R88" s="15">
        <v>9.7000000000000003E-2</v>
      </c>
      <c r="S88" s="112">
        <v>0.23169999999999999</v>
      </c>
      <c r="T88" s="24">
        <f t="shared" ref="T88:T90" si="884">M88*R88</f>
        <v>1479.8320000000001</v>
      </c>
      <c r="U88" s="25">
        <v>0.249</v>
      </c>
      <c r="V88" s="24">
        <f t="shared" ref="V88:V90" si="885">M88*U88</f>
        <v>3798.7440000000001</v>
      </c>
      <c r="W88" s="15">
        <v>0.47799999999999998</v>
      </c>
      <c r="X88" s="24">
        <f t="shared" ref="X88:X90" si="886">M88*W88</f>
        <v>7292.3679999999995</v>
      </c>
      <c r="Y88" s="15">
        <v>0.4</v>
      </c>
      <c r="Z88" s="24">
        <f t="shared" ref="Z88:Z90" si="887">Y88*M88</f>
        <v>6102.4000000000005</v>
      </c>
      <c r="AA88" s="116">
        <v>2.33E-3</v>
      </c>
      <c r="AB88" s="18">
        <f t="shared" ref="AB88" si="888">M88*AA88</f>
        <v>35.546480000000003</v>
      </c>
      <c r="AC88" s="16">
        <v>2.2399999999999998E-3</v>
      </c>
      <c r="AD88" s="17">
        <f t="shared" ref="AD88:AD90" si="889">M88*AC88</f>
        <v>34.173439999999999</v>
      </c>
      <c r="AE88" s="26">
        <f>IF(M88&gt;0,(AG88+AP88)/M88,0)</f>
        <v>2.3867819218668066E-3</v>
      </c>
      <c r="AF88" s="16">
        <v>2.7E-4</v>
      </c>
      <c r="AG88" s="23">
        <f t="shared" ref="AG88:AG90" si="890">AF88*M88</f>
        <v>4.1191199999999997</v>
      </c>
      <c r="AH88" s="92">
        <v>0.2039</v>
      </c>
      <c r="AI88" s="29">
        <f t="shared" ref="AI88:AI90" si="891">AL88*(1-AM88)*AH88</f>
        <v>30.986682999999999</v>
      </c>
      <c r="AJ88" s="27">
        <f t="shared" ref="AJ88:AJ90" si="892">IF(AND(AH88&gt;0,AF88&gt;0,AC88&gt;0),((AC88-AF88)*AH88)/((AH88-AF88)*AC88),0)</f>
        <v>0.88063039756982209</v>
      </c>
      <c r="AK88" s="58">
        <f t="shared" si="672"/>
        <v>0.88800526027288973</v>
      </c>
      <c r="AL88" s="11">
        <v>167</v>
      </c>
      <c r="AM88" s="13">
        <v>0.09</v>
      </c>
      <c r="AN88" s="14">
        <v>0.21249999999999999</v>
      </c>
      <c r="AO88" s="101">
        <v>0.21970000000000001</v>
      </c>
      <c r="AP88" s="29">
        <f>AL88*(1-AM88)*AN88</f>
        <v>32.293624999999999</v>
      </c>
      <c r="AQ88" s="102">
        <f t="shared" ref="AQ88" si="893">AL88*(1-AM88)*AO88</f>
        <v>33.387808999999997</v>
      </c>
      <c r="AR88" s="18">
        <v>1.5</v>
      </c>
      <c r="AS88" s="18"/>
      <c r="AT88" s="79">
        <f>AT86+AL88-AS88</f>
        <v>1064.1799999999987</v>
      </c>
      <c r="AU88" s="80"/>
      <c r="AV88" s="11"/>
      <c r="AW88" s="30"/>
      <c r="AX88" s="19"/>
      <c r="AY88" s="19"/>
      <c r="AZ88" s="19"/>
      <c r="BA88" s="19"/>
      <c r="BB88" s="31"/>
    </row>
    <row r="89" spans="1:54">
      <c r="A89" s="148"/>
      <c r="B89" s="32">
        <v>2</v>
      </c>
      <c r="C89" s="10" t="s">
        <v>59</v>
      </c>
      <c r="D89" s="33">
        <v>20000</v>
      </c>
      <c r="E89" s="33">
        <v>2</v>
      </c>
      <c r="F89" s="33">
        <v>17976</v>
      </c>
      <c r="G89" s="34">
        <v>0.5</v>
      </c>
      <c r="H89" s="34">
        <v>5.3</v>
      </c>
      <c r="I89" s="33">
        <v>17092</v>
      </c>
      <c r="J89" s="34">
        <v>2.1</v>
      </c>
      <c r="K89" s="33">
        <v>16653</v>
      </c>
      <c r="L89" s="35">
        <v>6.9000000000000006E-2</v>
      </c>
      <c r="M89" s="36">
        <f>ROUND(K89*(1-L89),0)</f>
        <v>15504</v>
      </c>
      <c r="N89" s="37">
        <v>0.48299999999999998</v>
      </c>
      <c r="O89" s="24">
        <f t="shared" si="882"/>
        <v>7488.4319999999998</v>
      </c>
      <c r="P89" s="35">
        <v>0.49099999999999999</v>
      </c>
      <c r="Q89" s="24">
        <f t="shared" si="883"/>
        <v>7612.4639999999999</v>
      </c>
      <c r="R89" s="38">
        <v>2.5999999999999999E-2</v>
      </c>
      <c r="S89" s="105">
        <v>0.2409</v>
      </c>
      <c r="T89" s="24">
        <f t="shared" si="884"/>
        <v>403.10399999999998</v>
      </c>
      <c r="U89" s="27">
        <v>0.251</v>
      </c>
      <c r="V89" s="24">
        <f t="shared" si="885"/>
        <v>3891.5039999999999</v>
      </c>
      <c r="W89" s="38">
        <v>0.46400000000000002</v>
      </c>
      <c r="X89" s="24">
        <f t="shared" si="886"/>
        <v>7193.8560000000007</v>
      </c>
      <c r="Y89" s="38">
        <v>0.4</v>
      </c>
      <c r="Z89" s="24">
        <f t="shared" si="887"/>
        <v>6201.6</v>
      </c>
      <c r="AA89" s="117">
        <v>2.2599999999999999E-3</v>
      </c>
      <c r="AB89" s="18">
        <f t="shared" si="756"/>
        <v>35.03904</v>
      </c>
      <c r="AC89" s="39">
        <v>2.3E-3</v>
      </c>
      <c r="AD89" s="17">
        <f t="shared" si="889"/>
        <v>35.659199999999998</v>
      </c>
      <c r="AE89" s="26">
        <f>IF(M89&gt;0,(AG89+AP89)/M89,0)</f>
        <v>2.2087859907120744E-3</v>
      </c>
      <c r="AF89" s="39">
        <v>2.7E-4</v>
      </c>
      <c r="AG89" s="36">
        <f t="shared" si="890"/>
        <v>4.1860800000000005</v>
      </c>
      <c r="AH89" s="27">
        <v>0.19639999999999999</v>
      </c>
      <c r="AI89" s="40">
        <f t="shared" si="891"/>
        <v>28.953288000000001</v>
      </c>
      <c r="AJ89" s="27">
        <f t="shared" si="892"/>
        <v>0.88382372827250788</v>
      </c>
      <c r="AK89" s="28">
        <f t="shared" si="672"/>
        <v>0.87892475853547569</v>
      </c>
      <c r="AL89" s="33">
        <v>162</v>
      </c>
      <c r="AM89" s="35">
        <v>0.09</v>
      </c>
      <c r="AN89" s="37">
        <v>0.2039</v>
      </c>
      <c r="AO89" s="103">
        <v>0.217</v>
      </c>
      <c r="AP89" s="40">
        <f>AL89*(1-AM89)*AN89</f>
        <v>30.058938000000001</v>
      </c>
      <c r="AQ89" s="104">
        <f t="shared" si="717"/>
        <v>31.990140000000004</v>
      </c>
      <c r="AR89" s="41">
        <v>1.5</v>
      </c>
      <c r="AS89" s="41"/>
      <c r="AT89" s="129">
        <f>AT88+AL89-AS89</f>
        <v>1226.1799999999987</v>
      </c>
      <c r="AU89" s="82"/>
      <c r="AV89" s="42"/>
      <c r="AW89" s="43"/>
      <c r="AX89" s="44"/>
      <c r="AY89" s="44"/>
      <c r="AZ89" s="44"/>
      <c r="BA89" s="44"/>
      <c r="BB89" s="31"/>
    </row>
    <row r="90" spans="1:54">
      <c r="A90" s="148"/>
      <c r="B90" s="32">
        <v>3</v>
      </c>
      <c r="C90" s="143" t="s">
        <v>57</v>
      </c>
      <c r="D90" s="42">
        <v>16300</v>
      </c>
      <c r="E90" s="42">
        <v>1</v>
      </c>
      <c r="F90" s="42">
        <v>17357</v>
      </c>
      <c r="G90" s="36">
        <v>0.7</v>
      </c>
      <c r="H90" s="36">
        <v>5</v>
      </c>
      <c r="I90" s="42">
        <v>16817</v>
      </c>
      <c r="J90" s="133">
        <v>1.5</v>
      </c>
      <c r="K90" s="42">
        <v>16739</v>
      </c>
      <c r="L90" s="38">
        <v>7.0000000000000007E-2</v>
      </c>
      <c r="M90" s="36">
        <f>ROUND(K90*(1-L90),0)</f>
        <v>15567</v>
      </c>
      <c r="N90" s="27">
        <v>0.59</v>
      </c>
      <c r="O90" s="24">
        <f t="shared" si="882"/>
        <v>9184.5299999999988</v>
      </c>
      <c r="P90" s="38">
        <v>0.376</v>
      </c>
      <c r="Q90" s="24">
        <f t="shared" si="883"/>
        <v>5853.192</v>
      </c>
      <c r="R90" s="38">
        <v>3.4000000000000002E-2</v>
      </c>
      <c r="S90" s="105">
        <v>0.23319999999999999</v>
      </c>
      <c r="T90" s="24">
        <f t="shared" si="884"/>
        <v>529.27800000000002</v>
      </c>
      <c r="U90" s="27">
        <v>0.26</v>
      </c>
      <c r="V90" s="24">
        <f t="shared" si="885"/>
        <v>4047.42</v>
      </c>
      <c r="W90" s="38">
        <v>0.46300000000000002</v>
      </c>
      <c r="X90" s="24">
        <f t="shared" si="886"/>
        <v>7207.5210000000006</v>
      </c>
      <c r="Y90" s="38">
        <v>0.41</v>
      </c>
      <c r="Z90" s="24">
        <f t="shared" si="887"/>
        <v>6382.4699999999993</v>
      </c>
      <c r="AA90" s="118">
        <v>2.3600000000000001E-3</v>
      </c>
      <c r="AB90" s="121">
        <f t="shared" si="756"/>
        <v>36.738120000000002</v>
      </c>
      <c r="AC90" s="45">
        <v>2.47E-3</v>
      </c>
      <c r="AD90" s="17">
        <f t="shared" si="889"/>
        <v>38.450490000000002</v>
      </c>
      <c r="AE90" s="26">
        <f>IF(M90&gt;0,(AG90+AP90)/M90,0)</f>
        <v>2.4187036680156744E-3</v>
      </c>
      <c r="AF90" s="45">
        <v>2.7E-4</v>
      </c>
      <c r="AG90" s="36">
        <f t="shared" si="890"/>
        <v>4.2030900000000004</v>
      </c>
      <c r="AH90" s="27">
        <v>0.2031</v>
      </c>
      <c r="AI90" s="40">
        <f t="shared" si="891"/>
        <v>32.898138000000003</v>
      </c>
      <c r="AJ90" s="27">
        <f t="shared" si="892"/>
        <v>0.89187391128088156</v>
      </c>
      <c r="AK90" s="28">
        <f t="shared" si="672"/>
        <v>0.88953302452567073</v>
      </c>
      <c r="AL90" s="42">
        <v>178</v>
      </c>
      <c r="AM90" s="38">
        <v>0.09</v>
      </c>
      <c r="AN90" s="27">
        <v>0.20649999999999999</v>
      </c>
      <c r="AO90" s="105">
        <v>0.21329999999999999</v>
      </c>
      <c r="AP90" s="40">
        <f>AL90*(1-AM90)*AN90</f>
        <v>33.448869999999999</v>
      </c>
      <c r="AQ90" s="106">
        <f t="shared" si="717"/>
        <v>34.550333999999999</v>
      </c>
      <c r="AR90" s="17">
        <v>1.5</v>
      </c>
      <c r="AS90" s="17"/>
      <c r="AT90" s="129">
        <f>AT89+AL90-AS90</f>
        <v>1404.1799999999987</v>
      </c>
      <c r="AU90" s="82"/>
      <c r="AV90" s="42"/>
      <c r="AW90" s="46"/>
      <c r="AX90" s="40"/>
      <c r="AY90" s="40"/>
      <c r="AZ90" s="40"/>
      <c r="BA90" s="40"/>
      <c r="BB90" s="31"/>
    </row>
    <row r="91" spans="1:54">
      <c r="A91" s="149"/>
      <c r="B91" s="47" t="s">
        <v>56</v>
      </c>
      <c r="C91" s="48"/>
      <c r="D91" s="49">
        <f t="shared" ref="D91" si="894">SUM(D88:D90)</f>
        <v>46481</v>
      </c>
      <c r="E91" s="49"/>
      <c r="F91" s="49">
        <f t="shared" ref="F91" si="895">SUM(F88:F90)</f>
        <v>49344</v>
      </c>
      <c r="G91" s="50"/>
      <c r="H91" s="50"/>
      <c r="I91" s="49">
        <f t="shared" ref="I91:K91" si="896">SUM(I88:I90)</f>
        <v>47992</v>
      </c>
      <c r="J91" s="50"/>
      <c r="K91" s="49">
        <f t="shared" si="896"/>
        <v>49779</v>
      </c>
      <c r="L91" s="20">
        <f t="shared" ref="L91" si="897">IF(K91&gt;0,(K88*L88+K89*L89+K90*L90)/K91,0)</f>
        <v>6.9336266297032892E-2</v>
      </c>
      <c r="M91" s="50">
        <f t="shared" ref="M91" si="898">M88+M89+M90</f>
        <v>46327</v>
      </c>
      <c r="N91" s="51">
        <f t="shared" ref="N91" si="899">IF(M91&gt;0,O91/M91,0)</f>
        <v>0.58942720227944823</v>
      </c>
      <c r="O91" s="52">
        <f t="shared" ref="O91" si="900">O88+O89+O90</f>
        <v>27306.393999999997</v>
      </c>
      <c r="P91" s="20">
        <f t="shared" ref="P91" si="901">IF(M91&gt;0,Q91/M91,0)</f>
        <v>0.35850350767371081</v>
      </c>
      <c r="Q91" s="52">
        <f t="shared" ref="Q91" si="902">Q88+Q89+Q90</f>
        <v>16608.392</v>
      </c>
      <c r="R91" s="20">
        <f t="shared" ref="R91" si="903">IF(M91&gt;0,T91/M91,0)</f>
        <v>5.2069290046840931E-2</v>
      </c>
      <c r="S91" s="107"/>
      <c r="T91" s="52">
        <f t="shared" ref="T91" si="904">T88+T89+T90</f>
        <v>2412.2139999999999</v>
      </c>
      <c r="U91" s="20">
        <f t="shared" ref="U91" si="905">IF(M91&gt;0,V91/M91,0)</f>
        <v>0.25336559673624454</v>
      </c>
      <c r="V91" s="52">
        <f t="shared" ref="V91" si="906">V88+V89+V90</f>
        <v>11737.668</v>
      </c>
      <c r="W91" s="20">
        <f t="shared" ref="W91" si="907">IF(M91&gt;0,X91/M91,0)</f>
        <v>0.46827433246271077</v>
      </c>
      <c r="X91" s="52">
        <f t="shared" ref="X91" si="908">X88+X89+X90</f>
        <v>21693.745000000003</v>
      </c>
      <c r="Y91" s="20">
        <f t="shared" ref="Y91" si="909">IF(M91&gt;0,Z91/M91,0)</f>
        <v>0.40336024348651978</v>
      </c>
      <c r="Z91" s="52">
        <f t="shared" ref="Z91" si="910">Z88+Z89+Z90</f>
        <v>18686.47</v>
      </c>
      <c r="AA91" s="119">
        <f t="shared" ref="AA91" si="911">IF(M91&gt;0,AB91/M91,0)</f>
        <v>2.3166542189220112E-3</v>
      </c>
      <c r="AB91" s="54">
        <f t="shared" ref="AB91" si="912">SUM(AB88:AB90)</f>
        <v>107.32364000000001</v>
      </c>
      <c r="AC91" s="53">
        <f t="shared" ref="AC91" si="913">IF(M91&gt;0,AD91/M91,0)</f>
        <v>2.3373654672221383E-3</v>
      </c>
      <c r="AD91" s="54">
        <f t="shared" ref="AD91" si="914">SUM(AD88:AD90)</f>
        <v>108.28313</v>
      </c>
      <c r="AE91" s="53">
        <f t="shared" ref="AE91" si="915">IF(M91&gt;0,(AE88*M88+AE89*M89+AE90*M90)/M91,0)</f>
        <v>2.3379394953266996E-3</v>
      </c>
      <c r="AF91" s="53">
        <f t="shared" ref="AF91" si="916">IF(K91&gt;0,(K88*AF88+K89*AF89+K90*AF90)/K91,0)</f>
        <v>2.7E-4</v>
      </c>
      <c r="AG91" s="50">
        <f t="shared" ref="AG91" si="917">SUM(AG88:AG90)</f>
        <v>12.508289999999999</v>
      </c>
      <c r="AH91" s="51">
        <f t="shared" ref="AH91" si="918">IF(K91&gt;0,(K88*AH88+K89*AH89+K90*AH90)/K91,0)</f>
        <v>0.20112194700576549</v>
      </c>
      <c r="AI91" s="56">
        <f t="shared" ref="AI91" si="919">SUM(AI88:AI90)</f>
        <v>92.838109000000003</v>
      </c>
      <c r="AJ91" s="51">
        <f t="shared" ref="AJ91" si="920">IF(AND(AD91&gt;0),((AD88*AJ88+AD89*AJ89+AD90*AJ90)/AD91),0)</f>
        <v>0.88567449104685003</v>
      </c>
      <c r="AK91" s="55">
        <f t="shared" si="672"/>
        <v>0.88566553962837946</v>
      </c>
      <c r="AL91" s="49">
        <f t="shared" ref="AL91" si="921">SUM(AL88:AL90)</f>
        <v>507</v>
      </c>
      <c r="AM91" s="20">
        <f t="shared" ref="AM91" si="922">IF(AL91&gt;0,(AM88*AL88+AM89*AL89+AM90*AL90)/AL91,0)</f>
        <v>0.09</v>
      </c>
      <c r="AN91" s="51">
        <f>IF(K91&gt;0,(AN88*K88+AN89*K89+AN90*K90)/K91,0)</f>
        <v>0.20760536973422528</v>
      </c>
      <c r="AO91" s="107">
        <f>IF(L91&gt;0,(AO88*K88+AO89*K89+AO90*K90)/K91,0)</f>
        <v>0.21664464131461059</v>
      </c>
      <c r="AP91" s="56">
        <f t="shared" ref="AP91:AQ103" si="923">SUM(AP88:AP90)</f>
        <v>95.801433000000003</v>
      </c>
      <c r="AQ91" s="108">
        <f t="shared" si="923"/>
        <v>99.928282999999993</v>
      </c>
      <c r="AR91" s="54"/>
      <c r="AS91" s="54">
        <f t="shared" ref="AS91" si="924">SUM(AS88:AS90)</f>
        <v>0</v>
      </c>
      <c r="AT91" s="83"/>
      <c r="AU91" s="84">
        <f>AT90</f>
        <v>1404.1799999999987</v>
      </c>
      <c r="AV91" s="49">
        <f t="shared" ref="AV91" si="925">SUM(AV88:AV90)</f>
        <v>0</v>
      </c>
      <c r="AW91" s="57"/>
      <c r="AX91" s="56"/>
      <c r="AY91" s="56"/>
      <c r="AZ91" s="56"/>
      <c r="BA91" s="56"/>
      <c r="BB91" s="21"/>
    </row>
    <row r="92" spans="1:54">
      <c r="A92" s="147">
        <v>23</v>
      </c>
      <c r="B92" s="22">
        <v>1</v>
      </c>
      <c r="C92" s="10" t="s">
        <v>58</v>
      </c>
      <c r="D92" s="11">
        <v>4086</v>
      </c>
      <c r="E92" s="11">
        <v>1</v>
      </c>
      <c r="F92" s="11">
        <v>14612</v>
      </c>
      <c r="G92" s="12">
        <v>0.3</v>
      </c>
      <c r="H92" s="12">
        <v>5.0999999999999996</v>
      </c>
      <c r="I92" s="11">
        <v>14067</v>
      </c>
      <c r="J92" s="12">
        <v>2.1</v>
      </c>
      <c r="K92" s="11">
        <v>16668</v>
      </c>
      <c r="L92" s="13">
        <v>6.8000000000000005E-2</v>
      </c>
      <c r="M92" s="23">
        <f>ROUND(K92*(1-L92),0)</f>
        <v>15535</v>
      </c>
      <c r="N92" s="14">
        <v>0.75800000000000001</v>
      </c>
      <c r="O92" s="24">
        <f t="shared" ref="O92:O94" si="926">M92*N92</f>
        <v>11775.53</v>
      </c>
      <c r="P92" s="13">
        <v>0.187</v>
      </c>
      <c r="Q92" s="24">
        <f t="shared" ref="Q92:Q94" si="927">M92*P92</f>
        <v>2905.0450000000001</v>
      </c>
      <c r="R92" s="15">
        <v>5.5E-2</v>
      </c>
      <c r="S92" s="112">
        <v>0.24079999999999999</v>
      </c>
      <c r="T92" s="24">
        <f t="shared" ref="T92:T94" si="928">M92*R92</f>
        <v>854.42499999999995</v>
      </c>
      <c r="U92" s="25">
        <v>0.26600000000000001</v>
      </c>
      <c r="V92" s="24">
        <f t="shared" ref="V92:V94" si="929">M92*U92</f>
        <v>4132.3100000000004</v>
      </c>
      <c r="W92" s="15">
        <v>0.44700000000000001</v>
      </c>
      <c r="X92" s="24">
        <f t="shared" ref="X92:X94" si="930">M92*W92</f>
        <v>6944.1450000000004</v>
      </c>
      <c r="Y92" s="15">
        <v>0.41</v>
      </c>
      <c r="Z92" s="24">
        <f t="shared" ref="Z92:Z94" si="931">Y92*M92</f>
        <v>6369.3499999999995</v>
      </c>
      <c r="AA92" s="116">
        <v>2.47E-3</v>
      </c>
      <c r="AB92" s="18">
        <f t="shared" ref="AB92" si="932">M92*AA92</f>
        <v>38.371450000000003</v>
      </c>
      <c r="AC92" s="16">
        <v>2.4499999999999999E-3</v>
      </c>
      <c r="AD92" s="17">
        <f t="shared" ref="AD92:AD94" si="933">M92*AC92</f>
        <v>38.060749999999999</v>
      </c>
      <c r="AE92" s="26">
        <f>IF(M92&gt;0,(AG92+AP92)/M92,0)</f>
        <v>2.4696487544254913E-3</v>
      </c>
      <c r="AF92" s="16">
        <v>2.7999999999999998E-4</v>
      </c>
      <c r="AG92" s="23">
        <f t="shared" ref="AG92:AG94" si="934">AF92*M92</f>
        <v>4.3497999999999992</v>
      </c>
      <c r="AH92" s="92">
        <v>0.2064</v>
      </c>
      <c r="AI92" s="29">
        <f t="shared" ref="AI92:AI94" si="935">AL92*(1-AM92)*AH92</f>
        <v>33.657441600000006</v>
      </c>
      <c r="AJ92" s="27">
        <f t="shared" ref="AJ92:AJ94" si="936">IF(AND(AH92&gt;0,AF92&gt;0,AC92&gt;0),((AC92-AF92)*AH92)/((AH92-AF92)*AC92),0)</f>
        <v>0.88691746832635654</v>
      </c>
      <c r="AK92" s="58">
        <f t="shared" si="672"/>
        <v>0.88781525177590648</v>
      </c>
      <c r="AL92" s="11">
        <v>179</v>
      </c>
      <c r="AM92" s="13">
        <v>8.8999999999999996E-2</v>
      </c>
      <c r="AN92" s="14">
        <v>0.20860000000000001</v>
      </c>
      <c r="AO92" s="101">
        <v>0.2147</v>
      </c>
      <c r="AP92" s="29">
        <f>AL92*(1-AM92)*AN92</f>
        <v>34.016193400000006</v>
      </c>
      <c r="AQ92" s="102">
        <f t="shared" ref="AQ92" si="937">AL92*(1-AM92)*AO92</f>
        <v>35.010914300000003</v>
      </c>
      <c r="AR92" s="18">
        <v>1.55</v>
      </c>
      <c r="AS92" s="18">
        <v>1000.96</v>
      </c>
      <c r="AT92" s="79">
        <f>AT90+AL92-AS92+AU92</f>
        <v>618.97999999999865</v>
      </c>
      <c r="AU92" s="80">
        <v>36.76</v>
      </c>
      <c r="AV92" s="11"/>
      <c r="AW92" s="30"/>
      <c r="AX92" s="19"/>
      <c r="AY92" s="19"/>
      <c r="AZ92" s="19"/>
      <c r="BA92" s="19"/>
      <c r="BB92" s="31"/>
    </row>
    <row r="93" spans="1:54">
      <c r="A93" s="148"/>
      <c r="B93" s="32">
        <v>2</v>
      </c>
      <c r="C93" s="10" t="s">
        <v>53</v>
      </c>
      <c r="D93" s="33">
        <v>19400</v>
      </c>
      <c r="E93" s="33">
        <v>6</v>
      </c>
      <c r="F93" s="33">
        <v>16581</v>
      </c>
      <c r="G93" s="34">
        <v>0.5</v>
      </c>
      <c r="H93" s="34">
        <v>5.8</v>
      </c>
      <c r="I93" s="33">
        <v>16154</v>
      </c>
      <c r="J93" s="34">
        <v>2.4</v>
      </c>
      <c r="K93" s="33">
        <v>16816</v>
      </c>
      <c r="L93" s="35">
        <v>6.0999999999999999E-2</v>
      </c>
      <c r="M93" s="36">
        <f>ROUND(K93*(1-L93),0)</f>
        <v>15790</v>
      </c>
      <c r="N93" s="37">
        <v>0.72199999999999998</v>
      </c>
      <c r="O93" s="24">
        <f t="shared" si="926"/>
        <v>11400.38</v>
      </c>
      <c r="P93" s="35">
        <v>0.23</v>
      </c>
      <c r="Q93" s="24">
        <f t="shared" si="927"/>
        <v>3631.7000000000003</v>
      </c>
      <c r="R93" s="38">
        <v>4.8000000000000001E-2</v>
      </c>
      <c r="S93" s="105">
        <v>0.23710000000000001</v>
      </c>
      <c r="T93" s="24">
        <f t="shared" si="928"/>
        <v>757.92</v>
      </c>
      <c r="U93" s="27">
        <v>0.247</v>
      </c>
      <c r="V93" s="24">
        <f t="shared" si="929"/>
        <v>3900.13</v>
      </c>
      <c r="W93" s="38">
        <v>0.49399999999999999</v>
      </c>
      <c r="X93" s="24">
        <f t="shared" si="930"/>
        <v>7800.26</v>
      </c>
      <c r="Y93" s="38">
        <v>0.41</v>
      </c>
      <c r="Z93" s="24">
        <f t="shared" si="931"/>
        <v>6473.9</v>
      </c>
      <c r="AA93" s="117">
        <v>2.5899999999999999E-3</v>
      </c>
      <c r="AB93" s="18">
        <f t="shared" si="756"/>
        <v>40.896099999999997</v>
      </c>
      <c r="AC93" s="39">
        <v>2.6199999999999999E-3</v>
      </c>
      <c r="AD93" s="17">
        <f t="shared" si="933"/>
        <v>41.369799999999998</v>
      </c>
      <c r="AE93" s="26">
        <f>IF(M93&gt;0,(AG93+AP93)/M93,0)</f>
        <v>2.4571403546548446E-3</v>
      </c>
      <c r="AF93" s="39">
        <v>2.7999999999999998E-4</v>
      </c>
      <c r="AG93" s="36">
        <f t="shared" si="934"/>
        <v>4.4211999999999998</v>
      </c>
      <c r="AH93" s="27">
        <v>0.1993</v>
      </c>
      <c r="AI93" s="40">
        <f t="shared" si="935"/>
        <v>32.3481837</v>
      </c>
      <c r="AJ93" s="27">
        <f t="shared" si="936"/>
        <v>0.89438630971147948</v>
      </c>
      <c r="AK93" s="28">
        <f t="shared" si="672"/>
        <v>0.88721930116307157</v>
      </c>
      <c r="AL93" s="33">
        <v>177</v>
      </c>
      <c r="AM93" s="35">
        <v>8.3000000000000004E-2</v>
      </c>
      <c r="AN93" s="37">
        <v>0.21179999999999999</v>
      </c>
      <c r="AO93" s="103">
        <v>0.21879999999999999</v>
      </c>
      <c r="AP93" s="40">
        <f>AL93*(1-AM93)*AN93</f>
        <v>34.377046199999995</v>
      </c>
      <c r="AQ93" s="104">
        <f t="shared" si="717"/>
        <v>35.513209199999999</v>
      </c>
      <c r="AR93" s="41">
        <v>1.6</v>
      </c>
      <c r="AS93" s="41"/>
      <c r="AT93" s="129">
        <f>AT92+AL93-AS93</f>
        <v>795.97999999999865</v>
      </c>
      <c r="AU93" s="82"/>
      <c r="AV93" s="42"/>
      <c r="AW93" s="43"/>
      <c r="AX93" s="44"/>
      <c r="AY93" s="44"/>
      <c r="AZ93" s="44"/>
      <c r="BA93" s="44"/>
      <c r="BB93" s="31"/>
    </row>
    <row r="94" spans="1:54">
      <c r="A94" s="148"/>
      <c r="B94" s="32">
        <v>3</v>
      </c>
      <c r="C94" s="143" t="s">
        <v>57</v>
      </c>
      <c r="D94" s="42">
        <v>21200</v>
      </c>
      <c r="E94" s="42">
        <v>2</v>
      </c>
      <c r="F94" s="42">
        <v>16892</v>
      </c>
      <c r="G94" s="36">
        <v>0.5</v>
      </c>
      <c r="H94" s="36">
        <v>5</v>
      </c>
      <c r="I94" s="42">
        <v>16444</v>
      </c>
      <c r="J94" s="36">
        <v>2.2000000000000002</v>
      </c>
      <c r="K94" s="42">
        <v>16855</v>
      </c>
      <c r="L94" s="38">
        <v>6.6000000000000003E-2</v>
      </c>
      <c r="M94" s="36">
        <f>ROUND(K94*(1-L94),0)</f>
        <v>15743</v>
      </c>
      <c r="N94" s="27">
        <v>0.629</v>
      </c>
      <c r="O94" s="24">
        <f t="shared" si="926"/>
        <v>9902.3469999999998</v>
      </c>
      <c r="P94" s="38">
        <v>0.316</v>
      </c>
      <c r="Q94" s="24">
        <f t="shared" si="927"/>
        <v>4974.7880000000005</v>
      </c>
      <c r="R94" s="38">
        <v>5.5E-2</v>
      </c>
      <c r="S94" s="105">
        <v>0.2278</v>
      </c>
      <c r="T94" s="24">
        <f t="shared" si="928"/>
        <v>865.86500000000001</v>
      </c>
      <c r="U94" s="27">
        <v>0.248</v>
      </c>
      <c r="V94" s="24">
        <f t="shared" si="929"/>
        <v>3904.2640000000001</v>
      </c>
      <c r="W94" s="38">
        <v>0.47399999999999998</v>
      </c>
      <c r="X94" s="24">
        <f t="shared" si="930"/>
        <v>7462.1819999999998</v>
      </c>
      <c r="Y94" s="38">
        <v>0.42</v>
      </c>
      <c r="Z94" s="24">
        <f t="shared" si="931"/>
        <v>6612.0599999999995</v>
      </c>
      <c r="AA94" s="118">
        <v>2.7000000000000001E-3</v>
      </c>
      <c r="AB94" s="121">
        <f t="shared" si="756"/>
        <v>42.506100000000004</v>
      </c>
      <c r="AC94" s="45">
        <v>2.6900000000000001E-3</v>
      </c>
      <c r="AD94" s="17">
        <f t="shared" si="933"/>
        <v>42.348669999999998</v>
      </c>
      <c r="AE94" s="26">
        <f>IF(M94&gt;0,(AG94+AP94)/M94,0)</f>
        <v>2.4061757225433524E-3</v>
      </c>
      <c r="AF94" s="45">
        <v>2.9E-4</v>
      </c>
      <c r="AG94" s="36">
        <f t="shared" si="934"/>
        <v>4.5654700000000004</v>
      </c>
      <c r="AH94" s="27">
        <v>0.1991</v>
      </c>
      <c r="AI94" s="40">
        <f t="shared" si="935"/>
        <v>33.264831600000001</v>
      </c>
      <c r="AJ94" s="27">
        <f t="shared" si="936"/>
        <v>0.89349473231900833</v>
      </c>
      <c r="AK94" s="28">
        <f t="shared" si="672"/>
        <v>0.88075774065224688</v>
      </c>
      <c r="AL94" s="42">
        <v>182</v>
      </c>
      <c r="AM94" s="38">
        <v>8.2000000000000003E-2</v>
      </c>
      <c r="AN94" s="27">
        <v>0.19939999999999999</v>
      </c>
      <c r="AO94" s="105">
        <v>0.2074</v>
      </c>
      <c r="AP94" s="40">
        <f>AL94*(1-AM94)*AN94</f>
        <v>33.314954399999998</v>
      </c>
      <c r="AQ94" s="106">
        <f t="shared" si="717"/>
        <v>34.651562399999996</v>
      </c>
      <c r="AR94" s="17">
        <v>1.55</v>
      </c>
      <c r="AS94" s="17"/>
      <c r="AT94" s="129">
        <f>AT93+AL94-AS94</f>
        <v>977.97999999999865</v>
      </c>
      <c r="AU94" s="82"/>
      <c r="AV94" s="42"/>
      <c r="AW94" s="46"/>
      <c r="AX94" s="40"/>
      <c r="AY94" s="40"/>
      <c r="AZ94" s="40"/>
      <c r="BA94" s="40"/>
      <c r="BB94" s="31"/>
    </row>
    <row r="95" spans="1:54">
      <c r="A95" s="149"/>
      <c r="B95" s="47" t="s">
        <v>56</v>
      </c>
      <c r="C95" s="48"/>
      <c r="D95" s="49">
        <f t="shared" ref="D95" si="938">SUM(D92:D94)</f>
        <v>44686</v>
      </c>
      <c r="E95" s="49"/>
      <c r="F95" s="49">
        <f t="shared" ref="F95" si="939">SUM(F92:F94)</f>
        <v>48085</v>
      </c>
      <c r="G95" s="50"/>
      <c r="H95" s="50"/>
      <c r="I95" s="49">
        <f t="shared" ref="I95:K95" si="940">SUM(I92:I94)</f>
        <v>46665</v>
      </c>
      <c r="J95" s="50"/>
      <c r="K95" s="49">
        <f t="shared" si="940"/>
        <v>50339</v>
      </c>
      <c r="L95" s="20">
        <f t="shared" ref="L95" si="941">IF(K95&gt;0,(K92*L92+K93*L93+K94*L94)/K95,0)</f>
        <v>6.499195454816345E-2</v>
      </c>
      <c r="M95" s="50">
        <f t="shared" ref="M95" si="942">M92+M93+M94</f>
        <v>47068</v>
      </c>
      <c r="N95" s="51">
        <f t="shared" ref="N95" si="943">IF(M95&gt;0,O95/M95,0)</f>
        <v>0.70277591994561051</v>
      </c>
      <c r="O95" s="52">
        <f t="shared" ref="O95" si="944">O92+O93+O94</f>
        <v>33078.256999999998</v>
      </c>
      <c r="P95" s="20">
        <f t="shared" ref="P95" si="945">IF(M95&gt;0,Q95/M95,0)</f>
        <v>0.2445723846349962</v>
      </c>
      <c r="Q95" s="52">
        <f t="shared" ref="Q95" si="946">Q92+Q93+Q94</f>
        <v>11511.533000000001</v>
      </c>
      <c r="R95" s="20">
        <f t="shared" ref="R95" si="947">IF(M95&gt;0,T95/M95,0)</f>
        <v>5.265169541939322E-2</v>
      </c>
      <c r="S95" s="107"/>
      <c r="T95" s="52">
        <f t="shared" ref="T95" si="948">T92+T93+T94</f>
        <v>2478.21</v>
      </c>
      <c r="U95" s="20">
        <f t="shared" ref="U95" si="949">IF(M95&gt;0,V95/M95,0)</f>
        <v>0.25360550692614942</v>
      </c>
      <c r="V95" s="52">
        <f t="shared" ref="V95" si="950">V92+V93+V94</f>
        <v>11936.704000000002</v>
      </c>
      <c r="W95" s="20">
        <f t="shared" ref="W95" si="951">IF(M95&gt;0,X95/M95,0)</f>
        <v>0.47179797314523669</v>
      </c>
      <c r="X95" s="52">
        <f t="shared" ref="X95" si="952">X92+X93+X94</f>
        <v>22206.587</v>
      </c>
      <c r="Y95" s="20">
        <f t="shared" ref="Y95" si="953">IF(M95&gt;0,Z95/M95,0)</f>
        <v>0.41334473527662102</v>
      </c>
      <c r="Z95" s="52">
        <f t="shared" ref="Z95" si="954">Z92+Z93+Z94</f>
        <v>19455.309999999998</v>
      </c>
      <c r="AA95" s="119">
        <f t="shared" ref="AA95" si="955">IF(M95&gt;0,AB95/M95,0)</f>
        <v>2.5871855613155436E-3</v>
      </c>
      <c r="AB95" s="54">
        <f t="shared" ref="AB95" si="956">SUM(AB92:AB94)</f>
        <v>121.77365</v>
      </c>
      <c r="AC95" s="53">
        <f t="shared" ref="AC95" si="957">IF(M95&gt;0,AD95/M95,0)</f>
        <v>2.5873039007393559E-3</v>
      </c>
      <c r="AD95" s="54">
        <f t="shared" ref="AD95" si="958">SUM(AD92:AD94)</f>
        <v>121.77922</v>
      </c>
      <c r="AE95" s="53">
        <f t="shared" ref="AE95" si="959">IF(M95&gt;0,(AE92*M92+AE93*M93+AE94*M94)/M95,0)</f>
        <v>2.44422248661511E-3</v>
      </c>
      <c r="AF95" s="53">
        <f t="shared" ref="AF95" si="960">IF(K95&gt;0,(K92*AF92+K93*AF93+K94*AF94)/K95,0)</f>
        <v>2.8334829853592639E-4</v>
      </c>
      <c r="AG95" s="50">
        <f t="shared" ref="AG95" si="961">SUM(AG92:AG94)</f>
        <v>13.336469999999998</v>
      </c>
      <c r="AH95" s="51">
        <f t="shared" ref="AH95" si="962">IF(K95&gt;0,(K92*AH92+K93*AH93+K94*AH94)/K95,0)</f>
        <v>0.20158395081348457</v>
      </c>
      <c r="AI95" s="56">
        <f t="shared" ref="AI95" si="963">SUM(AI92:AI94)</f>
        <v>99.270456899999999</v>
      </c>
      <c r="AJ95" s="51">
        <f t="shared" ref="AJ95" si="964">IF(AND(AD95&gt;0),((AD92*AJ92+AD93*AJ93+AD94*AJ94)/AD95),0)</f>
        <v>0.89174196019501817</v>
      </c>
      <c r="AK95" s="55">
        <f t="shared" si="672"/>
        <v>0.8852884858661334</v>
      </c>
      <c r="AL95" s="49">
        <f t="shared" ref="AL95" si="965">SUM(AL92:AL94)</f>
        <v>538</v>
      </c>
      <c r="AM95" s="20">
        <f t="shared" ref="AM95" si="966">IF(AL95&gt;0,(AM92*AL92+AM93*AL93+AM94*AL94)/AL95,0)</f>
        <v>8.4657992565055767E-2</v>
      </c>
      <c r="AN95" s="51">
        <f>IF(K95&gt;0,(AN92*K92+AN93*K93+AN94*K94)/K95,0)</f>
        <v>0.20658854168735968</v>
      </c>
      <c r="AO95" s="107">
        <f>IF(L95&gt;0,(AO92*K92+AO93*K93+AO94*K94)/K95,0)</f>
        <v>0.21362536800492657</v>
      </c>
      <c r="AP95" s="56">
        <f t="shared" ref="AP95" si="967">SUM(AP92:AP94)</f>
        <v>101.70819399999999</v>
      </c>
      <c r="AQ95" s="108">
        <f t="shared" si="923"/>
        <v>105.17568589999999</v>
      </c>
      <c r="AR95" s="54"/>
      <c r="AS95" s="54">
        <f t="shared" ref="AS95" si="968">SUM(AS92:AS94)</f>
        <v>1000.96</v>
      </c>
      <c r="AT95" s="83"/>
      <c r="AU95" s="84">
        <f>AT94</f>
        <v>977.97999999999865</v>
      </c>
      <c r="AV95" s="49">
        <f t="shared" ref="AV95" si="969">SUM(AV92:AV94)</f>
        <v>0</v>
      </c>
      <c r="AW95" s="57"/>
      <c r="AX95" s="56"/>
      <c r="AY95" s="56"/>
      <c r="AZ95" s="56"/>
      <c r="BA95" s="56"/>
      <c r="BB95" s="21"/>
    </row>
    <row r="96" spans="1:54">
      <c r="A96" s="147">
        <v>24</v>
      </c>
      <c r="B96" s="22">
        <v>1</v>
      </c>
      <c r="C96" s="10" t="s">
        <v>58</v>
      </c>
      <c r="D96" s="11">
        <v>5300</v>
      </c>
      <c r="E96" s="11">
        <v>0</v>
      </c>
      <c r="F96" s="11">
        <v>3486</v>
      </c>
      <c r="G96" s="12">
        <v>0.7</v>
      </c>
      <c r="H96" s="12">
        <v>5.0999999999999996</v>
      </c>
      <c r="I96" s="11">
        <v>4318</v>
      </c>
      <c r="J96" s="12">
        <v>6.8</v>
      </c>
      <c r="K96" s="11">
        <v>15594</v>
      </c>
      <c r="L96" s="13">
        <v>6.5000000000000002E-2</v>
      </c>
      <c r="M96" s="23">
        <f>ROUND(K96*(1-L96),0)</f>
        <v>14580</v>
      </c>
      <c r="N96" s="14">
        <v>0.70299999999999996</v>
      </c>
      <c r="O96" s="24">
        <f t="shared" ref="O96:O98" si="970">M96*N96</f>
        <v>10249.74</v>
      </c>
      <c r="P96" s="13">
        <v>0.24</v>
      </c>
      <c r="Q96" s="24">
        <f t="shared" ref="Q96:Q98" si="971">M96*P96</f>
        <v>3499.2</v>
      </c>
      <c r="R96" s="15">
        <v>5.7000000000000002E-2</v>
      </c>
      <c r="S96" s="112">
        <v>0.223</v>
      </c>
      <c r="T96" s="24">
        <f t="shared" ref="T96:T98" si="972">M96*R96</f>
        <v>831.06000000000006</v>
      </c>
      <c r="U96" s="25">
        <v>0.22600000000000001</v>
      </c>
      <c r="V96" s="24">
        <f t="shared" ref="V96:V98" si="973">M96*U96</f>
        <v>3295.08</v>
      </c>
      <c r="W96" s="15">
        <v>0.48799999999999999</v>
      </c>
      <c r="X96" s="24">
        <f t="shared" ref="X96:X98" si="974">M96*W96</f>
        <v>7115.04</v>
      </c>
      <c r="Y96" s="15">
        <v>0.4</v>
      </c>
      <c r="Z96" s="24">
        <f t="shared" ref="Z96:Z98" si="975">Y96*M96</f>
        <v>5832</v>
      </c>
      <c r="AA96" s="116">
        <v>2.7000000000000001E-3</v>
      </c>
      <c r="AB96" s="18">
        <f t="shared" ref="AB96" si="976">M96*AA96</f>
        <v>39.366</v>
      </c>
      <c r="AC96" s="16">
        <v>2.6800000000000001E-3</v>
      </c>
      <c r="AD96" s="17">
        <f t="shared" ref="AD96:AD98" si="977">M96*AC96</f>
        <v>39.074400000000004</v>
      </c>
      <c r="AE96" s="26">
        <f>IF(M96&gt;0,(AG96+AP96)/M96,0)</f>
        <v>2.5844796296296295E-3</v>
      </c>
      <c r="AF96" s="16">
        <v>2.7999999999999998E-4</v>
      </c>
      <c r="AG96" s="23">
        <f t="shared" ref="AG96:AG98" si="978">AF96*M96</f>
        <v>4.0823999999999998</v>
      </c>
      <c r="AH96" s="92">
        <v>0.20380000000000001</v>
      </c>
      <c r="AI96" s="29">
        <f t="shared" ref="AI96:AI98" si="979">AL96*(1-AM96)*AH96</f>
        <v>32.3760756</v>
      </c>
      <c r="AJ96" s="27">
        <f t="shared" ref="AJ96:AJ98" si="980">IF(AND(AH96&gt;0,AF96&gt;0,AC96&gt;0),((AC96-AF96)*AH96)/((AH96-AF96)*AC96),0)</f>
        <v>0.8967544353703184</v>
      </c>
      <c r="AK96" s="58">
        <f t="shared" si="672"/>
        <v>0.89284299060173067</v>
      </c>
      <c r="AL96" s="11">
        <v>174</v>
      </c>
      <c r="AM96" s="13">
        <v>8.6999999999999994E-2</v>
      </c>
      <c r="AN96" s="14">
        <v>0.21149999999999999</v>
      </c>
      <c r="AO96" s="101">
        <v>0.21929999999999999</v>
      </c>
      <c r="AP96" s="29">
        <f>AL96*(1-AM96)*AN96</f>
        <v>33.599312999999995</v>
      </c>
      <c r="AQ96" s="102">
        <f t="shared" ref="AQ96" si="981">AL96*(1-AM96)*AO96</f>
        <v>34.838436600000001</v>
      </c>
      <c r="AR96" s="18">
        <v>1.55</v>
      </c>
      <c r="AS96" s="18">
        <v>1006.28</v>
      </c>
      <c r="AT96" s="79">
        <f>AT94+AL96-AS96+AU96</f>
        <v>174.23999999999867</v>
      </c>
      <c r="AU96" s="80">
        <v>28.54</v>
      </c>
      <c r="AV96" s="11"/>
      <c r="AW96" s="30"/>
      <c r="AX96" s="19"/>
      <c r="AY96" s="19"/>
      <c r="AZ96" s="19"/>
      <c r="BA96" s="19"/>
      <c r="BB96" s="31"/>
    </row>
    <row r="97" spans="1:54">
      <c r="A97" s="148"/>
      <c r="B97" s="32">
        <v>2</v>
      </c>
      <c r="C97" s="10" t="s">
        <v>53</v>
      </c>
      <c r="D97" s="33">
        <v>13500</v>
      </c>
      <c r="E97" s="33">
        <v>1</v>
      </c>
      <c r="F97" s="33">
        <v>11588</v>
      </c>
      <c r="G97" s="34">
        <v>0.7</v>
      </c>
      <c r="H97" s="34">
        <v>8.5</v>
      </c>
      <c r="I97" s="33">
        <v>11805</v>
      </c>
      <c r="J97" s="34">
        <v>6</v>
      </c>
      <c r="K97" s="33">
        <v>15799</v>
      </c>
      <c r="L97" s="35">
        <v>6.2E-2</v>
      </c>
      <c r="M97" s="36">
        <f>ROUND(K97*(1-L97),0)</f>
        <v>14819</v>
      </c>
      <c r="N97" s="37">
        <v>0.77</v>
      </c>
      <c r="O97" s="24">
        <f t="shared" si="970"/>
        <v>11410.630000000001</v>
      </c>
      <c r="P97" s="35">
        <v>0.152</v>
      </c>
      <c r="Q97" s="24">
        <f t="shared" si="971"/>
        <v>2252.4879999999998</v>
      </c>
      <c r="R97" s="38">
        <v>7.8E-2</v>
      </c>
      <c r="S97" s="105">
        <v>0.23760000000000001</v>
      </c>
      <c r="T97" s="24">
        <f t="shared" si="972"/>
        <v>1155.8820000000001</v>
      </c>
      <c r="U97" s="27">
        <v>0.22700000000000001</v>
      </c>
      <c r="V97" s="24">
        <f t="shared" si="973"/>
        <v>3363.913</v>
      </c>
      <c r="W97" s="38">
        <v>0.48099999999999998</v>
      </c>
      <c r="X97" s="24">
        <f t="shared" si="974"/>
        <v>7127.9389999999994</v>
      </c>
      <c r="Y97" s="38">
        <v>0.39</v>
      </c>
      <c r="Z97" s="24">
        <f t="shared" si="975"/>
        <v>5779.41</v>
      </c>
      <c r="AA97" s="117">
        <v>2.5500000000000002E-3</v>
      </c>
      <c r="AB97" s="18">
        <f t="shared" si="756"/>
        <v>37.788450000000005</v>
      </c>
      <c r="AC97" s="39">
        <v>2.5500000000000002E-3</v>
      </c>
      <c r="AD97" s="17">
        <f t="shared" si="977"/>
        <v>37.788450000000005</v>
      </c>
      <c r="AE97" s="26">
        <f>IF(M97&gt;0,(AG97+AP97)/M97,0)</f>
        <v>2.5297675956542282E-3</v>
      </c>
      <c r="AF97" s="39">
        <v>2.7999999999999998E-4</v>
      </c>
      <c r="AG97" s="36">
        <f t="shared" si="978"/>
        <v>4.1493199999999995</v>
      </c>
      <c r="AH97" s="27">
        <v>0.19869999999999999</v>
      </c>
      <c r="AI97" s="40">
        <f t="shared" si="979"/>
        <v>30.725974500000003</v>
      </c>
      <c r="AJ97" s="27">
        <f t="shared" si="980"/>
        <v>0.89145227690915096</v>
      </c>
      <c r="AK97" s="28">
        <f t="shared" si="672"/>
        <v>0.89047435624957849</v>
      </c>
      <c r="AL97" s="33">
        <v>169</v>
      </c>
      <c r="AM97" s="35">
        <v>8.5000000000000006E-2</v>
      </c>
      <c r="AN97" s="37">
        <v>0.21560000000000001</v>
      </c>
      <c r="AO97" s="103">
        <v>0.21970000000000001</v>
      </c>
      <c r="AP97" s="40">
        <f>AL97*(1-AM97)*AN97</f>
        <v>33.339306000000008</v>
      </c>
      <c r="AQ97" s="104">
        <f t="shared" si="717"/>
        <v>33.973309500000006</v>
      </c>
      <c r="AR97" s="41">
        <v>1.64</v>
      </c>
      <c r="AS97" s="41"/>
      <c r="AT97" s="129">
        <f>AT96+AL97-AS97</f>
        <v>343.23999999999864</v>
      </c>
      <c r="AU97" s="82"/>
      <c r="AV97" s="42"/>
      <c r="AW97" s="43"/>
      <c r="AX97" s="44"/>
      <c r="AY97" s="44"/>
      <c r="AZ97" s="44"/>
      <c r="BA97" s="44"/>
      <c r="BB97" s="31"/>
    </row>
    <row r="98" spans="1:54">
      <c r="A98" s="148"/>
      <c r="B98" s="32">
        <v>3</v>
      </c>
      <c r="C98" s="10" t="s">
        <v>54</v>
      </c>
      <c r="D98" s="42">
        <v>13200</v>
      </c>
      <c r="E98" s="42">
        <v>1</v>
      </c>
      <c r="F98" s="42">
        <v>17436</v>
      </c>
      <c r="G98" s="36">
        <v>1.6</v>
      </c>
      <c r="H98" s="36">
        <v>6.6</v>
      </c>
      <c r="I98" s="42">
        <v>16837</v>
      </c>
      <c r="J98" s="36">
        <v>5.6</v>
      </c>
      <c r="K98" s="42">
        <v>16725</v>
      </c>
      <c r="L98" s="38">
        <v>6.3E-2</v>
      </c>
      <c r="M98" s="36">
        <f>ROUND(K98*(1-L98),0)</f>
        <v>15671</v>
      </c>
      <c r="N98" s="27">
        <v>0.64200000000000002</v>
      </c>
      <c r="O98" s="24">
        <f t="shared" si="970"/>
        <v>10060.782000000001</v>
      </c>
      <c r="P98" s="38">
        <v>0.307</v>
      </c>
      <c r="Q98" s="24">
        <f t="shared" si="971"/>
        <v>4810.9970000000003</v>
      </c>
      <c r="R98" s="38">
        <v>5.0999999999999997E-2</v>
      </c>
      <c r="S98" s="105">
        <v>0.248</v>
      </c>
      <c r="T98" s="24">
        <f t="shared" si="972"/>
        <v>799.221</v>
      </c>
      <c r="U98" s="27">
        <v>0.24399999999999999</v>
      </c>
      <c r="V98" s="24">
        <f t="shared" si="973"/>
        <v>3823.7239999999997</v>
      </c>
      <c r="W98" s="38">
        <v>0.48099999999999998</v>
      </c>
      <c r="X98" s="24">
        <f t="shared" si="974"/>
        <v>7537.7509999999993</v>
      </c>
      <c r="Y98" s="38">
        <v>0.4</v>
      </c>
      <c r="Z98" s="24">
        <f t="shared" si="975"/>
        <v>6268.4000000000005</v>
      </c>
      <c r="AA98" s="118">
        <v>2.63E-3</v>
      </c>
      <c r="AB98" s="121">
        <f t="shared" si="756"/>
        <v>41.214729999999996</v>
      </c>
      <c r="AC98" s="45">
        <v>2.7100000000000002E-3</v>
      </c>
      <c r="AD98" s="17">
        <f t="shared" si="977"/>
        <v>42.468410000000006</v>
      </c>
      <c r="AE98" s="26">
        <f>IF(M98&gt;0,(AG98+AP98)/M98,0)</f>
        <v>2.4134141982004977E-3</v>
      </c>
      <c r="AF98" s="45">
        <v>2.9999999999999997E-4</v>
      </c>
      <c r="AG98" s="36">
        <f t="shared" si="978"/>
        <v>4.7012999999999998</v>
      </c>
      <c r="AH98" s="27">
        <v>0.20200000000000001</v>
      </c>
      <c r="AI98" s="40">
        <f t="shared" si="979"/>
        <v>32.939938000000005</v>
      </c>
      <c r="AJ98" s="27">
        <f t="shared" si="980"/>
        <v>0.89062159833298882</v>
      </c>
      <c r="AK98" s="28">
        <f t="shared" si="672"/>
        <v>0.8769901793661633</v>
      </c>
      <c r="AL98" s="42">
        <v>179</v>
      </c>
      <c r="AM98" s="38">
        <v>8.8999999999999996E-2</v>
      </c>
      <c r="AN98" s="27">
        <v>0.2031</v>
      </c>
      <c r="AO98" s="105">
        <v>0.21340000000000001</v>
      </c>
      <c r="AP98" s="40">
        <f>AL98*(1-AM98)*AN98</f>
        <v>33.119313900000002</v>
      </c>
      <c r="AQ98" s="106">
        <f t="shared" si="717"/>
        <v>34.798924600000007</v>
      </c>
      <c r="AR98" s="17">
        <v>1.58</v>
      </c>
      <c r="AS98" s="17"/>
      <c r="AT98" s="129">
        <f>AT97+AL98-AS98</f>
        <v>522.23999999999864</v>
      </c>
      <c r="AU98" s="82"/>
      <c r="AV98" s="42"/>
      <c r="AW98" s="46"/>
      <c r="AX98" s="40"/>
      <c r="AY98" s="40"/>
      <c r="AZ98" s="40"/>
      <c r="BA98" s="40"/>
      <c r="BB98" s="31"/>
    </row>
    <row r="99" spans="1:54">
      <c r="A99" s="149"/>
      <c r="B99" s="47" t="s">
        <v>56</v>
      </c>
      <c r="C99" s="48"/>
      <c r="D99" s="49">
        <f t="shared" ref="D99" si="982">SUM(D96:D98)</f>
        <v>32000</v>
      </c>
      <c r="E99" s="49"/>
      <c r="F99" s="49">
        <f t="shared" ref="F99" si="983">SUM(F96:F98)</f>
        <v>32510</v>
      </c>
      <c r="G99" s="50"/>
      <c r="H99" s="50"/>
      <c r="I99" s="49">
        <f t="shared" ref="I99:K99" si="984">SUM(I96:I98)</f>
        <v>32960</v>
      </c>
      <c r="J99" s="50"/>
      <c r="K99" s="49">
        <f t="shared" si="984"/>
        <v>48118</v>
      </c>
      <c r="L99" s="20">
        <f t="shared" ref="L99" si="985">IF(K99&gt;0,(K96*L96+K97*L97+K98*L98)/K99,0)</f>
        <v>6.3319817947545626E-2</v>
      </c>
      <c r="M99" s="50">
        <f t="shared" ref="M99" si="986">M96+M97+M98</f>
        <v>45070</v>
      </c>
      <c r="N99" s="51">
        <f t="shared" ref="N99" si="987">IF(M99&gt;0,O99/M99,0)</f>
        <v>0.70381965830929671</v>
      </c>
      <c r="O99" s="52">
        <f t="shared" ref="O99" si="988">O96+O97+O98</f>
        <v>31721.152000000002</v>
      </c>
      <c r="P99" s="20">
        <f t="shared" ref="P99" si="989">IF(M99&gt;0,Q99/M99,0)</f>
        <v>0.23436177057909921</v>
      </c>
      <c r="Q99" s="52">
        <f t="shared" ref="Q99" si="990">Q96+Q97+Q98</f>
        <v>10562.685000000001</v>
      </c>
      <c r="R99" s="20">
        <f t="shared" ref="R99" si="991">IF(M99&gt;0,T99/M99,0)</f>
        <v>6.1818571111604173E-2</v>
      </c>
      <c r="S99" s="107"/>
      <c r="T99" s="52">
        <f t="shared" ref="T99" si="992">T96+T97+T98</f>
        <v>2786.163</v>
      </c>
      <c r="U99" s="20">
        <f t="shared" ref="U99" si="993">IF(M99&gt;0,V99/M99,0)</f>
        <v>0.23258746394497451</v>
      </c>
      <c r="V99" s="52">
        <f t="shared" ref="V99" si="994">V96+V97+V98</f>
        <v>10482.717000000001</v>
      </c>
      <c r="W99" s="20">
        <f t="shared" ref="W99" si="995">IF(M99&gt;0,X99/M99,0)</f>
        <v>0.48326447747947637</v>
      </c>
      <c r="X99" s="52">
        <f t="shared" ref="X99" si="996">X96+X97+X98</f>
        <v>21780.73</v>
      </c>
      <c r="Y99" s="20">
        <f t="shared" ref="Y99" si="997">IF(M99&gt;0,Z99/M99,0)</f>
        <v>0.39671200355003333</v>
      </c>
      <c r="Z99" s="52">
        <f t="shared" ref="Z99" si="998">Z96+Z97+Z98</f>
        <v>17879.810000000001</v>
      </c>
      <c r="AA99" s="119">
        <f t="shared" ref="AA99" si="999">IF(M99&gt;0,AB99/M99,0)</f>
        <v>2.62634080319503E-3</v>
      </c>
      <c r="AB99" s="54">
        <f t="shared" ref="AB99" si="1000">SUM(AB96:AB98)</f>
        <v>118.36918</v>
      </c>
      <c r="AC99" s="53">
        <f t="shared" ref="AC99" si="1001">IF(M99&gt;0,AD99/M99,0)</f>
        <v>2.6476871533170627E-3</v>
      </c>
      <c r="AD99" s="54">
        <f t="shared" ref="AD99" si="1002">SUM(AD96:AD98)</f>
        <v>119.33126000000001</v>
      </c>
      <c r="AE99" s="53">
        <f t="shared" ref="AE99" si="1003">IF(M99&gt;0,(AE96*M96+AE97*M97+AE98*M98)/M99,0)</f>
        <v>2.5070102706900381E-3</v>
      </c>
      <c r="AF99" s="53">
        <f t="shared" ref="AF99" si="1004">IF(K99&gt;0,(K96*AF96+K97*AF97+K98*AF98)/K99,0)</f>
        <v>2.8695166050126769E-4</v>
      </c>
      <c r="AG99" s="50">
        <f t="shared" ref="AG99" si="1005">SUM(AG96:AG98)</f>
        <v>12.933019999999999</v>
      </c>
      <c r="AH99" s="51">
        <f t="shared" ref="AH99" si="1006">IF(K99&gt;0,(K96*AH96+K97*AH97+K98*AH98)/K99,0)</f>
        <v>0.20149982335092897</v>
      </c>
      <c r="AI99" s="56">
        <f t="shared" ref="AI99" si="1007">SUM(AI96:AI98)</f>
        <v>96.041988099999998</v>
      </c>
      <c r="AJ99" s="51">
        <f t="shared" ref="AJ99" si="1008">IF(AND(AD99&gt;0),((AD96*AJ96+AD97*AJ97+AD98*AJ98)/AD99),0)</f>
        <v>0.89289281363208828</v>
      </c>
      <c r="AK99" s="55">
        <f t="shared" si="672"/>
        <v>0.88675240834031011</v>
      </c>
      <c r="AL99" s="49">
        <f t="shared" ref="AL99" si="1009">SUM(AL96:AL98)</f>
        <v>522</v>
      </c>
      <c r="AM99" s="20">
        <f t="shared" ref="AM99" si="1010">IF(AL99&gt;0,(AM96*AL96+AM97*AL97+AM98*AL98)/AL99,0)</f>
        <v>8.7038314176245205E-2</v>
      </c>
      <c r="AN99" s="51">
        <f>IF(K99&gt;0,(AN96*K96+AN97*K97+AN98*K98)/K99,0)</f>
        <v>0.20992649112598194</v>
      </c>
      <c r="AO99" s="107">
        <f>IF(L99&gt;0,(AO96*K96+AO97*K97+AO98*K98)/K99,0)</f>
        <v>0.21738059561910303</v>
      </c>
      <c r="AP99" s="56">
        <f t="shared" ref="AP99" si="1011">SUM(AP96:AP98)</f>
        <v>100.0579329</v>
      </c>
      <c r="AQ99" s="108">
        <f t="shared" si="923"/>
        <v>103.61067070000001</v>
      </c>
      <c r="AR99" s="54"/>
      <c r="AS99" s="54">
        <f t="shared" ref="AS99" si="1012">SUM(AS96:AS98)</f>
        <v>1006.28</v>
      </c>
      <c r="AT99" s="83"/>
      <c r="AU99" s="84">
        <f>AT98</f>
        <v>522.23999999999864</v>
      </c>
      <c r="AV99" s="49">
        <f t="shared" ref="AV99" si="1013">SUM(AV96:AV98)</f>
        <v>0</v>
      </c>
      <c r="AW99" s="57"/>
      <c r="AX99" s="56"/>
      <c r="AY99" s="56"/>
      <c r="AZ99" s="56"/>
      <c r="BA99" s="56"/>
      <c r="BB99" s="21"/>
    </row>
    <row r="100" spans="1:54">
      <c r="A100" s="154">
        <v>25</v>
      </c>
      <c r="B100" s="32">
        <v>1</v>
      </c>
      <c r="C100" s="10" t="s">
        <v>59</v>
      </c>
      <c r="D100" s="11">
        <v>3685</v>
      </c>
      <c r="E100" s="11">
        <v>1</v>
      </c>
      <c r="F100" s="11">
        <v>15791</v>
      </c>
      <c r="G100" s="12">
        <v>1.1000000000000001</v>
      </c>
      <c r="H100" s="12">
        <v>7.2</v>
      </c>
      <c r="I100" s="11">
        <v>16608</v>
      </c>
      <c r="J100" s="12">
        <v>5.5</v>
      </c>
      <c r="K100" s="11">
        <v>16866</v>
      </c>
      <c r="L100" s="13">
        <v>7.1999999999999995E-2</v>
      </c>
      <c r="M100" s="23">
        <f>ROUND(K100*(1-L100),0)</f>
        <v>15652</v>
      </c>
      <c r="N100" s="14">
        <v>0.70299999999999996</v>
      </c>
      <c r="O100" s="24">
        <f t="shared" ref="O100:O102" si="1014">M100*N100</f>
        <v>11003.356</v>
      </c>
      <c r="P100" s="13">
        <v>0.245</v>
      </c>
      <c r="Q100" s="24">
        <f t="shared" ref="Q100:Q102" si="1015">M100*P100</f>
        <v>3834.74</v>
      </c>
      <c r="R100" s="15">
        <v>5.1999999999999998E-2</v>
      </c>
      <c r="S100" s="112">
        <v>0.22220000000000001</v>
      </c>
      <c r="T100" s="24">
        <f t="shared" ref="T100:T102" si="1016">M100*R100</f>
        <v>813.904</v>
      </c>
      <c r="U100" s="25">
        <v>0.26200000000000001</v>
      </c>
      <c r="V100" s="24">
        <f t="shared" ref="V100:V102" si="1017">M100*U100</f>
        <v>4100.8240000000005</v>
      </c>
      <c r="W100" s="15">
        <v>0.46300000000000002</v>
      </c>
      <c r="X100" s="24">
        <f t="shared" ref="X100:X102" si="1018">M100*W100</f>
        <v>7246.8760000000002</v>
      </c>
      <c r="Y100" s="15">
        <v>0.4</v>
      </c>
      <c r="Z100" s="24">
        <f t="shared" ref="Z100:Z102" si="1019">Y100*M100</f>
        <v>6260.8</v>
      </c>
      <c r="AA100" s="116">
        <v>2.5699999999999998E-3</v>
      </c>
      <c r="AB100" s="18">
        <f t="shared" ref="AB100" si="1020">M100*AA100</f>
        <v>40.225639999999999</v>
      </c>
      <c r="AC100" s="16">
        <v>2.5699999999999998E-3</v>
      </c>
      <c r="AD100" s="17">
        <f t="shared" ref="AD100:AD102" si="1021">M100*AC100</f>
        <v>40.225639999999999</v>
      </c>
      <c r="AE100" s="26">
        <f>IF(M100&gt;0,(AG100+AP100)/M100,0)</f>
        <v>2.5770058139534882E-3</v>
      </c>
      <c r="AF100" s="16">
        <v>2.9999999999999997E-4</v>
      </c>
      <c r="AG100" s="23">
        <f t="shared" ref="AG100:AG102" si="1022">AF100*M100</f>
        <v>4.6955999999999998</v>
      </c>
      <c r="AH100" s="92">
        <v>0.2016</v>
      </c>
      <c r="AI100" s="29">
        <f t="shared" ref="AI100:AI102" si="1023">AL100*(1-AM100)*AH100</f>
        <v>33.939360000000001</v>
      </c>
      <c r="AJ100" s="27">
        <f t="shared" ref="AJ100:AJ102" si="1024">IF(AND(AH100&gt;0,AF100&gt;0,AC100&gt;0),((AC100-AF100)*AH100)/((AH100-AF100)*AC100),0)</f>
        <v>0.88458482896194202</v>
      </c>
      <c r="AK100" s="58">
        <f t="shared" si="672"/>
        <v>0.88483973334483934</v>
      </c>
      <c r="AL100" s="11">
        <v>185</v>
      </c>
      <c r="AM100" s="13">
        <v>0.09</v>
      </c>
      <c r="AN100" s="14">
        <v>0.2117</v>
      </c>
      <c r="AO100" s="101">
        <v>0.2157</v>
      </c>
      <c r="AP100" s="29">
        <f>AL100*(1-AM100)*AN100</f>
        <v>35.639694999999996</v>
      </c>
      <c r="AQ100" s="102">
        <f t="shared" ref="AQ100" si="1025">AL100*(1-AM100)*AO100</f>
        <v>36.313094999999997</v>
      </c>
      <c r="AR100" s="18">
        <v>1.55</v>
      </c>
      <c r="AS100" s="18">
        <v>511.14</v>
      </c>
      <c r="AT100" s="79">
        <f>AT98+AL100-AS100+AU100</f>
        <v>216.27999999999867</v>
      </c>
      <c r="AU100" s="134">
        <v>20.18</v>
      </c>
      <c r="AV100" s="11"/>
      <c r="AW100" s="30"/>
      <c r="AX100" s="19"/>
      <c r="AY100" s="19"/>
      <c r="AZ100" s="19"/>
      <c r="BA100" s="19"/>
      <c r="BB100" s="31"/>
    </row>
    <row r="101" spans="1:54">
      <c r="A101" s="154"/>
      <c r="B101" s="32">
        <v>2</v>
      </c>
      <c r="C101" s="10" t="s">
        <v>53</v>
      </c>
      <c r="D101" s="33">
        <v>22400</v>
      </c>
      <c r="E101" s="33">
        <v>6</v>
      </c>
      <c r="F101" s="33">
        <v>15705</v>
      </c>
      <c r="G101" s="34">
        <v>2.7</v>
      </c>
      <c r="H101" s="34">
        <v>8</v>
      </c>
      <c r="I101" s="33">
        <v>16192</v>
      </c>
      <c r="J101" s="34">
        <v>5.7</v>
      </c>
      <c r="K101" s="33">
        <v>17206</v>
      </c>
      <c r="L101" s="35">
        <v>6.9000000000000006E-2</v>
      </c>
      <c r="M101" s="36">
        <f>ROUND(K101*(1-L101),0)</f>
        <v>16019</v>
      </c>
      <c r="N101" s="37">
        <v>0.56200000000000006</v>
      </c>
      <c r="O101" s="24">
        <f t="shared" si="1014"/>
        <v>9002.6780000000017</v>
      </c>
      <c r="P101" s="35">
        <v>0.248</v>
      </c>
      <c r="Q101" s="24">
        <f t="shared" si="1015"/>
        <v>3972.712</v>
      </c>
      <c r="R101" s="38">
        <v>0.19</v>
      </c>
      <c r="S101" s="105">
        <v>0.25209999999999999</v>
      </c>
      <c r="T101" s="24">
        <f t="shared" si="1016"/>
        <v>3043.61</v>
      </c>
      <c r="U101" s="27">
        <v>0.26500000000000001</v>
      </c>
      <c r="V101" s="24">
        <f t="shared" si="1017"/>
        <v>4245.0349999999999</v>
      </c>
      <c r="W101" s="38">
        <v>0.46600000000000003</v>
      </c>
      <c r="X101" s="24">
        <f t="shared" si="1018"/>
        <v>7464.8540000000003</v>
      </c>
      <c r="Y101" s="38">
        <v>0.41</v>
      </c>
      <c r="Z101" s="24">
        <f t="shared" si="1019"/>
        <v>6567.79</v>
      </c>
      <c r="AA101" s="117">
        <v>2.4199999999999998E-3</v>
      </c>
      <c r="AB101" s="18">
        <f t="shared" si="756"/>
        <v>38.765979999999999</v>
      </c>
      <c r="AC101" s="39">
        <v>2.4599999999999999E-3</v>
      </c>
      <c r="AD101" s="17">
        <f t="shared" si="1021"/>
        <v>39.406739999999999</v>
      </c>
      <c r="AE101" s="26">
        <f>IF(M101&gt;0,(AG101+AP101)/M101,0)</f>
        <v>2.4367388226481058E-3</v>
      </c>
      <c r="AF101" s="39">
        <v>3.1E-4</v>
      </c>
      <c r="AG101" s="36">
        <f t="shared" si="1022"/>
        <v>4.9658899999999999</v>
      </c>
      <c r="AH101" s="27">
        <v>0.20380000000000001</v>
      </c>
      <c r="AI101" s="40">
        <f t="shared" si="1023"/>
        <v>31.863722400000004</v>
      </c>
      <c r="AJ101" s="27">
        <f t="shared" si="1024"/>
        <v>0.8753151809861015</v>
      </c>
      <c r="AK101" s="28">
        <f t="shared" si="672"/>
        <v>0.87402423395999884</v>
      </c>
      <c r="AL101" s="33">
        <v>172</v>
      </c>
      <c r="AM101" s="35">
        <v>9.0999999999999998E-2</v>
      </c>
      <c r="AN101" s="37">
        <v>0.21790000000000001</v>
      </c>
      <c r="AO101" s="103">
        <v>0.2213</v>
      </c>
      <c r="AP101" s="40">
        <f>AL101*(1-AM101)*AN101</f>
        <v>34.068229200000005</v>
      </c>
      <c r="AQ101" s="104">
        <f t="shared" si="717"/>
        <v>34.599812400000005</v>
      </c>
      <c r="AR101" s="41">
        <v>1.6</v>
      </c>
      <c r="AS101" s="41"/>
      <c r="AT101" s="129">
        <f>AT100+AL101-AS101</f>
        <v>388.27999999999867</v>
      </c>
      <c r="AU101" s="82"/>
      <c r="AV101" s="42"/>
      <c r="AW101" s="43"/>
      <c r="AX101" s="44"/>
      <c r="AY101" s="44"/>
      <c r="AZ101" s="44"/>
      <c r="BA101" s="44"/>
      <c r="BB101" s="31"/>
    </row>
    <row r="102" spans="1:54">
      <c r="A102" s="154"/>
      <c r="B102" s="32">
        <v>3</v>
      </c>
      <c r="C102" s="10" t="s">
        <v>54</v>
      </c>
      <c r="D102" s="42">
        <v>19600</v>
      </c>
      <c r="E102" s="42">
        <v>1</v>
      </c>
      <c r="F102" s="42">
        <v>14231</v>
      </c>
      <c r="G102" s="36">
        <v>1.5</v>
      </c>
      <c r="H102" s="36">
        <v>7.5</v>
      </c>
      <c r="I102" s="42">
        <v>14409</v>
      </c>
      <c r="J102" s="36">
        <v>6.7</v>
      </c>
      <c r="K102" s="42">
        <v>17254</v>
      </c>
      <c r="L102" s="38">
        <v>6.6000000000000003E-2</v>
      </c>
      <c r="M102" s="36">
        <f>ROUND(K102*(1-L102),0)</f>
        <v>16115</v>
      </c>
      <c r="N102" s="27">
        <v>0.61499999999999999</v>
      </c>
      <c r="O102" s="24">
        <f t="shared" si="1014"/>
        <v>9910.7250000000004</v>
      </c>
      <c r="P102" s="38">
        <v>0.33</v>
      </c>
      <c r="Q102" s="24">
        <f t="shared" si="1015"/>
        <v>5317.95</v>
      </c>
      <c r="R102" s="38">
        <v>5.5E-2</v>
      </c>
      <c r="S102" s="105">
        <v>0.23269999999999999</v>
      </c>
      <c r="T102" s="24">
        <f t="shared" si="1016"/>
        <v>886.32500000000005</v>
      </c>
      <c r="U102" s="27">
        <v>0.25800000000000001</v>
      </c>
      <c r="V102" s="24">
        <f t="shared" si="1017"/>
        <v>4157.67</v>
      </c>
      <c r="W102" s="38">
        <v>0.48</v>
      </c>
      <c r="X102" s="24">
        <f t="shared" si="1018"/>
        <v>7735.2</v>
      </c>
      <c r="Y102" s="38">
        <v>0.41</v>
      </c>
      <c r="Z102" s="24">
        <f t="shared" si="1019"/>
        <v>6607.15</v>
      </c>
      <c r="AA102" s="118">
        <v>2.49E-3</v>
      </c>
      <c r="AB102" s="121">
        <f t="shared" si="756"/>
        <v>40.126350000000002</v>
      </c>
      <c r="AC102" s="45">
        <v>2.5600000000000002E-3</v>
      </c>
      <c r="AD102" s="17">
        <f t="shared" si="1021"/>
        <v>41.254400000000004</v>
      </c>
      <c r="AE102" s="26">
        <f>IF(M102&gt;0,(AG102+AP102)/M102,0)</f>
        <v>2.5093556624263109E-3</v>
      </c>
      <c r="AF102" s="45">
        <v>3.1E-4</v>
      </c>
      <c r="AG102" s="36">
        <f t="shared" si="1022"/>
        <v>4.9956500000000004</v>
      </c>
      <c r="AH102" s="27">
        <v>0.19489999999999999</v>
      </c>
      <c r="AI102" s="40">
        <f t="shared" si="1023"/>
        <v>34.4183655</v>
      </c>
      <c r="AJ102" s="27">
        <f t="shared" si="1024"/>
        <v>0.88030642954416993</v>
      </c>
      <c r="AK102" s="28">
        <f t="shared" si="672"/>
        <v>0.87781818339701656</v>
      </c>
      <c r="AL102" s="42">
        <v>193</v>
      </c>
      <c r="AM102" s="38">
        <v>8.5000000000000006E-2</v>
      </c>
      <c r="AN102" s="27">
        <v>0.20069999999999999</v>
      </c>
      <c r="AO102" s="105">
        <v>0.20930000000000001</v>
      </c>
      <c r="AP102" s="40">
        <f>AL102*(1-AM102)*AN102</f>
        <v>35.4426165</v>
      </c>
      <c r="AQ102" s="106">
        <f t="shared" si="717"/>
        <v>36.961333500000002</v>
      </c>
      <c r="AR102" s="17">
        <v>1.55</v>
      </c>
      <c r="AS102" s="17"/>
      <c r="AT102" s="129">
        <f>AT101+AL102-AS102</f>
        <v>581.27999999999861</v>
      </c>
      <c r="AU102" s="82"/>
      <c r="AV102" s="42"/>
      <c r="AW102" s="46"/>
      <c r="AX102" s="40"/>
      <c r="AY102" s="40"/>
      <c r="AZ102" s="40"/>
      <c r="BA102" s="40"/>
      <c r="BB102" s="31"/>
    </row>
    <row r="103" spans="1:54">
      <c r="A103" s="154"/>
      <c r="B103" s="135" t="s">
        <v>56</v>
      </c>
      <c r="C103" s="48"/>
      <c r="D103" s="49">
        <f t="shared" ref="D103" si="1026">SUM(D100:D102)</f>
        <v>45685</v>
      </c>
      <c r="E103" s="49"/>
      <c r="F103" s="49">
        <f t="shared" ref="F103" si="1027">SUM(F100:F102)</f>
        <v>45727</v>
      </c>
      <c r="G103" s="50"/>
      <c r="H103" s="50"/>
      <c r="I103" s="49">
        <f t="shared" ref="I103:K103" si="1028">SUM(I100:I102)</f>
        <v>47209</v>
      </c>
      <c r="J103" s="50"/>
      <c r="K103" s="49">
        <f t="shared" si="1028"/>
        <v>51326</v>
      </c>
      <c r="L103" s="20">
        <f t="shared" ref="L103" si="1029">IF(K103&gt;0,(K100*L100+K101*L101+K102*L102)/K103,0)</f>
        <v>6.8977321435529745E-2</v>
      </c>
      <c r="M103" s="50">
        <f t="shared" ref="M103" si="1030">M100+M101+M102</f>
        <v>47786</v>
      </c>
      <c r="N103" s="51">
        <f t="shared" ref="N103" si="1031">IF(M103&gt;0,O103/M103,0)</f>
        <v>0.62605698321684167</v>
      </c>
      <c r="O103" s="52">
        <f t="shared" ref="O103" si="1032">O100+O101+O102</f>
        <v>29916.758999999998</v>
      </c>
      <c r="P103" s="20">
        <f t="shared" ref="P103" si="1033">IF(M103&gt;0,Q103/M103,0)</f>
        <v>0.2746704474113757</v>
      </c>
      <c r="Q103" s="52">
        <f t="shared" ref="Q103" si="1034">Q100+Q101+Q102</f>
        <v>13125.401999999998</v>
      </c>
      <c r="R103" s="20">
        <f t="shared" ref="R103" si="1035">IF(M103&gt;0,T103/M103,0)</f>
        <v>9.9272569371782526E-2</v>
      </c>
      <c r="S103" s="107"/>
      <c r="T103" s="52">
        <f t="shared" ref="T103" si="1036">T100+T101+T102</f>
        <v>4743.8389999999999</v>
      </c>
      <c r="U103" s="20">
        <f t="shared" ref="U103" si="1037">IF(M103&gt;0,V103/M103,0)</f>
        <v>0.26165674046791948</v>
      </c>
      <c r="V103" s="52">
        <f t="shared" ref="V103" si="1038">V100+V101+V102</f>
        <v>12503.529</v>
      </c>
      <c r="W103" s="20">
        <f t="shared" ref="W103" si="1039">IF(M103&gt;0,X103/M103,0)</f>
        <v>0.469738626375926</v>
      </c>
      <c r="X103" s="52">
        <f t="shared" ref="X103" si="1040">X100+X101+X102</f>
        <v>22446.93</v>
      </c>
      <c r="Y103" s="20">
        <f t="shared" ref="Y103" si="1041">IF(M103&gt;0,Z103/M103,0)</f>
        <v>0.4067245636797388</v>
      </c>
      <c r="Z103" s="52">
        <f t="shared" ref="Z103" si="1042">Z100+Z101+Z102</f>
        <v>19435.739999999998</v>
      </c>
      <c r="AA103" s="119">
        <f t="shared" ref="AA103" si="1043">IF(M103&gt;0,AB103/M103,0)</f>
        <v>2.4927378311639394E-3</v>
      </c>
      <c r="AB103" s="54">
        <f t="shared" ref="AB103" si="1044">SUM(AB100:AB102)</f>
        <v>119.11797</v>
      </c>
      <c r="AC103" s="53">
        <f t="shared" ref="AC103" si="1045">IF(M103&gt;0,AD103/M103,0)</f>
        <v>2.5297530657514755E-3</v>
      </c>
      <c r="AD103" s="54">
        <f t="shared" ref="AD103" si="1046">SUM(AD100:AD102)</f>
        <v>120.88678</v>
      </c>
      <c r="AE103" s="53">
        <f t="shared" ref="AE103" si="1047">IF(M103&gt;0,(AE100*M100+AE101*M101+AE102*M102)/M103,0)</f>
        <v>2.5071711526388481E-3</v>
      </c>
      <c r="AF103" s="53">
        <f t="shared" ref="AF103" si="1048">IF(K103&gt;0,(K100*AF100+K101*AF101+K102*AF102)/K103,0)</f>
        <v>3.0671394614815105E-4</v>
      </c>
      <c r="AG103" s="50">
        <f t="shared" ref="AG103" si="1049">SUM(AG100:AG102)</f>
        <v>14.657140000000002</v>
      </c>
      <c r="AH103" s="51">
        <f t="shared" ref="AH103" si="1050">IF(K103&gt;0,(K100*AH100+K101*AH101+K102*AH102)/K103,0)</f>
        <v>0.20008520048318593</v>
      </c>
      <c r="AI103" s="56">
        <f t="shared" ref="AI103" si="1051">SUM(AI100:AI102)</f>
        <v>100.22144790000002</v>
      </c>
      <c r="AJ103" s="51">
        <f t="shared" ref="AJ103" si="1052">IF(AND(AD103&gt;0),((AD100*AJ100+AD101*AJ101+AD102*AJ102)/AD103),0)</f>
        <v>0.88010303691970193</v>
      </c>
      <c r="AK103" s="55">
        <f t="shared" si="672"/>
        <v>0.87894858303019574</v>
      </c>
      <c r="AL103" s="49">
        <f t="shared" ref="AL103" si="1053">SUM(AL100:AL102)</f>
        <v>550</v>
      </c>
      <c r="AM103" s="20">
        <f t="shared" ref="AM103" si="1054">IF(AL103&gt;0,(AM100*AL100+AM101*AL101+AM102*AL102)/AL103,0)</f>
        <v>8.8558181818181814E-2</v>
      </c>
      <c r="AN103" s="51">
        <f>IF(K103&gt;0,(AN100*K100+AN101*K101+AN102*K102)/K103,0)</f>
        <v>0.21008061021704399</v>
      </c>
      <c r="AO103" s="107">
        <f>IF(L103&gt;0,(AO100*K100+AO101*K101+AO102*K102)/K103,0)</f>
        <v>0.21542583096286483</v>
      </c>
      <c r="AP103" s="56">
        <f t="shared" ref="AP103" si="1055">SUM(AP100:AP102)</f>
        <v>105.15054070000001</v>
      </c>
      <c r="AQ103" s="108">
        <f t="shared" si="923"/>
        <v>107.87424089999999</v>
      </c>
      <c r="AR103" s="54"/>
      <c r="AS103" s="54">
        <f t="shared" ref="AS103" si="1056">SUM(AS100:AS102)</f>
        <v>511.14</v>
      </c>
      <c r="AT103" s="136"/>
      <c r="AU103" s="84">
        <f>AT102</f>
        <v>581.27999999999861</v>
      </c>
      <c r="AV103" s="49">
        <f t="shared" ref="AV103" si="1057">SUM(AV100:AV102)</f>
        <v>0</v>
      </c>
      <c r="AW103" s="57"/>
      <c r="AX103" s="56"/>
      <c r="AY103" s="56"/>
      <c r="AZ103" s="56"/>
      <c r="BA103" s="56"/>
      <c r="BB103" s="21"/>
    </row>
    <row r="104" spans="1:54">
      <c r="A104" s="147">
        <v>26</v>
      </c>
      <c r="B104" s="22">
        <v>1</v>
      </c>
      <c r="C104" s="10" t="s">
        <v>59</v>
      </c>
      <c r="D104" s="11">
        <v>1862</v>
      </c>
      <c r="E104" s="11">
        <v>0</v>
      </c>
      <c r="F104" s="11">
        <v>11871</v>
      </c>
      <c r="G104" s="12">
        <v>0.5</v>
      </c>
      <c r="H104" s="12">
        <v>5.5</v>
      </c>
      <c r="I104" s="11">
        <v>11988</v>
      </c>
      <c r="J104" s="12">
        <v>8</v>
      </c>
      <c r="K104" s="11">
        <v>17528</v>
      </c>
      <c r="L104" s="13">
        <v>7.0000000000000007E-2</v>
      </c>
      <c r="M104" s="23">
        <f>ROUND(K104*(1-L104),0)</f>
        <v>16301</v>
      </c>
      <c r="N104" s="14">
        <v>0.59699999999999998</v>
      </c>
      <c r="O104" s="24">
        <f t="shared" ref="O104:O106" si="1058">M104*N104</f>
        <v>9731.6970000000001</v>
      </c>
      <c r="P104" s="13">
        <v>0.246</v>
      </c>
      <c r="Q104" s="24">
        <f t="shared" ref="Q104:Q106" si="1059">M104*P104</f>
        <v>4010.0459999999998</v>
      </c>
      <c r="R104" s="15">
        <v>0.157</v>
      </c>
      <c r="S104" s="112">
        <v>0.26769999999999999</v>
      </c>
      <c r="T104" s="24">
        <f t="shared" ref="T104:T106" si="1060">M104*R104</f>
        <v>2559.2570000000001</v>
      </c>
      <c r="U104" s="25">
        <v>0.26300000000000001</v>
      </c>
      <c r="V104" s="24">
        <f t="shared" ref="V104:V106" si="1061">M104*U104</f>
        <v>4287.1630000000005</v>
      </c>
      <c r="W104" s="15">
        <v>0.48399999999999999</v>
      </c>
      <c r="X104" s="24">
        <f t="shared" ref="X104:X106" si="1062">M104*W104</f>
        <v>7889.6840000000002</v>
      </c>
      <c r="Y104" s="15">
        <v>0.42</v>
      </c>
      <c r="Z104" s="24">
        <f t="shared" ref="Z104:Z106" si="1063">Y104*M104</f>
        <v>6846.42</v>
      </c>
      <c r="AA104" s="116">
        <v>2.4199999999999998E-3</v>
      </c>
      <c r="AB104" s="18">
        <f t="shared" ref="AB104" si="1064">M104*AA104</f>
        <v>39.448419999999999</v>
      </c>
      <c r="AC104" s="16">
        <v>2.3999999999999998E-3</v>
      </c>
      <c r="AD104" s="17">
        <f t="shared" ref="AD104:AD106" si="1065">M104*AC104</f>
        <v>39.122399999999999</v>
      </c>
      <c r="AE104" s="26">
        <f>IF(M104&gt;0,(AG104+AP104)/M104,0)</f>
        <v>2.4190612600453964E-3</v>
      </c>
      <c r="AF104" s="16">
        <v>3.2000000000000003E-4</v>
      </c>
      <c r="AG104" s="23">
        <f t="shared" ref="AG104:AG106" si="1066">AF104*M104</f>
        <v>5.2163200000000005</v>
      </c>
      <c r="AH104" s="92">
        <v>0.2064</v>
      </c>
      <c r="AI104" s="29">
        <f t="shared" ref="AI104:AI106" si="1067">AL104*(1-AM104)*AH104</f>
        <v>33.7265856</v>
      </c>
      <c r="AJ104" s="27">
        <f t="shared" ref="AJ104:AJ106" si="1068">IF(AND(AH104&gt;0,AF104&gt;0,AC104&gt;0),((AC104-AF104)*AH104)/((AH104-AF104)*AC104),0)</f>
        <v>0.86801242236024834</v>
      </c>
      <c r="AK104" s="58">
        <f t="shared" si="672"/>
        <v>0.86904533537333906</v>
      </c>
      <c r="AL104" s="11">
        <v>178</v>
      </c>
      <c r="AM104" s="13">
        <v>8.2000000000000003E-2</v>
      </c>
      <c r="AN104" s="14">
        <v>0.2094</v>
      </c>
      <c r="AO104" s="101">
        <v>0.21829999999999999</v>
      </c>
      <c r="AP104" s="29">
        <f>AL104*(1-AM104)*AN104</f>
        <v>34.2167976</v>
      </c>
      <c r="AQ104" s="102">
        <f t="shared" ref="AQ104" si="1069">AL104*(1-AM104)*AO104</f>
        <v>35.671093200000001</v>
      </c>
      <c r="AR104" s="18">
        <v>1.5</v>
      </c>
      <c r="AS104" s="18">
        <v>499.8</v>
      </c>
      <c r="AT104" s="79">
        <f>AT102+AL104-AS104+AU104</f>
        <v>284.33999999999861</v>
      </c>
      <c r="AU104" s="80">
        <v>24.86</v>
      </c>
      <c r="AV104" s="11"/>
      <c r="AW104" s="30"/>
      <c r="AX104" s="19"/>
      <c r="AY104" s="19"/>
      <c r="AZ104" s="19"/>
      <c r="BA104" s="19"/>
      <c r="BB104" s="31"/>
    </row>
    <row r="105" spans="1:54">
      <c r="A105" s="148"/>
      <c r="B105" s="32">
        <v>2</v>
      </c>
      <c r="C105" s="143" t="s">
        <v>57</v>
      </c>
      <c r="D105" s="33">
        <v>18700</v>
      </c>
      <c r="E105" s="33">
        <v>5</v>
      </c>
      <c r="F105" s="33">
        <v>14933</v>
      </c>
      <c r="G105" s="34">
        <v>1.7</v>
      </c>
      <c r="H105" s="34">
        <v>7</v>
      </c>
      <c r="I105" s="33">
        <v>14369</v>
      </c>
      <c r="J105" s="34">
        <v>7.4</v>
      </c>
      <c r="K105" s="33">
        <v>17235</v>
      </c>
      <c r="L105" s="35">
        <v>7.4999999999999997E-2</v>
      </c>
      <c r="M105" s="36">
        <f>ROUND(K105*(1-L105),0)</f>
        <v>15942</v>
      </c>
      <c r="N105" s="37">
        <v>0.55400000000000005</v>
      </c>
      <c r="O105" s="24">
        <f t="shared" si="1058"/>
        <v>8831.8680000000004</v>
      </c>
      <c r="P105" s="35">
        <v>0.34799999999999998</v>
      </c>
      <c r="Q105" s="24">
        <f t="shared" si="1059"/>
        <v>5547.8159999999998</v>
      </c>
      <c r="R105" s="38">
        <v>9.8000000000000004E-2</v>
      </c>
      <c r="S105" s="105">
        <v>0.23119999999999999</v>
      </c>
      <c r="T105" s="24">
        <f t="shared" si="1060"/>
        <v>1562.316</v>
      </c>
      <c r="U105" s="27">
        <v>0.26300000000000001</v>
      </c>
      <c r="V105" s="24">
        <f t="shared" si="1061"/>
        <v>4192.7460000000001</v>
      </c>
      <c r="W105" s="38">
        <v>0.46700000000000003</v>
      </c>
      <c r="X105" s="24">
        <f t="shared" si="1062"/>
        <v>7444.9140000000007</v>
      </c>
      <c r="Y105" s="38">
        <v>0.42</v>
      </c>
      <c r="Z105" s="24">
        <f t="shared" si="1063"/>
        <v>6695.6399999999994</v>
      </c>
      <c r="AA105" s="117">
        <v>2.5200000000000001E-3</v>
      </c>
      <c r="AB105" s="18">
        <f t="shared" si="756"/>
        <v>40.173839999999998</v>
      </c>
      <c r="AC105" s="39">
        <v>2.4099999999999998E-3</v>
      </c>
      <c r="AD105" s="17">
        <f t="shared" si="1065"/>
        <v>38.42022</v>
      </c>
      <c r="AE105" s="26">
        <f>IF(M105&gt;0,(AG105+AP105)/M105,0)</f>
        <v>2.6323293187805788E-3</v>
      </c>
      <c r="AF105" s="39">
        <v>3.2000000000000003E-4</v>
      </c>
      <c r="AG105" s="36">
        <f t="shared" si="1066"/>
        <v>5.1014400000000002</v>
      </c>
      <c r="AH105" s="27">
        <v>0.1993</v>
      </c>
      <c r="AI105" s="40">
        <f t="shared" si="1067"/>
        <v>33.918866999999999</v>
      </c>
      <c r="AJ105" s="27">
        <f t="shared" si="1068"/>
        <v>0.86861458166941852</v>
      </c>
      <c r="AK105" s="28">
        <f t="shared" si="672"/>
        <v>0.87973436316847076</v>
      </c>
      <c r="AL105" s="33">
        <v>186</v>
      </c>
      <c r="AM105" s="35">
        <v>8.5000000000000006E-2</v>
      </c>
      <c r="AN105" s="37">
        <v>0.21659999999999999</v>
      </c>
      <c r="AO105" s="103">
        <v>0.217</v>
      </c>
      <c r="AP105" s="40">
        <f>AL105*(1-AM105)*AN105</f>
        <v>36.863153999999994</v>
      </c>
      <c r="AQ105" s="104">
        <f t="shared" si="717"/>
        <v>36.931229999999999</v>
      </c>
      <c r="AR105" s="41">
        <v>1.5</v>
      </c>
      <c r="AS105" s="41"/>
      <c r="AT105" s="129">
        <f>AT104+AL105-AS105</f>
        <v>470.33999999999861</v>
      </c>
      <c r="AU105" s="82"/>
      <c r="AV105" s="42"/>
      <c r="AW105" s="43"/>
      <c r="AX105" s="44"/>
      <c r="AY105" s="44"/>
      <c r="AZ105" s="44"/>
      <c r="BA105" s="44"/>
      <c r="BB105" s="31"/>
    </row>
    <row r="106" spans="1:54">
      <c r="A106" s="148"/>
      <c r="B106" s="32">
        <v>3</v>
      </c>
      <c r="C106" s="10" t="s">
        <v>54</v>
      </c>
      <c r="D106" s="42">
        <v>19339</v>
      </c>
      <c r="E106" s="42">
        <v>0</v>
      </c>
      <c r="F106" s="42">
        <v>16197</v>
      </c>
      <c r="G106" s="36">
        <v>1.8</v>
      </c>
      <c r="H106" s="36">
        <v>6.6</v>
      </c>
      <c r="I106" s="42">
        <v>15789</v>
      </c>
      <c r="J106" s="36">
        <v>7.5</v>
      </c>
      <c r="K106" s="42">
        <v>17328</v>
      </c>
      <c r="L106" s="38">
        <v>6.9000000000000006E-2</v>
      </c>
      <c r="M106" s="36">
        <f>ROUND(K106*(1-L106),0)</f>
        <v>16132</v>
      </c>
      <c r="N106" s="27">
        <v>0.58599999999999997</v>
      </c>
      <c r="O106" s="24">
        <f t="shared" si="1058"/>
        <v>9453.351999999999</v>
      </c>
      <c r="P106" s="38">
        <v>0.34200000000000003</v>
      </c>
      <c r="Q106" s="24">
        <f t="shared" si="1059"/>
        <v>5517.1440000000002</v>
      </c>
      <c r="R106" s="38">
        <v>7.1999999999999995E-2</v>
      </c>
      <c r="S106" s="105">
        <v>0.25569999999999998</v>
      </c>
      <c r="T106" s="24">
        <f t="shared" si="1060"/>
        <v>1161.5039999999999</v>
      </c>
      <c r="U106" s="27">
        <v>0.28000000000000003</v>
      </c>
      <c r="V106" s="24">
        <f t="shared" si="1061"/>
        <v>4516.96</v>
      </c>
      <c r="W106" s="38">
        <v>0.44700000000000001</v>
      </c>
      <c r="X106" s="24">
        <f t="shared" si="1062"/>
        <v>7211.0039999999999</v>
      </c>
      <c r="Y106" s="38">
        <v>0.42</v>
      </c>
      <c r="Z106" s="24">
        <f t="shared" si="1063"/>
        <v>6775.44</v>
      </c>
      <c r="AA106" s="118">
        <v>2.4499999999999999E-3</v>
      </c>
      <c r="AB106" s="121">
        <f t="shared" si="756"/>
        <v>39.523399999999995</v>
      </c>
      <c r="AC106" s="45">
        <v>2.3500000000000001E-3</v>
      </c>
      <c r="AD106" s="17">
        <f t="shared" si="1065"/>
        <v>37.910200000000003</v>
      </c>
      <c r="AE106" s="26">
        <f>IF(M106&gt;0,(AG106+AP106)/M106,0)</f>
        <v>2.4742271014133394E-3</v>
      </c>
      <c r="AF106" s="45">
        <v>3.2000000000000003E-4</v>
      </c>
      <c r="AG106" s="36">
        <f t="shared" si="1066"/>
        <v>5.1622400000000006</v>
      </c>
      <c r="AH106" s="27">
        <v>0.19320000000000001</v>
      </c>
      <c r="AI106" s="40">
        <f t="shared" si="1067"/>
        <v>33.8753016</v>
      </c>
      <c r="AJ106" s="27">
        <f t="shared" si="1068"/>
        <v>0.86526293495239015</v>
      </c>
      <c r="AK106" s="28">
        <f t="shared" si="672"/>
        <v>0.87207467360702895</v>
      </c>
      <c r="AL106" s="42">
        <v>191</v>
      </c>
      <c r="AM106" s="38">
        <v>8.2000000000000003E-2</v>
      </c>
      <c r="AN106" s="27">
        <v>0.19819999999999999</v>
      </c>
      <c r="AO106" s="105">
        <v>0.20419999999999999</v>
      </c>
      <c r="AP106" s="40">
        <f>AL106*(1-AM106)*AN106</f>
        <v>34.751991599999997</v>
      </c>
      <c r="AQ106" s="106">
        <f t="shared" si="717"/>
        <v>35.804019599999997</v>
      </c>
      <c r="AR106" s="17">
        <v>1.52</v>
      </c>
      <c r="AS106" s="17"/>
      <c r="AT106" s="129">
        <f>AT105+AL106-AS106</f>
        <v>661.33999999999855</v>
      </c>
      <c r="AU106" s="82"/>
      <c r="AV106" s="42"/>
      <c r="AW106" s="46"/>
      <c r="AX106" s="40"/>
      <c r="AY106" s="40"/>
      <c r="AZ106" s="40"/>
      <c r="BA106" s="40"/>
      <c r="BB106" s="31"/>
    </row>
    <row r="107" spans="1:54">
      <c r="A107" s="149"/>
      <c r="B107" s="47" t="s">
        <v>56</v>
      </c>
      <c r="C107" s="48"/>
      <c r="D107" s="49">
        <f t="shared" ref="D107" si="1070">SUM(D104:D106)</f>
        <v>39901</v>
      </c>
      <c r="E107" s="49"/>
      <c r="F107" s="49">
        <f t="shared" ref="F107" si="1071">SUM(F104:F106)</f>
        <v>43001</v>
      </c>
      <c r="G107" s="50"/>
      <c r="H107" s="50"/>
      <c r="I107" s="49">
        <f t="shared" ref="I107:K107" si="1072">SUM(I104:I106)</f>
        <v>42146</v>
      </c>
      <c r="J107" s="50"/>
      <c r="K107" s="49">
        <f t="shared" si="1072"/>
        <v>52091</v>
      </c>
      <c r="L107" s="20">
        <f t="shared" ref="L107" si="1073">IF(K107&gt;0,(K104*L104+K105*L105+K106*L106)/K107,0)</f>
        <v>7.1321667850492404E-2</v>
      </c>
      <c r="M107" s="50">
        <f t="shared" ref="M107" si="1074">M104+M105+M106</f>
        <v>48375</v>
      </c>
      <c r="N107" s="51">
        <f t="shared" ref="N107" si="1075">IF(M107&gt;0,O107/M107,0)</f>
        <v>0.57916107493540059</v>
      </c>
      <c r="O107" s="52">
        <f t="shared" ref="O107" si="1076">O104+O105+O106</f>
        <v>28016.917000000001</v>
      </c>
      <c r="P107" s="20">
        <f t="shared" ref="P107" si="1077">IF(M107&gt;0,Q107/M107,0)</f>
        <v>0.31162803100775194</v>
      </c>
      <c r="Q107" s="52">
        <f t="shared" ref="Q107" si="1078">Q104+Q105+Q106</f>
        <v>15075.005999999999</v>
      </c>
      <c r="R107" s="20">
        <f t="shared" ref="R107" si="1079">IF(M107&gt;0,T107/M107,0)</f>
        <v>0.10921089405684754</v>
      </c>
      <c r="S107" s="107"/>
      <c r="T107" s="52">
        <f t="shared" ref="T107" si="1080">T104+T105+T106</f>
        <v>5283.0770000000002</v>
      </c>
      <c r="U107" s="20">
        <f t="shared" ref="U107" si="1081">IF(M107&gt;0,V107/M107,0)</f>
        <v>0.26866912661498704</v>
      </c>
      <c r="V107" s="52">
        <f t="shared" ref="V107" si="1082">V104+V105+V106</f>
        <v>12996.868999999999</v>
      </c>
      <c r="W107" s="20">
        <f t="shared" ref="W107" si="1083">IF(M107&gt;0,X107/M107,0)</f>
        <v>0.46605895607235148</v>
      </c>
      <c r="X107" s="52">
        <f t="shared" ref="X107" si="1084">X104+X105+X106</f>
        <v>22545.602000000003</v>
      </c>
      <c r="Y107" s="20">
        <f t="shared" ref="Y107" si="1085">IF(M107&gt;0,Z107/M107,0)</f>
        <v>0.42</v>
      </c>
      <c r="Z107" s="52">
        <f t="shared" ref="Z107" si="1086">Z104+Z105+Z106</f>
        <v>20317.5</v>
      </c>
      <c r="AA107" s="119">
        <f t="shared" ref="AA107" si="1087">IF(M107&gt;0,AB107/M107,0)</f>
        <v>2.4629593798449613E-3</v>
      </c>
      <c r="AB107" s="54">
        <f t="shared" ref="AB107" si="1088">SUM(AB104:AB106)</f>
        <v>119.14565999999999</v>
      </c>
      <c r="AC107" s="53">
        <f t="shared" ref="AC107" si="1089">IF(M107&gt;0,AD107/M107,0)</f>
        <v>2.3866216020671837E-3</v>
      </c>
      <c r="AD107" s="54">
        <f t="shared" ref="AD107" si="1090">SUM(AD104:AD106)</f>
        <v>115.45282</v>
      </c>
      <c r="AE107" s="53">
        <f t="shared" ref="AE107" si="1091">IF(M107&gt;0,(AE104*M104+AE105*M105+AE106*M106)/M107,0)</f>
        <v>2.5077404279069764E-3</v>
      </c>
      <c r="AF107" s="53">
        <f t="shared" ref="AF107" si="1092">IF(K107&gt;0,(K104*AF104+K105*AF105+K106*AF106)/K107,0)</f>
        <v>3.1999999999999997E-4</v>
      </c>
      <c r="AG107" s="50">
        <f t="shared" ref="AG107" si="1093">SUM(AG104:AG106)</f>
        <v>15.48</v>
      </c>
      <c r="AH107" s="51">
        <f t="shared" ref="AH107" si="1094">IF(K107&gt;0,(K104*AH104+K105*AH105+K106*AH106)/K107,0)</f>
        <v>0.19965990862145092</v>
      </c>
      <c r="AI107" s="56">
        <f t="shared" ref="AI107" si="1095">SUM(AI104:AI106)</f>
        <v>101.5207542</v>
      </c>
      <c r="AJ107" s="51">
        <f t="shared" ref="AJ107" si="1096">IF(AND(AD107&gt;0),((AD104*AJ104+AD105*AJ105+AD106*AJ106)/AD107),0)</f>
        <v>0.86730998369832535</v>
      </c>
      <c r="AK107" s="55">
        <f t="shared" si="672"/>
        <v>0.87373893503367128</v>
      </c>
      <c r="AL107" s="49">
        <f t="shared" ref="AL107" si="1097">SUM(AL104:AL106)</f>
        <v>555</v>
      </c>
      <c r="AM107" s="20">
        <f t="shared" ref="AM107" si="1098">IF(AL107&gt;0,(AM104*AL104+AM105*AL105+AM106*AL106)/AL107,0)</f>
        <v>8.3005405405405408E-2</v>
      </c>
      <c r="AN107" s="51">
        <f>IF(K107&gt;0,(AN104*K104+AN105*K105+AN106*K106)/K107,0)</f>
        <v>0.20805655103568757</v>
      </c>
      <c r="AO107" s="107">
        <f>IF(L107&gt;0,(AO104*K104+AO105*K105+AO106*K106)/K107,0)</f>
        <v>0.2131795319728936</v>
      </c>
      <c r="AP107" s="56">
        <f t="shared" ref="AP107:AQ115" si="1099">SUM(AP104:AP106)</f>
        <v>105.83194319999998</v>
      </c>
      <c r="AQ107" s="108">
        <f t="shared" si="1099"/>
        <v>108.4063428</v>
      </c>
      <c r="AR107" s="54"/>
      <c r="AS107" s="54">
        <f t="shared" ref="AS107" si="1100">SUM(AS104:AS106)</f>
        <v>499.8</v>
      </c>
      <c r="AT107" s="83"/>
      <c r="AU107" s="84">
        <f>AT106</f>
        <v>661.33999999999855</v>
      </c>
      <c r="AV107" s="49">
        <f t="shared" ref="AV107" si="1101">SUM(AV104:AV106)</f>
        <v>0</v>
      </c>
      <c r="AW107" s="57"/>
      <c r="AX107" s="56"/>
      <c r="AY107" s="56"/>
      <c r="AZ107" s="56"/>
      <c r="BA107" s="56"/>
      <c r="BB107" s="21"/>
    </row>
    <row r="108" spans="1:54">
      <c r="A108" s="147">
        <v>27</v>
      </c>
      <c r="B108" s="22">
        <v>1</v>
      </c>
      <c r="C108" s="10" t="s">
        <v>59</v>
      </c>
      <c r="D108" s="11">
        <v>3479</v>
      </c>
      <c r="E108" s="11">
        <v>1</v>
      </c>
      <c r="F108" s="11">
        <v>15283</v>
      </c>
      <c r="G108" s="12">
        <v>1.3</v>
      </c>
      <c r="H108" s="12">
        <v>5.6</v>
      </c>
      <c r="I108" s="11">
        <v>15777</v>
      </c>
      <c r="J108" s="12">
        <v>7.8</v>
      </c>
      <c r="K108" s="11">
        <v>17555</v>
      </c>
      <c r="L108" s="13">
        <v>7.1999999999999995E-2</v>
      </c>
      <c r="M108" s="23">
        <f>ROUND(K108*(1-L108),0)</f>
        <v>16291</v>
      </c>
      <c r="N108" s="14">
        <v>0.68100000000000005</v>
      </c>
      <c r="O108" s="24">
        <f t="shared" ref="O108:O110" si="1102">M108*N108</f>
        <v>11094.171</v>
      </c>
      <c r="P108" s="13">
        <v>0.22700000000000001</v>
      </c>
      <c r="Q108" s="24">
        <f t="shared" ref="Q108:Q110" si="1103">M108*P108</f>
        <v>3698.0570000000002</v>
      </c>
      <c r="R108" s="15">
        <v>9.1999999999999998E-2</v>
      </c>
      <c r="S108" s="112">
        <v>0.23960000000000001</v>
      </c>
      <c r="T108" s="24">
        <f t="shared" ref="T108:T110" si="1104">M108*R108</f>
        <v>1498.7719999999999</v>
      </c>
      <c r="U108" s="25">
        <v>0.26300000000000001</v>
      </c>
      <c r="V108" s="24">
        <f t="shared" ref="V108:V110" si="1105">M108*U108</f>
        <v>4284.5330000000004</v>
      </c>
      <c r="W108" s="15">
        <v>0.45850000000000002</v>
      </c>
      <c r="X108" s="24">
        <f t="shared" ref="X108:X110" si="1106">M108*W108</f>
        <v>7469.4234999999999</v>
      </c>
      <c r="Y108" s="15">
        <v>0.42</v>
      </c>
      <c r="Z108" s="24">
        <f t="shared" ref="Z108:Z110" si="1107">Y108*M108</f>
        <v>6842.2199999999993</v>
      </c>
      <c r="AA108" s="116">
        <v>2.3600000000000001E-3</v>
      </c>
      <c r="AB108" s="18">
        <f t="shared" ref="AB108" si="1108">M108*AA108</f>
        <v>38.446760000000005</v>
      </c>
      <c r="AC108" s="16">
        <v>2.3900000000000002E-3</v>
      </c>
      <c r="AD108" s="17">
        <f t="shared" ref="AD108:AD110" si="1109">M108*AC108</f>
        <v>38.935490000000001</v>
      </c>
      <c r="AE108" s="26">
        <f>IF(M108&gt;0,(AG108+AP108)/M108,0)</f>
        <v>2.4007632435086861E-3</v>
      </c>
      <c r="AF108" s="16">
        <v>2.9E-4</v>
      </c>
      <c r="AG108" s="23">
        <f t="shared" ref="AG108:AG110" si="1110">AF108*M108</f>
        <v>4.7243899999999996</v>
      </c>
      <c r="AH108" s="92">
        <v>0.2051</v>
      </c>
      <c r="AI108" s="29">
        <f t="shared" ref="AI108:AI110" si="1111">AL108*(1-AM108)*AH108</f>
        <v>33.890724000000006</v>
      </c>
      <c r="AJ108" s="27">
        <f t="shared" ref="AJ108:AJ110" si="1112">IF(AND(AH108&gt;0,AF108&gt;0,AC108&gt;0),((AC108-AF108)*AH108)/((AH108-AF108)*AC108),0)</f>
        <v>0.87990522494672585</v>
      </c>
      <c r="AK108" s="58">
        <f t="shared" si="672"/>
        <v>0.88043201717625952</v>
      </c>
      <c r="AL108" s="11">
        <v>180</v>
      </c>
      <c r="AM108" s="13">
        <v>8.2000000000000003E-2</v>
      </c>
      <c r="AN108" s="14">
        <v>0.20810000000000001</v>
      </c>
      <c r="AO108" s="101">
        <v>0.20960000000000001</v>
      </c>
      <c r="AP108" s="29">
        <f>AL108*(1-AM108)*AN108</f>
        <v>34.386444000000004</v>
      </c>
      <c r="AQ108" s="102">
        <f t="shared" ref="AQ108" si="1113">AL108*(1-AM108)*AO108</f>
        <v>34.634304</v>
      </c>
      <c r="AR108" s="18">
        <v>1.5</v>
      </c>
      <c r="AS108" s="18">
        <v>382.42</v>
      </c>
      <c r="AT108" s="79">
        <f>AT106+AL108-AS108</f>
        <v>458.91999999999854</v>
      </c>
      <c r="AU108" s="80"/>
      <c r="AV108" s="11"/>
      <c r="AW108" s="30"/>
      <c r="AX108" s="19"/>
      <c r="AY108" s="19"/>
      <c r="AZ108" s="19"/>
      <c r="BA108" s="19"/>
      <c r="BB108" s="31"/>
    </row>
    <row r="109" spans="1:54">
      <c r="A109" s="148"/>
      <c r="B109" s="32">
        <v>2</v>
      </c>
      <c r="C109" s="143" t="s">
        <v>57</v>
      </c>
      <c r="D109" s="33">
        <v>19200</v>
      </c>
      <c r="E109" s="33">
        <v>8</v>
      </c>
      <c r="F109" s="33">
        <v>17501</v>
      </c>
      <c r="G109" s="34">
        <v>1.3</v>
      </c>
      <c r="H109" s="34">
        <v>6.4</v>
      </c>
      <c r="I109" s="33">
        <v>16910</v>
      </c>
      <c r="J109" s="34">
        <v>7.2</v>
      </c>
      <c r="K109" s="33">
        <v>17686</v>
      </c>
      <c r="L109" s="35">
        <v>6.7000000000000004E-2</v>
      </c>
      <c r="M109" s="36">
        <f>ROUND(K109*(1-L109),0)</f>
        <v>16501</v>
      </c>
      <c r="N109" s="37">
        <v>0.58199999999999996</v>
      </c>
      <c r="O109" s="24">
        <f t="shared" si="1102"/>
        <v>9603.5819999999985</v>
      </c>
      <c r="P109" s="35">
        <v>0.33100000000000002</v>
      </c>
      <c r="Q109" s="24">
        <f t="shared" si="1103"/>
        <v>5461.8310000000001</v>
      </c>
      <c r="R109" s="38">
        <v>8.6999999999999994E-2</v>
      </c>
      <c r="S109" s="105">
        <v>0.22739999999999999</v>
      </c>
      <c r="T109" s="24">
        <f t="shared" si="1104"/>
        <v>1435.587</v>
      </c>
      <c r="U109" s="27">
        <v>0.27500000000000002</v>
      </c>
      <c r="V109" s="24">
        <f t="shared" si="1105"/>
        <v>4537.7750000000005</v>
      </c>
      <c r="W109" s="38">
        <v>0.46100000000000002</v>
      </c>
      <c r="X109" s="24">
        <f t="shared" si="1106"/>
        <v>7606.9610000000002</v>
      </c>
      <c r="Y109" s="38">
        <v>0.43</v>
      </c>
      <c r="Z109" s="24">
        <f t="shared" si="1107"/>
        <v>7095.43</v>
      </c>
      <c r="AA109" s="117">
        <v>2.4299999999999999E-3</v>
      </c>
      <c r="AB109" s="18">
        <f t="shared" si="756"/>
        <v>40.097429999999996</v>
      </c>
      <c r="AC109" s="39">
        <v>2.4599999999999999E-3</v>
      </c>
      <c r="AD109" s="17">
        <f t="shared" si="1109"/>
        <v>40.592460000000003</v>
      </c>
      <c r="AE109" s="26">
        <f>IF(M109&gt;0,(AG109+AP109)/M109,0)</f>
        <v>2.4167823586449303E-3</v>
      </c>
      <c r="AF109" s="39">
        <v>2.9E-4</v>
      </c>
      <c r="AG109" s="36">
        <f t="shared" si="1110"/>
        <v>4.7852899999999998</v>
      </c>
      <c r="AH109" s="27">
        <v>0.20349999999999999</v>
      </c>
      <c r="AI109" s="40">
        <f t="shared" si="1111"/>
        <v>33.481651499999998</v>
      </c>
      <c r="AJ109" s="27">
        <f t="shared" si="1112"/>
        <v>0.88337268147052828</v>
      </c>
      <c r="AK109" s="28">
        <f t="shared" si="672"/>
        <v>0.88120381806932124</v>
      </c>
      <c r="AL109" s="33">
        <v>181</v>
      </c>
      <c r="AM109" s="35">
        <v>9.0999999999999998E-2</v>
      </c>
      <c r="AN109" s="37">
        <v>0.21329999999999999</v>
      </c>
      <c r="AO109" s="103">
        <v>0.2165</v>
      </c>
      <c r="AP109" s="40">
        <f>AL109*(1-AM109)*AN109</f>
        <v>35.094035699999999</v>
      </c>
      <c r="AQ109" s="104">
        <f t="shared" si="717"/>
        <v>35.620528499999999</v>
      </c>
      <c r="AR109" s="41">
        <v>1.5</v>
      </c>
      <c r="AS109" s="41"/>
      <c r="AT109" s="129">
        <f>AT108+AL109-AS109</f>
        <v>639.91999999999848</v>
      </c>
      <c r="AU109" s="82"/>
      <c r="AV109" s="42"/>
      <c r="AW109" s="43"/>
      <c r="AX109" s="44"/>
      <c r="AY109" s="44"/>
      <c r="AZ109" s="44"/>
      <c r="BA109" s="44"/>
      <c r="BB109" s="31"/>
    </row>
    <row r="110" spans="1:54">
      <c r="A110" s="148"/>
      <c r="B110" s="32">
        <v>3</v>
      </c>
      <c r="C110" s="10" t="s">
        <v>58</v>
      </c>
      <c r="D110" s="42">
        <v>21821</v>
      </c>
      <c r="E110" s="42">
        <v>2</v>
      </c>
      <c r="F110" s="42">
        <v>17523</v>
      </c>
      <c r="G110" s="36">
        <v>1.3</v>
      </c>
      <c r="H110" s="36">
        <v>6.7</v>
      </c>
      <c r="I110" s="42">
        <v>17223</v>
      </c>
      <c r="J110" s="36">
        <v>7.5</v>
      </c>
      <c r="K110" s="42">
        <v>17821</v>
      </c>
      <c r="L110" s="38">
        <v>6.9000000000000006E-2</v>
      </c>
      <c r="M110" s="36">
        <f>ROUND(K110*(1-L110),0)</f>
        <v>16591</v>
      </c>
      <c r="N110" s="27">
        <v>0.68</v>
      </c>
      <c r="O110" s="24">
        <f t="shared" si="1102"/>
        <v>11281.880000000001</v>
      </c>
      <c r="P110" s="38">
        <v>0.26500000000000001</v>
      </c>
      <c r="Q110" s="24">
        <f t="shared" si="1103"/>
        <v>4396.6149999999998</v>
      </c>
      <c r="R110" s="38">
        <v>5.5E-2</v>
      </c>
      <c r="S110" s="105">
        <v>0.2571</v>
      </c>
      <c r="T110" s="24">
        <f t="shared" si="1104"/>
        <v>912.505</v>
      </c>
      <c r="U110" s="27">
        <v>0.28999999999999998</v>
      </c>
      <c r="V110" s="24">
        <f t="shared" si="1105"/>
        <v>4811.3899999999994</v>
      </c>
      <c r="W110" s="38">
        <v>0.44700000000000001</v>
      </c>
      <c r="X110" s="24">
        <f t="shared" si="1106"/>
        <v>7416.1770000000006</v>
      </c>
      <c r="Y110" s="38">
        <v>0.43</v>
      </c>
      <c r="Z110" s="24">
        <f t="shared" si="1107"/>
        <v>7134.13</v>
      </c>
      <c r="AA110" s="118">
        <v>2.4399999999999999E-3</v>
      </c>
      <c r="AB110" s="121">
        <f t="shared" si="756"/>
        <v>40.482039999999998</v>
      </c>
      <c r="AC110" s="45">
        <v>2.4399999999999999E-3</v>
      </c>
      <c r="AD110" s="17">
        <f t="shared" si="1109"/>
        <v>40.482039999999998</v>
      </c>
      <c r="AE110" s="26">
        <f>IF(M110&gt;0,(AG110+AP110)/M110,0)</f>
        <v>2.488683081188596E-3</v>
      </c>
      <c r="AF110" s="45">
        <v>2.9E-4</v>
      </c>
      <c r="AG110" s="36">
        <f t="shared" si="1110"/>
        <v>4.8113900000000003</v>
      </c>
      <c r="AH110" s="27">
        <v>0.1991</v>
      </c>
      <c r="AI110" s="40">
        <f t="shared" si="1111"/>
        <v>34.967933000000002</v>
      </c>
      <c r="AJ110" s="27">
        <f t="shared" si="1112"/>
        <v>0.88243285252168446</v>
      </c>
      <c r="AK110" s="28">
        <f t="shared" si="672"/>
        <v>0.88470777556920432</v>
      </c>
      <c r="AL110" s="42">
        <v>193</v>
      </c>
      <c r="AM110" s="38">
        <v>0.09</v>
      </c>
      <c r="AN110" s="27">
        <v>0.2077</v>
      </c>
      <c r="AO110" s="105">
        <v>0.21190000000000001</v>
      </c>
      <c r="AP110" s="40">
        <f>AL110*(1-AM110)*AN110</f>
        <v>36.478350999999996</v>
      </c>
      <c r="AQ110" s="106">
        <f t="shared" si="717"/>
        <v>37.215997000000002</v>
      </c>
      <c r="AR110" s="17">
        <v>1.55</v>
      </c>
      <c r="AS110" s="17"/>
      <c r="AT110" s="129">
        <f>AT109+AL110-AS110</f>
        <v>832.91999999999848</v>
      </c>
      <c r="AU110" s="82"/>
      <c r="AV110" s="42"/>
      <c r="AW110" s="46"/>
      <c r="AX110" s="40"/>
      <c r="AY110" s="40"/>
      <c r="AZ110" s="40"/>
      <c r="BA110" s="40"/>
      <c r="BB110" s="31"/>
    </row>
    <row r="111" spans="1:54">
      <c r="A111" s="149"/>
      <c r="B111" s="47" t="s">
        <v>56</v>
      </c>
      <c r="C111" s="48"/>
      <c r="D111" s="49">
        <f t="shared" ref="D111" si="1114">SUM(D108:D110)</f>
        <v>44500</v>
      </c>
      <c r="E111" s="49"/>
      <c r="F111" s="49">
        <f t="shared" ref="F111" si="1115">SUM(F108:F110)</f>
        <v>50307</v>
      </c>
      <c r="G111" s="50"/>
      <c r="H111" s="50"/>
      <c r="I111" s="49">
        <f t="shared" ref="I111:K111" si="1116">SUM(I108:I110)</f>
        <v>49910</v>
      </c>
      <c r="J111" s="50"/>
      <c r="K111" s="49">
        <f t="shared" si="1116"/>
        <v>53062</v>
      </c>
      <c r="L111" s="20">
        <f t="shared" ref="L111" si="1117">IF(K111&gt;0,(K108*L108+K109*L109+K110*L110)/K111,0)</f>
        <v>6.9325901775281751E-2</v>
      </c>
      <c r="M111" s="50">
        <f t="shared" ref="M111" si="1118">M108+M109+M110</f>
        <v>49383</v>
      </c>
      <c r="N111" s="51">
        <f t="shared" ref="N111" si="1119">IF(M111&gt;0,O111/M111,0)</f>
        <v>0.64758384464289331</v>
      </c>
      <c r="O111" s="52">
        <f t="shared" ref="O111" si="1120">O108+O109+O110</f>
        <v>31979.632999999998</v>
      </c>
      <c r="P111" s="20">
        <f t="shared" ref="P111" si="1121">IF(M111&gt;0,Q111/M111,0)</f>
        <v>0.27451760727375818</v>
      </c>
      <c r="Q111" s="52">
        <f t="shared" ref="Q111" si="1122">Q108+Q109+Q110</f>
        <v>13556.503000000001</v>
      </c>
      <c r="R111" s="20">
        <f t="shared" ref="R111" si="1123">IF(M111&gt;0,T111/M111,0)</f>
        <v>7.7898548083348521E-2</v>
      </c>
      <c r="S111" s="107"/>
      <c r="T111" s="52">
        <f t="shared" ref="T111" si="1124">T108+T109+T110</f>
        <v>3846.864</v>
      </c>
      <c r="U111" s="20">
        <f t="shared" ref="U111" si="1125">IF(M111&gt;0,V111/M111,0)</f>
        <v>0.27608079703541705</v>
      </c>
      <c r="V111" s="52">
        <f t="shared" ref="V111" si="1126">V108+V109+V110</f>
        <v>13633.698</v>
      </c>
      <c r="W111" s="20">
        <f t="shared" ref="W111" si="1127">IF(M111&gt;0,X111/M111,0)</f>
        <v>0.45547175141242935</v>
      </c>
      <c r="X111" s="52">
        <f t="shared" ref="X111" si="1128">X108+X109+X110</f>
        <v>22492.5615</v>
      </c>
      <c r="Y111" s="20">
        <f t="shared" ref="Y111" si="1129">IF(M111&gt;0,Z111/M111,0)</f>
        <v>0.42670109146872404</v>
      </c>
      <c r="Z111" s="52">
        <f t="shared" ref="Z111" si="1130">Z108+Z109+Z110</f>
        <v>21071.78</v>
      </c>
      <c r="AA111" s="119">
        <f t="shared" ref="AA111" si="1131">IF(M111&gt;0,AB111/M111,0)</f>
        <v>2.4102672984630336E-3</v>
      </c>
      <c r="AB111" s="54">
        <f t="shared" ref="AB111" si="1132">SUM(AB108:AB110)</f>
        <v>119.02623</v>
      </c>
      <c r="AC111" s="53">
        <f t="shared" ref="AC111" si="1133">IF(M111&gt;0,AD111/M111,0)</f>
        <v>2.4301883239171377E-3</v>
      </c>
      <c r="AD111" s="54">
        <f t="shared" ref="AD111" si="1134">SUM(AD108:AD110)</f>
        <v>120.00999</v>
      </c>
      <c r="AE111" s="53">
        <f t="shared" ref="AE111" si="1135">IF(M111&gt;0,(AE108*M108+AE109*M109+AE110*M110)/M111,0)</f>
        <v>2.4356539841645908E-3</v>
      </c>
      <c r="AF111" s="53">
        <f t="shared" ref="AF111" si="1136">IF(K111&gt;0,(K108*AF108+K109*AF109+K110*AF110)/K111,0)</f>
        <v>2.9E-4</v>
      </c>
      <c r="AG111" s="50">
        <f t="shared" ref="AG111" si="1137">SUM(AG108:AG110)</f>
        <v>14.321069999999999</v>
      </c>
      <c r="AH111" s="51">
        <f t="shared" ref="AH111" si="1138">IF(K111&gt;0,(K108*AH108+K109*AH109+K110*AH110)/K111,0)</f>
        <v>0.20255159247672533</v>
      </c>
      <c r="AI111" s="56">
        <f t="shared" ref="AI111" si="1139">SUM(AI108:AI110)</f>
        <v>102.34030850000001</v>
      </c>
      <c r="AJ111" s="51">
        <f t="shared" ref="AJ111" si="1140">IF(AND(AD111&gt;0),((AD108*AJ108+AD109*AJ109+AD110*AJ110)/AD111),0)</f>
        <v>0.88193069058370122</v>
      </c>
      <c r="AK111" s="55">
        <f t="shared" si="672"/>
        <v>0.88215543277757225</v>
      </c>
      <c r="AL111" s="49">
        <f t="shared" ref="AL111" si="1141">SUM(AL108:AL110)</f>
        <v>554</v>
      </c>
      <c r="AM111" s="20">
        <f t="shared" ref="AM111" si="1142">IF(AL111&gt;0,(AM108*AL108+AM109*AL109+AM110*AL110)/AL111,0)</f>
        <v>8.7727436823104687E-2</v>
      </c>
      <c r="AN111" s="51">
        <f>IF(K111&gt;0,(AN108*K108+AN109*K109+AN110*K110)/K111,0)</f>
        <v>0.20969886170894428</v>
      </c>
      <c r="AO111" s="107">
        <f>IF(L111&gt;0,(AO108*K108+AO109*K109+AO110*K110)/K111,0)</f>
        <v>0.21267228713580344</v>
      </c>
      <c r="AP111" s="56">
        <f t="shared" ref="AP111" si="1143">SUM(AP108:AP110)</f>
        <v>105.95883069999999</v>
      </c>
      <c r="AQ111" s="108">
        <f t="shared" si="1099"/>
        <v>107.47082949999999</v>
      </c>
      <c r="AR111" s="54"/>
      <c r="AS111" s="54">
        <f t="shared" ref="AS111" si="1144">SUM(AS108:AS110)</f>
        <v>382.42</v>
      </c>
      <c r="AT111" s="83"/>
      <c r="AU111" s="84">
        <f>AT110</f>
        <v>832.91999999999848</v>
      </c>
      <c r="AV111" s="49">
        <f t="shared" ref="AV111" si="1145">SUM(AV108:AV110)</f>
        <v>0</v>
      </c>
      <c r="AW111" s="57"/>
      <c r="AX111" s="56"/>
      <c r="AY111" s="56"/>
      <c r="AZ111" s="56"/>
      <c r="BA111" s="56"/>
      <c r="BB111" s="21"/>
    </row>
    <row r="112" spans="1:54">
      <c r="A112" s="147">
        <v>28</v>
      </c>
      <c r="B112" s="22">
        <v>1</v>
      </c>
      <c r="C112" s="10" t="s">
        <v>53</v>
      </c>
      <c r="D112" s="11">
        <v>18500</v>
      </c>
      <c r="E112" s="11">
        <v>0</v>
      </c>
      <c r="F112" s="11">
        <v>20416</v>
      </c>
      <c r="G112" s="12">
        <v>2.4</v>
      </c>
      <c r="H112" s="12">
        <v>4.9000000000000004</v>
      </c>
      <c r="I112" s="11">
        <v>19558</v>
      </c>
      <c r="J112" s="12">
        <v>6.8</v>
      </c>
      <c r="K112" s="11">
        <v>17791</v>
      </c>
      <c r="L112" s="13">
        <v>6.7000000000000004E-2</v>
      </c>
      <c r="M112" s="23">
        <f>ROUND(K112*(1-L112),0)</f>
        <v>16599</v>
      </c>
      <c r="N112" s="14">
        <v>0.67100000000000004</v>
      </c>
      <c r="O112" s="24">
        <f t="shared" ref="O112:O114" si="1146">M112*N112</f>
        <v>11137.929</v>
      </c>
      <c r="P112" s="13">
        <v>0.27</v>
      </c>
      <c r="Q112" s="24">
        <f t="shared" ref="Q112:Q114" si="1147">M112*P112</f>
        <v>4481.7300000000005</v>
      </c>
      <c r="R112" s="15">
        <v>5.2999999999999999E-2</v>
      </c>
      <c r="S112" s="112">
        <v>0.25790000000000002</v>
      </c>
      <c r="T112" s="24">
        <f t="shared" ref="T112:T114" si="1148">M112*R112</f>
        <v>879.74699999999996</v>
      </c>
      <c r="U112" s="25">
        <v>0.27500000000000002</v>
      </c>
      <c r="V112" s="24">
        <f t="shared" ref="V112:V114" si="1149">M112*U112</f>
        <v>4564.7250000000004</v>
      </c>
      <c r="W112" s="15">
        <v>0.46300000000000002</v>
      </c>
      <c r="X112" s="24">
        <f t="shared" ref="X112:X114" si="1150">M112*W112</f>
        <v>7685.3370000000004</v>
      </c>
      <c r="Y112" s="15">
        <v>0.42</v>
      </c>
      <c r="Z112" s="24">
        <f t="shared" ref="Z112:Z114" si="1151">Y112*M112</f>
        <v>6971.58</v>
      </c>
      <c r="AA112" s="116">
        <v>2.48E-3</v>
      </c>
      <c r="AB112" s="18">
        <f t="shared" ref="AB112" si="1152">M112*AA112</f>
        <v>41.165520000000001</v>
      </c>
      <c r="AC112" s="16">
        <v>2.5000000000000001E-3</v>
      </c>
      <c r="AD112" s="17">
        <f t="shared" ref="AD112:AD114" si="1153">M112*AC112</f>
        <v>41.497500000000002</v>
      </c>
      <c r="AE112" s="26">
        <f>IF(M112&gt;0,(AG112+AP112)/M112,0)</f>
        <v>2.5305622266401594E-3</v>
      </c>
      <c r="AF112" s="16">
        <v>2.9999999999999997E-4</v>
      </c>
      <c r="AG112" s="23">
        <f t="shared" ref="AG112:AG114" si="1154">AF112*M112</f>
        <v>4.9796999999999993</v>
      </c>
      <c r="AH112" s="92">
        <v>0.20080000000000001</v>
      </c>
      <c r="AI112" s="29">
        <f t="shared" ref="AI112:AI114" si="1155">AL112*(1-AM112)*AH112</f>
        <v>34.245235200000003</v>
      </c>
      <c r="AJ112" s="27">
        <f t="shared" ref="AJ112:AJ114" si="1156">IF(AND(AH112&gt;0,AF112&gt;0,AC112&gt;0),((AC112-AF112)*AH112)/((AH112-AF112)*AC112),0)</f>
        <v>0.88131670822942632</v>
      </c>
      <c r="AK112" s="58">
        <f t="shared" si="672"/>
        <v>0.88266898733907562</v>
      </c>
      <c r="AL112" s="11">
        <v>187</v>
      </c>
      <c r="AM112" s="13">
        <v>8.7999999999999995E-2</v>
      </c>
      <c r="AN112" s="14">
        <v>0.21709999999999999</v>
      </c>
      <c r="AO112" s="101">
        <v>0.22059999999999999</v>
      </c>
      <c r="AP112" s="29">
        <f>AL112*(1-AM112)*AN112</f>
        <v>37.025102400000002</v>
      </c>
      <c r="AQ112" s="102">
        <f t="shared" ref="AQ112" si="1157">AL112*(1-AM112)*AO112</f>
        <v>37.622006400000004</v>
      </c>
      <c r="AR112" s="18">
        <v>1.62</v>
      </c>
      <c r="AS112" s="18"/>
      <c r="AT112" s="79">
        <f>AT110+AL112-AS112+AU112</f>
        <v>1059.4399999999985</v>
      </c>
      <c r="AU112" s="80">
        <v>39.520000000000003</v>
      </c>
      <c r="AV112" s="11"/>
      <c r="AW112" s="30"/>
      <c r="AX112" s="19"/>
      <c r="AY112" s="19"/>
      <c r="AZ112" s="19"/>
      <c r="BA112" s="19"/>
      <c r="BB112" s="31"/>
    </row>
    <row r="113" spans="1:54">
      <c r="A113" s="148"/>
      <c r="B113" s="32">
        <v>2</v>
      </c>
      <c r="C113" s="143" t="s">
        <v>57</v>
      </c>
      <c r="D113" s="33">
        <v>19500</v>
      </c>
      <c r="E113" s="33">
        <v>4</v>
      </c>
      <c r="F113" s="33">
        <v>17806</v>
      </c>
      <c r="G113" s="34">
        <v>1.2</v>
      </c>
      <c r="H113" s="34">
        <v>4.5999999999999996</v>
      </c>
      <c r="I113" s="33">
        <v>18022</v>
      </c>
      <c r="J113" s="34">
        <v>6.2</v>
      </c>
      <c r="K113" s="33">
        <v>17822</v>
      </c>
      <c r="L113" s="35">
        <v>7.2999999999999995E-2</v>
      </c>
      <c r="M113" s="36">
        <f>ROUND(K113*(1-L113),0)</f>
        <v>16521</v>
      </c>
      <c r="N113" s="37">
        <v>0.63</v>
      </c>
      <c r="O113" s="24">
        <f t="shared" si="1146"/>
        <v>10408.23</v>
      </c>
      <c r="P113" s="35">
        <v>0.34300000000000003</v>
      </c>
      <c r="Q113" s="24">
        <f t="shared" si="1147"/>
        <v>5666.7030000000004</v>
      </c>
      <c r="R113" s="38">
        <v>2.7E-2</v>
      </c>
      <c r="S113" s="105">
        <v>0.25209999999999999</v>
      </c>
      <c r="T113" s="24">
        <f t="shared" si="1148"/>
        <v>446.06700000000001</v>
      </c>
      <c r="U113" s="27">
        <v>0.28199999999999997</v>
      </c>
      <c r="V113" s="24">
        <f t="shared" si="1149"/>
        <v>4658.9219999999996</v>
      </c>
      <c r="W113" s="38">
        <v>0.45200000000000001</v>
      </c>
      <c r="X113" s="24">
        <f t="shared" si="1150"/>
        <v>7467.4920000000002</v>
      </c>
      <c r="Y113" s="38">
        <v>0.43</v>
      </c>
      <c r="Z113" s="24">
        <f t="shared" si="1151"/>
        <v>7104.03</v>
      </c>
      <c r="AA113" s="117">
        <v>2.5300000000000001E-3</v>
      </c>
      <c r="AB113" s="18">
        <f t="shared" si="756"/>
        <v>41.79813</v>
      </c>
      <c r="AC113" s="39">
        <v>2.4499999999999999E-3</v>
      </c>
      <c r="AD113" s="17">
        <f t="shared" si="1153"/>
        <v>40.47645</v>
      </c>
      <c r="AE113" s="26">
        <f>IF(M113&gt;0,(AG113+AP113)/M113,0)</f>
        <v>2.386958561830398E-3</v>
      </c>
      <c r="AF113" s="39">
        <v>2.7999999999999998E-4</v>
      </c>
      <c r="AG113" s="36">
        <f t="shared" si="1154"/>
        <v>4.6258799999999995</v>
      </c>
      <c r="AH113" s="27">
        <v>0.2041</v>
      </c>
      <c r="AI113" s="40">
        <f t="shared" si="1155"/>
        <v>34.928857600000001</v>
      </c>
      <c r="AJ113" s="27">
        <f t="shared" si="1156"/>
        <v>0.88693104560045988</v>
      </c>
      <c r="AK113" s="28">
        <f t="shared" si="672"/>
        <v>0.88391270313751602</v>
      </c>
      <c r="AL113" s="33">
        <v>191</v>
      </c>
      <c r="AM113" s="35">
        <v>0.104</v>
      </c>
      <c r="AN113" s="37">
        <v>0.2034</v>
      </c>
      <c r="AO113" s="103">
        <v>0.1973</v>
      </c>
      <c r="AP113" s="40">
        <f>AL113*(1-AM113)*AN113</f>
        <v>34.809062400000002</v>
      </c>
      <c r="AQ113" s="104">
        <f t="shared" si="717"/>
        <v>33.765132799999996</v>
      </c>
      <c r="AR113" s="41">
        <v>1.55</v>
      </c>
      <c r="AS113" s="41"/>
      <c r="AT113" s="129">
        <f>AT112+AL113-AS113</f>
        <v>1250.4399999999985</v>
      </c>
      <c r="AU113" s="82"/>
      <c r="AV113" s="42"/>
      <c r="AW113" s="43"/>
      <c r="AX113" s="44"/>
      <c r="AY113" s="44"/>
      <c r="AZ113" s="44"/>
      <c r="BA113" s="44"/>
      <c r="BB113" s="31"/>
    </row>
    <row r="114" spans="1:54">
      <c r="A114" s="148"/>
      <c r="B114" s="32">
        <v>3</v>
      </c>
      <c r="C114" s="10" t="s">
        <v>58</v>
      </c>
      <c r="D114" s="42">
        <v>17500</v>
      </c>
      <c r="E114" s="42">
        <v>2</v>
      </c>
      <c r="F114" s="42">
        <v>18908</v>
      </c>
      <c r="G114" s="36">
        <v>0.6</v>
      </c>
      <c r="H114" s="36">
        <v>5.6</v>
      </c>
      <c r="I114" s="42">
        <v>17861</v>
      </c>
      <c r="J114" s="36">
        <v>5.3</v>
      </c>
      <c r="K114" s="42">
        <v>17008</v>
      </c>
      <c r="L114" s="38">
        <v>7.2999999999999995E-2</v>
      </c>
      <c r="M114" s="36">
        <f>ROUND(K114*(1-L114),0)</f>
        <v>15766</v>
      </c>
      <c r="N114" s="27">
        <v>0.76500000000000001</v>
      </c>
      <c r="O114" s="24">
        <f t="shared" si="1146"/>
        <v>12060.99</v>
      </c>
      <c r="P114" s="38">
        <v>0.21099999999999999</v>
      </c>
      <c r="Q114" s="24">
        <f t="shared" si="1147"/>
        <v>3326.6259999999997</v>
      </c>
      <c r="R114" s="38">
        <v>2.4E-2</v>
      </c>
      <c r="S114" s="105">
        <v>0.25769999999999998</v>
      </c>
      <c r="T114" s="24">
        <f t="shared" si="1148"/>
        <v>378.38400000000001</v>
      </c>
      <c r="U114" s="27">
        <v>0.27600000000000002</v>
      </c>
      <c r="V114" s="24">
        <f t="shared" si="1149"/>
        <v>4351.4160000000002</v>
      </c>
      <c r="W114" s="38">
        <v>0.46200000000000002</v>
      </c>
      <c r="X114" s="24">
        <f t="shared" si="1150"/>
        <v>7283.8920000000007</v>
      </c>
      <c r="Y114" s="38">
        <v>0.43</v>
      </c>
      <c r="Z114" s="24">
        <f t="shared" si="1151"/>
        <v>6779.38</v>
      </c>
      <c r="AA114" s="118">
        <v>2.4399999999999999E-3</v>
      </c>
      <c r="AB114" s="121">
        <f t="shared" si="756"/>
        <v>38.46904</v>
      </c>
      <c r="AC114" s="45">
        <v>2.4399999999999999E-3</v>
      </c>
      <c r="AD114" s="17">
        <f t="shared" si="1153"/>
        <v>38.46904</v>
      </c>
      <c r="AE114" s="26">
        <f>IF(M114&gt;0,(AG114+AP114)/M114,0)</f>
        <v>2.5624168971203859E-3</v>
      </c>
      <c r="AF114" s="45">
        <v>2.7999999999999998E-4</v>
      </c>
      <c r="AG114" s="36">
        <f t="shared" si="1154"/>
        <v>4.4144799999999993</v>
      </c>
      <c r="AH114" s="27">
        <v>0.20549999999999999</v>
      </c>
      <c r="AI114" s="40">
        <f t="shared" si="1155"/>
        <v>33.400326</v>
      </c>
      <c r="AJ114" s="27">
        <f t="shared" si="1156"/>
        <v>0.88645372179556203</v>
      </c>
      <c r="AK114" s="28">
        <f t="shared" si="672"/>
        <v>0.89185607551786983</v>
      </c>
      <c r="AL114" s="42">
        <v>179</v>
      </c>
      <c r="AM114" s="38">
        <v>9.1999999999999998E-2</v>
      </c>
      <c r="AN114" s="27">
        <v>0.22140000000000001</v>
      </c>
      <c r="AO114" s="105">
        <v>0.22059999999999999</v>
      </c>
      <c r="AP114" s="40">
        <f>AL114*(1-AM114)*AN114</f>
        <v>35.984584800000007</v>
      </c>
      <c r="AQ114" s="106">
        <f t="shared" si="717"/>
        <v>35.854559200000004</v>
      </c>
      <c r="AR114" s="17">
        <v>1.55</v>
      </c>
      <c r="AS114" s="17"/>
      <c r="AT114" s="129">
        <f>AT113+AL114-AS114</f>
        <v>1429.4399999999985</v>
      </c>
      <c r="AU114" s="82"/>
      <c r="AV114" s="42"/>
      <c r="AW114" s="46"/>
      <c r="AX114" s="40"/>
      <c r="AY114" s="40"/>
      <c r="AZ114" s="40"/>
      <c r="BA114" s="40"/>
      <c r="BB114" s="31"/>
    </row>
    <row r="115" spans="1:54">
      <c r="A115" s="149"/>
      <c r="B115" s="47" t="s">
        <v>56</v>
      </c>
      <c r="C115" s="48"/>
      <c r="D115" s="49">
        <f t="shared" ref="D115" si="1158">SUM(D112:D114)</f>
        <v>55500</v>
      </c>
      <c r="E115" s="49"/>
      <c r="F115" s="49">
        <f t="shared" ref="F115" si="1159">SUM(F112:F114)</f>
        <v>57130</v>
      </c>
      <c r="G115" s="50"/>
      <c r="H115" s="50"/>
      <c r="I115" s="49">
        <f t="shared" ref="I115:K115" si="1160">SUM(I112:I114)</f>
        <v>55441</v>
      </c>
      <c r="J115" s="50"/>
      <c r="K115" s="49">
        <f t="shared" si="1160"/>
        <v>52621</v>
      </c>
      <c r="L115" s="20">
        <f t="shared" ref="L115" si="1161">IF(K115&gt;0,(K112*L112+K113*L113+K114*L114)/K115,0)</f>
        <v>7.0971418255069266E-2</v>
      </c>
      <c r="M115" s="50">
        <f t="shared" ref="M115" si="1162">M112+M113+M114</f>
        <v>48886</v>
      </c>
      <c r="N115" s="51">
        <f t="shared" ref="N115" si="1163">IF(M115&gt;0,O115/M115,0)</f>
        <v>0.68745957942969349</v>
      </c>
      <c r="O115" s="52">
        <f t="shared" ref="O115" si="1164">O112+O113+O114</f>
        <v>33607.148999999998</v>
      </c>
      <c r="P115" s="20">
        <f t="shared" ref="P115" si="1165">IF(M115&gt;0,Q115/M115,0)</f>
        <v>0.27564249478378272</v>
      </c>
      <c r="Q115" s="52">
        <f t="shared" ref="Q115" si="1166">Q112+Q113+Q114</f>
        <v>13475.059000000001</v>
      </c>
      <c r="R115" s="20">
        <f t="shared" ref="R115" si="1167">IF(M115&gt;0,T115/M115,0)</f>
        <v>3.4860655402364681E-2</v>
      </c>
      <c r="S115" s="107"/>
      <c r="T115" s="52">
        <f t="shared" ref="T115" si="1168">T112+T113+T114</f>
        <v>1704.1979999999999</v>
      </c>
      <c r="U115" s="20">
        <f t="shared" ref="U115" si="1169">IF(M115&gt;0,V115/M115,0)</f>
        <v>0.27768815202716529</v>
      </c>
      <c r="V115" s="52">
        <f t="shared" ref="V115" si="1170">V112+V113+V114</f>
        <v>13575.063000000002</v>
      </c>
      <c r="W115" s="20">
        <f t="shared" ref="W115" si="1171">IF(M115&gt;0,X115/M115,0)</f>
        <v>0.45896004991204026</v>
      </c>
      <c r="X115" s="52">
        <f t="shared" ref="X115" si="1172">X112+X113+X114</f>
        <v>22436.721000000001</v>
      </c>
      <c r="Y115" s="20">
        <f t="shared" ref="Y115" si="1173">IF(M115&gt;0,Z115/M115,0)</f>
        <v>0.42660454935973491</v>
      </c>
      <c r="Z115" s="52">
        <f t="shared" ref="Z115" si="1174">Z112+Z113+Z114</f>
        <v>20854.990000000002</v>
      </c>
      <c r="AA115" s="119">
        <f t="shared" ref="AA115" si="1175">IF(M115&gt;0,AB115/M115,0)</f>
        <v>2.4839972589289368E-3</v>
      </c>
      <c r="AB115" s="54">
        <f t="shared" ref="AB115" si="1176">SUM(AB112:AB114)</f>
        <v>121.43269000000001</v>
      </c>
      <c r="AC115" s="53">
        <f t="shared" ref="AC115" si="1177">IF(M115&gt;0,AD115/M115,0)</f>
        <v>2.4637521989935769E-3</v>
      </c>
      <c r="AD115" s="54">
        <f t="shared" ref="AD115" si="1178">SUM(AD112:AD114)</f>
        <v>120.44299000000001</v>
      </c>
      <c r="AE115" s="53">
        <f t="shared" ref="AE115" si="1179">IF(M115&gt;0,(AE112*M112+AE113*M113+AE114*M114)/M115,0)</f>
        <v>2.4923047416438248E-3</v>
      </c>
      <c r="AF115" s="53">
        <f t="shared" ref="AF115" si="1180">IF(K115&gt;0,(K112*AF112+K113*AF113+K114*AF114)/K115,0)</f>
        <v>2.8676193914976903E-4</v>
      </c>
      <c r="AG115" s="50">
        <f t="shared" ref="AG115" si="1181">SUM(AG112:AG114)</f>
        <v>14.020059999999999</v>
      </c>
      <c r="AH115" s="51">
        <f t="shared" ref="AH115" si="1182">IF(K115&gt;0,(K112*AH112+K113*AH113+K114*AH114)/K115,0)</f>
        <v>0.20343678379354252</v>
      </c>
      <c r="AI115" s="56">
        <f t="shared" ref="AI115" si="1183">SUM(AI112:AI114)</f>
        <v>102.57441880000002</v>
      </c>
      <c r="AJ115" s="51">
        <f t="shared" ref="AJ115" si="1184">IF(AND(AD115&gt;0),((AD112*AJ112+AD113*AJ113+AD114*AJ114)/AD115),0)</f>
        <v>0.88484422300000765</v>
      </c>
      <c r="AK115" s="55">
        <f t="shared" si="672"/>
        <v>0.88612931616116597</v>
      </c>
      <c r="AL115" s="49">
        <f t="shared" ref="AL115" si="1185">SUM(AL112:AL114)</f>
        <v>557</v>
      </c>
      <c r="AM115" s="20">
        <f t="shared" ref="AM115" si="1186">IF(AL115&gt;0,(AM112*AL112+AM113*AL113+AM114*AL114)/AL115,0)</f>
        <v>9.4771992818671449E-2</v>
      </c>
      <c r="AN115" s="51">
        <f>IF(K115&gt;0,(AN112*K112+AN113*K113+AN114*K114)/K115,0)</f>
        <v>0.21384983371657701</v>
      </c>
      <c r="AO115" s="107">
        <f>IF(L115&gt;0,(AO112*K112+AO113*K113+AO114*K114)/K115,0)</f>
        <v>0.21270861443150071</v>
      </c>
      <c r="AP115" s="56">
        <f t="shared" ref="AP115" si="1187">SUM(AP112:AP114)</f>
        <v>107.8187496</v>
      </c>
      <c r="AQ115" s="108">
        <f t="shared" si="1099"/>
        <v>107.24169840000002</v>
      </c>
      <c r="AR115" s="54"/>
      <c r="AS115" s="54">
        <f t="shared" ref="AS115" si="1188">SUM(AS112:AS114)</f>
        <v>0</v>
      </c>
      <c r="AT115" s="83"/>
      <c r="AU115" s="84">
        <f>AT114</f>
        <v>1429.4399999999985</v>
      </c>
      <c r="AV115" s="49">
        <f t="shared" ref="AV115" si="1189">SUM(AV112:AV114)</f>
        <v>0</v>
      </c>
      <c r="AW115" s="57"/>
      <c r="AX115" s="56"/>
      <c r="AY115" s="56"/>
      <c r="AZ115" s="56"/>
      <c r="BA115" s="56"/>
      <c r="BB115" s="21"/>
    </row>
  </sheetData>
  <protectedRanges>
    <protectedRange sqref="Q1 V1 X1 Z1 O1 T1 AG1 AD1:AE1 AP1:AQ1 M1 AK1" name="Range1_1_1_1_1_1_1_1_1"/>
    <protectedRange sqref="AI1:AJ1" name="Range1_1_1_1_1_1_1"/>
    <protectedRange sqref="AB1" name="Range1_1_1_1_1_1_1_1_1_1_1_1_1"/>
    <protectedRange sqref="Q2:Q3 V2:V3 X2:X3 Z2:Z3 AP2:AQ115 O2:O3 T2:T3 AG2:AG3 AK2:AK115 AD2:AE3 M2:M115" name="Range1_1_1_1_1_1_1_1_1_1"/>
    <protectedRange sqref="AH3:AJ3 AH7:AJ7 AI2:AJ2 AH4:AI6 AH11:AJ11 AH15:AJ15 AH19:AJ19 AH23:AJ23 AH27:AJ27 AH31:AJ31 AH35:AJ35 AH39:AJ39 AH43:AJ43 AH47:AJ47 AH51:AJ51 AH55:AJ55 AH59:AJ59 AH63:AJ63 AH67:AJ67 AH71:AJ71 AH75:AJ75 AH79:AJ79 AH83:AJ83 AH87:AJ87 AH91:AJ91 AH95:AJ95 AH99:AJ99 AH103:AJ103 AH107:AJ107 AH111:AJ111 AH115:AJ115 AH8:AI10 AH12:AI14 AH16:AI18 AH20:AI22 AH24:AI26 AH28:AI30 AH32:AI34 AH36:AI38 AH40:AI42 AH44:AI46 AH48:AI50 AH52:AI54 AH56:AI58 AH60:AI62 AH64:AI66 AH68:AI70 AH72:AI74 AH76:AI78 AH80:AI82 AH84:AI86 AH88:AI90 AH92:AI94 AH96:AI98 AH100:AI102 AH104:AI106 AH108:AI110 AH112:AI114" name="Range1_1_1_1_1_1_1_1"/>
    <protectedRange sqref="AJ4:AJ6 AJ8:AJ10 AJ12:AJ14 AJ16:AJ18 AJ20:AJ22 AJ24:AJ26 AJ28:AJ30 AJ32:AJ34 AJ36:AJ38 AJ40:AJ42 AJ44:AJ46 AJ48:AJ50 AJ52:AJ54 AJ56:AJ58 AJ60:AJ62 AJ64:AJ66 AJ68:AJ70 AJ72:AJ74 AJ76:AJ78 AJ80:AJ82 AJ84:AJ86 AJ88:AJ90 AJ92:AJ94 AJ96:AJ98 AJ100:AJ102 AJ104:AJ106 AJ108:AJ110 AJ112:AJ114" name="Range1_1_1_1"/>
    <protectedRange sqref="AD7:AE7 AD4:AD6 AD11:AE11 AD8:AD10 AD15:AE15 AD12:AD14 AD19:AE19 AD16:AD18 AD23:AE23 AD20:AD22 AD27:AE27 AD24:AD26 AD31:AE31 AD28:AD30 AD35:AE35 AD32:AD34 AD39:AE39 AD36:AD38 AD43:AE43 AD40:AD42 AD47:AE47 AD44:AD46 AD51:AE51 AD48:AD50 AD55:AE55 AD52:AD54 AD59:AE59 AD56:AD58 AD63:AE63 AD60:AD62 AD67:AE67 AD64:AD66 AD71:AE71 AD68:AD70 AD75:AE75 AD72:AD74 AD79:AE79 AD76:AD78 AD83:AE83 AD80:AD82 AD87:AE87 AD84:AD86 AD91:AE91 AD88:AD90 AD95:AE95 AD92:AD94 AD99:AE99 AD96:AD98 AD103:AE103 AD100:AD102 AD107:AE107 AD104:AD106 AD111:AE111 AD108:AD110 AD115:AE115 AD112:AD114" name="Range1_1_1_1_1_2_2_1"/>
    <protectedRange sqref="O4:O115" name="Range1_1_1_1_1_5_1_1"/>
    <protectedRange sqref="Q4:Q115" name="Range1_1_1_1_1_7_1_1"/>
    <protectedRange sqref="T4:T115" name="Range1_1_1_1_1_8_1_1"/>
    <protectedRange sqref="V4:V115" name="Range1_1_1_1_1_10_1_1"/>
    <protectedRange sqref="X4:X115" name="Range1_1_1_1_1_12_1_1"/>
    <protectedRange sqref="Z4:Z115" name="Range1_1_1_1_1_16_1_1"/>
    <protectedRange sqref="AG4:AG115" name="Range1_1_1_1_1_18_1_1"/>
    <protectedRange sqref="AE4:AE6" name="Range1_1_1_1_1_2_1_31_1_1"/>
    <protectedRange sqref="AE8:AE10" name="Range1_1_1_1_1_2_1_1_2_1_1"/>
    <protectedRange sqref="AE12:AE14" name="Range1_1_1_1_1_2_1_2_1_1_1"/>
    <protectedRange sqref="AE16:AE18" name="Range1_1_1_1_1_2_1_3_1_1_1"/>
    <protectedRange sqref="AE20:AE22" name="Range1_1_1_1_1_2_1_4_1_1_1"/>
    <protectedRange sqref="AE24:AE26" name="Range1_1_1_1_1_2_1_5_1_1_1"/>
    <protectedRange sqref="AE28:AE30" name="Range1_1_1_1_1_2_1_6_1_1_1"/>
    <protectedRange sqref="AE32:AE34" name="Range1_1_1_1_1_2_1_7_1_1_1"/>
    <protectedRange sqref="AE36:AE38" name="Range1_1_1_1_1_2_1_8_1_1_1"/>
    <protectedRange sqref="AE40:AE42" name="Range1_1_1_1_1_2_1_9_1_1_1"/>
    <protectedRange sqref="AE44:AE46" name="Range1_1_1_1_1_2_1_10_1_1_1"/>
    <protectedRange sqref="AE48:AE50" name="Range1_1_1_1_1_2_1_11_1_1_1"/>
    <protectedRange sqref="AE52:AE54" name="Range1_1_1_1_1_2_1_12_1_1_1"/>
    <protectedRange sqref="AE56:AE58" name="Range1_1_1_1_1_2_1_13_1_1_1"/>
    <protectedRange sqref="AE60:AE62" name="Range1_1_1_1_1_2_1_14_1_1_1"/>
    <protectedRange sqref="AE64:AE66" name="Range1_1_1_1_1_2_1_15_1_1_1"/>
    <protectedRange sqref="AE68:AE70" name="Range1_1_1_1_1_2_1_16_1_1_1"/>
    <protectedRange sqref="AE72:AE74" name="Range1_1_1_1_1_2_1_17_1_1_1"/>
    <protectedRange sqref="AE76:AE78" name="Range1_1_1_1_1_2_1_18_1_1_1"/>
    <protectedRange sqref="AE80:AE82" name="Range1_1_1_1_1_2_1_19_1_1_1"/>
    <protectedRange sqref="AE84:AE86" name="Range1_1_1_1_1_2_1_20_1_1_1"/>
    <protectedRange sqref="AE88:AE90" name="Range1_1_1_1_1_2_1_21_1_1_1"/>
    <protectedRange sqref="AE92:AE94" name="Range1_1_1_1_1_2_1_22_1_1_1"/>
    <protectedRange sqref="AE96:AE98" name="Range1_1_1_1_1_2_1_23_1_1_1"/>
    <protectedRange sqref="AE100:AE102" name="Range1_1_1_1_1_2_1_24_1_1_1"/>
    <protectedRange sqref="AE104:AE106" name="Range1_1_1_1_1_2_1_25_1_1_1"/>
    <protectedRange sqref="AE108:AE110" name="Range1_1_1_1_1_2_1_26_1_1_1"/>
    <protectedRange sqref="AE112:AE114" name="Range1_1_1_1_1_2_1_27_1_1_1"/>
    <protectedRange sqref="AA3" name="Range1_1_1_1_1_1_1_1_1_1_1"/>
    <protectedRange sqref="AB3" name="Range1_1_1_1_1_1_1_1_1_1_1_1"/>
    <protectedRange sqref="AB4:AB115" name="Range1_1_1_1_1_2_2_1_1_1"/>
  </protectedRanges>
  <mergeCells count="30">
    <mergeCell ref="A112:A115"/>
    <mergeCell ref="A68:A71"/>
    <mergeCell ref="A72:A75"/>
    <mergeCell ref="A76:A79"/>
    <mergeCell ref="A80:A83"/>
    <mergeCell ref="A84:A87"/>
    <mergeCell ref="A88:A91"/>
    <mergeCell ref="A92:A95"/>
    <mergeCell ref="A96:A99"/>
    <mergeCell ref="A100:A103"/>
    <mergeCell ref="A104:A107"/>
    <mergeCell ref="A108:A111"/>
    <mergeCell ref="A64:A67"/>
    <mergeCell ref="A20:A23"/>
    <mergeCell ref="A24:A27"/>
    <mergeCell ref="A28:A31"/>
    <mergeCell ref="A32:A35"/>
    <mergeCell ref="A36:A39"/>
    <mergeCell ref="A40:A43"/>
    <mergeCell ref="A44:A47"/>
    <mergeCell ref="A48:A51"/>
    <mergeCell ref="A52:A55"/>
    <mergeCell ref="A56:A59"/>
    <mergeCell ref="A60:A63"/>
    <mergeCell ref="A16:A19"/>
    <mergeCell ref="AX1:AY1"/>
    <mergeCell ref="AZ1:BA1"/>
    <mergeCell ref="A4:A7"/>
    <mergeCell ref="A8:A11"/>
    <mergeCell ref="A12:A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8F95A-5571-4A16-BCEC-3B8B441AE919}">
  <dimension ref="A1:BB119"/>
  <sheetViews>
    <sheetView tabSelected="1" workbookViewId="0">
      <selection sqref="A1:XFD1"/>
    </sheetView>
  </sheetViews>
  <sheetFormatPr defaultRowHeight="15"/>
  <sheetData>
    <row r="1" spans="1:54" ht="89.25">
      <c r="A1" s="122" t="s">
        <v>0</v>
      </c>
      <c r="B1" s="124" t="s">
        <v>1</v>
      </c>
      <c r="C1" s="126" t="s">
        <v>2</v>
      </c>
      <c r="D1" s="97" t="s">
        <v>3</v>
      </c>
      <c r="E1" s="97" t="s">
        <v>4</v>
      </c>
      <c r="F1" s="97" t="s">
        <v>5</v>
      </c>
      <c r="G1" s="2" t="s">
        <v>6</v>
      </c>
      <c r="H1" s="97" t="s">
        <v>7</v>
      </c>
      <c r="I1" s="97" t="s">
        <v>8</v>
      </c>
      <c r="J1" s="95" t="s">
        <v>9</v>
      </c>
      <c r="K1" s="97" t="s">
        <v>10</v>
      </c>
      <c r="L1" s="97" t="s">
        <v>11</v>
      </c>
      <c r="M1" s="97" t="s">
        <v>12</v>
      </c>
      <c r="N1" s="97" t="s">
        <v>13</v>
      </c>
      <c r="O1" s="97"/>
      <c r="P1" s="1" t="s">
        <v>14</v>
      </c>
      <c r="Q1" s="1"/>
      <c r="R1" s="1" t="s">
        <v>15</v>
      </c>
      <c r="S1" s="99" t="s">
        <v>16</v>
      </c>
      <c r="T1" s="1"/>
      <c r="U1" s="97" t="s">
        <v>17</v>
      </c>
      <c r="V1" s="97"/>
      <c r="W1" s="97" t="s">
        <v>18</v>
      </c>
      <c r="X1" s="97"/>
      <c r="Y1" s="97" t="s">
        <v>19</v>
      </c>
      <c r="Z1" s="97"/>
      <c r="AA1" s="113" t="s">
        <v>20</v>
      </c>
      <c r="AB1" s="99" t="s">
        <v>21</v>
      </c>
      <c r="AC1" s="97" t="s">
        <v>22</v>
      </c>
      <c r="AD1" s="97" t="s">
        <v>23</v>
      </c>
      <c r="AE1" s="97" t="s">
        <v>24</v>
      </c>
      <c r="AF1" s="97" t="s">
        <v>25</v>
      </c>
      <c r="AG1" s="97" t="s">
        <v>26</v>
      </c>
      <c r="AH1" s="89" t="s">
        <v>27</v>
      </c>
      <c r="AI1" s="3" t="s">
        <v>28</v>
      </c>
      <c r="AJ1" s="97" t="s">
        <v>29</v>
      </c>
      <c r="AK1" s="97" t="s">
        <v>30</v>
      </c>
      <c r="AL1" s="97" t="s">
        <v>31</v>
      </c>
      <c r="AM1" s="2" t="s">
        <v>32</v>
      </c>
      <c r="AN1" s="3" t="s">
        <v>33</v>
      </c>
      <c r="AO1" s="98" t="s">
        <v>34</v>
      </c>
      <c r="AP1" s="97" t="s">
        <v>35</v>
      </c>
      <c r="AQ1" s="99" t="s">
        <v>36</v>
      </c>
      <c r="AR1" s="97" t="s">
        <v>37</v>
      </c>
      <c r="AS1" s="71" t="s">
        <v>38</v>
      </c>
      <c r="AT1" s="72" t="s">
        <v>39</v>
      </c>
      <c r="AU1" s="73" t="s">
        <v>39</v>
      </c>
      <c r="AV1" s="4" t="s">
        <v>40</v>
      </c>
      <c r="AW1" s="97" t="s">
        <v>41</v>
      </c>
      <c r="AX1" s="144" t="s">
        <v>42</v>
      </c>
      <c r="AY1" s="144"/>
      <c r="AZ1" s="144" t="s">
        <v>43</v>
      </c>
      <c r="BA1" s="144"/>
    </row>
    <row r="2" spans="1:54">
      <c r="A2" s="123"/>
      <c r="B2" s="125"/>
      <c r="C2" s="127"/>
      <c r="D2" s="5" t="s">
        <v>44</v>
      </c>
      <c r="E2" s="5" t="s">
        <v>45</v>
      </c>
      <c r="F2" s="5" t="s">
        <v>44</v>
      </c>
      <c r="G2" s="7" t="s">
        <v>46</v>
      </c>
      <c r="H2" s="5" t="s">
        <v>46</v>
      </c>
      <c r="I2" s="5" t="s">
        <v>44</v>
      </c>
      <c r="J2" s="7"/>
      <c r="K2" s="5" t="s">
        <v>44</v>
      </c>
      <c r="L2" s="5" t="s">
        <v>46</v>
      </c>
      <c r="M2" s="5" t="s">
        <v>44</v>
      </c>
      <c r="N2" s="5" t="s">
        <v>46</v>
      </c>
      <c r="O2" s="6"/>
      <c r="P2" s="5" t="s">
        <v>46</v>
      </c>
      <c r="Q2" s="5"/>
      <c r="R2" s="5" t="s">
        <v>46</v>
      </c>
      <c r="S2" s="5"/>
      <c r="T2" s="5"/>
      <c r="U2" s="5" t="s">
        <v>46</v>
      </c>
      <c r="V2" s="5"/>
      <c r="W2" s="5" t="s">
        <v>47</v>
      </c>
      <c r="X2" s="5"/>
      <c r="Y2" s="5" t="s">
        <v>47</v>
      </c>
      <c r="Z2" s="5"/>
      <c r="AA2" s="114" t="s">
        <v>46</v>
      </c>
      <c r="AB2" s="5" t="s">
        <v>46</v>
      </c>
      <c r="AC2" s="5" t="s">
        <v>46</v>
      </c>
      <c r="AD2" s="5" t="s">
        <v>46</v>
      </c>
      <c r="AE2" s="5" t="s">
        <v>46</v>
      </c>
      <c r="AF2" s="5" t="s">
        <v>46</v>
      </c>
      <c r="AG2" s="5" t="s">
        <v>44</v>
      </c>
      <c r="AH2" s="90" t="s">
        <v>46</v>
      </c>
      <c r="AI2" s="8" t="s">
        <v>44</v>
      </c>
      <c r="AJ2" s="5" t="s">
        <v>46</v>
      </c>
      <c r="AK2" s="5" t="s">
        <v>46</v>
      </c>
      <c r="AL2" s="5" t="s">
        <v>44</v>
      </c>
      <c r="AM2" s="7" t="s">
        <v>46</v>
      </c>
      <c r="AN2" s="8" t="s">
        <v>46</v>
      </c>
      <c r="AO2" s="8"/>
      <c r="AP2" s="5" t="s">
        <v>44</v>
      </c>
      <c r="AQ2" s="142"/>
      <c r="AR2" s="5" t="s">
        <v>48</v>
      </c>
      <c r="AS2" s="74" t="s">
        <v>49</v>
      </c>
      <c r="AT2" s="75" t="s">
        <v>49</v>
      </c>
      <c r="AU2" s="76" t="s">
        <v>49</v>
      </c>
      <c r="AV2" s="9" t="s">
        <v>50</v>
      </c>
      <c r="AW2" s="5" t="s">
        <v>46</v>
      </c>
      <c r="AX2" s="5" t="s">
        <v>51</v>
      </c>
      <c r="AY2" s="5" t="s">
        <v>52</v>
      </c>
      <c r="AZ2" s="5" t="s">
        <v>51</v>
      </c>
      <c r="BA2" s="5" t="s">
        <v>52</v>
      </c>
      <c r="BB2" s="21"/>
    </row>
    <row r="3" spans="1:54">
      <c r="A3" s="64"/>
      <c r="B3" s="65"/>
      <c r="C3" s="70"/>
      <c r="D3" s="66"/>
      <c r="E3" s="66"/>
      <c r="F3" s="66"/>
      <c r="G3" s="67"/>
      <c r="H3" s="66"/>
      <c r="I3" s="66"/>
      <c r="J3" s="67"/>
      <c r="K3" s="66"/>
      <c r="L3" s="66"/>
      <c r="M3" s="66"/>
      <c r="N3" s="66"/>
      <c r="O3" s="6"/>
      <c r="P3" s="66"/>
      <c r="Q3" s="6"/>
      <c r="R3" s="66"/>
      <c r="S3" s="110"/>
      <c r="T3" s="6"/>
      <c r="U3" s="70"/>
      <c r="V3" s="6"/>
      <c r="W3" s="66"/>
      <c r="X3" s="6"/>
      <c r="Y3" s="66"/>
      <c r="Z3" s="70"/>
      <c r="AA3" s="115"/>
      <c r="AB3" s="66"/>
      <c r="AC3" s="66"/>
      <c r="AD3" s="6"/>
      <c r="AE3" s="70"/>
      <c r="AF3" s="66"/>
      <c r="AG3" s="66"/>
      <c r="AH3" s="91"/>
      <c r="AI3" s="93"/>
      <c r="AJ3" s="70"/>
      <c r="AK3" s="70"/>
      <c r="AL3" s="66"/>
      <c r="AM3" s="67"/>
      <c r="AN3" s="68"/>
      <c r="AO3" s="68"/>
      <c r="AP3" s="66"/>
      <c r="AQ3" s="100"/>
      <c r="AR3" s="66"/>
      <c r="AS3" s="77"/>
      <c r="AT3" s="94">
        <v>1446.4599999999994</v>
      </c>
      <c r="AU3" s="78"/>
      <c r="AV3" s="69"/>
      <c r="AW3" s="66"/>
      <c r="AX3" s="66"/>
      <c r="AY3" s="66"/>
      <c r="AZ3" s="66"/>
      <c r="BA3" s="66"/>
      <c r="BB3" s="21"/>
    </row>
    <row r="4" spans="1:54">
      <c r="A4" s="147">
        <v>1</v>
      </c>
      <c r="B4" s="22">
        <v>1</v>
      </c>
      <c r="C4" s="10" t="s">
        <v>53</v>
      </c>
      <c r="D4" s="11">
        <v>15700</v>
      </c>
      <c r="E4" s="11">
        <v>0</v>
      </c>
      <c r="F4" s="11">
        <v>18957</v>
      </c>
      <c r="G4" s="12">
        <v>2</v>
      </c>
      <c r="H4" s="12">
        <v>6.1</v>
      </c>
      <c r="I4" s="11">
        <v>18089</v>
      </c>
      <c r="J4" s="12">
        <v>4.9000000000000004</v>
      </c>
      <c r="K4" s="11">
        <v>15902</v>
      </c>
      <c r="L4" s="13">
        <v>6.6000000000000003E-2</v>
      </c>
      <c r="M4" s="23">
        <f>ROUND(K4*(1-L4),0)</f>
        <v>14852</v>
      </c>
      <c r="N4" s="14">
        <v>0.71599999999999997</v>
      </c>
      <c r="O4" s="24">
        <f t="shared" ref="O4:O6" si="0">M4*N4</f>
        <v>10634.031999999999</v>
      </c>
      <c r="P4" s="13">
        <v>0.222</v>
      </c>
      <c r="Q4" s="24">
        <f t="shared" ref="Q4:Q6" si="1">M4*P4</f>
        <v>3297.1440000000002</v>
      </c>
      <c r="R4" s="15">
        <v>6.2E-2</v>
      </c>
      <c r="S4" s="111">
        <v>0.22220000000000001</v>
      </c>
      <c r="T4" s="24">
        <f t="shared" ref="T4:T6" si="2">M4*R4</f>
        <v>920.82399999999996</v>
      </c>
      <c r="U4" s="25">
        <v>0.217</v>
      </c>
      <c r="V4" s="24">
        <f t="shared" ref="V4:V6" si="3">M4*U4</f>
        <v>3222.884</v>
      </c>
      <c r="W4" s="15">
        <v>0.505</v>
      </c>
      <c r="X4" s="24">
        <f>M4*W4</f>
        <v>7500.26</v>
      </c>
      <c r="Y4" s="15">
        <v>0.38</v>
      </c>
      <c r="Z4" s="96">
        <f t="shared" ref="Z4:Z6" si="4">Y4*M4</f>
        <v>5643.76</v>
      </c>
      <c r="AA4" s="116">
        <v>2.47E-3</v>
      </c>
      <c r="AB4" s="18">
        <f>M4*AA4</f>
        <v>36.684440000000002</v>
      </c>
      <c r="AC4" s="16">
        <v>2.3900000000000002E-3</v>
      </c>
      <c r="AD4" s="18">
        <f>M4*AC4</f>
        <v>35.496280000000006</v>
      </c>
      <c r="AE4" s="26">
        <f>IF(M4&gt;0,(AG4+AP4)/M4,0)</f>
        <v>2.4022467007810393E-3</v>
      </c>
      <c r="AF4" s="16">
        <v>2.5000000000000001E-4</v>
      </c>
      <c r="AG4" s="23">
        <f t="shared" ref="AG4:AG6" si="5">AF4*M4</f>
        <v>3.7130000000000001</v>
      </c>
      <c r="AH4" s="92">
        <v>0.2019</v>
      </c>
      <c r="AI4" s="29">
        <f>AL4*(1-AM4)*AH4</f>
        <v>29.428943999999998</v>
      </c>
      <c r="AJ4" s="27">
        <f>IF(AND(AH4&gt;0,AF4&gt;0,AC4&gt;0),((AC4-AF4)*AH4)/((AH4-AF4)*AC4),0)</f>
        <v>0.89650757817047022</v>
      </c>
      <c r="AK4" s="58">
        <f t="shared" ref="AK4:AK67" si="6">IF(AND(AE4&gt;0,AN4&gt;0,AF4&gt;0),((AN4*(AE4-AF4))/(AE4*(AN4-AF4))),0)</f>
        <v>0.8969532737409156</v>
      </c>
      <c r="AL4" s="11">
        <v>160</v>
      </c>
      <c r="AM4" s="13">
        <v>8.8999999999999996E-2</v>
      </c>
      <c r="AN4" s="14">
        <v>0.21929999999999999</v>
      </c>
      <c r="AO4" s="101">
        <v>0.21809999999999999</v>
      </c>
      <c r="AP4" s="29">
        <f>AL4*(1-AM4)*AN4</f>
        <v>31.965167999999998</v>
      </c>
      <c r="AQ4" s="102">
        <f>AL4*(1-AM4)*AO4</f>
        <v>31.790255999999996</v>
      </c>
      <c r="AR4" s="18">
        <v>1.58</v>
      </c>
      <c r="AS4" s="18"/>
      <c r="AT4" s="88">
        <f>AT3+AL4-AS4</f>
        <v>1606.4599999999994</v>
      </c>
      <c r="AU4" s="80"/>
      <c r="AV4" s="11"/>
      <c r="AW4" s="30"/>
      <c r="AX4" s="19"/>
      <c r="AY4" s="19"/>
      <c r="AZ4" s="19"/>
      <c r="BA4" s="19"/>
      <c r="BB4" s="31"/>
    </row>
    <row r="5" spans="1:54">
      <c r="A5" s="148"/>
      <c r="B5" s="32">
        <v>2</v>
      </c>
      <c r="C5" s="10" t="s">
        <v>54</v>
      </c>
      <c r="D5" s="33">
        <v>19800</v>
      </c>
      <c r="E5" s="33">
        <v>4</v>
      </c>
      <c r="F5" s="33">
        <v>18388</v>
      </c>
      <c r="G5" s="34">
        <v>2.4</v>
      </c>
      <c r="H5" s="34">
        <v>6.4</v>
      </c>
      <c r="I5" s="33">
        <v>17925</v>
      </c>
      <c r="J5" s="34">
        <v>4.2</v>
      </c>
      <c r="K5" s="33">
        <v>15900</v>
      </c>
      <c r="L5" s="35">
        <v>0.06</v>
      </c>
      <c r="M5" s="36">
        <f>ROUND(K5*(1-L5),0)</f>
        <v>14946</v>
      </c>
      <c r="N5" s="37">
        <v>0.73</v>
      </c>
      <c r="O5" s="24">
        <f t="shared" si="0"/>
        <v>10910.58</v>
      </c>
      <c r="P5" s="35">
        <v>0.22600000000000001</v>
      </c>
      <c r="Q5" s="24">
        <f t="shared" si="1"/>
        <v>3377.7960000000003</v>
      </c>
      <c r="R5" s="38">
        <v>4.3999999999999997E-2</v>
      </c>
      <c r="S5" s="105">
        <v>0.1938</v>
      </c>
      <c r="T5" s="24">
        <f t="shared" si="2"/>
        <v>657.62399999999991</v>
      </c>
      <c r="U5" s="27">
        <v>0.21199999999999999</v>
      </c>
      <c r="V5" s="24">
        <f t="shared" si="3"/>
        <v>3168.5520000000001</v>
      </c>
      <c r="W5" s="38">
        <v>0.5</v>
      </c>
      <c r="X5" s="24">
        <f>M5*W5</f>
        <v>7473</v>
      </c>
      <c r="Y5" s="38">
        <v>0.38</v>
      </c>
      <c r="Z5" s="24">
        <f t="shared" si="4"/>
        <v>5679.4800000000005</v>
      </c>
      <c r="AA5" s="117">
        <v>2.5000000000000001E-3</v>
      </c>
      <c r="AB5" s="18">
        <f t="shared" ref="AB5:AB6" si="7">M5*AA5</f>
        <v>37.365000000000002</v>
      </c>
      <c r="AC5" s="39">
        <v>2.5500000000000002E-3</v>
      </c>
      <c r="AD5" s="17">
        <f>M5*AC5</f>
        <v>38.112300000000005</v>
      </c>
      <c r="AE5" s="26">
        <f>IF(M5&gt;0,(AG5+AP5)/M5,0)</f>
        <v>2.3167481868058347E-3</v>
      </c>
      <c r="AF5" s="39">
        <v>2.4000000000000001E-4</v>
      </c>
      <c r="AG5" s="36">
        <f t="shared" si="5"/>
        <v>3.58704</v>
      </c>
      <c r="AH5" s="27">
        <v>0.1991</v>
      </c>
      <c r="AI5" s="40">
        <f>AL5*(1-AM5)*AH5</f>
        <v>30.175197799999999</v>
      </c>
      <c r="AJ5" s="27">
        <f>IF(AND(AH5&gt;0,AF5&gt;0,AC5&gt;0),((AC5-AF5)*AH5)/((AH5-AF5)*AC5),0)</f>
        <v>0.9069756435210109</v>
      </c>
      <c r="AK5" s="28">
        <f t="shared" si="6"/>
        <v>0.89745823186748186</v>
      </c>
      <c r="AL5" s="33">
        <v>166</v>
      </c>
      <c r="AM5" s="35">
        <v>8.6999999999999994E-2</v>
      </c>
      <c r="AN5" s="37">
        <v>0.20480000000000001</v>
      </c>
      <c r="AO5" s="103">
        <v>0.2094</v>
      </c>
      <c r="AP5" s="40">
        <f>AL5*(1-AM5)*AN5</f>
        <v>31.039078400000001</v>
      </c>
      <c r="AQ5" s="104">
        <f t="shared" ref="AQ5:AQ6" si="8">AL5*(1-AM5)*AO5</f>
        <v>31.736245199999999</v>
      </c>
      <c r="AR5" s="41">
        <v>1.55</v>
      </c>
      <c r="AS5" s="41"/>
      <c r="AT5" s="88">
        <f>AT4+AL5-AS5</f>
        <v>1772.4599999999994</v>
      </c>
      <c r="AU5" s="81"/>
      <c r="AV5" s="42"/>
      <c r="AW5" s="43"/>
      <c r="AX5" s="44"/>
      <c r="AY5" s="44"/>
      <c r="AZ5" s="44"/>
      <c r="BA5" s="44"/>
      <c r="BB5" s="31"/>
    </row>
    <row r="6" spans="1:54">
      <c r="A6" s="148"/>
      <c r="B6" s="32">
        <v>3</v>
      </c>
      <c r="C6" s="10" t="s">
        <v>58</v>
      </c>
      <c r="D6" s="42">
        <v>18100</v>
      </c>
      <c r="E6" s="42">
        <v>3</v>
      </c>
      <c r="F6" s="42">
        <v>20904</v>
      </c>
      <c r="G6" s="36">
        <v>1.6</v>
      </c>
      <c r="H6" s="36">
        <v>5.9</v>
      </c>
      <c r="I6" s="42">
        <v>20467</v>
      </c>
      <c r="J6" s="36">
        <v>2.2999999999999998</v>
      </c>
      <c r="K6" s="42">
        <v>15923</v>
      </c>
      <c r="L6" s="38">
        <v>6.4000000000000001E-2</v>
      </c>
      <c r="M6" s="36">
        <f>ROUND(K6*(1-L6),0)</f>
        <v>14904</v>
      </c>
      <c r="N6" s="27">
        <v>0.69</v>
      </c>
      <c r="O6" s="24">
        <f t="shared" si="0"/>
        <v>10283.759999999998</v>
      </c>
      <c r="P6" s="38">
        <v>0.28000000000000003</v>
      </c>
      <c r="Q6" s="24">
        <f t="shared" si="1"/>
        <v>4173.1200000000008</v>
      </c>
      <c r="R6" s="38">
        <v>0.03</v>
      </c>
      <c r="S6" s="105">
        <v>0.2177</v>
      </c>
      <c r="T6" s="24">
        <f t="shared" si="2"/>
        <v>447.12</v>
      </c>
      <c r="U6" s="27">
        <v>0.219</v>
      </c>
      <c r="V6" s="24">
        <f t="shared" si="3"/>
        <v>3263.9760000000001</v>
      </c>
      <c r="W6" s="38">
        <v>0.495</v>
      </c>
      <c r="X6" s="24">
        <f>M6*W6</f>
        <v>7377.48</v>
      </c>
      <c r="Y6" s="38">
        <v>0.38</v>
      </c>
      <c r="Z6" s="24">
        <f t="shared" si="4"/>
        <v>5663.52</v>
      </c>
      <c r="AA6" s="118">
        <v>2.4099999999999998E-3</v>
      </c>
      <c r="AB6" s="121">
        <f t="shared" si="7"/>
        <v>35.918639999999996</v>
      </c>
      <c r="AC6" s="45">
        <v>2.3999999999999998E-3</v>
      </c>
      <c r="AD6" s="17">
        <f>M6*AC6</f>
        <v>35.769599999999997</v>
      </c>
      <c r="AE6" s="26">
        <f>IF(M6&gt;0,(AG6+AP6)/M6,0)</f>
        <v>2.4217826086956528E-3</v>
      </c>
      <c r="AF6" s="45">
        <v>2.5000000000000001E-4</v>
      </c>
      <c r="AG6" s="36">
        <f t="shared" si="5"/>
        <v>3.726</v>
      </c>
      <c r="AH6" s="27">
        <v>0.20269999999999999</v>
      </c>
      <c r="AI6" s="40">
        <f>AL6*(1-AM6)*AH6</f>
        <v>30.502296000000001</v>
      </c>
      <c r="AJ6" s="27">
        <f>IF(AND(AH6&gt;0,AF6&gt;0,AC6&gt;0),((AC6-AF6)*AH6)/((AH6-AF6)*AC6),0)</f>
        <v>0.89693957355725706</v>
      </c>
      <c r="AK6" s="28">
        <f t="shared" si="6"/>
        <v>0.89781373959436839</v>
      </c>
      <c r="AL6" s="42">
        <v>165</v>
      </c>
      <c r="AM6" s="38">
        <v>8.7999999999999995E-2</v>
      </c>
      <c r="AN6" s="27">
        <v>0.21510000000000001</v>
      </c>
      <c r="AO6" s="105">
        <v>0.22359999999999999</v>
      </c>
      <c r="AP6" s="40">
        <f>AL6*(1-AM6)*AN6</f>
        <v>32.368248000000008</v>
      </c>
      <c r="AQ6" s="106">
        <f t="shared" si="8"/>
        <v>33.647328000000002</v>
      </c>
      <c r="AR6" s="17">
        <v>1.55</v>
      </c>
      <c r="AS6" s="17"/>
      <c r="AT6" s="88">
        <f>AT5+AL6-AS6</f>
        <v>1937.4599999999994</v>
      </c>
      <c r="AU6" s="82"/>
      <c r="AV6" s="42"/>
      <c r="AW6" s="46"/>
      <c r="AX6" s="40"/>
      <c r="AY6" s="40"/>
      <c r="AZ6" s="40"/>
      <c r="BA6" s="40"/>
      <c r="BB6" s="31"/>
    </row>
    <row r="7" spans="1:54">
      <c r="A7" s="149"/>
      <c r="B7" s="47" t="s">
        <v>56</v>
      </c>
      <c r="C7" s="48"/>
      <c r="D7" s="49">
        <f>SUM(D4:D6)</f>
        <v>53600</v>
      </c>
      <c r="E7" s="49"/>
      <c r="F7" s="49">
        <f>SUM(F4:F6)</f>
        <v>58249</v>
      </c>
      <c r="G7" s="50"/>
      <c r="H7" s="50"/>
      <c r="I7" s="49">
        <f>SUM(I4:I6)</f>
        <v>56481</v>
      </c>
      <c r="J7" s="50"/>
      <c r="K7" s="49">
        <f>SUM(K4:K6)</f>
        <v>47725</v>
      </c>
      <c r="L7" s="20">
        <f>IF(K7&gt;0,(K4*L4+K5*L5+K6*L6)/K7,0)</f>
        <v>6.3333766369827141E-2</v>
      </c>
      <c r="M7" s="50">
        <f>M4+M5+M6</f>
        <v>44702</v>
      </c>
      <c r="N7" s="51">
        <f>IF(M7&gt;0,O7/M7,0)</f>
        <v>0.71201225895933062</v>
      </c>
      <c r="O7" s="52">
        <f>O4+O5+O6</f>
        <v>31828.371999999999</v>
      </c>
      <c r="P7" s="20">
        <f>IF(M7&gt;0,Q7/M7,0)</f>
        <v>0.24267504809628207</v>
      </c>
      <c r="Q7" s="52">
        <f>Q4+Q5+Q6</f>
        <v>10848.060000000001</v>
      </c>
      <c r="R7" s="20">
        <f>IF(M7&gt;0,T7/M7,0)</f>
        <v>4.5312692944387271E-2</v>
      </c>
      <c r="S7" s="107"/>
      <c r="T7" s="52">
        <f>T4+T5+T6</f>
        <v>2025.5679999999998</v>
      </c>
      <c r="U7" s="20">
        <f>IF(M7&gt;0,V7/M7,0)</f>
        <v>0.21599507851997674</v>
      </c>
      <c r="V7" s="52">
        <f>V4+V5+V6</f>
        <v>9655.4120000000003</v>
      </c>
      <c r="W7" s="20">
        <f>IF(M7&gt;0,X7/M7,0)</f>
        <v>0.49999418370542703</v>
      </c>
      <c r="X7" s="52">
        <f>X4+X5+X6</f>
        <v>22350.739999999998</v>
      </c>
      <c r="Y7" s="20">
        <f>IF(M7&gt;0,Z7/M7,0)</f>
        <v>0.38000000000000006</v>
      </c>
      <c r="Z7" s="52">
        <f>Z4+Z5+Z6</f>
        <v>16986.760000000002</v>
      </c>
      <c r="AA7" s="119">
        <f>IF(M7&gt;0,AB7/M7,0)</f>
        <v>2.4600259496219408E-3</v>
      </c>
      <c r="AB7" s="54">
        <f t="shared" ref="AB7" si="9">SUM(AB4:AB6)</f>
        <v>109.96808</v>
      </c>
      <c r="AC7" s="53">
        <f>IF(M7&gt;0,AD7/M7,0)</f>
        <v>2.446829672050468E-3</v>
      </c>
      <c r="AD7" s="54">
        <f>SUM(AD4:AD6)</f>
        <v>109.37818000000001</v>
      </c>
      <c r="AE7" s="53">
        <f>IF(M7&gt;0,(AE4*M4+AE5*M5+AE6*M6)/M7,0)</f>
        <v>2.3801739161558766E-3</v>
      </c>
      <c r="AF7" s="53">
        <f>IF(K7&gt;0,(K4*AF4+K5*AF5+K6*AF6)/K7,0)</f>
        <v>2.4666841278156107E-4</v>
      </c>
      <c r="AG7" s="50">
        <f>SUM(AG4:AG6)</f>
        <v>11.02604</v>
      </c>
      <c r="AH7" s="51">
        <f>IF(K7&gt;0,(K4*AH4+K5*AH5+K6*AH6)/K7,0)</f>
        <v>0.20123406809848088</v>
      </c>
      <c r="AI7" s="56">
        <f>SUM(AI4:AI6)</f>
        <v>90.106437799999995</v>
      </c>
      <c r="AJ7" s="51">
        <f>IF(AND(AD7&gt;0),((AD4*AJ4+AD5*AJ5+AD6*AJ6)/AD7),0)</f>
        <v>0.90029639920631688</v>
      </c>
      <c r="AK7" s="55">
        <f t="shared" si="6"/>
        <v>0.89740430643804314</v>
      </c>
      <c r="AL7" s="49">
        <f>SUM(AL4:AL6)</f>
        <v>491</v>
      </c>
      <c r="AM7" s="20">
        <f>IF(AL7&gt;0,(AM4*AL4+AM5*AL5+AM6*AL6)/AL7,0)</f>
        <v>8.7987780040733196E-2</v>
      </c>
      <c r="AN7" s="51">
        <f>IF(K7&gt;0,(AN4*K4+AN5*K5+AN6*K6)/K7,0)</f>
        <v>0.21306790780513357</v>
      </c>
      <c r="AO7" s="107">
        <f>IF(K7&gt;0,(AO4*K4+AO5*K5+AO6*K6)/K7,0)</f>
        <v>0.21703654269250916</v>
      </c>
      <c r="AP7" s="56">
        <f>SUM(AP4:AP6)</f>
        <v>95.372494400000008</v>
      </c>
      <c r="AQ7" s="108">
        <f t="shared" ref="AQ7" si="10">SUM(AQ4:AQ6)</f>
        <v>97.1738292</v>
      </c>
      <c r="AR7" s="54"/>
      <c r="AS7" s="54">
        <f>SUM(AS4:AS6)</f>
        <v>0</v>
      </c>
      <c r="AT7" s="83"/>
      <c r="AU7" s="84">
        <f>AT6</f>
        <v>1937.4599999999994</v>
      </c>
      <c r="AV7" s="49">
        <f>SUM(AV4:AV6)</f>
        <v>0</v>
      </c>
      <c r="AW7" s="57"/>
      <c r="AX7" s="56"/>
      <c r="AY7" s="56"/>
      <c r="AZ7" s="56"/>
      <c r="BA7" s="56"/>
      <c r="BB7" s="21"/>
    </row>
    <row r="8" spans="1:54">
      <c r="A8" s="147">
        <v>2</v>
      </c>
      <c r="B8" s="22">
        <v>1</v>
      </c>
      <c r="C8" s="10" t="s">
        <v>53</v>
      </c>
      <c r="D8" s="11">
        <v>6700</v>
      </c>
      <c r="E8" s="11">
        <v>2</v>
      </c>
      <c r="F8" s="11">
        <v>12967</v>
      </c>
      <c r="G8" s="12">
        <v>0.4</v>
      </c>
      <c r="H8" s="12">
        <v>5</v>
      </c>
      <c r="I8" s="11">
        <v>12499</v>
      </c>
      <c r="J8" s="12">
        <v>3.7</v>
      </c>
      <c r="K8" s="11">
        <v>15844</v>
      </c>
      <c r="L8" s="13">
        <v>5.8000000000000003E-2</v>
      </c>
      <c r="M8" s="23">
        <f>ROUND(K8*(1-L8),0)</f>
        <v>14925</v>
      </c>
      <c r="N8" s="14">
        <v>0.76900000000000002</v>
      </c>
      <c r="O8" s="24">
        <f t="shared" ref="O8:O10" si="11">M8*N8</f>
        <v>11477.325000000001</v>
      </c>
      <c r="P8" s="13">
        <v>0.21199999999999999</v>
      </c>
      <c r="Q8" s="24">
        <f t="shared" ref="Q8:Q10" si="12">M8*P8</f>
        <v>3164.1</v>
      </c>
      <c r="R8" s="15">
        <v>1.9E-2</v>
      </c>
      <c r="S8" s="112">
        <v>0.22700000000000001</v>
      </c>
      <c r="T8" s="24">
        <f t="shared" ref="T8:T10" si="13">M8*R8</f>
        <v>283.57499999999999</v>
      </c>
      <c r="U8" s="25">
        <v>0.221</v>
      </c>
      <c r="V8" s="24">
        <f t="shared" ref="V8:V10" si="14">M8*U8</f>
        <v>3298.4250000000002</v>
      </c>
      <c r="W8" s="15">
        <v>0.49099999999999999</v>
      </c>
      <c r="X8" s="24">
        <f t="shared" ref="X8:X10" si="15">M8*W8</f>
        <v>7328.1750000000002</v>
      </c>
      <c r="Y8" s="15">
        <v>0.38</v>
      </c>
      <c r="Z8" s="24">
        <f t="shared" ref="Z8:Z10" si="16">Y8*M8</f>
        <v>5671.5</v>
      </c>
      <c r="AA8" s="116">
        <v>2.31E-3</v>
      </c>
      <c r="AB8" s="18">
        <f>M8*AA8</f>
        <v>34.476750000000003</v>
      </c>
      <c r="AC8" s="16">
        <v>2.3999999999999998E-3</v>
      </c>
      <c r="AD8" s="17">
        <f t="shared" ref="AD8:AD10" si="17">M8*AC8</f>
        <v>35.82</v>
      </c>
      <c r="AE8" s="26">
        <f>IF(M8&gt;0,(AG8+AP8)/M8,0)</f>
        <v>2.3569185929648243E-3</v>
      </c>
      <c r="AF8" s="16">
        <v>2.5000000000000001E-4</v>
      </c>
      <c r="AG8" s="23">
        <f t="shared" ref="AG8:AG10" si="18">AF8*M8</f>
        <v>3.7312500000000002</v>
      </c>
      <c r="AH8" s="92">
        <v>0.2049</v>
      </c>
      <c r="AI8" s="29">
        <f t="shared" ref="AI8:AI10" si="19">AL8*(1-AM8)*AH8</f>
        <v>29.899008000000002</v>
      </c>
      <c r="AJ8" s="27">
        <f t="shared" ref="AJ8:AJ10" si="20">IF(AND(AH8&gt;0,AF8&gt;0,AC8&gt;0),((AC8-AF8)*AH8)/((AH8-AF8)*AC8),0)</f>
        <v>0.89692768140728085</v>
      </c>
      <c r="AK8" s="58">
        <f t="shared" si="6"/>
        <v>0.89496754753567676</v>
      </c>
      <c r="AL8" s="11">
        <v>160</v>
      </c>
      <c r="AM8" s="13">
        <v>8.7999999999999995E-2</v>
      </c>
      <c r="AN8" s="14">
        <v>0.2155</v>
      </c>
      <c r="AO8" s="101">
        <v>0.22109999999999999</v>
      </c>
      <c r="AP8" s="29">
        <f>AL8*(1-AM8)*AN8</f>
        <v>31.445760000000003</v>
      </c>
      <c r="AQ8" s="102">
        <f t="shared" ref="AQ8:AQ70" si="21">AL8*(1-AM8)*AO8</f>
        <v>32.262912</v>
      </c>
      <c r="AR8" s="18">
        <v>1.5</v>
      </c>
      <c r="AS8" s="18">
        <v>1059.44</v>
      </c>
      <c r="AT8" s="79">
        <f>AT6+AL8-AS8</f>
        <v>1038.0199999999991</v>
      </c>
      <c r="AU8" s="80"/>
      <c r="AV8" s="11"/>
      <c r="AW8" s="30"/>
      <c r="AX8" s="19"/>
      <c r="AY8" s="19"/>
      <c r="AZ8" s="19"/>
      <c r="BA8" s="19"/>
      <c r="BB8" s="31"/>
    </row>
    <row r="9" spans="1:54">
      <c r="A9" s="148"/>
      <c r="B9" s="32">
        <v>2</v>
      </c>
      <c r="C9" s="10" t="s">
        <v>54</v>
      </c>
      <c r="D9" s="33">
        <v>19800</v>
      </c>
      <c r="E9" s="33">
        <v>5</v>
      </c>
      <c r="F9" s="33">
        <v>16039</v>
      </c>
      <c r="G9" s="34">
        <v>1.8</v>
      </c>
      <c r="H9" s="34">
        <v>6.9</v>
      </c>
      <c r="I9" s="33">
        <v>15847</v>
      </c>
      <c r="J9" s="34">
        <v>3.8</v>
      </c>
      <c r="K9" s="33">
        <v>15826</v>
      </c>
      <c r="L9" s="35">
        <v>5.1999999999999998E-2</v>
      </c>
      <c r="M9" s="36">
        <f>ROUND(K9*(1-L9),0)</f>
        <v>15003</v>
      </c>
      <c r="N9" s="37">
        <v>0.6</v>
      </c>
      <c r="O9" s="24">
        <f t="shared" si="11"/>
        <v>9001.7999999999993</v>
      </c>
      <c r="P9" s="35">
        <v>0.34499999999999997</v>
      </c>
      <c r="Q9" s="24">
        <f t="shared" si="12"/>
        <v>5176.0349999999999</v>
      </c>
      <c r="R9" s="38">
        <v>5.5E-2</v>
      </c>
      <c r="S9" s="105">
        <v>0.2074</v>
      </c>
      <c r="T9" s="24">
        <f t="shared" si="13"/>
        <v>825.16499999999996</v>
      </c>
      <c r="U9" s="27">
        <v>0.218</v>
      </c>
      <c r="V9" s="24">
        <f t="shared" si="14"/>
        <v>3270.654</v>
      </c>
      <c r="W9" s="38">
        <v>0.495</v>
      </c>
      <c r="X9" s="24">
        <f t="shared" si="15"/>
        <v>7426.4849999999997</v>
      </c>
      <c r="Y9" s="38">
        <v>0.38</v>
      </c>
      <c r="Z9" s="24">
        <f t="shared" si="16"/>
        <v>5701.14</v>
      </c>
      <c r="AA9" s="117">
        <v>2.2300000000000002E-3</v>
      </c>
      <c r="AB9" s="18">
        <f t="shared" ref="AB9:AB10" si="22">M9*AA9</f>
        <v>33.456690000000002</v>
      </c>
      <c r="AC9" s="39">
        <v>2.32E-3</v>
      </c>
      <c r="AD9" s="17">
        <f t="shared" si="17"/>
        <v>34.806960000000004</v>
      </c>
      <c r="AE9" s="26">
        <f>IF(M9&gt;0,(AG9+AP9)/M9,0)</f>
        <v>2.3093433513297341E-3</v>
      </c>
      <c r="AF9" s="39">
        <v>2.3000000000000001E-4</v>
      </c>
      <c r="AG9" s="36">
        <f t="shared" si="18"/>
        <v>3.4506900000000003</v>
      </c>
      <c r="AH9" s="27">
        <v>0.20499999999999999</v>
      </c>
      <c r="AI9" s="40">
        <f t="shared" si="19"/>
        <v>29.759235</v>
      </c>
      <c r="AJ9" s="27">
        <f t="shared" si="20"/>
        <v>0.90187392751834261</v>
      </c>
      <c r="AK9" s="28">
        <f t="shared" si="6"/>
        <v>0.90136929331616844</v>
      </c>
      <c r="AL9" s="33">
        <v>159</v>
      </c>
      <c r="AM9" s="35">
        <v>8.6999999999999994E-2</v>
      </c>
      <c r="AN9" s="37">
        <v>0.21490000000000001</v>
      </c>
      <c r="AO9" s="103">
        <v>0.22359999999999999</v>
      </c>
      <c r="AP9" s="40">
        <f>AL9*(1-AM9)*AN9</f>
        <v>31.196388300000002</v>
      </c>
      <c r="AQ9" s="104">
        <f t="shared" si="21"/>
        <v>32.459341199999997</v>
      </c>
      <c r="AR9" s="41">
        <v>1.58</v>
      </c>
      <c r="AS9" s="41"/>
      <c r="AT9" s="88">
        <f>AT8+AL9-AS9</f>
        <v>1197.0199999999991</v>
      </c>
      <c r="AU9" s="82"/>
      <c r="AV9" s="42"/>
      <c r="AW9" s="43"/>
      <c r="AX9" s="44"/>
      <c r="AY9" s="44"/>
      <c r="AZ9" s="44"/>
      <c r="BA9" s="44"/>
      <c r="BB9" s="31"/>
    </row>
    <row r="10" spans="1:54">
      <c r="A10" s="148"/>
      <c r="B10" s="32">
        <v>3</v>
      </c>
      <c r="C10" s="10" t="s">
        <v>55</v>
      </c>
      <c r="D10" s="42">
        <v>21000</v>
      </c>
      <c r="E10" s="42">
        <v>2</v>
      </c>
      <c r="F10" s="42">
        <v>19274</v>
      </c>
      <c r="G10" s="36">
        <v>0.3</v>
      </c>
      <c r="H10" s="36">
        <v>3.8</v>
      </c>
      <c r="I10" s="42">
        <v>18729</v>
      </c>
      <c r="J10" s="36">
        <v>2.5</v>
      </c>
      <c r="K10" s="42">
        <v>15862</v>
      </c>
      <c r="L10" s="38">
        <v>6.2E-2</v>
      </c>
      <c r="M10" s="36">
        <f>ROUND(K10*(1-L10),0)</f>
        <v>14879</v>
      </c>
      <c r="N10" s="27">
        <v>0.629</v>
      </c>
      <c r="O10" s="24">
        <f t="shared" si="11"/>
        <v>9358.8909999999996</v>
      </c>
      <c r="P10" s="38">
        <v>0.31</v>
      </c>
      <c r="Q10" s="24">
        <f t="shared" si="12"/>
        <v>4612.49</v>
      </c>
      <c r="R10" s="38">
        <v>6.0999999999999999E-2</v>
      </c>
      <c r="S10" s="105">
        <v>0.22570000000000001</v>
      </c>
      <c r="T10" s="24">
        <f t="shared" si="13"/>
        <v>907.61900000000003</v>
      </c>
      <c r="U10" s="27">
        <v>0.21099999999999999</v>
      </c>
      <c r="V10" s="24">
        <f t="shared" si="14"/>
        <v>3139.4690000000001</v>
      </c>
      <c r="W10" s="38">
        <v>0.503</v>
      </c>
      <c r="X10" s="24">
        <f t="shared" si="15"/>
        <v>7484.1369999999997</v>
      </c>
      <c r="Y10" s="38">
        <v>0.37</v>
      </c>
      <c r="Z10" s="24">
        <f t="shared" si="16"/>
        <v>5505.23</v>
      </c>
      <c r="AA10" s="118">
        <v>2.31E-3</v>
      </c>
      <c r="AB10" s="121">
        <f t="shared" si="22"/>
        <v>34.370489999999997</v>
      </c>
      <c r="AC10" s="45">
        <v>2.3600000000000001E-3</v>
      </c>
      <c r="AD10" s="17">
        <f t="shared" si="17"/>
        <v>35.114440000000002</v>
      </c>
      <c r="AE10" s="26">
        <f>IF(M10&gt;0,(AG10+AP10)/M10,0)</f>
        <v>2.4791738692116405E-3</v>
      </c>
      <c r="AF10" s="45">
        <v>2.4000000000000001E-4</v>
      </c>
      <c r="AG10" s="36">
        <f t="shared" si="18"/>
        <v>3.5709599999999999</v>
      </c>
      <c r="AH10" s="27">
        <v>0.20580000000000001</v>
      </c>
      <c r="AI10" s="40">
        <f t="shared" si="19"/>
        <v>31.802274000000001</v>
      </c>
      <c r="AJ10" s="27">
        <f t="shared" si="20"/>
        <v>0.89935389395153698</v>
      </c>
      <c r="AK10" s="28">
        <f t="shared" si="6"/>
        <v>0.90420008926734519</v>
      </c>
      <c r="AL10" s="42">
        <v>170</v>
      </c>
      <c r="AM10" s="38">
        <v>9.0999999999999998E-2</v>
      </c>
      <c r="AN10" s="27">
        <v>0.21560000000000001</v>
      </c>
      <c r="AO10" s="105">
        <v>0.22059999999999999</v>
      </c>
      <c r="AP10" s="40">
        <f>AL10*(1-AM10)*AN10</f>
        <v>33.316668</v>
      </c>
      <c r="AQ10" s="106">
        <f t="shared" si="21"/>
        <v>34.089317999999999</v>
      </c>
      <c r="AR10" s="17">
        <v>1.58</v>
      </c>
      <c r="AS10" s="17"/>
      <c r="AT10" s="88">
        <f>AT9+AL10-AS10</f>
        <v>1367.0199999999991</v>
      </c>
      <c r="AU10" s="82"/>
      <c r="AV10" s="42"/>
      <c r="AW10" s="46"/>
      <c r="AX10" s="40"/>
      <c r="AY10" s="40"/>
      <c r="AZ10" s="40"/>
      <c r="BA10" s="40"/>
      <c r="BB10" s="31"/>
    </row>
    <row r="11" spans="1:54">
      <c r="A11" s="149"/>
      <c r="B11" s="47" t="s">
        <v>56</v>
      </c>
      <c r="C11" s="48"/>
      <c r="D11" s="49">
        <f t="shared" ref="D11" si="23">SUM(D8:D10)</f>
        <v>47500</v>
      </c>
      <c r="E11" s="49"/>
      <c r="F11" s="49">
        <f t="shared" ref="F11" si="24">SUM(F8:F10)</f>
        <v>48280</v>
      </c>
      <c r="G11" s="50"/>
      <c r="H11" s="50"/>
      <c r="I11" s="49">
        <f t="shared" ref="I11:K11" si="25">SUM(I8:I10)</f>
        <v>47075</v>
      </c>
      <c r="J11" s="50"/>
      <c r="K11" s="49">
        <f t="shared" si="25"/>
        <v>47532</v>
      </c>
      <c r="L11" s="20">
        <f t="shared" ref="L11" si="26">IF(K11&gt;0,(K8*L8+K9*L9+K10*L10)/K11,0)</f>
        <v>5.7337120255827649E-2</v>
      </c>
      <c r="M11" s="50">
        <f t="shared" ref="M11" si="27">M8+M9+M10</f>
        <v>44807</v>
      </c>
      <c r="N11" s="51">
        <f t="shared" ref="N11" si="28">IF(M11&gt;0,O11/M11,0)</f>
        <v>0.66592309237395941</v>
      </c>
      <c r="O11" s="52">
        <f t="shared" ref="O11" si="29">O8+O9+O10</f>
        <v>29838.016</v>
      </c>
      <c r="P11" s="20">
        <f t="shared" ref="P11" si="30">IF(M11&gt;0,Q11/M11,0)</f>
        <v>0.28907592563661927</v>
      </c>
      <c r="Q11" s="52">
        <f t="shared" ref="Q11" si="31">Q8+Q9+Q10</f>
        <v>12952.625</v>
      </c>
      <c r="R11" s="20">
        <f t="shared" ref="R11" si="32">IF(M11&gt;0,T11/M11,0)</f>
        <v>4.5000981989421297E-2</v>
      </c>
      <c r="S11" s="107"/>
      <c r="T11" s="52">
        <f t="shared" ref="T11" si="33">T8+T9+T10</f>
        <v>2016.3589999999999</v>
      </c>
      <c r="U11" s="20">
        <f t="shared" ref="U11" si="34">IF(M11&gt;0,V11/M11,0)</f>
        <v>0.21667480527596131</v>
      </c>
      <c r="V11" s="52">
        <f t="shared" ref="V11" si="35">V8+V9+V10</f>
        <v>9708.5479999999989</v>
      </c>
      <c r="W11" s="20">
        <f t="shared" ref="W11" si="36">IF(M11&gt;0,X11/M11,0)</f>
        <v>0.49632416809873453</v>
      </c>
      <c r="X11" s="52">
        <f t="shared" ref="X11" si="37">X8+X9+X10</f>
        <v>22238.796999999999</v>
      </c>
      <c r="Y11" s="20">
        <f t="shared" ref="Y11" si="38">IF(M11&gt;0,Z11/M11,0)</f>
        <v>0.37667931350012274</v>
      </c>
      <c r="Z11" s="52">
        <f t="shared" ref="Z11" si="39">Z8+Z9+Z10</f>
        <v>16877.87</v>
      </c>
      <c r="AA11" s="119">
        <f>IF(M11&gt;0,AB11/M11,0)</f>
        <v>2.2832131140223628E-3</v>
      </c>
      <c r="AB11" s="54">
        <f t="shared" ref="AB11" si="40">SUM(AB8:AB10)</f>
        <v>102.30393000000001</v>
      </c>
      <c r="AC11" s="53">
        <f t="shared" ref="AC11" si="41">IF(M11&gt;0,AD11/M11,0)</f>
        <v>2.3599303680228536E-3</v>
      </c>
      <c r="AD11" s="54">
        <f t="shared" ref="AD11" si="42">SUM(AD8:AD10)</f>
        <v>105.7414</v>
      </c>
      <c r="AE11" s="53">
        <f t="shared" ref="AE11" si="43">IF(M11&gt;0,(AE8*M8+AE9*M9+AE10*M10)/M11,0)</f>
        <v>2.3815858303390097E-3</v>
      </c>
      <c r="AF11" s="53">
        <f t="shared" ref="AF11" si="44">IF(K11&gt;0,(K8*AF8+K9*AF9+K10*AF10)/K11,0)</f>
        <v>2.4000378692249432E-4</v>
      </c>
      <c r="AG11" s="50">
        <f t="shared" ref="AG11" si="45">SUM(AG8:AG10)</f>
        <v>10.7529</v>
      </c>
      <c r="AH11" s="51">
        <f t="shared" ref="AH11" si="46">IF(K11&gt;0,(K8*AH8+K9*AH9+K10*AH10)/K11,0)</f>
        <v>0.20523363628713287</v>
      </c>
      <c r="AI11" s="56">
        <f t="shared" ref="AI11" si="47">SUM(AI8:AI10)</f>
        <v>91.460516999999996</v>
      </c>
      <c r="AJ11" s="51">
        <f t="shared" ref="AJ11" si="48">IF(AND(AD11&gt;0),((AD8*AJ8+AD9*AJ9+AD10*AJ10)/AD11),0)</f>
        <v>0.89936153309971556</v>
      </c>
      <c r="AK11" s="55">
        <f t="shared" si="6"/>
        <v>0.90022858583825827</v>
      </c>
      <c r="AL11" s="49">
        <f t="shared" ref="AL11" si="49">SUM(AL8:AL10)</f>
        <v>489</v>
      </c>
      <c r="AM11" s="20">
        <f t="shared" ref="AM11" si="50">IF(AL11&gt;0,(AM8*AL8+AM9*AL9+AM10*AL10)/AL11,0)</f>
        <v>8.871779141104294E-2</v>
      </c>
      <c r="AN11" s="51">
        <f>IF(K11&gt;0,(AN8*K8+AN9*K9+AN10*K10)/K11,0)</f>
        <v>0.21533359841790795</v>
      </c>
      <c r="AO11" s="107">
        <f>IF(K11&gt;0,(AO8*K8+AO9*K9+AO10*K10)/K11,0)</f>
        <v>0.22176553058991835</v>
      </c>
      <c r="AP11" s="56">
        <f t="shared" ref="AP11:AQ23" si="51">SUM(AP8:AP10)</f>
        <v>95.958816299999995</v>
      </c>
      <c r="AQ11" s="108">
        <f t="shared" si="51"/>
        <v>98.811571200000003</v>
      </c>
      <c r="AR11" s="54"/>
      <c r="AS11" s="54">
        <f t="shared" ref="AS11" si="52">SUM(AS8:AS10)</f>
        <v>1059.44</v>
      </c>
      <c r="AT11" s="83"/>
      <c r="AU11" s="84">
        <f>AT10</f>
        <v>1367.0199999999991</v>
      </c>
      <c r="AV11" s="49">
        <f t="shared" ref="AV11" si="53">SUM(AV8:AV10)</f>
        <v>0</v>
      </c>
      <c r="AW11" s="57"/>
      <c r="AX11" s="56"/>
      <c r="AY11" s="56"/>
      <c r="AZ11" s="56"/>
      <c r="BA11" s="56"/>
      <c r="BB11" s="21"/>
    </row>
    <row r="12" spans="1:54">
      <c r="A12" s="147">
        <v>3</v>
      </c>
      <c r="B12" s="22">
        <v>1</v>
      </c>
      <c r="C12" s="143" t="s">
        <v>57</v>
      </c>
      <c r="D12" s="11">
        <v>11000</v>
      </c>
      <c r="E12" s="11">
        <v>5</v>
      </c>
      <c r="F12" s="11">
        <v>17807</v>
      </c>
      <c r="G12" s="12">
        <v>0.4</v>
      </c>
      <c r="H12" s="12">
        <v>4</v>
      </c>
      <c r="I12" s="11">
        <v>17685</v>
      </c>
      <c r="J12" s="12">
        <v>1.6</v>
      </c>
      <c r="K12" s="11">
        <v>15783</v>
      </c>
      <c r="L12" s="13">
        <v>6.8000000000000005E-2</v>
      </c>
      <c r="M12" s="23">
        <f>ROUND(K12*(1-L12),0)</f>
        <v>14710</v>
      </c>
      <c r="N12" s="14">
        <v>0.622</v>
      </c>
      <c r="O12" s="24">
        <f t="shared" ref="O12:O14" si="54">M12*N12</f>
        <v>9149.6200000000008</v>
      </c>
      <c r="P12" s="13">
        <v>0.32</v>
      </c>
      <c r="Q12" s="24">
        <f t="shared" ref="Q12:Q14" si="55">M12*P12</f>
        <v>4707.2</v>
      </c>
      <c r="R12" s="15">
        <v>5.8000000000000003E-2</v>
      </c>
      <c r="S12" s="112">
        <v>0.2089</v>
      </c>
      <c r="T12" s="24">
        <f t="shared" ref="T12:T14" si="56">M12*R12</f>
        <v>853.18000000000006</v>
      </c>
      <c r="U12" s="25">
        <v>0.21099999999999999</v>
      </c>
      <c r="V12" s="24">
        <f t="shared" ref="V12:V14" si="57">M12*U12</f>
        <v>3103.81</v>
      </c>
      <c r="W12" s="15">
        <v>0.499</v>
      </c>
      <c r="X12" s="24">
        <f t="shared" ref="X12:X14" si="58">M12*W12</f>
        <v>7340.29</v>
      </c>
      <c r="Y12" s="15">
        <v>0.38</v>
      </c>
      <c r="Z12" s="24">
        <f t="shared" ref="Z12:Z14" si="59">Y12*M12</f>
        <v>5589.8</v>
      </c>
      <c r="AA12" s="116">
        <v>2.4099999999999998E-3</v>
      </c>
      <c r="AB12" s="18">
        <f t="shared" ref="AB12:AB74" si="60">M12*AA12</f>
        <v>35.451099999999997</v>
      </c>
      <c r="AC12" s="16">
        <v>2.5300000000000001E-3</v>
      </c>
      <c r="AD12" s="17">
        <f t="shared" ref="AD12:AD14" si="61">M12*AC12</f>
        <v>37.216300000000004</v>
      </c>
      <c r="AE12" s="26">
        <f>IF(M12&gt;0,(AG12+AP12)/M12,0)</f>
        <v>2.5709525492861999E-3</v>
      </c>
      <c r="AF12" s="16">
        <v>2.5000000000000001E-4</v>
      </c>
      <c r="AG12" s="23">
        <f t="shared" ref="AG12:AG14" si="62">AF12*M12</f>
        <v>3.6775000000000002</v>
      </c>
      <c r="AH12" s="92">
        <v>0.21149999999999999</v>
      </c>
      <c r="AI12" s="29">
        <f t="shared" ref="AI12:AI14" si="63">AL12*(1-AM12)*AH12</f>
        <v>32.511780000000002</v>
      </c>
      <c r="AJ12" s="27">
        <f t="shared" ref="AJ12:AJ14" si="64">IF(AND(AH12&gt;0,AF12&gt;0,AC12&gt;0),((AC12-AF12)*AH12)/((AH12-AF12)*AC12),0)</f>
        <v>0.90225226278737969</v>
      </c>
      <c r="AK12" s="58">
        <f t="shared" si="6"/>
        <v>0.90377708543559165</v>
      </c>
      <c r="AL12" s="11">
        <v>168</v>
      </c>
      <c r="AM12" s="13">
        <v>8.5000000000000006E-2</v>
      </c>
      <c r="AN12" s="14">
        <v>0.22209999999999999</v>
      </c>
      <c r="AO12" s="101">
        <v>0.2261</v>
      </c>
      <c r="AP12" s="29">
        <f>AL12*(1-AM12)*AN12</f>
        <v>34.141211999999996</v>
      </c>
      <c r="AQ12" s="102">
        <f t="shared" ref="AQ12" si="65">AL12*(1-AM12)*AO12</f>
        <v>34.756092000000002</v>
      </c>
      <c r="AR12" s="18">
        <v>1.56</v>
      </c>
      <c r="AS12" s="18"/>
      <c r="AT12" s="79">
        <f>AT10+AL12-AS12</f>
        <v>1535.0199999999991</v>
      </c>
      <c r="AU12" s="80"/>
      <c r="AV12" s="11"/>
      <c r="AW12" s="30"/>
      <c r="AX12" s="19"/>
      <c r="AY12" s="19"/>
      <c r="AZ12" s="19"/>
      <c r="BA12" s="19"/>
      <c r="BB12" s="31"/>
    </row>
    <row r="13" spans="1:54">
      <c r="A13" s="148"/>
      <c r="B13" s="32">
        <v>2</v>
      </c>
      <c r="C13" s="10" t="s">
        <v>54</v>
      </c>
      <c r="D13" s="33">
        <v>18950</v>
      </c>
      <c r="E13" s="33">
        <v>5</v>
      </c>
      <c r="F13" s="33">
        <v>16992</v>
      </c>
      <c r="G13" s="34">
        <v>0.4</v>
      </c>
      <c r="H13" s="34">
        <v>5</v>
      </c>
      <c r="I13" s="33">
        <v>16006</v>
      </c>
      <c r="J13" s="34">
        <v>1.7</v>
      </c>
      <c r="K13" s="33">
        <v>15891</v>
      </c>
      <c r="L13" s="35">
        <v>7.3999999999999996E-2</v>
      </c>
      <c r="M13" s="36">
        <f>ROUND(K13*(1-L13),0)</f>
        <v>14715</v>
      </c>
      <c r="N13" s="37">
        <v>0.71499999999999997</v>
      </c>
      <c r="O13" s="24">
        <f t="shared" si="54"/>
        <v>10521.225</v>
      </c>
      <c r="P13" s="35">
        <v>0.24299999999999999</v>
      </c>
      <c r="Q13" s="24">
        <f t="shared" si="55"/>
        <v>3575.7449999999999</v>
      </c>
      <c r="R13" s="38">
        <v>4.2000000000000003E-2</v>
      </c>
      <c r="S13" s="105">
        <v>0.1988</v>
      </c>
      <c r="T13" s="24">
        <f t="shared" si="56"/>
        <v>618.03000000000009</v>
      </c>
      <c r="U13" s="27">
        <v>0.216</v>
      </c>
      <c r="V13" s="24">
        <f t="shared" si="57"/>
        <v>3178.44</v>
      </c>
      <c r="W13" s="38">
        <v>0.49</v>
      </c>
      <c r="X13" s="24">
        <f t="shared" si="58"/>
        <v>7210.3499999999995</v>
      </c>
      <c r="Y13" s="38">
        <v>0.38</v>
      </c>
      <c r="Z13" s="24">
        <f t="shared" si="59"/>
        <v>5591.7</v>
      </c>
      <c r="AA13" s="117">
        <v>2.5000000000000001E-3</v>
      </c>
      <c r="AB13" s="18">
        <f t="shared" si="60"/>
        <v>36.787500000000001</v>
      </c>
      <c r="AC13" s="39">
        <v>2.5899999999999999E-3</v>
      </c>
      <c r="AD13" s="17">
        <f t="shared" si="61"/>
        <v>38.111849999999997</v>
      </c>
      <c r="AE13" s="26">
        <f>IF(M13&gt;0,(AG13+AP13)/M13,0)</f>
        <v>2.7718778661230043E-3</v>
      </c>
      <c r="AF13" s="39">
        <v>2.5000000000000001E-4</v>
      </c>
      <c r="AG13" s="36">
        <f t="shared" si="62"/>
        <v>3.67875</v>
      </c>
      <c r="AH13" s="27">
        <v>0.20449999999999999</v>
      </c>
      <c r="AI13" s="40">
        <f t="shared" si="63"/>
        <v>34.354364000000004</v>
      </c>
      <c r="AJ13" s="27">
        <f t="shared" si="64"/>
        <v>0.90458074791000131</v>
      </c>
      <c r="AK13" s="28">
        <f t="shared" si="6"/>
        <v>0.91083926358223799</v>
      </c>
      <c r="AL13" s="33">
        <v>184</v>
      </c>
      <c r="AM13" s="35">
        <v>8.6999999999999994E-2</v>
      </c>
      <c r="AN13" s="37">
        <v>0.22090000000000001</v>
      </c>
      <c r="AO13" s="103">
        <v>0.2261</v>
      </c>
      <c r="AP13" s="40">
        <f>AL13*(1-AM13)*AN13</f>
        <v>37.109432800000008</v>
      </c>
      <c r="AQ13" s="104">
        <f t="shared" si="21"/>
        <v>37.982991200000001</v>
      </c>
      <c r="AR13" s="41">
        <v>1.55</v>
      </c>
      <c r="AS13" s="41"/>
      <c r="AT13" s="88">
        <f>AT12+AL13-AS13</f>
        <v>1719.0199999999991</v>
      </c>
      <c r="AU13" s="82"/>
      <c r="AV13" s="42"/>
      <c r="AW13" s="43"/>
      <c r="AX13" s="44"/>
      <c r="AY13" s="44"/>
      <c r="AZ13" s="44"/>
      <c r="BA13" s="44"/>
      <c r="BB13" s="31"/>
    </row>
    <row r="14" spans="1:54">
      <c r="A14" s="148"/>
      <c r="B14" s="32">
        <v>3</v>
      </c>
      <c r="C14" s="10" t="s">
        <v>55</v>
      </c>
      <c r="D14" s="42">
        <v>20500</v>
      </c>
      <c r="E14" s="42">
        <v>2</v>
      </c>
      <c r="F14" s="42">
        <v>17325</v>
      </c>
      <c r="G14" s="36">
        <v>0.4</v>
      </c>
      <c r="H14" s="36">
        <v>6</v>
      </c>
      <c r="I14" s="42">
        <v>17549</v>
      </c>
      <c r="J14" s="36">
        <v>1</v>
      </c>
      <c r="K14" s="42">
        <v>16014</v>
      </c>
      <c r="L14" s="38">
        <v>6.6000000000000003E-2</v>
      </c>
      <c r="M14" s="36">
        <f>ROUND(K14*(1-L14),0)</f>
        <v>14957</v>
      </c>
      <c r="N14" s="27">
        <v>0.72499999999999998</v>
      </c>
      <c r="O14" s="24">
        <f t="shared" si="54"/>
        <v>10843.824999999999</v>
      </c>
      <c r="P14" s="38">
        <v>0.224</v>
      </c>
      <c r="Q14" s="24">
        <f t="shared" si="55"/>
        <v>3350.3679999999999</v>
      </c>
      <c r="R14" s="38">
        <v>5.0999999999999997E-2</v>
      </c>
      <c r="S14" s="105">
        <v>0.2079</v>
      </c>
      <c r="T14" s="24">
        <f t="shared" si="56"/>
        <v>762.8069999999999</v>
      </c>
      <c r="U14" s="27">
        <v>0.214</v>
      </c>
      <c r="V14" s="24">
        <f t="shared" si="57"/>
        <v>3200.7979999999998</v>
      </c>
      <c r="W14" s="38">
        <v>0.499</v>
      </c>
      <c r="X14" s="24">
        <f t="shared" si="58"/>
        <v>7463.5429999999997</v>
      </c>
      <c r="Y14" s="38">
        <v>0.38</v>
      </c>
      <c r="Z14" s="24">
        <f t="shared" si="59"/>
        <v>5683.66</v>
      </c>
      <c r="AA14" s="118">
        <v>2.5799999999999998E-3</v>
      </c>
      <c r="AB14" s="121">
        <f t="shared" si="60"/>
        <v>38.589059999999996</v>
      </c>
      <c r="AC14" s="45">
        <v>2.7299999999999998E-3</v>
      </c>
      <c r="AD14" s="17">
        <f t="shared" si="61"/>
        <v>40.832609999999995</v>
      </c>
      <c r="AE14" s="26">
        <f>IF(M14&gt;0,(AG14+AP14)/M14,0)</f>
        <v>2.6766626729959218E-3</v>
      </c>
      <c r="AF14" s="45">
        <v>2.5000000000000001E-4</v>
      </c>
      <c r="AG14" s="36">
        <f t="shared" si="62"/>
        <v>3.7392500000000002</v>
      </c>
      <c r="AH14" s="27">
        <v>0.20880000000000001</v>
      </c>
      <c r="AI14" s="40">
        <f t="shared" si="63"/>
        <v>35.613345600000002</v>
      </c>
      <c r="AJ14" s="27">
        <f t="shared" si="64"/>
        <v>0.90951388577857051</v>
      </c>
      <c r="AK14" s="28">
        <f t="shared" si="6"/>
        <v>0.90766644717186529</v>
      </c>
      <c r="AL14" s="42">
        <v>186</v>
      </c>
      <c r="AM14" s="38">
        <v>8.3000000000000004E-2</v>
      </c>
      <c r="AN14" s="27">
        <v>0.21279999999999999</v>
      </c>
      <c r="AO14" s="105">
        <v>0.2233</v>
      </c>
      <c r="AP14" s="40">
        <f>AL14*(1-AM14)*AN14</f>
        <v>36.295593600000004</v>
      </c>
      <c r="AQ14" s="106">
        <f t="shared" si="21"/>
        <v>38.086494600000002</v>
      </c>
      <c r="AR14" s="17">
        <v>1.55</v>
      </c>
      <c r="AS14" s="17"/>
      <c r="AT14" s="88">
        <f>AT13+AL14-AS14</f>
        <v>1905.0199999999991</v>
      </c>
      <c r="AU14" s="82"/>
      <c r="AV14" s="42"/>
      <c r="AW14" s="46"/>
      <c r="AX14" s="40"/>
      <c r="AY14" s="40"/>
      <c r="AZ14" s="40"/>
      <c r="BA14" s="40"/>
      <c r="BB14" s="31"/>
    </row>
    <row r="15" spans="1:54">
      <c r="A15" s="149"/>
      <c r="B15" s="47" t="s">
        <v>56</v>
      </c>
      <c r="C15" s="48"/>
      <c r="D15" s="49">
        <f t="shared" ref="D15" si="66">SUM(D12:D14)</f>
        <v>50450</v>
      </c>
      <c r="E15" s="49"/>
      <c r="F15" s="49">
        <f t="shared" ref="F15" si="67">SUM(F12:F14)</f>
        <v>52124</v>
      </c>
      <c r="G15" s="50"/>
      <c r="H15" s="50"/>
      <c r="I15" s="49">
        <f t="shared" ref="I15:K15" si="68">SUM(I12:I14)</f>
        <v>51240</v>
      </c>
      <c r="J15" s="50"/>
      <c r="K15" s="49">
        <f t="shared" si="68"/>
        <v>47688</v>
      </c>
      <c r="L15" s="20">
        <f t="shared" ref="L15" si="69">IF(K15&gt;0,(K12*L12+K13*L13+K14*L14)/K15,0)</f>
        <v>6.9327755410166073E-2</v>
      </c>
      <c r="M15" s="50">
        <f t="shared" ref="M15" si="70">M12+M13+M14</f>
        <v>44382</v>
      </c>
      <c r="N15" s="51">
        <f t="shared" ref="N15" si="71">IF(M15&gt;0,O15/M15,0)</f>
        <v>0.68754607723852013</v>
      </c>
      <c r="O15" s="52">
        <f t="shared" ref="O15" si="72">O12+O13+O14</f>
        <v>30514.67</v>
      </c>
      <c r="P15" s="20">
        <f t="shared" ref="P15" si="73">IF(M15&gt;0,Q15/M15,0)</f>
        <v>0.26211781803433826</v>
      </c>
      <c r="Q15" s="52">
        <f t="shared" ref="Q15" si="74">Q12+Q13+Q14</f>
        <v>11633.313</v>
      </c>
      <c r="R15" s="20">
        <f t="shared" ref="R15" si="75">IF(M15&gt;0,T15/M15,0)</f>
        <v>5.0336104727141631E-2</v>
      </c>
      <c r="S15" s="107"/>
      <c r="T15" s="52">
        <f t="shared" ref="T15" si="76">T12+T13+T14</f>
        <v>2234.0169999999998</v>
      </c>
      <c r="U15" s="20">
        <f t="shared" ref="U15" si="77">IF(M15&gt;0,V15/M15,0)</f>
        <v>0.21366878464242259</v>
      </c>
      <c r="V15" s="52">
        <f t="shared" ref="V15" si="78">V12+V13+V14</f>
        <v>9483.0479999999989</v>
      </c>
      <c r="W15" s="20">
        <f t="shared" ref="W15" si="79">IF(M15&gt;0,X15/M15,0)</f>
        <v>0.49601602000811135</v>
      </c>
      <c r="X15" s="52">
        <f t="shared" ref="X15" si="80">X12+X13+X14</f>
        <v>22014.182999999997</v>
      </c>
      <c r="Y15" s="20">
        <f t="shared" ref="Y15" si="81">IF(M15&gt;0,Z15/M15,0)</f>
        <v>0.38</v>
      </c>
      <c r="Z15" s="52">
        <f t="shared" ref="Z15" si="82">Z12+Z13+Z14</f>
        <v>16865.16</v>
      </c>
      <c r="AA15" s="119">
        <f t="shared" ref="AA15" si="83">IF(M15&gt;0,AB15/M15,0)</f>
        <v>2.4971308188004139E-3</v>
      </c>
      <c r="AB15" s="54">
        <f t="shared" ref="AB15" si="84">SUM(AB12:AB14)</f>
        <v>110.82765999999998</v>
      </c>
      <c r="AC15" s="53">
        <f t="shared" ref="AC15" si="85">IF(M15&gt;0,AD15/M15,0)</f>
        <v>2.6172943986300747E-3</v>
      </c>
      <c r="AD15" s="54">
        <f t="shared" ref="AD15" si="86">SUM(AD12:AD14)</f>
        <v>116.16075999999998</v>
      </c>
      <c r="AE15" s="53">
        <f t="shared" ref="AE15" si="87">IF(M15&gt;0,(AE12*M12+AE13*M13+AE14*M14)/M15,0)</f>
        <v>2.6731949529088372E-3</v>
      </c>
      <c r="AF15" s="53">
        <f t="shared" ref="AF15" si="88">IF(K15&gt;0,(K12*AF12+K13*AF13+K14*AF14)/K15,0)</f>
        <v>2.5000000000000001E-4</v>
      </c>
      <c r="AG15" s="50">
        <f t="shared" ref="AG15" si="89">SUM(AG12:AG14)</f>
        <v>11.095500000000001</v>
      </c>
      <c r="AH15" s="51">
        <f t="shared" ref="AH15" si="90">IF(K15&gt;0,(K12*AH12+K13*AH13+K14*AH14)/K15,0)</f>
        <v>0.20826071967790641</v>
      </c>
      <c r="AI15" s="56">
        <f t="shared" ref="AI15" si="91">SUM(AI12:AI14)</f>
        <v>102.47948960000001</v>
      </c>
      <c r="AJ15" s="51">
        <f t="shared" ref="AJ15" si="92">IF(AND(AD15&gt;0),((AD12*AJ12+AD13*AJ13+AD14*AJ14)/AD15),0)</f>
        <v>0.90556882076519363</v>
      </c>
      <c r="AK15" s="55">
        <f t="shared" si="6"/>
        <v>0.90751693213445672</v>
      </c>
      <c r="AL15" s="49">
        <f t="shared" ref="AL15" si="93">SUM(AL12:AL14)</f>
        <v>538</v>
      </c>
      <c r="AM15" s="20">
        <f t="shared" ref="AM15" si="94">IF(AL15&gt;0,(AM12*AL12+AM13*AL13+AM14*AL14)/AL15,0)</f>
        <v>8.4992565055762082E-2</v>
      </c>
      <c r="AN15" s="51">
        <f>IF(K15&gt;0,(AN12*K12+AN13*K13+AN14*K14)/K15,0)</f>
        <v>0.2185771137393055</v>
      </c>
      <c r="AO15" s="107">
        <f>IF(K15&gt;0,(AO12*K12+AO13*K13+AO14*K14)/K15,0)</f>
        <v>0.22515973829894315</v>
      </c>
      <c r="AP15" s="56">
        <f t="shared" ref="AP15" si="95">SUM(AP12:AP14)</f>
        <v>107.54623840000001</v>
      </c>
      <c r="AQ15" s="108">
        <f t="shared" si="51"/>
        <v>110.82557780000002</v>
      </c>
      <c r="AR15" s="54"/>
      <c r="AS15" s="54">
        <f t="shared" ref="AS15" si="96">SUM(AS12:AS14)</f>
        <v>0</v>
      </c>
      <c r="AT15" s="83"/>
      <c r="AU15" s="84">
        <f>AT14</f>
        <v>1905.0199999999991</v>
      </c>
      <c r="AV15" s="49">
        <f t="shared" ref="AV15" si="97">SUM(AV12:AV14)</f>
        <v>0</v>
      </c>
      <c r="AW15" s="57"/>
      <c r="AX15" s="56"/>
      <c r="AY15" s="56"/>
      <c r="AZ15" s="56"/>
      <c r="BA15" s="56"/>
      <c r="BB15" s="21"/>
    </row>
    <row r="16" spans="1:54">
      <c r="A16" s="147">
        <v>4</v>
      </c>
      <c r="B16" s="22">
        <v>1</v>
      </c>
      <c r="C16" s="143" t="s">
        <v>57</v>
      </c>
      <c r="D16" s="11">
        <v>6100</v>
      </c>
      <c r="E16" s="11">
        <v>1</v>
      </c>
      <c r="F16" s="11">
        <v>9887</v>
      </c>
      <c r="G16" s="12">
        <v>0.8</v>
      </c>
      <c r="H16" s="12">
        <v>6.1</v>
      </c>
      <c r="I16" s="11">
        <v>9671</v>
      </c>
      <c r="J16" s="12">
        <v>3.8</v>
      </c>
      <c r="K16" s="11">
        <v>15985</v>
      </c>
      <c r="L16" s="13">
        <v>6.0999999999999999E-2</v>
      </c>
      <c r="M16" s="23">
        <f>ROUND(K16*(1-L16),0)</f>
        <v>15010</v>
      </c>
      <c r="N16" s="14">
        <v>0.58799999999999997</v>
      </c>
      <c r="O16" s="24">
        <f t="shared" ref="O16:O18" si="98">M16*N16</f>
        <v>8825.8799999999992</v>
      </c>
      <c r="P16" s="13">
        <v>0.35099999999999998</v>
      </c>
      <c r="Q16" s="24">
        <f t="shared" ref="Q16:Q18" si="99">M16*P16</f>
        <v>5268.5099999999993</v>
      </c>
      <c r="R16" s="15">
        <v>6.0999999999999999E-2</v>
      </c>
      <c r="S16" s="112">
        <v>0.20780000000000001</v>
      </c>
      <c r="T16" s="24">
        <f t="shared" ref="T16:T18" si="100">M16*R16</f>
        <v>915.61</v>
      </c>
      <c r="U16" s="25">
        <v>0.218</v>
      </c>
      <c r="V16" s="24">
        <f t="shared" ref="V16:V18" si="101">M16*U16</f>
        <v>3272.18</v>
      </c>
      <c r="W16" s="15">
        <v>0.48899999999999999</v>
      </c>
      <c r="X16" s="24">
        <f t="shared" ref="X16:X18" si="102">M16*W16</f>
        <v>7339.8899999999994</v>
      </c>
      <c r="Y16" s="15">
        <v>0.38</v>
      </c>
      <c r="Z16" s="24">
        <f t="shared" ref="Z16:Z18" si="103">Y16*M16</f>
        <v>5703.8</v>
      </c>
      <c r="AA16" s="116">
        <v>2.5500000000000002E-3</v>
      </c>
      <c r="AB16" s="18">
        <f t="shared" ref="AB16" si="104">M16*AA16</f>
        <v>38.275500000000001</v>
      </c>
      <c r="AC16" s="16">
        <v>2.66E-3</v>
      </c>
      <c r="AD16" s="17">
        <f t="shared" ref="AD16:AD18" si="105">M16*AC16</f>
        <v>39.926600000000001</v>
      </c>
      <c r="AE16" s="26">
        <f>IF(M16&gt;0,(AG16+AP16)/M16,0)</f>
        <v>2.5765593271152563E-3</v>
      </c>
      <c r="AF16" s="16">
        <v>2.5999999999999998E-4</v>
      </c>
      <c r="AG16" s="23">
        <f t="shared" ref="AG16:AG18" si="106">AF16*M16</f>
        <v>3.9025999999999996</v>
      </c>
      <c r="AH16" s="92">
        <v>0.20610000000000001</v>
      </c>
      <c r="AI16" s="29">
        <f t="shared" ref="AI16:AI18" si="107">AL16*(1-AM16)*AH16</f>
        <v>33.756088499999997</v>
      </c>
      <c r="AJ16" s="27">
        <f t="shared" ref="AJ16:AJ18" si="108">IF(AND(AH16&gt;0,AF16&gt;0,AC16&gt;0),((AC16-AF16)*AH16)/((AH16-AF16)*AC16),0)</f>
        <v>0.90339529351945747</v>
      </c>
      <c r="AK16" s="58">
        <f t="shared" si="6"/>
        <v>0.90019268335234781</v>
      </c>
      <c r="AL16" s="11">
        <v>179</v>
      </c>
      <c r="AM16" s="13">
        <v>8.5000000000000006E-2</v>
      </c>
      <c r="AN16" s="14">
        <v>0.21229999999999999</v>
      </c>
      <c r="AO16" s="101">
        <v>0.218</v>
      </c>
      <c r="AP16" s="29">
        <f>AL16*(1-AM16)*AN16</f>
        <v>34.771555499999998</v>
      </c>
      <c r="AQ16" s="102">
        <f t="shared" ref="AQ16" si="109">AL16*(1-AM16)*AO16</f>
        <v>35.705129999999997</v>
      </c>
      <c r="AR16" s="18">
        <v>1.6</v>
      </c>
      <c r="AS16" s="18">
        <v>1006.4</v>
      </c>
      <c r="AT16" s="79">
        <f>AT14+AL16-AS16</f>
        <v>1077.619999999999</v>
      </c>
      <c r="AU16" s="80"/>
      <c r="AV16" s="11"/>
      <c r="AW16" s="30"/>
      <c r="AX16" s="19"/>
      <c r="AY16" s="19"/>
      <c r="AZ16" s="19"/>
      <c r="BA16" s="19"/>
      <c r="BB16" s="31"/>
    </row>
    <row r="17" spans="1:54">
      <c r="A17" s="148"/>
      <c r="B17" s="32">
        <v>2</v>
      </c>
      <c r="C17" s="10" t="s">
        <v>59</v>
      </c>
      <c r="D17" s="33">
        <v>22850</v>
      </c>
      <c r="E17" s="33">
        <v>3</v>
      </c>
      <c r="F17" s="33">
        <v>21253</v>
      </c>
      <c r="G17" s="34">
        <v>0.3</v>
      </c>
      <c r="H17" s="34">
        <v>3.9</v>
      </c>
      <c r="I17" s="33">
        <v>20135</v>
      </c>
      <c r="J17" s="34">
        <v>1.3</v>
      </c>
      <c r="K17" s="33">
        <v>16210</v>
      </c>
      <c r="L17" s="35">
        <v>6.3E-2</v>
      </c>
      <c r="M17" s="36">
        <f>ROUND(K17*(1-L17),0)</f>
        <v>15189</v>
      </c>
      <c r="N17" s="37">
        <v>0.69799999999999995</v>
      </c>
      <c r="O17" s="24">
        <f t="shared" si="98"/>
        <v>10601.921999999999</v>
      </c>
      <c r="P17" s="35">
        <v>0.26</v>
      </c>
      <c r="Q17" s="24">
        <f t="shared" si="99"/>
        <v>3949.1400000000003</v>
      </c>
      <c r="R17" s="38">
        <v>4.2000000000000003E-2</v>
      </c>
      <c r="S17" s="105">
        <v>0.19259999999999999</v>
      </c>
      <c r="T17" s="24">
        <f t="shared" si="100"/>
        <v>637.93799999999999</v>
      </c>
      <c r="U17" s="27">
        <v>0.20899999999999999</v>
      </c>
      <c r="V17" s="24">
        <f t="shared" si="101"/>
        <v>3174.5009999999997</v>
      </c>
      <c r="W17" s="38">
        <v>0.50900000000000001</v>
      </c>
      <c r="X17" s="24">
        <f t="shared" si="102"/>
        <v>7731.201</v>
      </c>
      <c r="Y17" s="38">
        <v>0.39</v>
      </c>
      <c r="Z17" s="24">
        <f t="shared" si="103"/>
        <v>5923.71</v>
      </c>
      <c r="AA17" s="117">
        <v>2.6800000000000001E-3</v>
      </c>
      <c r="AB17" s="18">
        <f t="shared" si="60"/>
        <v>40.706520000000005</v>
      </c>
      <c r="AC17" s="39">
        <v>2.6900000000000001E-3</v>
      </c>
      <c r="AD17" s="17">
        <f t="shared" si="105"/>
        <v>40.858409999999999</v>
      </c>
      <c r="AE17" s="26">
        <f>IF(M17&gt;0,(AG17+AP17)/M17,0)</f>
        <v>2.644842800711041E-3</v>
      </c>
      <c r="AF17" s="39">
        <v>2.5999999999999998E-4</v>
      </c>
      <c r="AG17" s="36">
        <f t="shared" si="106"/>
        <v>3.9491399999999999</v>
      </c>
      <c r="AH17" s="27">
        <v>0.20530000000000001</v>
      </c>
      <c r="AI17" s="40">
        <f t="shared" si="107"/>
        <v>34.897509900000003</v>
      </c>
      <c r="AJ17" s="27">
        <f t="shared" si="108"/>
        <v>0.90449120817118667</v>
      </c>
      <c r="AK17" s="28">
        <f t="shared" si="6"/>
        <v>0.90279696931540976</v>
      </c>
      <c r="AL17" s="33">
        <v>187</v>
      </c>
      <c r="AM17" s="35">
        <v>9.0999999999999998E-2</v>
      </c>
      <c r="AN17" s="37">
        <v>0.21310000000000001</v>
      </c>
      <c r="AO17" s="103">
        <v>0.22559999999999999</v>
      </c>
      <c r="AP17" s="40">
        <f>AL17*(1-AM17)*AN17</f>
        <v>36.223377300000003</v>
      </c>
      <c r="AQ17" s="104">
        <f t="shared" si="21"/>
        <v>38.348164799999999</v>
      </c>
      <c r="AR17" s="41">
        <v>1.6</v>
      </c>
      <c r="AS17" s="41"/>
      <c r="AT17" s="88">
        <f>AT16+AL17-AS17</f>
        <v>1264.619999999999</v>
      </c>
      <c r="AU17" s="82"/>
      <c r="AV17" s="42"/>
      <c r="AW17" s="43"/>
      <c r="AX17" s="44"/>
      <c r="AY17" s="44"/>
      <c r="AZ17" s="44"/>
      <c r="BA17" s="44"/>
      <c r="BB17" s="31"/>
    </row>
    <row r="18" spans="1:54">
      <c r="A18" s="148"/>
      <c r="B18" s="32">
        <v>3</v>
      </c>
      <c r="C18" s="10" t="s">
        <v>55</v>
      </c>
      <c r="D18" s="42">
        <v>19000</v>
      </c>
      <c r="E18" s="42">
        <v>2</v>
      </c>
      <c r="F18" s="42">
        <v>17386</v>
      </c>
      <c r="G18" s="36">
        <v>0.9</v>
      </c>
      <c r="H18" s="36">
        <v>4.7</v>
      </c>
      <c r="I18" s="42">
        <v>16727</v>
      </c>
      <c r="J18" s="36">
        <v>1.2</v>
      </c>
      <c r="K18" s="42">
        <v>16412</v>
      </c>
      <c r="L18" s="38">
        <v>6.3E-2</v>
      </c>
      <c r="M18" s="36">
        <f>ROUND(K18*(1-L18),0)</f>
        <v>15378</v>
      </c>
      <c r="N18" s="27">
        <v>0.52</v>
      </c>
      <c r="O18" s="24">
        <f t="shared" si="98"/>
        <v>7996.56</v>
      </c>
      <c r="P18" s="38">
        <v>0.45800000000000002</v>
      </c>
      <c r="Q18" s="24">
        <f t="shared" si="99"/>
        <v>7043.1240000000007</v>
      </c>
      <c r="R18" s="38">
        <v>2.1999999999999999E-2</v>
      </c>
      <c r="S18" s="105">
        <v>0.21199999999999999</v>
      </c>
      <c r="T18" s="24">
        <f t="shared" si="100"/>
        <v>338.31599999999997</v>
      </c>
      <c r="U18" s="27">
        <v>0.222</v>
      </c>
      <c r="V18" s="24">
        <f t="shared" si="101"/>
        <v>3413.9160000000002</v>
      </c>
      <c r="W18" s="38">
        <v>0.498</v>
      </c>
      <c r="X18" s="24">
        <f t="shared" si="102"/>
        <v>7658.2439999999997</v>
      </c>
      <c r="Y18" s="38">
        <v>0.38</v>
      </c>
      <c r="Z18" s="24">
        <f t="shared" si="103"/>
        <v>5843.64</v>
      </c>
      <c r="AA18" s="118">
        <v>2.63E-3</v>
      </c>
      <c r="AB18" s="121">
        <f t="shared" si="60"/>
        <v>40.444139999999997</v>
      </c>
      <c r="AC18" s="45">
        <v>2.64E-3</v>
      </c>
      <c r="AD18" s="17">
        <f t="shared" si="105"/>
        <v>40.597920000000002</v>
      </c>
      <c r="AE18" s="26">
        <f>IF(M18&gt;0,(AG18+AP18)/M18,0)</f>
        <v>2.5981431135388214E-3</v>
      </c>
      <c r="AF18" s="45">
        <v>2.5999999999999998E-4</v>
      </c>
      <c r="AG18" s="36">
        <f t="shared" si="106"/>
        <v>3.9982799999999998</v>
      </c>
      <c r="AH18" s="27">
        <v>0.20549999999999999</v>
      </c>
      <c r="AI18" s="40">
        <f t="shared" si="107"/>
        <v>35.421623999999994</v>
      </c>
      <c r="AJ18" s="27">
        <f t="shared" si="108"/>
        <v>0.9026571995535162</v>
      </c>
      <c r="AK18" s="28">
        <f t="shared" si="6"/>
        <v>0.90105160511453197</v>
      </c>
      <c r="AL18" s="42">
        <v>189</v>
      </c>
      <c r="AM18" s="38">
        <v>8.7999999999999995E-2</v>
      </c>
      <c r="AN18" s="27">
        <v>0.20860000000000001</v>
      </c>
      <c r="AO18" s="105">
        <v>0.21440000000000001</v>
      </c>
      <c r="AP18" s="40">
        <f>AL18*(1-AM18)*AN18</f>
        <v>35.955964799999997</v>
      </c>
      <c r="AQ18" s="106">
        <f t="shared" si="21"/>
        <v>36.955699199999998</v>
      </c>
      <c r="AR18" s="17">
        <v>1.6</v>
      </c>
      <c r="AS18" s="17"/>
      <c r="AT18" s="88">
        <f>AT17+AL18-AS18</f>
        <v>1453.619999999999</v>
      </c>
      <c r="AU18" s="82"/>
      <c r="AV18" s="42"/>
      <c r="AW18" s="46"/>
      <c r="AX18" s="40"/>
      <c r="AY18" s="40"/>
      <c r="AZ18" s="40"/>
      <c r="BA18" s="40"/>
      <c r="BB18" s="31"/>
    </row>
    <row r="19" spans="1:54">
      <c r="A19" s="149"/>
      <c r="B19" s="47" t="s">
        <v>56</v>
      </c>
      <c r="C19" s="48"/>
      <c r="D19" s="49">
        <f t="shared" ref="D19" si="110">SUM(D16:D18)</f>
        <v>47950</v>
      </c>
      <c r="E19" s="49"/>
      <c r="F19" s="49">
        <f t="shared" ref="F19" si="111">SUM(F16:F18)</f>
        <v>48526</v>
      </c>
      <c r="G19" s="50"/>
      <c r="H19" s="50"/>
      <c r="I19" s="49">
        <f t="shared" ref="I19:K19" si="112">SUM(I16:I18)</f>
        <v>46533</v>
      </c>
      <c r="J19" s="50"/>
      <c r="K19" s="49">
        <f t="shared" si="112"/>
        <v>48607</v>
      </c>
      <c r="L19" s="20">
        <f t="shared" ref="L19" si="113">IF(K19&gt;0,(K16*L16+K17*L17+K18*L18)/K19,0)</f>
        <v>6.2342275803896549E-2</v>
      </c>
      <c r="M19" s="50">
        <f t="shared" ref="M19" si="114">M16+M17+M18</f>
        <v>45577</v>
      </c>
      <c r="N19" s="51">
        <f t="shared" ref="N19" si="115">IF(M19&gt;0,O19/M19,0)</f>
        <v>0.60171494394102287</v>
      </c>
      <c r="O19" s="52">
        <f t="shared" ref="O19" si="116">O16+O17+O18</f>
        <v>27424.361999999997</v>
      </c>
      <c r="P19" s="20">
        <f t="shared" ref="P19" si="117">IF(M19&gt;0,Q19/M19,0)</f>
        <v>0.35677587379599363</v>
      </c>
      <c r="Q19" s="52">
        <f t="shared" ref="Q19" si="118">Q16+Q17+Q18</f>
        <v>16260.774000000001</v>
      </c>
      <c r="R19" s="20">
        <f t="shared" ref="R19" si="119">IF(M19&gt;0,T19/M19,0)</f>
        <v>4.1509182262983522E-2</v>
      </c>
      <c r="S19" s="107"/>
      <c r="T19" s="52">
        <f t="shared" ref="T19" si="120">T16+T17+T18</f>
        <v>1891.864</v>
      </c>
      <c r="U19" s="20">
        <f t="shared" ref="U19" si="121">IF(M19&gt;0,V19/M19,0)</f>
        <v>0.21635028632863065</v>
      </c>
      <c r="V19" s="52">
        <f t="shared" ref="V19" si="122">V16+V17+V18</f>
        <v>9860.5969999999998</v>
      </c>
      <c r="W19" s="20">
        <f t="shared" ref="W19" si="123">IF(M19&gt;0,X19/M19,0)</f>
        <v>0.49870186716984444</v>
      </c>
      <c r="X19" s="52">
        <f t="shared" ref="X19" si="124">X16+X17+X18</f>
        <v>22729.334999999999</v>
      </c>
      <c r="Y19" s="20">
        <f t="shared" ref="Y19" si="125">IF(M19&gt;0,Z19/M19,0)</f>
        <v>0.38333260197029206</v>
      </c>
      <c r="Z19" s="52">
        <f t="shared" ref="Z19" si="126">Z16+Z17+Z18</f>
        <v>17471.150000000001</v>
      </c>
      <c r="AA19" s="119">
        <f t="shared" ref="AA19" si="127">IF(M19&gt;0,AB19/M19,0)</f>
        <v>2.6203163876516665E-3</v>
      </c>
      <c r="AB19" s="54">
        <f t="shared" ref="AB19" si="128">SUM(AB16:AB18)</f>
        <v>119.42616000000001</v>
      </c>
      <c r="AC19" s="53">
        <f t="shared" ref="AC19" si="129">IF(M19&gt;0,AD19/M19,0)</f>
        <v>2.6632496654014088E-3</v>
      </c>
      <c r="AD19" s="54">
        <f t="shared" ref="AD19" si="130">SUM(AD16:AD18)</f>
        <v>121.38293</v>
      </c>
      <c r="AE19" s="53">
        <f t="shared" ref="AE19" si="131">IF(M19&gt;0,(AE16*M16+AE17*M17+AE18*M18)/M19,0)</f>
        <v>2.6065980121552537E-3</v>
      </c>
      <c r="AF19" s="53">
        <f t="shared" ref="AF19" si="132">IF(K19&gt;0,(K16*AF16+K17*AF17+K18*AF18)/K19,0)</f>
        <v>2.5999999999999998E-4</v>
      </c>
      <c r="AG19" s="50">
        <f t="shared" ref="AG19" si="133">SUM(AG16:AG18)</f>
        <v>11.850019999999999</v>
      </c>
      <c r="AH19" s="51">
        <f t="shared" ref="AH19" si="134">IF(K19&gt;0,(K16*AH16+K17*AH17+K18*AH18)/K19,0)</f>
        <v>0.20563061904663937</v>
      </c>
      <c r="AI19" s="56">
        <f t="shared" ref="AI19" si="135">SUM(AI16:AI18)</f>
        <v>104.07522239999999</v>
      </c>
      <c r="AJ19" s="51">
        <f t="shared" ref="AJ19" si="136">IF(AND(AD19&gt;0),((AD16*AJ16+AD17*AJ17+AD18*AJ18)/AD19),0)</f>
        <v>0.90351732262506235</v>
      </c>
      <c r="AK19" s="55">
        <f t="shared" si="6"/>
        <v>0.90136214177045793</v>
      </c>
      <c r="AL19" s="49">
        <f t="shared" ref="AL19" si="137">SUM(AL16:AL18)</f>
        <v>555</v>
      </c>
      <c r="AM19" s="20">
        <f t="shared" ref="AM19" si="138">IF(AL19&gt;0,(AM16*AL16+AM17*AL17+AM18*AL18)/AL19,0)</f>
        <v>8.8043243243243238E-2</v>
      </c>
      <c r="AN19" s="51">
        <f>IF(K19&gt;0,(AN16*K16+AN17*K17+AN18*K18)/K19,0)</f>
        <v>0.21131749953710371</v>
      </c>
      <c r="AO19" s="107">
        <f>IF(K19&gt;0,(AO16*K16+AO17*K17+AO18*K18)/K19,0)</f>
        <v>0.21931900343571914</v>
      </c>
      <c r="AP19" s="56">
        <f t="shared" ref="AP19" si="139">SUM(AP16:AP18)</f>
        <v>106.95089759999999</v>
      </c>
      <c r="AQ19" s="108">
        <f t="shared" si="51"/>
        <v>111.008994</v>
      </c>
      <c r="AR19" s="54"/>
      <c r="AS19" s="54">
        <f t="shared" ref="AS19" si="140">SUM(AS16:AS18)</f>
        <v>1006.4</v>
      </c>
      <c r="AT19" s="83"/>
      <c r="AU19" s="84">
        <f>AT18</f>
        <v>1453.619999999999</v>
      </c>
      <c r="AV19" s="49">
        <f t="shared" ref="AV19" si="141">SUM(AV16:AV18)</f>
        <v>0</v>
      </c>
      <c r="AW19" s="57"/>
      <c r="AX19" s="56"/>
      <c r="AY19" s="56"/>
      <c r="AZ19" s="56"/>
      <c r="BA19" s="56"/>
      <c r="BB19" s="21"/>
    </row>
    <row r="20" spans="1:54">
      <c r="A20" s="147">
        <v>5</v>
      </c>
      <c r="B20" s="22">
        <v>1</v>
      </c>
      <c r="C20" s="143" t="s">
        <v>57</v>
      </c>
      <c r="D20" s="11">
        <v>5500</v>
      </c>
      <c r="E20" s="11">
        <v>0</v>
      </c>
      <c r="F20" s="11">
        <v>8833</v>
      </c>
      <c r="G20" s="12">
        <v>0.6</v>
      </c>
      <c r="H20" s="12">
        <v>4.5</v>
      </c>
      <c r="I20" s="11">
        <v>9373</v>
      </c>
      <c r="J20" s="12">
        <v>3.6</v>
      </c>
      <c r="K20" s="11">
        <v>15548</v>
      </c>
      <c r="L20" s="13">
        <v>7.0999999999999994E-2</v>
      </c>
      <c r="M20" s="23">
        <f>ROUND(K20*(1-L20),0)</f>
        <v>14444</v>
      </c>
      <c r="N20" s="14">
        <v>0.58599999999999997</v>
      </c>
      <c r="O20" s="24">
        <f t="shared" ref="O20:O22" si="142">M20*N20</f>
        <v>8464.1839999999993</v>
      </c>
      <c r="P20" s="13">
        <v>0.375</v>
      </c>
      <c r="Q20" s="24">
        <f t="shared" ref="Q20:Q22" si="143">M20*P20</f>
        <v>5416.5</v>
      </c>
      <c r="R20" s="15">
        <v>3.9E-2</v>
      </c>
      <c r="S20" s="112">
        <v>0.22370000000000001</v>
      </c>
      <c r="T20" s="24">
        <f t="shared" ref="T20:T22" si="144">M20*R20</f>
        <v>563.31600000000003</v>
      </c>
      <c r="U20" s="25">
        <v>0.224</v>
      </c>
      <c r="V20" s="24">
        <f t="shared" ref="V20:V22" si="145">M20*U20</f>
        <v>3235.4560000000001</v>
      </c>
      <c r="W20" s="15">
        <v>0.496</v>
      </c>
      <c r="X20" s="24">
        <f t="shared" ref="X20:X22" si="146">M20*W20</f>
        <v>7164.2240000000002</v>
      </c>
      <c r="Y20" s="15">
        <v>0.38</v>
      </c>
      <c r="Z20" s="24">
        <f t="shared" ref="Z20:Z22" si="147">Y20*M20</f>
        <v>5488.72</v>
      </c>
      <c r="AA20" s="116">
        <v>2.5899999999999999E-3</v>
      </c>
      <c r="AB20" s="18">
        <f t="shared" ref="AB20" si="148">M20*AA20</f>
        <v>37.409959999999998</v>
      </c>
      <c r="AC20" s="16">
        <v>2.5899999999999999E-3</v>
      </c>
      <c r="AD20" s="17">
        <f t="shared" ref="AD20:AD22" si="149">M20*AC20</f>
        <v>37.409959999999998</v>
      </c>
      <c r="AE20" s="26">
        <f>IF(M20&gt;0,(AG20+AP20)/M20,0)</f>
        <v>2.4662117142065908E-3</v>
      </c>
      <c r="AF20" s="16">
        <v>2.5999999999999998E-4</v>
      </c>
      <c r="AG20" s="23">
        <f t="shared" ref="AG20:AG22" si="150">AF20*M20</f>
        <v>3.7554399999999997</v>
      </c>
      <c r="AH20" s="92">
        <v>0.20380000000000001</v>
      </c>
      <c r="AI20" s="29">
        <f t="shared" ref="AI20:AI22" si="151">AL20*(1-AM20)*AH20</f>
        <v>30.955182000000004</v>
      </c>
      <c r="AJ20" s="27">
        <f t="shared" ref="AJ20:AJ22" si="152">IF(AND(AH20&gt;0,AF20&gt;0,AC20&gt;0),((AC20-AF20)*AH20)/((AH20-AF20)*AC20),0)</f>
        <v>0.90076305758726916</v>
      </c>
      <c r="AK20" s="58">
        <f t="shared" si="6"/>
        <v>0.89568515067897725</v>
      </c>
      <c r="AL20" s="11">
        <v>166</v>
      </c>
      <c r="AM20" s="13">
        <v>8.5000000000000006E-2</v>
      </c>
      <c r="AN20" s="14">
        <v>0.20979999999999999</v>
      </c>
      <c r="AO20" s="101">
        <v>0.2195</v>
      </c>
      <c r="AP20" s="29">
        <f>AL20*(1-AM20)*AN20</f>
        <v>31.866522</v>
      </c>
      <c r="AQ20" s="102">
        <f t="shared" ref="AQ20" si="153">AL20*(1-AM20)*AO20</f>
        <v>33.339855</v>
      </c>
      <c r="AR20" s="18">
        <v>1.55</v>
      </c>
      <c r="AS20" s="18">
        <v>1009.46</v>
      </c>
      <c r="AT20" s="79">
        <f>AT18+AL20-AS20+AU20</f>
        <v>699.35999999999899</v>
      </c>
      <c r="AU20" s="80">
        <v>89.2</v>
      </c>
      <c r="AV20" s="11"/>
      <c r="AW20" s="30"/>
      <c r="AX20" s="19"/>
      <c r="AY20" s="19"/>
      <c r="AZ20" s="19"/>
      <c r="BA20" s="19"/>
      <c r="BB20" s="31"/>
    </row>
    <row r="21" spans="1:54">
      <c r="A21" s="148"/>
      <c r="B21" s="32">
        <v>2</v>
      </c>
      <c r="C21" s="10" t="s">
        <v>59</v>
      </c>
      <c r="D21" s="33">
        <v>19400</v>
      </c>
      <c r="E21" s="33">
        <v>4</v>
      </c>
      <c r="F21" s="33">
        <v>20891</v>
      </c>
      <c r="G21" s="34">
        <v>0.4</v>
      </c>
      <c r="H21" s="34">
        <v>3.9</v>
      </c>
      <c r="I21" s="33">
        <v>19691</v>
      </c>
      <c r="J21" s="34">
        <v>1.8</v>
      </c>
      <c r="K21" s="33">
        <v>16362</v>
      </c>
      <c r="L21" s="35">
        <v>6.2E-2</v>
      </c>
      <c r="M21" s="36">
        <f>ROUND(K21*(1-L21),0)</f>
        <v>15348</v>
      </c>
      <c r="N21" s="37">
        <v>0.61599999999999999</v>
      </c>
      <c r="O21" s="24">
        <f t="shared" si="142"/>
        <v>9454.3680000000004</v>
      </c>
      <c r="P21" s="35">
        <v>0.28199999999999997</v>
      </c>
      <c r="Q21" s="24">
        <f t="shared" si="143"/>
        <v>4328.1359999999995</v>
      </c>
      <c r="R21" s="38">
        <v>0.10199999999999999</v>
      </c>
      <c r="S21" s="105">
        <v>0.21790000000000001</v>
      </c>
      <c r="T21" s="24">
        <f t="shared" si="144"/>
        <v>1565.4959999999999</v>
      </c>
      <c r="U21" s="27">
        <v>0.223</v>
      </c>
      <c r="V21" s="24">
        <f t="shared" si="145"/>
        <v>3422.6040000000003</v>
      </c>
      <c r="W21" s="38">
        <v>0.49299999999999999</v>
      </c>
      <c r="X21" s="24">
        <f t="shared" si="146"/>
        <v>7566.5640000000003</v>
      </c>
      <c r="Y21" s="38">
        <v>0.39</v>
      </c>
      <c r="Z21" s="24">
        <f t="shared" si="147"/>
        <v>5985.72</v>
      </c>
      <c r="AA21" s="117">
        <v>2.5100000000000001E-3</v>
      </c>
      <c r="AB21" s="18">
        <f t="shared" si="60"/>
        <v>38.523479999999999</v>
      </c>
      <c r="AC21" s="39">
        <v>2.5000000000000001E-3</v>
      </c>
      <c r="AD21" s="17">
        <f t="shared" si="149"/>
        <v>38.369999999999997</v>
      </c>
      <c r="AE21" s="26">
        <f>IF(M21&gt;0,(AG21+AP21)/M21,0)</f>
        <v>2.824347146207975E-3</v>
      </c>
      <c r="AF21" s="39">
        <v>2.7999999999999998E-4</v>
      </c>
      <c r="AG21" s="36">
        <f t="shared" si="150"/>
        <v>4.2974399999999999</v>
      </c>
      <c r="AH21" s="27">
        <v>0.19800000000000001</v>
      </c>
      <c r="AI21" s="40">
        <f t="shared" si="151"/>
        <v>35.996400000000001</v>
      </c>
      <c r="AJ21" s="27">
        <f t="shared" si="152"/>
        <v>0.88925753590936685</v>
      </c>
      <c r="AK21" s="28">
        <f t="shared" si="6"/>
        <v>0.90203788592059553</v>
      </c>
      <c r="AL21" s="33">
        <v>200</v>
      </c>
      <c r="AM21" s="35">
        <v>9.0999999999999998E-2</v>
      </c>
      <c r="AN21" s="37">
        <v>0.21479999999999999</v>
      </c>
      <c r="AO21" s="103">
        <v>0.221</v>
      </c>
      <c r="AP21" s="40">
        <f>AL21*(1-AM21)*AN21</f>
        <v>39.050640000000001</v>
      </c>
      <c r="AQ21" s="104">
        <f t="shared" si="21"/>
        <v>40.177800000000005</v>
      </c>
      <c r="AR21" s="41">
        <v>1.63</v>
      </c>
      <c r="AS21" s="41"/>
      <c r="AT21" s="129">
        <f>AT20+AL21-AS21</f>
        <v>899.35999999999899</v>
      </c>
      <c r="AU21" s="82"/>
      <c r="AV21" s="42"/>
      <c r="AW21" s="43"/>
      <c r="AX21" s="44"/>
      <c r="AY21" s="44"/>
      <c r="AZ21" s="44"/>
      <c r="BA21" s="44"/>
      <c r="BB21" s="31"/>
    </row>
    <row r="22" spans="1:54">
      <c r="A22" s="148"/>
      <c r="B22" s="32">
        <v>3</v>
      </c>
      <c r="C22" s="10" t="s">
        <v>53</v>
      </c>
      <c r="D22" s="42">
        <v>19890</v>
      </c>
      <c r="E22" s="42">
        <v>1</v>
      </c>
      <c r="F22" s="42">
        <v>18673</v>
      </c>
      <c r="G22" s="36">
        <v>0.5</v>
      </c>
      <c r="H22" s="36">
        <v>4.5</v>
      </c>
      <c r="I22" s="42">
        <v>18224</v>
      </c>
      <c r="J22" s="36">
        <v>1</v>
      </c>
      <c r="K22" s="42">
        <v>16563</v>
      </c>
      <c r="L22" s="38">
        <v>6.3E-2</v>
      </c>
      <c r="M22" s="36">
        <f>ROUND(K22*(1-L22),0)</f>
        <v>15520</v>
      </c>
      <c r="N22" s="27">
        <v>0.73599999999999999</v>
      </c>
      <c r="O22" s="24">
        <f t="shared" si="142"/>
        <v>11422.72</v>
      </c>
      <c r="P22" s="38">
        <v>0.20200000000000001</v>
      </c>
      <c r="Q22" s="24">
        <f t="shared" si="143"/>
        <v>3135.0400000000004</v>
      </c>
      <c r="R22" s="38">
        <v>6.2E-2</v>
      </c>
      <c r="S22" s="105">
        <v>0.2248</v>
      </c>
      <c r="T22" s="24">
        <f t="shared" si="144"/>
        <v>962.24</v>
      </c>
      <c r="U22" s="27">
        <v>0.22600000000000001</v>
      </c>
      <c r="V22" s="24">
        <f t="shared" si="145"/>
        <v>3507.52</v>
      </c>
      <c r="W22" s="38">
        <v>0.48899999999999999</v>
      </c>
      <c r="X22" s="24">
        <f t="shared" si="146"/>
        <v>7589.28</v>
      </c>
      <c r="Y22" s="38">
        <v>0.39</v>
      </c>
      <c r="Z22" s="24">
        <f t="shared" si="147"/>
        <v>6052.8</v>
      </c>
      <c r="AA22" s="118">
        <v>2.48E-3</v>
      </c>
      <c r="AB22" s="121">
        <f t="shared" si="60"/>
        <v>38.489600000000003</v>
      </c>
      <c r="AC22" s="45">
        <v>2.4299999999999999E-3</v>
      </c>
      <c r="AD22" s="17">
        <f t="shared" si="149"/>
        <v>37.7136</v>
      </c>
      <c r="AE22" s="26">
        <f>IF(M22&gt;0,(AG22+AP22)/M22,0)</f>
        <v>2.3239038015463918E-3</v>
      </c>
      <c r="AF22" s="45">
        <v>2.7E-4</v>
      </c>
      <c r="AG22" s="36">
        <f t="shared" si="150"/>
        <v>4.1904000000000003</v>
      </c>
      <c r="AH22" s="27">
        <v>0.1993</v>
      </c>
      <c r="AI22" s="40">
        <f t="shared" si="151"/>
        <v>33.918866999999999</v>
      </c>
      <c r="AJ22" s="27">
        <f t="shared" si="152"/>
        <v>0.89009473725345711</v>
      </c>
      <c r="AK22" s="28">
        <f t="shared" si="6"/>
        <v>0.88509208257830441</v>
      </c>
      <c r="AL22" s="42">
        <v>186</v>
      </c>
      <c r="AM22" s="38">
        <v>8.5000000000000006E-2</v>
      </c>
      <c r="AN22" s="27">
        <v>0.18729999999999999</v>
      </c>
      <c r="AO22" s="105">
        <v>0.19750000000000001</v>
      </c>
      <c r="AP22" s="40">
        <f>AL22*(1-AM22)*AN22</f>
        <v>31.876586999999997</v>
      </c>
      <c r="AQ22" s="106">
        <f t="shared" si="21"/>
        <v>33.612524999999998</v>
      </c>
      <c r="AR22" s="17">
        <v>1.6</v>
      </c>
      <c r="AS22" s="17"/>
      <c r="AT22" s="129">
        <f>AT21+AL22-AS22</f>
        <v>1085.359999999999</v>
      </c>
      <c r="AU22" s="82"/>
      <c r="AV22" s="42"/>
      <c r="AW22" s="46"/>
      <c r="AX22" s="40"/>
      <c r="AY22" s="40"/>
      <c r="AZ22" s="40"/>
      <c r="BA22" s="40"/>
      <c r="BB22" s="31"/>
    </row>
    <row r="23" spans="1:54">
      <c r="A23" s="149"/>
      <c r="B23" s="47" t="s">
        <v>56</v>
      </c>
      <c r="C23" s="48"/>
      <c r="D23" s="49">
        <f t="shared" ref="D23" si="154">SUM(D20:D22)</f>
        <v>44790</v>
      </c>
      <c r="E23" s="49"/>
      <c r="F23" s="49">
        <f t="shared" ref="F23" si="155">SUM(F20:F22)</f>
        <v>48397</v>
      </c>
      <c r="G23" s="50"/>
      <c r="H23" s="50"/>
      <c r="I23" s="49">
        <f t="shared" ref="I23:K23" si="156">SUM(I20:I22)</f>
        <v>47288</v>
      </c>
      <c r="J23" s="50"/>
      <c r="K23" s="49">
        <f t="shared" si="156"/>
        <v>48473</v>
      </c>
      <c r="L23" s="20">
        <f t="shared" ref="L23" si="157">IF(K23&gt;0,(K20*L20+K21*L21+K22*L22)/K23,0)</f>
        <v>6.5228498339281654E-2</v>
      </c>
      <c r="M23" s="50">
        <f t="shared" ref="M23" si="158">M20+M21+M22</f>
        <v>45312</v>
      </c>
      <c r="N23" s="51">
        <f t="shared" ref="N23" si="159">IF(M23&gt;0,O23/M23,0)</f>
        <v>0.6475386652542372</v>
      </c>
      <c r="O23" s="52">
        <f t="shared" ref="O23" si="160">O20+O21+O22</f>
        <v>29341.271999999997</v>
      </c>
      <c r="P23" s="20">
        <f t="shared" ref="P23" si="161">IF(M23&gt;0,Q23/M23,0)</f>
        <v>0.28424426200564973</v>
      </c>
      <c r="Q23" s="52">
        <f t="shared" ref="Q23" si="162">Q20+Q21+Q22</f>
        <v>12879.675999999999</v>
      </c>
      <c r="R23" s="20">
        <f t="shared" ref="R23" si="163">IF(M23&gt;0,T23/M23,0)</f>
        <v>6.8217072740112988E-2</v>
      </c>
      <c r="S23" s="107"/>
      <c r="T23" s="52">
        <f t="shared" ref="T23" si="164">T20+T21+T22</f>
        <v>3091.0519999999997</v>
      </c>
      <c r="U23" s="20">
        <f t="shared" ref="U23" si="165">IF(M23&gt;0,V23/M23,0)</f>
        <v>0.22434631002824859</v>
      </c>
      <c r="V23" s="52">
        <f t="shared" ref="V23" si="166">V20+V21+V22</f>
        <v>10165.58</v>
      </c>
      <c r="W23" s="20">
        <f t="shared" ref="W23" si="167">IF(M23&gt;0,X23/M23,0)</f>
        <v>0.49258624646892651</v>
      </c>
      <c r="X23" s="52">
        <f t="shared" ref="X23" si="168">X20+X21+X22</f>
        <v>22320.067999999999</v>
      </c>
      <c r="Y23" s="20">
        <f t="shared" ref="Y23" si="169">IF(M23&gt;0,Z23/M23,0)</f>
        <v>0.38681232344632771</v>
      </c>
      <c r="Z23" s="52">
        <f t="shared" ref="Z23" si="170">Z20+Z21+Z22</f>
        <v>17527.240000000002</v>
      </c>
      <c r="AA23" s="119">
        <f t="shared" ref="AA23" si="171">IF(M23&gt;0,AB23/M23,0)</f>
        <v>2.5252259887005649E-3</v>
      </c>
      <c r="AB23" s="54">
        <f t="shared" ref="AB23" si="172">SUM(AB20:AB22)</f>
        <v>114.42303999999999</v>
      </c>
      <c r="AC23" s="53">
        <f t="shared" ref="AC23" si="173">IF(M23&gt;0,AD23/M23,0)</f>
        <v>2.5047131002824854E-3</v>
      </c>
      <c r="AD23" s="54">
        <f t="shared" ref="AD23" si="174">SUM(AD20:AD22)</f>
        <v>113.49355999999999</v>
      </c>
      <c r="AE23" s="53">
        <f t="shared" ref="AE23" si="175">IF(M23&gt;0,(AE20*M20+AE21*M21+AE22*M22)/M23,0)</f>
        <v>2.5387762402895482E-3</v>
      </c>
      <c r="AF23" s="53">
        <f t="shared" ref="AF23" si="176">IF(K23&gt;0,(K20*AF20+K21*AF21+K22*AF22)/K23,0)</f>
        <v>2.7016792853753633E-4</v>
      </c>
      <c r="AG23" s="50">
        <f t="shared" ref="AG23" si="177">SUM(AG20:AG22)</f>
        <v>12.24328</v>
      </c>
      <c r="AH23" s="51">
        <f t="shared" ref="AH23" si="178">IF(K23&gt;0,(K20*AH20+K21*AH21+K22*AH22)/K23,0)</f>
        <v>0.20030458812122215</v>
      </c>
      <c r="AI23" s="56">
        <f t="shared" ref="AI23" si="179">SUM(AI20:AI22)</f>
        <v>100.87044900000001</v>
      </c>
      <c r="AJ23" s="51">
        <f t="shared" ref="AJ23" si="180">IF(AND(AD23&gt;0),((AD20*AJ20+AD21*AJ21+AD22*AJ22)/AD23),0)</f>
        <v>0.89332820725283291</v>
      </c>
      <c r="AK23" s="55">
        <f t="shared" si="6"/>
        <v>0.89476955842215722</v>
      </c>
      <c r="AL23" s="49">
        <f t="shared" ref="AL23" si="181">SUM(AL20:AL22)</f>
        <v>552</v>
      </c>
      <c r="AM23" s="20">
        <f t="shared" ref="AM23" si="182">IF(AL23&gt;0,(AM20*AL20+AM21*AL21+AM22*AL22)/AL23,0)</f>
        <v>8.7173913043478268E-2</v>
      </c>
      <c r="AN23" s="51">
        <f>IF(K23&gt;0,(AN20*K20+AN21*K21+AN22*K22)/K23,0)</f>
        <v>0.2037995977141914</v>
      </c>
      <c r="AO23" s="107">
        <f>IF(K23&gt;0,(AO20*K20+AO21*K21+AO22*K22)/K23,0)</f>
        <v>0.21248902481793991</v>
      </c>
      <c r="AP23" s="56">
        <f t="shared" ref="AP23" si="183">SUM(AP20:AP22)</f>
        <v>102.79374900000001</v>
      </c>
      <c r="AQ23" s="108">
        <f t="shared" si="51"/>
        <v>107.13018</v>
      </c>
      <c r="AR23" s="54"/>
      <c r="AS23" s="54">
        <f t="shared" ref="AS23" si="184">SUM(AS20:AS22)</f>
        <v>1009.46</v>
      </c>
      <c r="AT23" s="83"/>
      <c r="AU23" s="84">
        <f>AT22</f>
        <v>1085.359999999999</v>
      </c>
      <c r="AV23" s="49">
        <f t="shared" ref="AV23" si="185">SUM(AV20:AV22)</f>
        <v>0</v>
      </c>
      <c r="AW23" s="57"/>
      <c r="AX23" s="56"/>
      <c r="AY23" s="56"/>
      <c r="AZ23" s="56"/>
      <c r="BA23" s="56"/>
      <c r="BB23" s="21"/>
    </row>
    <row r="24" spans="1:54">
      <c r="A24" s="147">
        <v>6</v>
      </c>
      <c r="B24" s="22">
        <v>1</v>
      </c>
      <c r="C24" s="10" t="s">
        <v>54</v>
      </c>
      <c r="D24" s="11">
        <v>2900</v>
      </c>
      <c r="E24" s="11">
        <v>2</v>
      </c>
      <c r="F24" s="11">
        <v>7936</v>
      </c>
      <c r="G24" s="12">
        <v>0.6</v>
      </c>
      <c r="H24" s="12">
        <v>5.9</v>
      </c>
      <c r="I24" s="11">
        <v>7616</v>
      </c>
      <c r="J24" s="12">
        <v>4.5</v>
      </c>
      <c r="K24" s="11">
        <v>16429</v>
      </c>
      <c r="L24" s="13">
        <v>6.5000000000000002E-2</v>
      </c>
      <c r="M24" s="23">
        <f>ROUND(K24*(1-L24),0)</f>
        <v>15361</v>
      </c>
      <c r="N24" s="14">
        <v>0.60499999999999998</v>
      </c>
      <c r="O24" s="24">
        <f t="shared" ref="O24:O26" si="186">M24*N24</f>
        <v>9293.4049999999988</v>
      </c>
      <c r="P24" s="13">
        <v>0.36899999999999999</v>
      </c>
      <c r="Q24" s="24">
        <f t="shared" ref="Q24:Q26" si="187">M24*P24</f>
        <v>5668.2089999999998</v>
      </c>
      <c r="R24" s="15">
        <v>2.5999999999999999E-2</v>
      </c>
      <c r="S24" s="112"/>
      <c r="T24" s="24">
        <f t="shared" ref="T24:T26" si="188">M24*R24</f>
        <v>399.38599999999997</v>
      </c>
      <c r="U24" s="25">
        <v>0.223</v>
      </c>
      <c r="V24" s="24">
        <f t="shared" ref="V24:V26" si="189">M24*U24</f>
        <v>3425.5030000000002</v>
      </c>
      <c r="W24" s="15">
        <v>0.49199999999999999</v>
      </c>
      <c r="X24" s="24">
        <f t="shared" ref="X24:X26" si="190">M24*W24</f>
        <v>7557.6120000000001</v>
      </c>
      <c r="Y24" s="15">
        <v>0.38</v>
      </c>
      <c r="Z24" s="24">
        <f t="shared" ref="Z24:Z26" si="191">Y24*M24</f>
        <v>5837.18</v>
      </c>
      <c r="AA24" s="116">
        <v>2.4299999999999999E-3</v>
      </c>
      <c r="AB24" s="18">
        <f t="shared" ref="AB24" si="192">M24*AA24</f>
        <v>37.32723</v>
      </c>
      <c r="AC24" s="16">
        <v>2.4599999999999999E-3</v>
      </c>
      <c r="AD24" s="17">
        <f t="shared" ref="AD24:AD26" si="193">M24*AC24</f>
        <v>37.788060000000002</v>
      </c>
      <c r="AE24" s="26">
        <f>IF(M24&gt;0,(AG24+AP24)/M24,0)</f>
        <v>2.4916373933988674E-3</v>
      </c>
      <c r="AF24" s="16">
        <v>2.7E-4</v>
      </c>
      <c r="AG24" s="23">
        <f t="shared" ref="AG24:AG26" si="194">AF24*M24</f>
        <v>4.1474700000000002</v>
      </c>
      <c r="AH24" s="92">
        <v>0.2046</v>
      </c>
      <c r="AI24" s="29">
        <f t="shared" ref="AI24:AI26" si="195">AL24*(1-AM24)*AH24</f>
        <v>34.446456000000005</v>
      </c>
      <c r="AJ24" s="27">
        <f t="shared" ref="AJ24:AJ26" si="196">IF(AND(AH24&gt;0,AF24&gt;0,AC24&gt;0),((AC24-AF24)*AH24)/((AH24-AF24)*AC24),0)</f>
        <v>0.89142026349055148</v>
      </c>
      <c r="AK24" s="58">
        <f t="shared" si="6"/>
        <v>0.8928267840265921</v>
      </c>
      <c r="AL24" s="11">
        <v>184</v>
      </c>
      <c r="AM24" s="13">
        <v>8.5000000000000006E-2</v>
      </c>
      <c r="AN24" s="14">
        <v>0.20269999999999999</v>
      </c>
      <c r="AO24" s="101">
        <v>0.20730000000000001</v>
      </c>
      <c r="AP24" s="29">
        <f>AL24*(1-AM24)*AN24</f>
        <v>34.126572000000003</v>
      </c>
      <c r="AQ24" s="102">
        <f t="shared" ref="AQ24" si="197">AL24*(1-AM24)*AO24</f>
        <v>34.901028000000004</v>
      </c>
      <c r="AR24" s="18">
        <v>1.55</v>
      </c>
      <c r="AS24" s="18">
        <v>1028.46</v>
      </c>
      <c r="AT24" s="79">
        <f>AT22+AL24-AS24+AU24</f>
        <v>247.63999999999896</v>
      </c>
      <c r="AU24" s="80">
        <v>6.74</v>
      </c>
      <c r="AV24" s="11"/>
      <c r="AW24" s="30"/>
      <c r="AX24" s="19"/>
      <c r="AY24" s="19"/>
      <c r="AZ24" s="19"/>
      <c r="BA24" s="19"/>
      <c r="BB24" s="31"/>
    </row>
    <row r="25" spans="1:54">
      <c r="A25" s="148"/>
      <c r="B25" s="32">
        <v>2</v>
      </c>
      <c r="C25" s="10" t="s">
        <v>59</v>
      </c>
      <c r="D25" s="33">
        <v>19710</v>
      </c>
      <c r="E25" s="33">
        <v>5</v>
      </c>
      <c r="F25" s="33">
        <v>19962</v>
      </c>
      <c r="G25" s="34">
        <v>0.1</v>
      </c>
      <c r="H25" s="34">
        <v>5.2</v>
      </c>
      <c r="I25" s="33">
        <v>19116</v>
      </c>
      <c r="J25" s="34">
        <v>2.6</v>
      </c>
      <c r="K25" s="33">
        <v>16129</v>
      </c>
      <c r="L25" s="35">
        <v>6.4000000000000001E-2</v>
      </c>
      <c r="M25" s="36">
        <f>ROUND(K25*(1-L25),0)</f>
        <v>15097</v>
      </c>
      <c r="N25" s="37">
        <v>0.63800000000000001</v>
      </c>
      <c r="O25" s="24">
        <f t="shared" si="186"/>
        <v>9631.8860000000004</v>
      </c>
      <c r="P25" s="35">
        <v>0.3</v>
      </c>
      <c r="Q25" s="24">
        <f t="shared" si="187"/>
        <v>4529.0999999999995</v>
      </c>
      <c r="R25" s="38">
        <v>6.2E-2</v>
      </c>
      <c r="S25" s="105"/>
      <c r="T25" s="24">
        <f t="shared" si="188"/>
        <v>936.01400000000001</v>
      </c>
      <c r="U25" s="27">
        <v>0.217</v>
      </c>
      <c r="V25" s="24">
        <f t="shared" si="189"/>
        <v>3276.049</v>
      </c>
      <c r="W25" s="38">
        <v>0.499</v>
      </c>
      <c r="X25" s="24">
        <f t="shared" si="190"/>
        <v>7533.4030000000002</v>
      </c>
      <c r="Y25" s="38">
        <v>0.39</v>
      </c>
      <c r="Z25" s="24">
        <f t="shared" si="191"/>
        <v>5887.83</v>
      </c>
      <c r="AA25" s="117">
        <v>2.5699999999999998E-3</v>
      </c>
      <c r="AB25" s="18">
        <f t="shared" si="60"/>
        <v>38.799289999999999</v>
      </c>
      <c r="AC25" s="39">
        <v>2.5699999999999998E-3</v>
      </c>
      <c r="AD25" s="17">
        <f t="shared" si="193"/>
        <v>38.799289999999999</v>
      </c>
      <c r="AE25" s="26">
        <f>IF(M25&gt;0,(AG25+AP25)/M25,0)</f>
        <v>2.4200685566668875E-3</v>
      </c>
      <c r="AF25" s="39">
        <v>2.7999999999999998E-4</v>
      </c>
      <c r="AG25" s="36">
        <f t="shared" si="194"/>
        <v>4.2271599999999996</v>
      </c>
      <c r="AH25" s="27">
        <v>0.20449999999999999</v>
      </c>
      <c r="AI25" s="40">
        <f t="shared" si="195"/>
        <v>32.229813499999999</v>
      </c>
      <c r="AJ25" s="27">
        <f t="shared" si="196"/>
        <v>0.89227227675044885</v>
      </c>
      <c r="AK25" s="28">
        <f t="shared" si="6"/>
        <v>0.88551027577696095</v>
      </c>
      <c r="AL25" s="33">
        <v>173</v>
      </c>
      <c r="AM25" s="35">
        <v>8.8999999999999996E-2</v>
      </c>
      <c r="AN25" s="37">
        <v>0.20499999999999999</v>
      </c>
      <c r="AO25" s="103">
        <v>0.21809999999999999</v>
      </c>
      <c r="AP25" s="40">
        <f>AL25*(1-AM25)*AN25</f>
        <v>32.308615000000003</v>
      </c>
      <c r="AQ25" s="104">
        <f t="shared" si="21"/>
        <v>34.373214300000001</v>
      </c>
      <c r="AR25" s="41">
        <v>1.55</v>
      </c>
      <c r="AS25" s="41"/>
      <c r="AT25" s="129">
        <f>AT24+AL25-AS25</f>
        <v>420.63999999999896</v>
      </c>
      <c r="AU25" s="82"/>
      <c r="AV25" s="42"/>
      <c r="AW25" s="43"/>
      <c r="AX25" s="44"/>
      <c r="AY25" s="44"/>
      <c r="AZ25" s="44"/>
      <c r="BA25" s="44"/>
      <c r="BB25" s="31"/>
    </row>
    <row r="26" spans="1:54">
      <c r="A26" s="148"/>
      <c r="B26" s="32">
        <v>3</v>
      </c>
      <c r="C26" s="10" t="s">
        <v>53</v>
      </c>
      <c r="D26" s="42">
        <v>18833</v>
      </c>
      <c r="E26" s="42">
        <v>2</v>
      </c>
      <c r="F26" s="42">
        <v>17888</v>
      </c>
      <c r="G26" s="36">
        <v>0.3</v>
      </c>
      <c r="H26" s="36">
        <v>4.5999999999999996</v>
      </c>
      <c r="I26" s="42">
        <v>17462</v>
      </c>
      <c r="J26" s="36">
        <v>1.1000000000000001</v>
      </c>
      <c r="K26" s="42">
        <v>15893</v>
      </c>
      <c r="L26" s="38">
        <v>6.8000000000000005E-2</v>
      </c>
      <c r="M26" s="36">
        <f>ROUND(K26*(1-L26),0)</f>
        <v>14812</v>
      </c>
      <c r="N26" s="27">
        <v>0.53200000000000003</v>
      </c>
      <c r="O26" s="24">
        <f t="shared" si="186"/>
        <v>7879.9840000000004</v>
      </c>
      <c r="P26" s="38">
        <v>0.23200000000000001</v>
      </c>
      <c r="Q26" s="24">
        <f t="shared" si="187"/>
        <v>3436.384</v>
      </c>
      <c r="R26" s="38">
        <v>0.23599999999999999</v>
      </c>
      <c r="S26" s="105"/>
      <c r="T26" s="24">
        <f t="shared" si="188"/>
        <v>3495.6319999999996</v>
      </c>
      <c r="U26" s="27">
        <v>0.21099999999999999</v>
      </c>
      <c r="V26" s="24">
        <f t="shared" si="189"/>
        <v>3125.3319999999999</v>
      </c>
      <c r="W26" s="38">
        <v>0.50600000000000001</v>
      </c>
      <c r="X26" s="24">
        <f t="shared" si="190"/>
        <v>7494.8720000000003</v>
      </c>
      <c r="Y26" s="38">
        <v>0.39</v>
      </c>
      <c r="Z26" s="24">
        <f t="shared" si="191"/>
        <v>5776.68</v>
      </c>
      <c r="AA26" s="118">
        <v>2.5100000000000001E-3</v>
      </c>
      <c r="AB26" s="121">
        <f t="shared" si="60"/>
        <v>37.17812</v>
      </c>
      <c r="AC26" s="45">
        <v>2.3999999999999998E-3</v>
      </c>
      <c r="AD26" s="17">
        <f t="shared" si="193"/>
        <v>35.5488</v>
      </c>
      <c r="AE26" s="26">
        <f>IF(M26&gt;0,(AG26+AP26)/M26,0)</f>
        <v>2.4167533081285442E-3</v>
      </c>
      <c r="AF26" s="45">
        <v>2.9E-4</v>
      </c>
      <c r="AG26" s="36">
        <f t="shared" si="194"/>
        <v>4.2954800000000004</v>
      </c>
      <c r="AH26" s="27">
        <v>0.2069</v>
      </c>
      <c r="AI26" s="40">
        <f t="shared" si="195"/>
        <v>31.066035000000003</v>
      </c>
      <c r="AJ26" s="27">
        <f t="shared" si="196"/>
        <v>0.8804006743784587</v>
      </c>
      <c r="AK26" s="28">
        <f t="shared" si="6"/>
        <v>0.88122238827986699</v>
      </c>
      <c r="AL26" s="42">
        <v>165</v>
      </c>
      <c r="AM26" s="38">
        <v>0.09</v>
      </c>
      <c r="AN26" s="27">
        <v>0.20979999999999999</v>
      </c>
      <c r="AO26" s="105">
        <v>0.20660000000000001</v>
      </c>
      <c r="AP26" s="40">
        <f>AL26*(1-AM26)*AN26</f>
        <v>31.501469999999998</v>
      </c>
      <c r="AQ26" s="106">
        <f t="shared" si="21"/>
        <v>31.020990000000001</v>
      </c>
      <c r="AR26" s="17">
        <v>1.55</v>
      </c>
      <c r="AS26" s="17"/>
      <c r="AT26" s="129">
        <f>AT25+AL26-AS26</f>
        <v>585.63999999999896</v>
      </c>
      <c r="AU26" s="82"/>
      <c r="AV26" s="42"/>
      <c r="AW26" s="46"/>
      <c r="AX26" s="40"/>
      <c r="AY26" s="40"/>
      <c r="AZ26" s="40"/>
      <c r="BA26" s="40"/>
      <c r="BB26" s="31"/>
    </row>
    <row r="27" spans="1:54">
      <c r="A27" s="149"/>
      <c r="B27" s="47" t="s">
        <v>56</v>
      </c>
      <c r="C27" s="48"/>
      <c r="D27" s="49">
        <f t="shared" ref="D27" si="198">SUM(D24:D26)</f>
        <v>41443</v>
      </c>
      <c r="E27" s="49"/>
      <c r="F27" s="49">
        <f t="shared" ref="F27" si="199">SUM(F24:F26)</f>
        <v>45786</v>
      </c>
      <c r="G27" s="50"/>
      <c r="H27" s="50"/>
      <c r="I27" s="49">
        <f t="shared" ref="I27:K27" si="200">SUM(I24:I26)</f>
        <v>44194</v>
      </c>
      <c r="J27" s="50"/>
      <c r="K27" s="49">
        <f t="shared" si="200"/>
        <v>48451</v>
      </c>
      <c r="L27" s="20">
        <f t="shared" ref="L27" si="201">IF(K27&gt;0,(K24*L24+K25*L25+K26*L26)/K27,0)</f>
        <v>6.5651173350395248E-2</v>
      </c>
      <c r="M27" s="50">
        <f t="shared" ref="M27" si="202">M24+M25+M26</f>
        <v>45270</v>
      </c>
      <c r="N27" s="51">
        <f t="shared" ref="N27" si="203">IF(M27&gt;0,O27/M27,0)</f>
        <v>0.59212005743317864</v>
      </c>
      <c r="O27" s="52">
        <f t="shared" ref="O27" si="204">O24+O25+O26</f>
        <v>26805.274999999998</v>
      </c>
      <c r="P27" s="20">
        <f t="shared" ref="P27" si="205">IF(M27&gt;0,Q27/M27,0)</f>
        <v>0.30116397172520432</v>
      </c>
      <c r="Q27" s="52">
        <f t="shared" ref="Q27" si="206">Q24+Q25+Q26</f>
        <v>13633.692999999999</v>
      </c>
      <c r="R27" s="20">
        <f t="shared" ref="R27" si="207">IF(M27&gt;0,T27/M27,0)</f>
        <v>0.10671597084161695</v>
      </c>
      <c r="S27" s="107"/>
      <c r="T27" s="52">
        <f t="shared" ref="T27" si="208">T24+T25+T26</f>
        <v>4831.0319999999992</v>
      </c>
      <c r="U27" s="20">
        <f t="shared" ref="U27" si="209">IF(M27&gt;0,V27/M27,0)</f>
        <v>0.21707276341948309</v>
      </c>
      <c r="V27" s="52">
        <f t="shared" ref="V27" si="210">V24+V25+V26</f>
        <v>9826.884</v>
      </c>
      <c r="W27" s="20">
        <f t="shared" ref="W27" si="211">IF(M27&gt;0,X27/M27,0)</f>
        <v>0.49891510934393635</v>
      </c>
      <c r="X27" s="52">
        <f t="shared" ref="X27" si="212">X24+X25+X26</f>
        <v>22585.886999999999</v>
      </c>
      <c r="Y27" s="20">
        <f t="shared" ref="Y27" si="213">IF(M27&gt;0,Z27/M27,0)</f>
        <v>0.38660680362270827</v>
      </c>
      <c r="Z27" s="52">
        <f t="shared" ref="Z27" si="214">Z24+Z25+Z26</f>
        <v>17501.690000000002</v>
      </c>
      <c r="AA27" s="119">
        <f t="shared" ref="AA27" si="215">IF(M27&gt;0,AB27/M27,0)</f>
        <v>2.5028637066489951E-3</v>
      </c>
      <c r="AB27" s="54">
        <f t="shared" ref="AB27" si="216">SUM(AB24:AB26)</f>
        <v>113.30464000000001</v>
      </c>
      <c r="AC27" s="53">
        <f t="shared" ref="AC27" si="217">IF(M27&gt;0,AD27/M27,0)</f>
        <v>2.4770521316545176E-3</v>
      </c>
      <c r="AD27" s="54">
        <f t="shared" ref="AD27" si="218">SUM(AD24:AD26)</f>
        <v>112.13615</v>
      </c>
      <c r="AE27" s="53">
        <f t="shared" ref="AE27" si="219">IF(M27&gt;0,(AE24*M24+AE25*M25+AE26*M26)/M27,0)</f>
        <v>2.443268544289817E-3</v>
      </c>
      <c r="AF27" s="53">
        <f t="shared" ref="AF27" si="220">IF(K27&gt;0,(K24*AF24+K25*AF25+K26*AF26)/K27,0)</f>
        <v>2.7988937276836388E-4</v>
      </c>
      <c r="AG27" s="50">
        <f t="shared" ref="AG27" si="221">SUM(AG24:AG26)</f>
        <v>12.670110000000001</v>
      </c>
      <c r="AH27" s="51">
        <f t="shared" ref="AH27" si="222">IF(K27&gt;0,(K24*AH24+K25*AH25+K26*AH26)/K27,0)</f>
        <v>0.20532116158593217</v>
      </c>
      <c r="AI27" s="56">
        <f t="shared" ref="AI27" si="223">SUM(AI24:AI26)</f>
        <v>97.742304500000003</v>
      </c>
      <c r="AJ27" s="51">
        <f t="shared" ref="AJ27" si="224">IF(AND(AD27&gt;0),((AD24*AJ24+AD25*AJ25+AD26*AJ26)/AD27),0)</f>
        <v>0.8882216905069652</v>
      </c>
      <c r="AK27" s="55">
        <f t="shared" si="6"/>
        <v>0.88665057748886722</v>
      </c>
      <c r="AL27" s="49">
        <f t="shared" ref="AL27" si="225">SUM(AL24:AL26)</f>
        <v>522</v>
      </c>
      <c r="AM27" s="20">
        <f t="shared" ref="AM27" si="226">IF(AL27&gt;0,(AM24*AL24+AM25*AL25+AM26*AL26)/AL27,0)</f>
        <v>8.790613026819924E-2</v>
      </c>
      <c r="AN27" s="51">
        <f>IF(K27&gt;0,(AN24*K24+AN25*K25+AN26*K26)/K27,0)</f>
        <v>0.20579461105033953</v>
      </c>
      <c r="AO27" s="107">
        <f>IF(K27&gt;0,(AO24*K24+AO25*K25+AO26*K26)/K27,0)</f>
        <v>0.21066562919237994</v>
      </c>
      <c r="AP27" s="56">
        <f t="shared" ref="AP27:AQ39" si="227">SUM(AP24:AP26)</f>
        <v>97.936657000000011</v>
      </c>
      <c r="AQ27" s="108">
        <f t="shared" si="227"/>
        <v>100.2952323</v>
      </c>
      <c r="AR27" s="54"/>
      <c r="AS27" s="54">
        <f t="shared" ref="AS27" si="228">SUM(AS24:AS26)</f>
        <v>1028.46</v>
      </c>
      <c r="AT27" s="83"/>
      <c r="AU27" s="84">
        <f>AT26</f>
        <v>585.63999999999896</v>
      </c>
      <c r="AV27" s="49">
        <f t="shared" ref="AV27" si="229">SUM(AV24:AV26)</f>
        <v>0</v>
      </c>
      <c r="AW27" s="57"/>
      <c r="AX27" s="56"/>
      <c r="AY27" s="56"/>
      <c r="AZ27" s="56"/>
      <c r="BA27" s="56"/>
      <c r="BB27" s="21"/>
    </row>
    <row r="28" spans="1:54">
      <c r="A28" s="147">
        <v>7</v>
      </c>
      <c r="B28" s="22">
        <v>1</v>
      </c>
      <c r="C28" s="10" t="s">
        <v>54</v>
      </c>
      <c r="D28" s="11">
        <v>16400</v>
      </c>
      <c r="E28" s="11">
        <v>0</v>
      </c>
      <c r="F28" s="11">
        <v>16414</v>
      </c>
      <c r="G28" s="12">
        <v>1</v>
      </c>
      <c r="H28" s="12">
        <v>6.7</v>
      </c>
      <c r="I28" s="11">
        <v>16016</v>
      </c>
      <c r="J28" s="12">
        <v>1.3</v>
      </c>
      <c r="K28" s="11">
        <v>15671</v>
      </c>
      <c r="L28" s="13">
        <v>6.7000000000000004E-2</v>
      </c>
      <c r="M28" s="23">
        <f>ROUND(K28*(1-L28),0)</f>
        <v>14621</v>
      </c>
      <c r="N28" s="14">
        <v>0.628</v>
      </c>
      <c r="O28" s="24">
        <f t="shared" ref="O28:O30" si="230">M28*N28</f>
        <v>9181.9879999999994</v>
      </c>
      <c r="P28" s="13">
        <v>0.33500000000000002</v>
      </c>
      <c r="Q28" s="24">
        <f t="shared" ref="Q28:Q30" si="231">M28*P28</f>
        <v>4898.0349999999999</v>
      </c>
      <c r="R28" s="15">
        <v>3.6999999999999998E-2</v>
      </c>
      <c r="S28" s="112"/>
      <c r="T28" s="24">
        <f t="shared" ref="T28:T30" si="232">M28*R28</f>
        <v>540.97699999999998</v>
      </c>
      <c r="U28" s="25">
        <v>0.20899999999999999</v>
      </c>
      <c r="V28" s="24">
        <f t="shared" ref="V28:V30" si="233">M28*U28</f>
        <v>3055.7889999999998</v>
      </c>
      <c r="W28" s="15">
        <v>0.50900000000000001</v>
      </c>
      <c r="X28" s="24">
        <f t="shared" ref="X28:X30" si="234">M28*W28</f>
        <v>7442.0889999999999</v>
      </c>
      <c r="Y28" s="15">
        <v>0.39</v>
      </c>
      <c r="Z28" s="24">
        <f t="shared" ref="Z28:Z30" si="235">Y28*M28</f>
        <v>5702.1900000000005</v>
      </c>
      <c r="AA28" s="116">
        <v>2.5200000000000001E-3</v>
      </c>
      <c r="AB28" s="18">
        <f t="shared" ref="AB28" si="236">M28*AA28</f>
        <v>36.844920000000002</v>
      </c>
      <c r="AC28" s="16">
        <v>2.4599999999999999E-3</v>
      </c>
      <c r="AD28" s="17">
        <f t="shared" ref="AD28:AD30" si="237">M28*AC28</f>
        <v>35.967660000000002</v>
      </c>
      <c r="AE28" s="26">
        <f>IF(M28&gt;0,(AG28+AP28)/M28,0)</f>
        <v>2.7283720949319475E-3</v>
      </c>
      <c r="AF28" s="16">
        <v>2.9E-4</v>
      </c>
      <c r="AG28" s="23">
        <f t="shared" ref="AG28:AG30" si="238">AF28*M28</f>
        <v>4.2400900000000004</v>
      </c>
      <c r="AH28" s="92">
        <v>0.20319999999999999</v>
      </c>
      <c r="AI28" s="29">
        <f t="shared" ref="AI28:AI30" si="239">AL28*(1-AM28)*AH28</f>
        <v>34.431427200000002</v>
      </c>
      <c r="AJ28" s="27">
        <f t="shared" ref="AJ28:AJ30" si="240">IF(AND(AH28&gt;0,AF28&gt;0,AC28&gt;0),((AC28-AF28)*AH28)/((AH28-AF28)*AC28),0)</f>
        <v>0.88337454268042259</v>
      </c>
      <c r="AK28" s="58">
        <f t="shared" si="6"/>
        <v>0.89494303666645036</v>
      </c>
      <c r="AL28" s="11">
        <v>186</v>
      </c>
      <c r="AM28" s="13">
        <v>8.8999999999999996E-2</v>
      </c>
      <c r="AN28" s="14">
        <v>0.2104</v>
      </c>
      <c r="AO28" s="101">
        <v>0.20799999999999999</v>
      </c>
      <c r="AP28" s="29">
        <f>AL28*(1-AM28)*AN28</f>
        <v>35.651438400000004</v>
      </c>
      <c r="AQ28" s="102">
        <f t="shared" ref="AQ28" si="241">AL28*(1-AM28)*AO28</f>
        <v>35.244768000000001</v>
      </c>
      <c r="AR28" s="18">
        <v>1.55</v>
      </c>
      <c r="AS28" s="18"/>
      <c r="AT28" s="79">
        <f>AT26+AL28-AS28</f>
        <v>771.63999999999896</v>
      </c>
      <c r="AU28" s="80"/>
      <c r="AV28" s="11"/>
      <c r="AW28" s="30"/>
      <c r="AX28" s="19"/>
      <c r="AY28" s="19"/>
      <c r="AZ28" s="19"/>
      <c r="BA28" s="19"/>
      <c r="BB28" s="31"/>
    </row>
    <row r="29" spans="1:54">
      <c r="A29" s="148"/>
      <c r="B29" s="32">
        <v>2</v>
      </c>
      <c r="C29" s="10" t="s">
        <v>55</v>
      </c>
      <c r="D29" s="33">
        <v>15000</v>
      </c>
      <c r="E29" s="33">
        <v>0</v>
      </c>
      <c r="F29" s="33">
        <v>10623</v>
      </c>
      <c r="G29" s="34">
        <v>0.5</v>
      </c>
      <c r="H29" s="34">
        <v>4</v>
      </c>
      <c r="I29" s="33">
        <v>10242</v>
      </c>
      <c r="J29" s="34">
        <v>3.3</v>
      </c>
      <c r="K29" s="33">
        <v>15792</v>
      </c>
      <c r="L29" s="35">
        <v>6.5000000000000002E-2</v>
      </c>
      <c r="M29" s="36">
        <f>ROUND(K29*(1-L29),0)</f>
        <v>14766</v>
      </c>
      <c r="N29" s="37">
        <v>0.58899999999999997</v>
      </c>
      <c r="O29" s="24">
        <f t="shared" si="230"/>
        <v>8697.1739999999991</v>
      </c>
      <c r="P29" s="35">
        <v>0.375</v>
      </c>
      <c r="Q29" s="24">
        <f t="shared" si="231"/>
        <v>5537.25</v>
      </c>
      <c r="R29" s="38">
        <v>3.5999999999999997E-2</v>
      </c>
      <c r="S29" s="105"/>
      <c r="T29" s="24">
        <f t="shared" si="232"/>
        <v>531.57599999999991</v>
      </c>
      <c r="U29" s="27">
        <v>0.21299999999999999</v>
      </c>
      <c r="V29" s="24">
        <f t="shared" si="233"/>
        <v>3145.1579999999999</v>
      </c>
      <c r="W29" s="38">
        <v>0.50600000000000001</v>
      </c>
      <c r="X29" s="24">
        <f t="shared" si="234"/>
        <v>7471.5960000000005</v>
      </c>
      <c r="Y29" s="38">
        <v>0.39</v>
      </c>
      <c r="Z29" s="24">
        <f t="shared" si="235"/>
        <v>5758.74</v>
      </c>
      <c r="AA29" s="117">
        <v>2.4599999999999999E-3</v>
      </c>
      <c r="AB29" s="18">
        <f t="shared" si="60"/>
        <v>36.324359999999999</v>
      </c>
      <c r="AC29" s="39">
        <v>2.3600000000000001E-3</v>
      </c>
      <c r="AD29" s="17">
        <f t="shared" si="237"/>
        <v>34.847760000000001</v>
      </c>
      <c r="AE29" s="26">
        <f>IF(M29&gt;0,(AG29+AP29)/M29,0)</f>
        <v>2.308373628606258E-3</v>
      </c>
      <c r="AF29" s="39">
        <v>2.7999999999999998E-4</v>
      </c>
      <c r="AG29" s="36">
        <f t="shared" si="238"/>
        <v>4.1344799999999999</v>
      </c>
      <c r="AH29" s="27">
        <v>0.2046</v>
      </c>
      <c r="AI29" s="40">
        <f t="shared" si="239"/>
        <v>30.261567600000003</v>
      </c>
      <c r="AJ29" s="27">
        <f t="shared" si="240"/>
        <v>0.88256374182073993</v>
      </c>
      <c r="AK29" s="28">
        <f t="shared" si="6"/>
        <v>0.87991915677347332</v>
      </c>
      <c r="AL29" s="33">
        <v>162</v>
      </c>
      <c r="AM29" s="35">
        <v>8.6999999999999994E-2</v>
      </c>
      <c r="AN29" s="37">
        <v>0.20250000000000001</v>
      </c>
      <c r="AO29" s="103">
        <v>0.2046</v>
      </c>
      <c r="AP29" s="40">
        <f>AL29*(1-AM29)*AN29</f>
        <v>29.950965000000004</v>
      </c>
      <c r="AQ29" s="104">
        <f t="shared" si="21"/>
        <v>30.261567600000003</v>
      </c>
      <c r="AR29" s="41">
        <v>1.55</v>
      </c>
      <c r="AS29" s="41"/>
      <c r="AT29" s="129">
        <f>AT28+AL29-AS29</f>
        <v>933.63999999999896</v>
      </c>
      <c r="AU29" s="82"/>
      <c r="AV29" s="42"/>
      <c r="AW29" s="43"/>
      <c r="AX29" s="44"/>
      <c r="AY29" s="44"/>
      <c r="AZ29" s="44"/>
      <c r="BA29" s="44"/>
      <c r="BB29" s="31"/>
    </row>
    <row r="30" spans="1:54">
      <c r="A30" s="148"/>
      <c r="B30" s="32">
        <v>3</v>
      </c>
      <c r="C30" s="10" t="s">
        <v>53</v>
      </c>
      <c r="D30" s="42">
        <v>14500</v>
      </c>
      <c r="E30" s="42">
        <v>0</v>
      </c>
      <c r="F30" s="42">
        <v>17842</v>
      </c>
      <c r="G30" s="36">
        <v>0.7</v>
      </c>
      <c r="H30" s="36">
        <v>5.7</v>
      </c>
      <c r="I30" s="42">
        <v>17256</v>
      </c>
      <c r="J30" s="36">
        <v>1.9</v>
      </c>
      <c r="K30" s="42">
        <v>15718</v>
      </c>
      <c r="L30" s="38">
        <v>6.5000000000000002E-2</v>
      </c>
      <c r="M30" s="36">
        <f>ROUND(K30*(1-L30),0)</f>
        <v>14696</v>
      </c>
      <c r="N30" s="27">
        <v>0.55500000000000005</v>
      </c>
      <c r="O30" s="24">
        <f t="shared" si="230"/>
        <v>8156.2800000000007</v>
      </c>
      <c r="P30" s="38">
        <v>0.19400000000000001</v>
      </c>
      <c r="Q30" s="24">
        <f t="shared" si="231"/>
        <v>2851.0239999999999</v>
      </c>
      <c r="R30" s="38">
        <v>0.251</v>
      </c>
      <c r="S30" s="105"/>
      <c r="T30" s="24">
        <f t="shared" si="232"/>
        <v>3688.6959999999999</v>
      </c>
      <c r="U30" s="27">
        <v>0.20200000000000001</v>
      </c>
      <c r="V30" s="24">
        <f t="shared" si="233"/>
        <v>2968.5920000000001</v>
      </c>
      <c r="W30" s="38">
        <v>0.51100000000000001</v>
      </c>
      <c r="X30" s="24">
        <f t="shared" si="234"/>
        <v>7509.6559999999999</v>
      </c>
      <c r="Y30" s="38">
        <v>0.39</v>
      </c>
      <c r="Z30" s="24">
        <f t="shared" si="235"/>
        <v>5731.4400000000005</v>
      </c>
      <c r="AA30" s="118">
        <v>2.4299999999999999E-3</v>
      </c>
      <c r="AB30" s="121">
        <f t="shared" si="60"/>
        <v>35.711279999999995</v>
      </c>
      <c r="AC30" s="45">
        <v>2.3700000000000001E-3</v>
      </c>
      <c r="AD30" s="17">
        <f t="shared" si="237"/>
        <v>34.829520000000002</v>
      </c>
      <c r="AE30" s="26">
        <f>IF(M30&gt;0,(AG30+AP30)/M30,0)</f>
        <v>2.6233257485029941E-3</v>
      </c>
      <c r="AF30" s="45">
        <v>2.7E-4</v>
      </c>
      <c r="AG30" s="36">
        <f t="shared" si="238"/>
        <v>3.9679199999999999</v>
      </c>
      <c r="AH30" s="27">
        <v>0.20810000000000001</v>
      </c>
      <c r="AI30" s="40">
        <f t="shared" si="239"/>
        <v>33.365921600000007</v>
      </c>
      <c r="AJ30" s="27">
        <f t="shared" si="240"/>
        <v>0.8872270849410151</v>
      </c>
      <c r="AK30" s="28">
        <f t="shared" si="6"/>
        <v>0.89820152540294251</v>
      </c>
      <c r="AL30" s="42">
        <v>176</v>
      </c>
      <c r="AM30" s="38">
        <v>8.8999999999999996E-2</v>
      </c>
      <c r="AN30" s="27">
        <v>0.2157</v>
      </c>
      <c r="AO30" s="105">
        <v>0.21460000000000001</v>
      </c>
      <c r="AP30" s="40">
        <f>AL30*(1-AM30)*AN30</f>
        <v>34.5844752</v>
      </c>
      <c r="AQ30" s="106">
        <f t="shared" si="21"/>
        <v>34.408105600000006</v>
      </c>
      <c r="AR30" s="17">
        <v>1.6</v>
      </c>
      <c r="AS30" s="17"/>
      <c r="AT30" s="129">
        <f>AT29+AL30-AS30</f>
        <v>1109.639999999999</v>
      </c>
      <c r="AU30" s="82"/>
      <c r="AV30" s="42"/>
      <c r="AW30" s="46"/>
      <c r="AX30" s="40"/>
      <c r="AY30" s="40"/>
      <c r="AZ30" s="40"/>
      <c r="BA30" s="40"/>
      <c r="BB30" s="31"/>
    </row>
    <row r="31" spans="1:54">
      <c r="A31" s="149"/>
      <c r="B31" s="47" t="s">
        <v>56</v>
      </c>
      <c r="C31" s="48"/>
      <c r="D31" s="49">
        <f t="shared" ref="D31" si="242">SUM(D28:D30)</f>
        <v>45900</v>
      </c>
      <c r="E31" s="49"/>
      <c r="F31" s="49">
        <f t="shared" ref="F31" si="243">SUM(F28:F30)</f>
        <v>44879</v>
      </c>
      <c r="G31" s="50"/>
      <c r="H31" s="50"/>
      <c r="I31" s="49">
        <f t="shared" ref="I31:K31" si="244">SUM(I28:I30)</f>
        <v>43514</v>
      </c>
      <c r="J31" s="50"/>
      <c r="K31" s="49">
        <f t="shared" si="244"/>
        <v>47181</v>
      </c>
      <c r="L31" s="20">
        <f t="shared" ref="L31" si="245">IF(K31&gt;0,(K28*L28+K29*L29+K30*L30)/K31,0)</f>
        <v>6.5664292829740789E-2</v>
      </c>
      <c r="M31" s="50">
        <f t="shared" ref="M31" si="246">M28+M29+M30</f>
        <v>44083</v>
      </c>
      <c r="N31" s="51">
        <f t="shared" ref="N31" si="247">IF(M31&gt;0,O31/M31,0)</f>
        <v>0.59060050359549021</v>
      </c>
      <c r="O31" s="52">
        <f t="shared" ref="O31" si="248">O28+O29+O30</f>
        <v>26035.441999999995</v>
      </c>
      <c r="P31" s="20">
        <f t="shared" ref="P31" si="249">IF(M31&gt;0,Q31/M31,0)</f>
        <v>0.30139303132726902</v>
      </c>
      <c r="Q31" s="52">
        <f t="shared" ref="Q31" si="250">Q28+Q29+Q30</f>
        <v>13286.308999999999</v>
      </c>
      <c r="R31" s="20">
        <f t="shared" ref="R31" si="251">IF(M31&gt;0,T31/M31,0)</f>
        <v>0.10800646507724065</v>
      </c>
      <c r="S31" s="107"/>
      <c r="T31" s="52">
        <f t="shared" ref="T31" si="252">T28+T29+T30</f>
        <v>4761.2489999999998</v>
      </c>
      <c r="U31" s="20">
        <f t="shared" ref="U31" si="253">IF(M31&gt;0,V31/M31,0)</f>
        <v>0.2080062382324252</v>
      </c>
      <c r="V31" s="52">
        <f t="shared" ref="V31" si="254">V28+V29+V30</f>
        <v>9169.5390000000007</v>
      </c>
      <c r="W31" s="20">
        <f t="shared" ref="W31" si="255">IF(M31&gt;0,X31/M31,0)</f>
        <v>0.50866186511807276</v>
      </c>
      <c r="X31" s="52">
        <f t="shared" ref="X31" si="256">X28+X29+X30</f>
        <v>22423.341</v>
      </c>
      <c r="Y31" s="20">
        <f t="shared" ref="Y31" si="257">IF(M31&gt;0,Z31/M31,0)</f>
        <v>0.39000000000000007</v>
      </c>
      <c r="Z31" s="52">
        <f t="shared" ref="Z31" si="258">Z28+Z29+Z30</f>
        <v>17192.370000000003</v>
      </c>
      <c r="AA31" s="119">
        <f t="shared" ref="AA31" si="259">IF(M31&gt;0,AB31/M31,0)</f>
        <v>2.4698990540571197E-3</v>
      </c>
      <c r="AB31" s="54">
        <f t="shared" ref="AB31" si="260">SUM(AB28:AB30)</f>
        <v>108.88056</v>
      </c>
      <c r="AC31" s="53">
        <f t="shared" ref="AC31" si="261">IF(M31&gt;0,AD31/M31,0)</f>
        <v>2.3965006918766872E-3</v>
      </c>
      <c r="AD31" s="54">
        <f t="shared" ref="AD31" si="262">SUM(AD28:AD30)</f>
        <v>105.64494000000001</v>
      </c>
      <c r="AE31" s="53">
        <f t="shared" ref="AE31" si="263">IF(M31&gt;0,(AE28*M28+AE29*M29+AE30*M30)/M31,0)</f>
        <v>2.552670385409342E-3</v>
      </c>
      <c r="AF31" s="53">
        <f t="shared" ref="AF31" si="264">IF(K31&gt;0,(K28*AF28+K29*AF29+K30*AF30)/K31,0)</f>
        <v>2.7999003836290029E-4</v>
      </c>
      <c r="AG31" s="50">
        <f t="shared" ref="AG31" si="265">SUM(AG28:AG30)</f>
        <v>12.34249</v>
      </c>
      <c r="AH31" s="51">
        <f t="shared" ref="AH31" si="266">IF(K31&gt;0,(K28*AH28+K29*AH29+K30*AH30)/K31,0)</f>
        <v>0.20530099404421273</v>
      </c>
      <c r="AI31" s="56">
        <f t="shared" ref="AI31" si="267">SUM(AI28:AI30)</f>
        <v>98.058916400000015</v>
      </c>
      <c r="AJ31" s="51">
        <f t="shared" ref="AJ31" si="268">IF(AND(AD31&gt;0),((AD28*AJ28+AD29*AJ29+AD30*AJ30)/AD31),0)</f>
        <v>0.88437721828372295</v>
      </c>
      <c r="AK31" s="55">
        <f t="shared" si="6"/>
        <v>0.89150619589572144</v>
      </c>
      <c r="AL31" s="49">
        <f t="shared" ref="AL31" si="269">SUM(AL28:AL30)</f>
        <v>524</v>
      </c>
      <c r="AM31" s="20">
        <f t="shared" ref="AM31" si="270">IF(AL31&gt;0,(AM28*AL28+AM29*AL29+AM30*AL30)/AL31,0)</f>
        <v>8.8381679389312975E-2</v>
      </c>
      <c r="AN31" s="51">
        <f>IF(K31&gt;0,(AN28*K28+AN29*K29+AN30*K30)/K31,0)</f>
        <v>0.20952143871473689</v>
      </c>
      <c r="AO31" s="107">
        <f>IF(L31&gt;0,(AO28*K28+AO29*K29+AO30*K30)/K31,0)</f>
        <v>0.20906072359636294</v>
      </c>
      <c r="AP31" s="56">
        <f t="shared" ref="AP31" si="271">SUM(AP28:AP30)</f>
        <v>100.18687860000001</v>
      </c>
      <c r="AQ31" s="108">
        <f t="shared" si="227"/>
        <v>99.914441199999999</v>
      </c>
      <c r="AR31" s="54"/>
      <c r="AS31" s="54">
        <f t="shared" ref="AS31" si="272">SUM(AS28:AS30)</f>
        <v>0</v>
      </c>
      <c r="AT31" s="83"/>
      <c r="AU31" s="84">
        <f>AT30</f>
        <v>1109.639999999999</v>
      </c>
      <c r="AV31" s="49">
        <f t="shared" ref="AV31" si="273">SUM(AV28:AV30)</f>
        <v>0</v>
      </c>
      <c r="AW31" s="57"/>
      <c r="AX31" s="56"/>
      <c r="AY31" s="56"/>
      <c r="AZ31" s="56"/>
      <c r="BA31" s="56"/>
      <c r="BB31" s="21"/>
    </row>
    <row r="32" spans="1:54">
      <c r="A32" s="147">
        <v>8</v>
      </c>
      <c r="B32" s="22">
        <v>1</v>
      </c>
      <c r="C32" s="10" t="s">
        <v>54</v>
      </c>
      <c r="D32" s="11">
        <v>13248</v>
      </c>
      <c r="E32" s="11">
        <v>0</v>
      </c>
      <c r="F32" s="11">
        <v>15798</v>
      </c>
      <c r="G32" s="12">
        <v>0.5</v>
      </c>
      <c r="H32" s="12">
        <v>3.9</v>
      </c>
      <c r="I32" s="11">
        <v>15831</v>
      </c>
      <c r="J32" s="12">
        <v>1.8</v>
      </c>
      <c r="K32" s="11">
        <v>15707</v>
      </c>
      <c r="L32" s="13">
        <v>6.5000000000000002E-2</v>
      </c>
      <c r="M32" s="23">
        <f>ROUND(K32*(1-L32),0)</f>
        <v>14686</v>
      </c>
      <c r="N32" s="14">
        <v>0.57599999999999996</v>
      </c>
      <c r="O32" s="24">
        <f t="shared" ref="O32:O34" si="274">M32*N32</f>
        <v>8459.1359999999986</v>
      </c>
      <c r="P32" s="13">
        <v>0.39500000000000002</v>
      </c>
      <c r="Q32" s="24">
        <f t="shared" ref="Q32:Q34" si="275">M32*P32</f>
        <v>5800.97</v>
      </c>
      <c r="R32" s="15">
        <v>2.9000000000000001E-2</v>
      </c>
      <c r="S32" s="112"/>
      <c r="T32" s="24">
        <f t="shared" ref="T32:T34" si="276">M32*R32</f>
        <v>425.89400000000001</v>
      </c>
      <c r="U32" s="25">
        <v>0.20399999999999999</v>
      </c>
      <c r="V32" s="24">
        <f t="shared" ref="V32:V34" si="277">M32*U32</f>
        <v>2995.944</v>
      </c>
      <c r="W32" s="15">
        <v>0.50800000000000001</v>
      </c>
      <c r="X32" s="24">
        <f t="shared" ref="X32:X34" si="278">M32*W32</f>
        <v>7460.4880000000003</v>
      </c>
      <c r="Y32" s="15">
        <v>0.39</v>
      </c>
      <c r="Z32" s="24">
        <f t="shared" ref="Z32:Z34" si="279">Y32*M32</f>
        <v>5727.54</v>
      </c>
      <c r="AA32" s="116">
        <v>2.49E-3</v>
      </c>
      <c r="AB32" s="18">
        <f t="shared" ref="AB32" si="280">M32*AA32</f>
        <v>36.56814</v>
      </c>
      <c r="AC32" s="16">
        <v>2.5200000000000001E-3</v>
      </c>
      <c r="AD32" s="17">
        <f t="shared" ref="AD32:AD34" si="281">M32*AC32</f>
        <v>37.008720000000004</v>
      </c>
      <c r="AE32" s="26">
        <f>IF(M32&gt;0,(AG32+AP32)/M32,0)</f>
        <v>2.5515347950428981E-3</v>
      </c>
      <c r="AF32" s="16">
        <v>2.5999999999999998E-4</v>
      </c>
      <c r="AG32" s="23">
        <f t="shared" ref="AG32:AG34" si="282">AF32*M32</f>
        <v>3.8183599999999998</v>
      </c>
      <c r="AH32" s="92">
        <v>0.2036</v>
      </c>
      <c r="AI32" s="29">
        <f t="shared" ref="AI32:AI34" si="283">AL32*(1-AM32)*AH32</f>
        <v>32.565820000000002</v>
      </c>
      <c r="AJ32" s="27">
        <f t="shared" ref="AJ32:AJ34" si="284">IF(AND(AH32&gt;0,AF32&gt;0,AC32&gt;0),((AC32-AF32)*AH32)/((AH32-AF32)*AC32),0)</f>
        <v>0.89797211957141154</v>
      </c>
      <c r="AK32" s="58">
        <f t="shared" si="6"/>
        <v>0.89921174018579719</v>
      </c>
      <c r="AL32" s="11">
        <v>175</v>
      </c>
      <c r="AM32" s="13">
        <v>8.5999999999999993E-2</v>
      </c>
      <c r="AN32" s="14">
        <v>0.2104</v>
      </c>
      <c r="AO32" s="101">
        <v>0.21029999999999999</v>
      </c>
      <c r="AP32" s="29">
        <f>AL32*(1-AM32)*AN32</f>
        <v>33.653480000000002</v>
      </c>
      <c r="AQ32" s="102">
        <f t="shared" ref="AQ32" si="285">AL32*(1-AM32)*AO32</f>
        <v>33.637484999999998</v>
      </c>
      <c r="AR32" s="18">
        <v>1.55</v>
      </c>
      <c r="AS32" s="18"/>
      <c r="AT32" s="79">
        <f>AT30+AL32-AS32</f>
        <v>1284.639999999999</v>
      </c>
      <c r="AU32" s="80"/>
      <c r="AV32" s="11"/>
      <c r="AW32" s="30"/>
      <c r="AX32" s="19"/>
      <c r="AY32" s="19"/>
      <c r="AZ32" s="19"/>
      <c r="BA32" s="19"/>
      <c r="BB32" s="31"/>
    </row>
    <row r="33" spans="1:54">
      <c r="A33" s="148"/>
      <c r="B33" s="32">
        <v>2</v>
      </c>
      <c r="C33" s="10" t="s">
        <v>55</v>
      </c>
      <c r="D33" s="33">
        <v>16300</v>
      </c>
      <c r="E33" s="33">
        <v>1</v>
      </c>
      <c r="F33" s="33">
        <v>12452</v>
      </c>
      <c r="G33" s="34">
        <v>0.4</v>
      </c>
      <c r="H33" s="34">
        <v>5.5</v>
      </c>
      <c r="I33" s="33">
        <v>11759</v>
      </c>
      <c r="J33" s="34">
        <v>3.3</v>
      </c>
      <c r="K33" s="33">
        <v>15705</v>
      </c>
      <c r="L33" s="35">
        <v>6.8000000000000005E-2</v>
      </c>
      <c r="M33" s="36">
        <f>ROUND(K33*(1-L33),0)</f>
        <v>14637</v>
      </c>
      <c r="N33" s="37">
        <v>0.51100000000000001</v>
      </c>
      <c r="O33" s="24">
        <f t="shared" si="274"/>
        <v>7479.5070000000005</v>
      </c>
      <c r="P33" s="35">
        <v>0.46400000000000002</v>
      </c>
      <c r="Q33" s="24">
        <f t="shared" si="275"/>
        <v>6791.5680000000002</v>
      </c>
      <c r="R33" s="38">
        <v>2.5000000000000001E-2</v>
      </c>
      <c r="S33" s="105"/>
      <c r="T33" s="24">
        <f t="shared" si="276"/>
        <v>365.92500000000001</v>
      </c>
      <c r="U33" s="27">
        <v>0.19400000000000001</v>
      </c>
      <c r="V33" s="24">
        <f t="shared" si="277"/>
        <v>2839.578</v>
      </c>
      <c r="W33" s="38">
        <v>0.51400000000000001</v>
      </c>
      <c r="X33" s="24">
        <f t="shared" si="278"/>
        <v>7523.4180000000006</v>
      </c>
      <c r="Y33" s="38">
        <v>0.4</v>
      </c>
      <c r="Z33" s="24">
        <f t="shared" si="279"/>
        <v>5854.8</v>
      </c>
      <c r="AA33" s="117">
        <v>2.4399999999999999E-3</v>
      </c>
      <c r="AB33" s="18">
        <f t="shared" si="60"/>
        <v>35.714279999999995</v>
      </c>
      <c r="AC33" s="39">
        <v>2.48E-3</v>
      </c>
      <c r="AD33" s="17">
        <f t="shared" si="281"/>
        <v>36.299759999999999</v>
      </c>
      <c r="AE33" s="26">
        <f>IF(M33&gt;0,(AG33+AP33)/M33,0)</f>
        <v>2.3429644599303133E-3</v>
      </c>
      <c r="AF33" s="39">
        <v>2.5000000000000001E-4</v>
      </c>
      <c r="AG33" s="36">
        <f t="shared" si="282"/>
        <v>3.6592500000000001</v>
      </c>
      <c r="AH33" s="27">
        <v>0.20549999999999999</v>
      </c>
      <c r="AI33" s="40">
        <f t="shared" si="283"/>
        <v>29.864492999999996</v>
      </c>
      <c r="AJ33" s="27">
        <f t="shared" si="284"/>
        <v>0.90028879022435271</v>
      </c>
      <c r="AK33" s="28">
        <f t="shared" si="6"/>
        <v>0.89435824208502379</v>
      </c>
      <c r="AL33" s="33">
        <v>159</v>
      </c>
      <c r="AM33" s="35">
        <v>8.5999999999999993E-2</v>
      </c>
      <c r="AN33" s="37">
        <v>0.21079999999999999</v>
      </c>
      <c r="AO33" s="103">
        <v>0.216</v>
      </c>
      <c r="AP33" s="40">
        <f>AL33*(1-AM33)*AN33</f>
        <v>30.634720799999997</v>
      </c>
      <c r="AQ33" s="104">
        <f t="shared" si="21"/>
        <v>31.390415999999998</v>
      </c>
      <c r="AR33" s="41">
        <v>1.55</v>
      </c>
      <c r="AS33" s="41"/>
      <c r="AT33" s="129">
        <f>AT32+AL33-AS33</f>
        <v>1443.639999999999</v>
      </c>
      <c r="AU33" s="82"/>
      <c r="AV33" s="42"/>
      <c r="AW33" s="43"/>
      <c r="AX33" s="44"/>
      <c r="AY33" s="44"/>
      <c r="AZ33" s="44"/>
      <c r="BA33" s="44"/>
      <c r="BB33" s="31"/>
    </row>
    <row r="34" spans="1:54">
      <c r="A34" s="148"/>
      <c r="B34" s="32">
        <v>3</v>
      </c>
      <c r="C34" s="143" t="s">
        <v>57</v>
      </c>
      <c r="D34" s="42">
        <v>12500</v>
      </c>
      <c r="E34" s="42">
        <v>0</v>
      </c>
      <c r="F34" s="42">
        <v>15251</v>
      </c>
      <c r="G34" s="36">
        <v>0.5</v>
      </c>
      <c r="H34" s="36">
        <v>5.3</v>
      </c>
      <c r="I34" s="42">
        <v>15268</v>
      </c>
      <c r="J34" s="36">
        <v>2.7</v>
      </c>
      <c r="K34" s="42">
        <v>15700</v>
      </c>
      <c r="L34" s="38">
        <v>6.8000000000000005E-2</v>
      </c>
      <c r="M34" s="36">
        <f>ROUND(K34*(1-L34),0)</f>
        <v>14632</v>
      </c>
      <c r="N34" s="27">
        <v>0.57699999999999996</v>
      </c>
      <c r="O34" s="24">
        <f t="shared" si="274"/>
        <v>8442.6639999999989</v>
      </c>
      <c r="P34" s="38">
        <v>0.36399999999999999</v>
      </c>
      <c r="Q34" s="24">
        <f t="shared" si="275"/>
        <v>5326.0479999999998</v>
      </c>
      <c r="R34" s="38">
        <v>5.8999999999999997E-2</v>
      </c>
      <c r="S34" s="105"/>
      <c r="T34" s="24">
        <f t="shared" si="276"/>
        <v>863.28800000000001</v>
      </c>
      <c r="U34" s="27">
        <v>0.19700000000000001</v>
      </c>
      <c r="V34" s="24">
        <f t="shared" si="277"/>
        <v>2882.5039999999999</v>
      </c>
      <c r="W34" s="38">
        <v>0.50900000000000001</v>
      </c>
      <c r="X34" s="24">
        <f t="shared" si="278"/>
        <v>7447.6880000000001</v>
      </c>
      <c r="Y34" s="38">
        <v>0.38</v>
      </c>
      <c r="Z34" s="24">
        <f t="shared" si="279"/>
        <v>5560.16</v>
      </c>
      <c r="AA34" s="118">
        <v>2.3600000000000001E-3</v>
      </c>
      <c r="AB34" s="121">
        <f t="shared" si="60"/>
        <v>34.53152</v>
      </c>
      <c r="AC34" s="45">
        <v>2.4199999999999998E-3</v>
      </c>
      <c r="AD34" s="17">
        <f t="shared" si="281"/>
        <v>35.409439999999996</v>
      </c>
      <c r="AE34" s="26">
        <f>IF(M34&gt;0,(AG34+AP34)/M34,0)</f>
        <v>2.3628809937124113E-3</v>
      </c>
      <c r="AF34" s="45">
        <v>2.4000000000000001E-4</v>
      </c>
      <c r="AG34" s="36">
        <f t="shared" si="282"/>
        <v>3.5116800000000001</v>
      </c>
      <c r="AH34" s="27">
        <v>0.20610000000000001</v>
      </c>
      <c r="AI34" s="40">
        <f t="shared" si="283"/>
        <v>29.542580100000002</v>
      </c>
      <c r="AJ34" s="27">
        <f t="shared" si="284"/>
        <v>0.90187666656228693</v>
      </c>
      <c r="AK34" s="28">
        <f t="shared" si="6"/>
        <v>0.89942521160575739</v>
      </c>
      <c r="AL34" s="42">
        <v>157</v>
      </c>
      <c r="AM34" s="38">
        <v>8.6999999999999994E-2</v>
      </c>
      <c r="AN34" s="27">
        <v>0.2167</v>
      </c>
      <c r="AO34" s="105">
        <v>0.21829999999999999</v>
      </c>
      <c r="AP34" s="40">
        <f>AL34*(1-AM34)*AN34</f>
        <v>31.061994700000003</v>
      </c>
      <c r="AQ34" s="106">
        <f t="shared" si="21"/>
        <v>31.291340300000002</v>
      </c>
      <c r="AR34" s="17">
        <v>1.55</v>
      </c>
      <c r="AS34" s="17"/>
      <c r="AT34" s="129">
        <f>AT33+AL34-AS34</f>
        <v>1600.639999999999</v>
      </c>
      <c r="AU34" s="82"/>
      <c r="AV34" s="42"/>
      <c r="AW34" s="46"/>
      <c r="AX34" s="40"/>
      <c r="AY34" s="40"/>
      <c r="AZ34" s="40"/>
      <c r="BA34" s="40"/>
      <c r="BB34" s="31"/>
    </row>
    <row r="35" spans="1:54">
      <c r="A35" s="149"/>
      <c r="B35" s="47" t="s">
        <v>56</v>
      </c>
      <c r="C35" s="48"/>
      <c r="D35" s="49">
        <f t="shared" ref="D35" si="286">SUM(D32:D34)</f>
        <v>42048</v>
      </c>
      <c r="E35" s="49"/>
      <c r="F35" s="49">
        <f t="shared" ref="F35" si="287">SUM(F32:F34)</f>
        <v>43501</v>
      </c>
      <c r="G35" s="50"/>
      <c r="H35" s="50"/>
      <c r="I35" s="49">
        <f t="shared" ref="I35:K35" si="288">SUM(I32:I34)</f>
        <v>42858</v>
      </c>
      <c r="J35" s="50"/>
      <c r="K35" s="49">
        <f t="shared" si="288"/>
        <v>47112</v>
      </c>
      <c r="L35" s="20">
        <f t="shared" ref="L35" si="289">IF(K35&gt;0,(K32*L32+K33*L33+K34*L34)/K35,0)</f>
        <v>6.699980896586856E-2</v>
      </c>
      <c r="M35" s="50">
        <f t="shared" ref="M35" si="290">M32+M33+M34</f>
        <v>43955</v>
      </c>
      <c r="N35" s="51">
        <f t="shared" ref="N35" si="291">IF(M35&gt;0,O35/M35,0)</f>
        <v>0.55468790808781709</v>
      </c>
      <c r="O35" s="52">
        <f t="shared" ref="O35" si="292">O32+O33+O34</f>
        <v>24381.307000000001</v>
      </c>
      <c r="P35" s="20">
        <f t="shared" ref="P35" si="293">IF(M35&gt;0,Q35/M35,0)</f>
        <v>0.40765751336594241</v>
      </c>
      <c r="Q35" s="52">
        <f t="shared" ref="Q35" si="294">Q32+Q33+Q34</f>
        <v>17918.585999999999</v>
      </c>
      <c r="R35" s="20">
        <f t="shared" ref="R35" si="295">IF(M35&gt;0,T35/M35,0)</f>
        <v>3.7654578546240471E-2</v>
      </c>
      <c r="S35" s="107"/>
      <c r="T35" s="52">
        <f t="shared" ref="T35" si="296">T32+T33+T34</f>
        <v>1655.107</v>
      </c>
      <c r="U35" s="20">
        <f t="shared" ref="U35" si="297">IF(M35&gt;0,V35/M35,0)</f>
        <v>0.19833980207029916</v>
      </c>
      <c r="V35" s="52">
        <f t="shared" ref="V35" si="298">V32+V33+V34</f>
        <v>8718.0259999999998</v>
      </c>
      <c r="W35" s="20">
        <f t="shared" ref="W35" si="299">IF(M35&gt;0,X35/M35,0)</f>
        <v>0.51033088385849168</v>
      </c>
      <c r="X35" s="52">
        <f t="shared" ref="X35" si="300">X32+X33+X34</f>
        <v>22431.594000000001</v>
      </c>
      <c r="Y35" s="20">
        <f t="shared" ref="Y35" si="301">IF(M35&gt;0,Z35/M35,0)</f>
        <v>0.39000113752701626</v>
      </c>
      <c r="Z35" s="52">
        <f t="shared" ref="Z35" si="302">Z32+Z33+Z34</f>
        <v>17142.5</v>
      </c>
      <c r="AA35" s="119">
        <f t="shared" ref="AA35" si="303">IF(M35&gt;0,AB35/M35,0)</f>
        <v>2.4300748492776703E-3</v>
      </c>
      <c r="AB35" s="54">
        <f t="shared" ref="AB35" si="304">SUM(AB32:AB34)</f>
        <v>106.81394</v>
      </c>
      <c r="AC35" s="53">
        <f t="shared" ref="AC35" si="305">IF(M35&gt;0,AD35/M35,0)</f>
        <v>2.4733914230462973E-3</v>
      </c>
      <c r="AD35" s="54">
        <f t="shared" ref="AD35" si="306">SUM(AD32:AD34)</f>
        <v>108.71791999999999</v>
      </c>
      <c r="AE35" s="53">
        <f t="shared" ref="AE35" si="307">IF(M35&gt;0,(AE32*M32+AE33*M33+AE34*M34)/M35,0)</f>
        <v>2.4192807530428848E-3</v>
      </c>
      <c r="AF35" s="53">
        <f t="shared" ref="AF35" si="308">IF(K35&gt;0,(K32*AF32+K33*AF33+K34*AF34)/K35,0)</f>
        <v>2.5000148582102221E-4</v>
      </c>
      <c r="AG35" s="50">
        <f t="shared" ref="AG35" si="309">SUM(AG32:AG34)</f>
        <v>10.98929</v>
      </c>
      <c r="AH35" s="51">
        <f t="shared" ref="AH35" si="310">IF(K35&gt;0,(K32*AH32+K33*AH33+K34*AH34)/K35,0)</f>
        <v>0.20506649473594837</v>
      </c>
      <c r="AI35" s="56">
        <f t="shared" ref="AI35" si="311">SUM(AI32:AI34)</f>
        <v>91.972893099999993</v>
      </c>
      <c r="AJ35" s="51">
        <f t="shared" ref="AJ35" si="312">IF(AND(AD35&gt;0),((AD32*AJ32+AD33*AJ33+AD34*AJ34)/AD35),0)</f>
        <v>0.90001734276094081</v>
      </c>
      <c r="AK35" s="55">
        <f t="shared" si="6"/>
        <v>0.89771837401994092</v>
      </c>
      <c r="AL35" s="49">
        <f t="shared" ref="AL35" si="313">SUM(AL32:AL34)</f>
        <v>491</v>
      </c>
      <c r="AM35" s="20">
        <f t="shared" ref="AM35" si="314">IF(AL35&gt;0,(AM32*AL32+AM33*AL33+AM34*AL34)/AL35,0)</f>
        <v>8.631975560081466E-2</v>
      </c>
      <c r="AN35" s="51">
        <f>IF(K35&gt;0,(AN32*K32+AN33*K33+AN34*K34)/K35,0)</f>
        <v>0.21263280692817119</v>
      </c>
      <c r="AO35" s="107">
        <f>IF(L35&gt;0,(AO32*K32+AO33*K33+AO34*K34)/K35,0)</f>
        <v>0.2148661084224826</v>
      </c>
      <c r="AP35" s="56">
        <f t="shared" ref="AP35" si="315">SUM(AP32:AP34)</f>
        <v>95.350195499999998</v>
      </c>
      <c r="AQ35" s="108">
        <f t="shared" si="227"/>
        <v>96.319241300000002</v>
      </c>
      <c r="AR35" s="54"/>
      <c r="AS35" s="54">
        <f t="shared" ref="AS35" si="316">SUM(AS32:AS34)</f>
        <v>0</v>
      </c>
      <c r="AT35" s="83"/>
      <c r="AU35" s="84">
        <f>AT34</f>
        <v>1600.639999999999</v>
      </c>
      <c r="AV35" s="49">
        <f t="shared" ref="AV35" si="317">SUM(AV32:AV34)</f>
        <v>0</v>
      </c>
      <c r="AW35" s="57"/>
      <c r="AX35" s="56"/>
      <c r="AY35" s="56"/>
      <c r="AZ35" s="56"/>
      <c r="BA35" s="56"/>
      <c r="BB35" s="21"/>
    </row>
    <row r="36" spans="1:54">
      <c r="A36" s="147">
        <v>9</v>
      </c>
      <c r="B36" s="22">
        <v>1</v>
      </c>
      <c r="C36" s="10" t="s">
        <v>59</v>
      </c>
      <c r="D36" s="11">
        <v>4331</v>
      </c>
      <c r="E36" s="11">
        <v>1</v>
      </c>
      <c r="F36" s="11">
        <v>9975</v>
      </c>
      <c r="G36" s="12">
        <v>0.4</v>
      </c>
      <c r="H36" s="12">
        <v>6.4</v>
      </c>
      <c r="I36" s="11">
        <v>10156</v>
      </c>
      <c r="J36" s="12">
        <v>4.4000000000000004</v>
      </c>
      <c r="K36" s="11">
        <v>15754</v>
      </c>
      <c r="L36" s="13">
        <v>7.1999999999999995E-2</v>
      </c>
      <c r="M36" s="23">
        <f>ROUND(K36*(1-L36),0)</f>
        <v>14620</v>
      </c>
      <c r="N36" s="14">
        <v>0.71699999999999997</v>
      </c>
      <c r="O36" s="24">
        <f t="shared" ref="O36:O38" si="318">M36*N36</f>
        <v>10482.539999999999</v>
      </c>
      <c r="P36" s="13">
        <v>0.22700000000000001</v>
      </c>
      <c r="Q36" s="24">
        <f t="shared" ref="Q36:Q38" si="319">M36*P36</f>
        <v>3318.7400000000002</v>
      </c>
      <c r="R36" s="15">
        <v>5.6000000000000001E-2</v>
      </c>
      <c r="S36" s="112"/>
      <c r="T36" s="24">
        <f t="shared" ref="T36:T38" si="320">M36*R36</f>
        <v>818.72</v>
      </c>
      <c r="U36" s="25">
        <v>0.20499999999999999</v>
      </c>
      <c r="V36" s="24">
        <f t="shared" ref="V36:V38" si="321">M36*U36</f>
        <v>2997.1</v>
      </c>
      <c r="W36" s="15">
        <v>0.50900000000000001</v>
      </c>
      <c r="X36" s="24">
        <f t="shared" ref="X36:X38" si="322">M36*W36</f>
        <v>7441.58</v>
      </c>
      <c r="Y36" s="15">
        <v>0.39</v>
      </c>
      <c r="Z36" s="24">
        <f t="shared" ref="Z36:Z38" si="323">Y36*M36</f>
        <v>5701.8</v>
      </c>
      <c r="AA36" s="116">
        <v>2.33E-3</v>
      </c>
      <c r="AB36" s="18">
        <f t="shared" ref="AB36" si="324">M36*AA36</f>
        <v>34.064599999999999</v>
      </c>
      <c r="AC36" s="16">
        <v>2.3999999999999998E-3</v>
      </c>
      <c r="AD36" s="17">
        <f t="shared" ref="AD36:AD38" si="325">M36*AC36</f>
        <v>35.087999999999994</v>
      </c>
      <c r="AE36" s="26">
        <f>IF(M36&gt;0,(AG36+AP36)/M36,0)</f>
        <v>2.3470066621067032E-3</v>
      </c>
      <c r="AF36" s="16">
        <v>2.4000000000000001E-4</v>
      </c>
      <c r="AG36" s="23">
        <f t="shared" ref="AG36:AG38" si="326">AF36*M36</f>
        <v>3.5087999999999999</v>
      </c>
      <c r="AH36" s="92">
        <v>0.19900000000000001</v>
      </c>
      <c r="AI36" s="29">
        <f t="shared" ref="AI36:AI38" si="327">AL36*(1-AM36)*AH36</f>
        <v>28.888233000000003</v>
      </c>
      <c r="AJ36" s="27">
        <f t="shared" ref="AJ36:AJ38" si="328">IF(AND(AH36&gt;0,AF36&gt;0,AC36&gt;0),((AC36-AF36)*AH36)/((AH36-AF36)*AC36),0)</f>
        <v>0.90108673777420001</v>
      </c>
      <c r="AK36" s="58">
        <f t="shared" si="6"/>
        <v>0.89875859189675922</v>
      </c>
      <c r="AL36" s="11">
        <v>159</v>
      </c>
      <c r="AM36" s="13">
        <v>8.6999999999999994E-2</v>
      </c>
      <c r="AN36" s="14">
        <v>0.2122</v>
      </c>
      <c r="AO36" s="101">
        <v>0.221</v>
      </c>
      <c r="AP36" s="29">
        <f>AL36*(1-AM36)*AN36</f>
        <v>30.804437400000001</v>
      </c>
      <c r="AQ36" s="102">
        <f t="shared" ref="AQ36" si="329">AL36*(1-AM36)*AO36</f>
        <v>32.081907000000001</v>
      </c>
      <c r="AR36" s="18">
        <v>1.55</v>
      </c>
      <c r="AS36" s="18">
        <v>1006.58</v>
      </c>
      <c r="AT36" s="79">
        <f>AT34+AL36-AS36+AU36</f>
        <v>818.31999999999891</v>
      </c>
      <c r="AU36" s="80">
        <v>65.260000000000005</v>
      </c>
      <c r="AV36" s="11"/>
      <c r="AW36" s="30"/>
      <c r="AX36" s="19"/>
      <c r="AY36" s="19"/>
      <c r="AZ36" s="19"/>
      <c r="BA36" s="19"/>
      <c r="BB36" s="31"/>
    </row>
    <row r="37" spans="1:54">
      <c r="A37" s="148"/>
      <c r="B37" s="32">
        <v>2</v>
      </c>
      <c r="C37" s="10" t="s">
        <v>55</v>
      </c>
      <c r="D37" s="33">
        <v>20000</v>
      </c>
      <c r="E37" s="33">
        <v>3</v>
      </c>
      <c r="F37" s="33">
        <v>16645</v>
      </c>
      <c r="G37" s="34">
        <v>0.9</v>
      </c>
      <c r="H37" s="34">
        <v>6.4</v>
      </c>
      <c r="I37" s="33">
        <v>15902</v>
      </c>
      <c r="J37" s="34">
        <v>3.7</v>
      </c>
      <c r="K37" s="33">
        <v>15733</v>
      </c>
      <c r="L37" s="35">
        <v>6.4000000000000001E-2</v>
      </c>
      <c r="M37" s="36">
        <f>ROUND(K37*(1-L37),0)</f>
        <v>14726</v>
      </c>
      <c r="N37" s="37">
        <v>0.61</v>
      </c>
      <c r="O37" s="24">
        <f t="shared" si="318"/>
        <v>8982.86</v>
      </c>
      <c r="P37" s="35">
        <v>0.36599999999999999</v>
      </c>
      <c r="Q37" s="24">
        <f t="shared" si="319"/>
        <v>5389.7159999999994</v>
      </c>
      <c r="R37" s="38">
        <v>2.4E-2</v>
      </c>
      <c r="S37" s="105"/>
      <c r="T37" s="24">
        <f t="shared" si="320"/>
        <v>353.42400000000004</v>
      </c>
      <c r="U37" s="27">
        <v>0.20599999999999999</v>
      </c>
      <c r="V37" s="24">
        <f t="shared" si="321"/>
        <v>3033.556</v>
      </c>
      <c r="W37" s="38">
        <v>0.51100000000000001</v>
      </c>
      <c r="X37" s="24">
        <f t="shared" si="322"/>
        <v>7524.9859999999999</v>
      </c>
      <c r="Y37" s="38">
        <v>0.39</v>
      </c>
      <c r="Z37" s="24">
        <f t="shared" si="323"/>
        <v>5743.14</v>
      </c>
      <c r="AA37" s="117">
        <v>2.4499999999999999E-3</v>
      </c>
      <c r="AB37" s="18">
        <f t="shared" si="60"/>
        <v>36.078699999999998</v>
      </c>
      <c r="AC37" s="39">
        <v>2.5400000000000002E-3</v>
      </c>
      <c r="AD37" s="17">
        <f t="shared" si="325"/>
        <v>37.404040000000002</v>
      </c>
      <c r="AE37" s="26">
        <f>IF(M37&gt;0,(AG37+AP37)/M37,0)</f>
        <v>2.3444378650006792E-3</v>
      </c>
      <c r="AF37" s="39">
        <v>2.4000000000000001E-4</v>
      </c>
      <c r="AG37" s="36">
        <f t="shared" si="326"/>
        <v>3.53424</v>
      </c>
      <c r="AH37" s="27">
        <v>0.20449999999999999</v>
      </c>
      <c r="AI37" s="40">
        <f t="shared" si="327"/>
        <v>31.435739999999999</v>
      </c>
      <c r="AJ37" s="27">
        <f t="shared" si="328"/>
        <v>0.9065757630193414</v>
      </c>
      <c r="AK37" s="28">
        <f t="shared" si="6"/>
        <v>0.89869992532621845</v>
      </c>
      <c r="AL37" s="33">
        <v>168</v>
      </c>
      <c r="AM37" s="35">
        <v>8.5000000000000006E-2</v>
      </c>
      <c r="AN37" s="37">
        <v>0.2016</v>
      </c>
      <c r="AO37" s="103">
        <v>0.2014</v>
      </c>
      <c r="AP37" s="40">
        <f>AL37*(1-AM37)*AN37</f>
        <v>30.989951999999999</v>
      </c>
      <c r="AQ37" s="104">
        <f t="shared" si="21"/>
        <v>30.959208</v>
      </c>
      <c r="AR37" s="41">
        <v>1.5</v>
      </c>
      <c r="AS37" s="41"/>
      <c r="AT37" s="129">
        <f>AT36+AL37-AS37</f>
        <v>986.31999999999891</v>
      </c>
      <c r="AU37" s="82"/>
      <c r="AV37" s="42"/>
      <c r="AW37" s="43"/>
      <c r="AX37" s="44"/>
      <c r="AY37" s="44"/>
      <c r="AZ37" s="44"/>
      <c r="BA37" s="44"/>
      <c r="BB37" s="31"/>
    </row>
    <row r="38" spans="1:54">
      <c r="A38" s="148"/>
      <c r="B38" s="32">
        <v>3</v>
      </c>
      <c r="C38" s="143" t="s">
        <v>57</v>
      </c>
      <c r="D38" s="42">
        <v>16800</v>
      </c>
      <c r="E38" s="42">
        <v>2</v>
      </c>
      <c r="F38" s="42">
        <v>16452</v>
      </c>
      <c r="G38" s="36">
        <v>0.7</v>
      </c>
      <c r="H38" s="36">
        <v>6.3</v>
      </c>
      <c r="I38" s="42">
        <v>16173</v>
      </c>
      <c r="J38" s="36">
        <v>3</v>
      </c>
      <c r="K38" s="42">
        <v>15712</v>
      </c>
      <c r="L38" s="38">
        <v>7.1999999999999995E-2</v>
      </c>
      <c r="M38" s="36">
        <f>ROUND(K38*(1-L38),0)</f>
        <v>14581</v>
      </c>
      <c r="N38" s="27">
        <v>0.72699999999999998</v>
      </c>
      <c r="O38" s="24">
        <f t="shared" si="318"/>
        <v>10600.386999999999</v>
      </c>
      <c r="P38" s="38">
        <v>0.224</v>
      </c>
      <c r="Q38" s="24">
        <f t="shared" si="319"/>
        <v>3266.1440000000002</v>
      </c>
      <c r="R38" s="38">
        <v>4.9000000000000002E-2</v>
      </c>
      <c r="S38" s="105"/>
      <c r="T38" s="24">
        <f t="shared" si="320"/>
        <v>714.46900000000005</v>
      </c>
      <c r="U38" s="27">
        <v>0.218</v>
      </c>
      <c r="V38" s="24">
        <f t="shared" si="321"/>
        <v>3178.6579999999999</v>
      </c>
      <c r="W38" s="38">
        <v>0.49</v>
      </c>
      <c r="X38" s="24">
        <f t="shared" si="322"/>
        <v>7144.69</v>
      </c>
      <c r="Y38" s="38">
        <v>0.38</v>
      </c>
      <c r="Z38" s="24">
        <f t="shared" si="323"/>
        <v>5540.78</v>
      </c>
      <c r="AA38" s="118">
        <v>2.5300000000000001E-3</v>
      </c>
      <c r="AB38" s="121">
        <f t="shared" si="60"/>
        <v>36.88993</v>
      </c>
      <c r="AC38" s="45">
        <v>2.5500000000000002E-3</v>
      </c>
      <c r="AD38" s="17">
        <f t="shared" si="325"/>
        <v>37.181550000000001</v>
      </c>
      <c r="AE38" s="26">
        <f>IF(M38&gt;0,(AG38+AP38)/M38,0)</f>
        <v>2.4958662643165762E-3</v>
      </c>
      <c r="AF38" s="45">
        <v>2.4000000000000001E-4</v>
      </c>
      <c r="AG38" s="36">
        <f t="shared" si="326"/>
        <v>3.4994399999999999</v>
      </c>
      <c r="AH38" s="27">
        <v>0.2064</v>
      </c>
      <c r="AI38" s="40">
        <f t="shared" si="327"/>
        <v>32.860944000000003</v>
      </c>
      <c r="AJ38" s="27">
        <f t="shared" si="328"/>
        <v>0.90693693076765036</v>
      </c>
      <c r="AK38" s="28">
        <f t="shared" si="6"/>
        <v>0.90489218327315135</v>
      </c>
      <c r="AL38" s="42">
        <v>174</v>
      </c>
      <c r="AM38" s="38">
        <v>8.5000000000000006E-2</v>
      </c>
      <c r="AN38" s="27">
        <v>0.20660000000000001</v>
      </c>
      <c r="AO38" s="105">
        <v>0.21129999999999999</v>
      </c>
      <c r="AP38" s="40">
        <f>AL38*(1-AM38)*AN38</f>
        <v>32.892786000000001</v>
      </c>
      <c r="AQ38" s="106">
        <f t="shared" si="21"/>
        <v>33.641072999999999</v>
      </c>
      <c r="AR38" s="17">
        <v>1.5</v>
      </c>
      <c r="AS38" s="17"/>
      <c r="AT38" s="129">
        <f>AT37+AL38-AS38</f>
        <v>1160.3199999999988</v>
      </c>
      <c r="AU38" s="82"/>
      <c r="AV38" s="42"/>
      <c r="AW38" s="46"/>
      <c r="AX38" s="40"/>
      <c r="AY38" s="40"/>
      <c r="AZ38" s="40"/>
      <c r="BA38" s="40"/>
      <c r="BB38" s="31"/>
    </row>
    <row r="39" spans="1:54">
      <c r="A39" s="149"/>
      <c r="B39" s="47" t="s">
        <v>56</v>
      </c>
      <c r="C39" s="48"/>
      <c r="D39" s="49">
        <f t="shared" ref="D39" si="330">SUM(D36:D38)</f>
        <v>41131</v>
      </c>
      <c r="E39" s="49"/>
      <c r="F39" s="49">
        <f t="shared" ref="F39" si="331">SUM(F36:F38)</f>
        <v>43072</v>
      </c>
      <c r="G39" s="50"/>
      <c r="H39" s="50"/>
      <c r="I39" s="49">
        <f t="shared" ref="I39:K39" si="332">SUM(I36:I38)</f>
        <v>42231</v>
      </c>
      <c r="J39" s="50"/>
      <c r="K39" s="49">
        <f t="shared" si="332"/>
        <v>47199</v>
      </c>
      <c r="L39" s="20">
        <f t="shared" ref="L39" si="333">IF(K39&gt;0,(K36*L36+K37*L37+K38*L38)/K39,0)</f>
        <v>6.933333333333333E-2</v>
      </c>
      <c r="M39" s="50">
        <f t="shared" ref="M39" si="334">M36+M37+M38</f>
        <v>43927</v>
      </c>
      <c r="N39" s="51">
        <f t="shared" ref="N39" si="335">IF(M39&gt;0,O39/M39,0)</f>
        <v>0.68444890386322765</v>
      </c>
      <c r="O39" s="52">
        <f t="shared" ref="O39" si="336">O36+O37+O38</f>
        <v>30065.787</v>
      </c>
      <c r="P39" s="20">
        <f t="shared" ref="P39" si="337">IF(M39&gt;0,Q39/M39,0)</f>
        <v>0.27260227195119174</v>
      </c>
      <c r="Q39" s="52">
        <f t="shared" ref="Q39" si="338">Q36+Q37+Q38</f>
        <v>11974.6</v>
      </c>
      <c r="R39" s="20">
        <f t="shared" ref="R39" si="339">IF(M39&gt;0,T39/M39,0)</f>
        <v>4.2948824185580624E-2</v>
      </c>
      <c r="S39" s="107"/>
      <c r="T39" s="52">
        <f t="shared" ref="T39" si="340">T36+T37+T38</f>
        <v>1886.6130000000001</v>
      </c>
      <c r="U39" s="20">
        <f t="shared" ref="U39" si="341">IF(M39&gt;0,V39/M39,0)</f>
        <v>0.20965042001502493</v>
      </c>
      <c r="V39" s="52">
        <f t="shared" ref="V39" si="342">V36+V37+V38</f>
        <v>9209.3140000000003</v>
      </c>
      <c r="W39" s="20">
        <f t="shared" ref="W39" si="343">IF(M39&gt;0,X39/M39,0)</f>
        <v>0.50336367154597395</v>
      </c>
      <c r="X39" s="52">
        <f t="shared" ref="X39" si="344">X36+X37+X38</f>
        <v>22111.255999999998</v>
      </c>
      <c r="Y39" s="20">
        <f t="shared" ref="Y39" si="345">IF(M39&gt;0,Z39/M39,0)</f>
        <v>0.38668062922576096</v>
      </c>
      <c r="Z39" s="52">
        <f t="shared" ref="Z39" si="346">Z36+Z37+Z38</f>
        <v>16985.72</v>
      </c>
      <c r="AA39" s="119">
        <f t="shared" ref="AA39" si="347">IF(M39&gt;0,AB39/M39,0)</f>
        <v>2.4366159765064769E-3</v>
      </c>
      <c r="AB39" s="54">
        <f t="shared" ref="AB39" si="348">SUM(AB36:AB38)</f>
        <v>107.03323</v>
      </c>
      <c r="AC39" s="53">
        <f t="shared" ref="AC39" si="349">IF(M39&gt;0,AD39/M39,0)</f>
        <v>2.4967238828055641E-3</v>
      </c>
      <c r="AD39" s="54">
        <f t="shared" ref="AD39" si="350">SUM(AD36:AD38)</f>
        <v>109.67359</v>
      </c>
      <c r="AE39" s="53">
        <f t="shared" ref="AE39" si="351">IF(M39&gt;0,(AE36*M36+AE37*M37+AE38*M38)/M39,0)</f>
        <v>2.3955575249846334E-3</v>
      </c>
      <c r="AF39" s="53">
        <f t="shared" ref="AF39" si="352">IF(K39&gt;0,(K36*AF36+K37*AF37+K38*AF38)/K39,0)</f>
        <v>2.3999999999999998E-4</v>
      </c>
      <c r="AG39" s="50">
        <f t="shared" ref="AG39" si="353">SUM(AG36:AG38)</f>
        <v>10.542479999999999</v>
      </c>
      <c r="AH39" s="51">
        <f t="shared" ref="AH39" si="354">IF(K39&gt;0,(K36*AH36+K37*AH37+K38*AH38)/K39,0)</f>
        <v>0.20329670755736348</v>
      </c>
      <c r="AI39" s="56">
        <f t="shared" ref="AI39" si="355">SUM(AI36:AI38)</f>
        <v>93.184917000000013</v>
      </c>
      <c r="AJ39" s="51">
        <f t="shared" ref="AJ39" si="356">IF(AND(AD39&gt;0),((AD36*AJ36+AD37*AJ37+AD38*AJ38)/AD39),0)</f>
        <v>0.90494209587021845</v>
      </c>
      <c r="AK39" s="55">
        <f t="shared" si="6"/>
        <v>0.90086002653519603</v>
      </c>
      <c r="AL39" s="49">
        <f t="shared" ref="AL39" si="357">SUM(AL36:AL38)</f>
        <v>501</v>
      </c>
      <c r="AM39" s="20">
        <f t="shared" ref="AM39" si="358">IF(AL39&gt;0,(AM36*AL36+AM37*AL37+AM38*AL38)/AL39,0)</f>
        <v>8.5634730538922149E-2</v>
      </c>
      <c r="AN39" s="51">
        <f>IF(K39&gt;0,(AN36*K36+AN37*K37+AN38*K38)/K39,0)</f>
        <v>0.20680249157821143</v>
      </c>
      <c r="AO39" s="107">
        <f>IF(L39&gt;0,(AO36*K36+AO37*K37+AO38*K38)/K39,0)</f>
        <v>0.21123764910273521</v>
      </c>
      <c r="AP39" s="56">
        <f t="shared" ref="AP39" si="359">SUM(AP36:AP38)</f>
        <v>94.687175400000001</v>
      </c>
      <c r="AQ39" s="108">
        <f t="shared" si="227"/>
        <v>96.682187999999996</v>
      </c>
      <c r="AR39" s="54"/>
      <c r="AS39" s="54">
        <f t="shared" ref="AS39" si="360">SUM(AS36:AS38)</f>
        <v>1006.58</v>
      </c>
      <c r="AT39" s="83"/>
      <c r="AU39" s="84">
        <f>AT38</f>
        <v>1160.3199999999988</v>
      </c>
      <c r="AV39" s="49">
        <f t="shared" ref="AV39" si="361">SUM(AV36:AV38)</f>
        <v>0</v>
      </c>
      <c r="AW39" s="57"/>
      <c r="AX39" s="56"/>
      <c r="AY39" s="56"/>
      <c r="AZ39" s="56"/>
      <c r="BA39" s="56"/>
      <c r="BB39" s="21"/>
    </row>
    <row r="40" spans="1:54">
      <c r="A40" s="147">
        <v>10</v>
      </c>
      <c r="B40" s="22">
        <v>1</v>
      </c>
      <c r="C40" s="10" t="s">
        <v>59</v>
      </c>
      <c r="D40" s="11">
        <v>5092</v>
      </c>
      <c r="E40" s="11">
        <v>0</v>
      </c>
      <c r="F40" s="11">
        <v>13449</v>
      </c>
      <c r="G40" s="12">
        <v>0.2</v>
      </c>
      <c r="H40" s="12">
        <v>4.9000000000000004</v>
      </c>
      <c r="I40" s="11">
        <v>13164</v>
      </c>
      <c r="J40" s="12">
        <v>3.4</v>
      </c>
      <c r="K40" s="11">
        <v>15424</v>
      </c>
      <c r="L40" s="13">
        <v>6.2E-2</v>
      </c>
      <c r="M40" s="23">
        <f>ROUND(K40*(1-L40),0)</f>
        <v>14468</v>
      </c>
      <c r="N40" s="14">
        <v>0.76</v>
      </c>
      <c r="O40" s="24">
        <f t="shared" ref="O40:O42" si="362">M40*N40</f>
        <v>10995.68</v>
      </c>
      <c r="P40" s="13">
        <v>0.19400000000000001</v>
      </c>
      <c r="Q40" s="24">
        <f t="shared" ref="Q40:Q42" si="363">M40*P40</f>
        <v>2806.7919999999999</v>
      </c>
      <c r="R40" s="15">
        <v>4.5999999999999999E-2</v>
      </c>
      <c r="S40" s="112"/>
      <c r="T40" s="24">
        <f t="shared" ref="T40:T42" si="364">M40*R40</f>
        <v>665.52800000000002</v>
      </c>
      <c r="U40" s="25">
        <v>0.21299999999999999</v>
      </c>
      <c r="V40" s="24">
        <f t="shared" ref="V40:V42" si="365">M40*U40</f>
        <v>3081.6839999999997</v>
      </c>
      <c r="W40" s="15">
        <v>0.498</v>
      </c>
      <c r="X40" s="24">
        <f t="shared" ref="X40:X42" si="366">M40*W40</f>
        <v>7205.0640000000003</v>
      </c>
      <c r="Y40" s="15">
        <v>0.39</v>
      </c>
      <c r="Z40" s="24">
        <f t="shared" ref="Z40:Z42" si="367">Y40*M40</f>
        <v>5642.52</v>
      </c>
      <c r="AA40" s="116">
        <v>2.4299999999999999E-3</v>
      </c>
      <c r="AB40" s="18">
        <f t="shared" ref="AB40" si="368">M40*AA40</f>
        <v>35.157240000000002</v>
      </c>
      <c r="AC40" s="16">
        <v>2.5799999999999998E-3</v>
      </c>
      <c r="AD40" s="17">
        <f t="shared" ref="AD40:AD42" si="369">M40*AC40</f>
        <v>37.327439999999996</v>
      </c>
      <c r="AE40" s="26">
        <f>IF(M40&gt;0,(AG40+AP40)/M40,0)</f>
        <v>2.3564267625103682E-3</v>
      </c>
      <c r="AF40" s="16">
        <v>2.4000000000000001E-4</v>
      </c>
      <c r="AG40" s="23">
        <f t="shared" ref="AG40:AG42" si="370">AF40*M40</f>
        <v>3.4723200000000003</v>
      </c>
      <c r="AH40" s="92">
        <v>0.20300000000000001</v>
      </c>
      <c r="AI40" s="29">
        <f t="shared" ref="AI40:AI42" si="371">AL40*(1-AM40)*AH40</f>
        <v>30.057804000000004</v>
      </c>
      <c r="AJ40" s="27">
        <f t="shared" ref="AJ40:AJ42" si="372">IF(AND(AH40&gt;0,AF40&gt;0,AC40&gt;0),((AC40-AF40)*AH40)/((AH40-AF40)*AC40),0)</f>
        <v>0.90805030119238217</v>
      </c>
      <c r="AK40" s="58">
        <f t="shared" si="6"/>
        <v>0.89919442917909564</v>
      </c>
      <c r="AL40" s="11">
        <v>162</v>
      </c>
      <c r="AM40" s="13">
        <v>8.5999999999999993E-2</v>
      </c>
      <c r="AN40" s="14">
        <v>0.20680000000000001</v>
      </c>
      <c r="AO40" s="101">
        <v>0.2167</v>
      </c>
      <c r="AP40" s="29">
        <f>AL40*(1-AM40)*AN40</f>
        <v>30.620462400000005</v>
      </c>
      <c r="AQ40" s="102">
        <f t="shared" ref="AQ40" si="373">AL40*(1-AM40)*AO40</f>
        <v>32.086335600000005</v>
      </c>
      <c r="AR40" s="18">
        <v>1.55</v>
      </c>
      <c r="AS40" s="18">
        <v>1008.2</v>
      </c>
      <c r="AT40" s="79">
        <f>AT38+AL40-AS40+AU40</f>
        <v>340.19999999999874</v>
      </c>
      <c r="AU40" s="80">
        <v>26.08</v>
      </c>
      <c r="AV40" s="11"/>
      <c r="AW40" s="30"/>
      <c r="AX40" s="19"/>
      <c r="AY40" s="19"/>
      <c r="AZ40" s="19"/>
      <c r="BA40" s="19"/>
      <c r="BB40" s="31"/>
    </row>
    <row r="41" spans="1:54">
      <c r="A41" s="148"/>
      <c r="B41" s="32">
        <v>2</v>
      </c>
      <c r="C41" s="10" t="s">
        <v>53</v>
      </c>
      <c r="D41" s="33">
        <v>19700</v>
      </c>
      <c r="E41" s="33">
        <v>5</v>
      </c>
      <c r="F41" s="33">
        <v>17076</v>
      </c>
      <c r="G41" s="34">
        <v>0.3</v>
      </c>
      <c r="H41" s="34">
        <v>4.4000000000000004</v>
      </c>
      <c r="I41" s="33">
        <v>16447</v>
      </c>
      <c r="J41" s="34">
        <v>2.5</v>
      </c>
      <c r="K41" s="33">
        <v>15498</v>
      </c>
      <c r="L41" s="35">
        <v>6.5000000000000002E-2</v>
      </c>
      <c r="M41" s="36">
        <f>ROUND(K41*(1-L41),0)</f>
        <v>14491</v>
      </c>
      <c r="N41" s="37">
        <v>0.78800000000000003</v>
      </c>
      <c r="O41" s="24">
        <f t="shared" si="362"/>
        <v>11418.908000000001</v>
      </c>
      <c r="P41" s="35">
        <v>0.16500000000000001</v>
      </c>
      <c r="Q41" s="24">
        <f t="shared" si="363"/>
        <v>2391.0150000000003</v>
      </c>
      <c r="R41" s="38">
        <v>4.7E-2</v>
      </c>
      <c r="S41" s="105"/>
      <c r="T41" s="24">
        <f t="shared" si="364"/>
        <v>681.077</v>
      </c>
      <c r="U41" s="27">
        <v>0.217</v>
      </c>
      <c r="V41" s="24">
        <f t="shared" si="365"/>
        <v>3144.547</v>
      </c>
      <c r="W41" s="38">
        <v>0.503</v>
      </c>
      <c r="X41" s="24">
        <f t="shared" si="366"/>
        <v>7288.973</v>
      </c>
      <c r="Y41" s="38">
        <v>0.39</v>
      </c>
      <c r="Z41" s="24">
        <f t="shared" si="367"/>
        <v>5651.49</v>
      </c>
      <c r="AA41" s="117">
        <v>2.5600000000000002E-3</v>
      </c>
      <c r="AB41" s="18">
        <f t="shared" si="60"/>
        <v>37.096960000000003</v>
      </c>
      <c r="AC41" s="39">
        <v>2.63E-3</v>
      </c>
      <c r="AD41" s="17">
        <f t="shared" si="369"/>
        <v>38.111330000000002</v>
      </c>
      <c r="AE41" s="26">
        <f>IF(M41&gt;0,(AG41+AP41)/M41,0)</f>
        <v>2.4488363259954453E-3</v>
      </c>
      <c r="AF41" s="39">
        <v>2.3000000000000001E-4</v>
      </c>
      <c r="AG41" s="36">
        <f t="shared" si="370"/>
        <v>3.3329300000000002</v>
      </c>
      <c r="AH41" s="27">
        <v>0.19969999999999999</v>
      </c>
      <c r="AI41" s="40">
        <f t="shared" si="371"/>
        <v>31.646059600000001</v>
      </c>
      <c r="AJ41" s="27">
        <f t="shared" si="372"/>
        <v>0.91359974655269915</v>
      </c>
      <c r="AK41" s="28">
        <f t="shared" si="6"/>
        <v>0.90710610108052003</v>
      </c>
      <c r="AL41" s="33">
        <v>173</v>
      </c>
      <c r="AM41" s="35">
        <v>8.4000000000000005E-2</v>
      </c>
      <c r="AN41" s="37">
        <v>0.2029</v>
      </c>
      <c r="AO41" s="103">
        <v>0.21690000000000001</v>
      </c>
      <c r="AP41" s="40">
        <f>AL41*(1-AM41)*AN41</f>
        <v>32.153157200000003</v>
      </c>
      <c r="AQ41" s="104">
        <f t="shared" si="21"/>
        <v>34.371709200000005</v>
      </c>
      <c r="AR41" s="41">
        <v>1.6</v>
      </c>
      <c r="AS41" s="41"/>
      <c r="AT41" s="129">
        <f>AT40+AL41-AS41</f>
        <v>513.19999999999868</v>
      </c>
      <c r="AU41" s="82"/>
      <c r="AV41" s="42"/>
      <c r="AW41" s="43"/>
      <c r="AX41" s="44"/>
      <c r="AY41" s="44"/>
      <c r="AZ41" s="44"/>
      <c r="BA41" s="44"/>
      <c r="BB41" s="31"/>
    </row>
    <row r="42" spans="1:54">
      <c r="A42" s="148"/>
      <c r="B42" s="32">
        <v>3</v>
      </c>
      <c r="C42" s="143" t="s">
        <v>57</v>
      </c>
      <c r="D42" s="42">
        <v>19900</v>
      </c>
      <c r="E42" s="42">
        <v>0</v>
      </c>
      <c r="F42" s="42">
        <v>17400</v>
      </c>
      <c r="G42" s="36">
        <v>0.9</v>
      </c>
      <c r="H42" s="36">
        <v>5.2</v>
      </c>
      <c r="I42" s="42">
        <v>16969</v>
      </c>
      <c r="J42" s="36">
        <v>2</v>
      </c>
      <c r="K42" s="42">
        <v>15514</v>
      </c>
      <c r="L42" s="38">
        <v>0.06</v>
      </c>
      <c r="M42" s="36">
        <f>ROUND(K42*(1-L42),0)</f>
        <v>14583</v>
      </c>
      <c r="N42" s="27">
        <v>0.754</v>
      </c>
      <c r="O42" s="24">
        <f t="shared" si="362"/>
        <v>10995.582</v>
      </c>
      <c r="P42" s="38">
        <v>0.20200000000000001</v>
      </c>
      <c r="Q42" s="24">
        <f t="shared" si="363"/>
        <v>2945.7660000000001</v>
      </c>
      <c r="R42" s="38">
        <v>4.3999999999999997E-2</v>
      </c>
      <c r="S42" s="105"/>
      <c r="T42" s="24">
        <f t="shared" si="364"/>
        <v>641.65199999999993</v>
      </c>
      <c r="U42" s="27">
        <v>0.218</v>
      </c>
      <c r="V42" s="24">
        <f t="shared" si="365"/>
        <v>3179.0940000000001</v>
      </c>
      <c r="W42" s="38">
        <v>0.49</v>
      </c>
      <c r="X42" s="24">
        <f t="shared" si="366"/>
        <v>7145.67</v>
      </c>
      <c r="Y42" s="38">
        <v>0.4</v>
      </c>
      <c r="Z42" s="24">
        <f t="shared" si="367"/>
        <v>5833.2000000000007</v>
      </c>
      <c r="AA42" s="118">
        <v>2.3999999999999998E-3</v>
      </c>
      <c r="AB42" s="121">
        <f t="shared" si="60"/>
        <v>34.999199999999995</v>
      </c>
      <c r="AC42" s="45">
        <v>2.5300000000000001E-3</v>
      </c>
      <c r="AD42" s="17">
        <f t="shared" si="369"/>
        <v>36.89499</v>
      </c>
      <c r="AE42" s="26">
        <f>IF(M42&gt;0,(AG42+AP42)/M42,0)</f>
        <v>2.1812424398271958E-3</v>
      </c>
      <c r="AF42" s="45">
        <v>2.3000000000000001E-4</v>
      </c>
      <c r="AG42" s="36">
        <f t="shared" si="370"/>
        <v>3.3540900000000002</v>
      </c>
      <c r="AH42" s="27">
        <v>0.20180000000000001</v>
      </c>
      <c r="AI42" s="40">
        <f t="shared" si="371"/>
        <v>27.942640600000004</v>
      </c>
      <c r="AJ42" s="27">
        <f t="shared" si="372"/>
        <v>0.91012822073991873</v>
      </c>
      <c r="AK42" s="28">
        <f t="shared" si="6"/>
        <v>0.89555783596178218</v>
      </c>
      <c r="AL42" s="42">
        <v>151</v>
      </c>
      <c r="AM42" s="38">
        <v>8.3000000000000004E-2</v>
      </c>
      <c r="AN42" s="27">
        <v>0.20549999999999999</v>
      </c>
      <c r="AO42" s="105">
        <v>0.21460000000000001</v>
      </c>
      <c r="AP42" s="40">
        <f>AL42*(1-AM42)*AN42</f>
        <v>28.4549685</v>
      </c>
      <c r="AQ42" s="106">
        <f t="shared" si="21"/>
        <v>29.715018200000003</v>
      </c>
      <c r="AR42" s="17">
        <v>1.55</v>
      </c>
      <c r="AS42" s="17"/>
      <c r="AT42" s="129">
        <f>AT41+AL42-AS42</f>
        <v>664.19999999999868</v>
      </c>
      <c r="AU42" s="82"/>
      <c r="AV42" s="42"/>
      <c r="AW42" s="46"/>
      <c r="AX42" s="40"/>
      <c r="AY42" s="40"/>
      <c r="AZ42" s="40"/>
      <c r="BA42" s="40"/>
      <c r="BB42" s="31"/>
    </row>
    <row r="43" spans="1:54">
      <c r="A43" s="149"/>
      <c r="B43" s="47" t="s">
        <v>56</v>
      </c>
      <c r="C43" s="48"/>
      <c r="D43" s="49">
        <f t="shared" ref="D43" si="374">SUM(D40:D42)</f>
        <v>44692</v>
      </c>
      <c r="E43" s="49"/>
      <c r="F43" s="49">
        <f t="shared" ref="F43" si="375">SUM(F40:F42)</f>
        <v>47925</v>
      </c>
      <c r="G43" s="50"/>
      <c r="H43" s="50"/>
      <c r="I43" s="49">
        <f t="shared" ref="I43:K43" si="376">SUM(I40:I42)</f>
        <v>46580</v>
      </c>
      <c r="J43" s="50"/>
      <c r="K43" s="49">
        <f t="shared" si="376"/>
        <v>46436</v>
      </c>
      <c r="L43" s="20">
        <f t="shared" ref="L43" si="377">IF(K43&gt;0,(K40*L40+K41*L41+K42*L42)/K43,0)</f>
        <v>6.23330605564648E-2</v>
      </c>
      <c r="M43" s="50">
        <f t="shared" ref="M43" si="378">M40+M41+M42</f>
        <v>43542</v>
      </c>
      <c r="N43" s="51">
        <f t="shared" ref="N43" si="379">IF(M43&gt;0,O43/M43,0)</f>
        <v>0.76730903495475644</v>
      </c>
      <c r="O43" s="52">
        <f t="shared" ref="O43" si="380">O40+O41+O42</f>
        <v>33410.170000000006</v>
      </c>
      <c r="P43" s="20">
        <f t="shared" ref="P43" si="381">IF(M43&gt;0,Q43/M43,0)</f>
        <v>0.18702799595792569</v>
      </c>
      <c r="Q43" s="52">
        <f t="shared" ref="Q43" si="382">Q40+Q41+Q42</f>
        <v>8143.5730000000003</v>
      </c>
      <c r="R43" s="20">
        <f t="shared" ref="R43" si="383">IF(M43&gt;0,T43/M43,0)</f>
        <v>4.5662969087317991E-2</v>
      </c>
      <c r="S43" s="107"/>
      <c r="T43" s="52">
        <f t="shared" ref="T43" si="384">T40+T41+T42</f>
        <v>1988.2570000000001</v>
      </c>
      <c r="U43" s="20">
        <f t="shared" ref="U43" si="385">IF(M43&gt;0,V43/M43,0)</f>
        <v>0.21600581048183365</v>
      </c>
      <c r="V43" s="52">
        <f t="shared" ref="V43" si="386">V40+V41+V42</f>
        <v>9405.3250000000007</v>
      </c>
      <c r="W43" s="20">
        <f t="shared" ref="W43" si="387">IF(M43&gt;0,X43/M43,0)</f>
        <v>0.4969846814569841</v>
      </c>
      <c r="X43" s="52">
        <f t="shared" ref="X43" si="388">X40+X41+X42</f>
        <v>21639.707000000002</v>
      </c>
      <c r="Y43" s="20">
        <f t="shared" ref="Y43" si="389">IF(M43&gt;0,Z43/M43,0)</f>
        <v>0.39334918010197051</v>
      </c>
      <c r="Z43" s="52">
        <f t="shared" ref="Z43" si="390">Z40+Z41+Z42</f>
        <v>17127.21</v>
      </c>
      <c r="AA43" s="119">
        <f t="shared" ref="AA43" si="391">IF(M43&gt;0,AB43/M43,0)</f>
        <v>2.4632171236966607E-3</v>
      </c>
      <c r="AB43" s="54">
        <f t="shared" ref="AB43" si="392">SUM(AB40:AB42)</f>
        <v>107.2534</v>
      </c>
      <c r="AC43" s="53">
        <f t="shared" ref="AC43" si="393">IF(M43&gt;0,AD43/M43,0)</f>
        <v>2.5798943548757526E-3</v>
      </c>
      <c r="AD43" s="54">
        <f t="shared" ref="AD43" si="394">SUM(AD40:AD42)</f>
        <v>112.33376000000001</v>
      </c>
      <c r="AE43" s="53">
        <f t="shared" ref="AE43" si="395">IF(M43&gt;0,(AE40*M40+AE41*M41+AE42*M42)/M43,0)</f>
        <v>2.3285087524688806E-3</v>
      </c>
      <c r="AF43" s="53">
        <f t="shared" ref="AF43" si="396">IF(K43&gt;0,(K40*AF40+K41*AF41+K42*AF42)/K43,0)</f>
        <v>2.3332156085795506E-4</v>
      </c>
      <c r="AG43" s="50">
        <f t="shared" ref="AG43" si="397">SUM(AG40:AG42)</f>
        <v>10.15934</v>
      </c>
      <c r="AH43" s="51">
        <f t="shared" ref="AH43" si="398">IF(K43&gt;0,(K40*AH40+K41*AH41+K42*AH42)/K43,0)</f>
        <v>0.20149771298130761</v>
      </c>
      <c r="AI43" s="56">
        <f t="shared" ref="AI43" si="399">SUM(AI40:AI42)</f>
        <v>89.64650420000001</v>
      </c>
      <c r="AJ43" s="51">
        <f t="shared" ref="AJ43" si="400">IF(AND(AD43&gt;0),((AD40*AJ40+AD41*AJ41+AD42*AJ42)/AD43),0)</f>
        <v>0.91061552792716938</v>
      </c>
      <c r="AK43" s="55">
        <f t="shared" si="6"/>
        <v>0.90082281442889678</v>
      </c>
      <c r="AL43" s="49">
        <f t="shared" ref="AL43" si="401">SUM(AL40:AL42)</f>
        <v>486</v>
      </c>
      <c r="AM43" s="20">
        <f t="shared" ref="AM43" si="402">IF(AL43&gt;0,(AM40*AL40+AM41*AL41+AM42*AL42)/AL43,0)</f>
        <v>8.4355967078189306E-2</v>
      </c>
      <c r="AN43" s="51">
        <f>IF(K43&gt;0,(AN40*K40+AN41*K41+AN42*K42)/K43,0)</f>
        <v>0.20506405375139977</v>
      </c>
      <c r="AO43" s="107">
        <f>IF(L43&gt;0,(AO40*K40+AO41*K41+AO42*K42)/K43,0)</f>
        <v>0.21606515203721249</v>
      </c>
      <c r="AP43" s="56">
        <f t="shared" ref="AP43:AQ55" si="403">SUM(AP40:AP42)</f>
        <v>91.228588099999996</v>
      </c>
      <c r="AQ43" s="108">
        <f t="shared" si="403"/>
        <v>96.173063000000013</v>
      </c>
      <c r="AR43" s="54"/>
      <c r="AS43" s="54">
        <f t="shared" ref="AS43" si="404">SUM(AS40:AS42)</f>
        <v>1008.2</v>
      </c>
      <c r="AT43" s="83"/>
      <c r="AU43" s="84">
        <f>AT42</f>
        <v>664.19999999999868</v>
      </c>
      <c r="AV43" s="49">
        <f t="shared" ref="AV43" si="405">SUM(AV40:AV42)</f>
        <v>0</v>
      </c>
      <c r="AW43" s="57"/>
      <c r="AX43" s="56"/>
      <c r="AY43" s="56"/>
      <c r="AZ43" s="56"/>
      <c r="BA43" s="56"/>
      <c r="BB43" s="21"/>
    </row>
    <row r="44" spans="1:54">
      <c r="A44" s="147">
        <v>11</v>
      </c>
      <c r="B44" s="22">
        <v>1</v>
      </c>
      <c r="C44" s="10" t="s">
        <v>59</v>
      </c>
      <c r="D44" s="11">
        <v>4215</v>
      </c>
      <c r="E44" s="11">
        <v>1</v>
      </c>
      <c r="F44" s="11">
        <v>11968</v>
      </c>
      <c r="G44" s="12">
        <v>0.7</v>
      </c>
      <c r="H44" s="12">
        <v>5.8</v>
      </c>
      <c r="I44" s="11">
        <v>12134</v>
      </c>
      <c r="J44" s="12">
        <v>3.6</v>
      </c>
      <c r="K44" s="11">
        <v>15617</v>
      </c>
      <c r="L44" s="13">
        <v>6.8000000000000005E-2</v>
      </c>
      <c r="M44" s="23">
        <f>ROUND(K44*(1-L44),0)</f>
        <v>14555</v>
      </c>
      <c r="N44" s="14">
        <v>0.74399999999999999</v>
      </c>
      <c r="O44" s="24">
        <f t="shared" ref="O44:O46" si="406">M44*N44</f>
        <v>10828.92</v>
      </c>
      <c r="P44" s="13">
        <v>0.21199999999999999</v>
      </c>
      <c r="Q44" s="24">
        <f t="shared" ref="Q44:Q46" si="407">M44*P44</f>
        <v>3085.66</v>
      </c>
      <c r="R44" s="15">
        <v>4.3999999999999997E-2</v>
      </c>
      <c r="S44" s="112"/>
      <c r="T44" s="24">
        <f t="shared" ref="T44:T46" si="408">M44*R44</f>
        <v>640.41999999999996</v>
      </c>
      <c r="U44" s="25">
        <v>0.215</v>
      </c>
      <c r="V44" s="24">
        <f t="shared" ref="V44:V46" si="409">M44*U44</f>
        <v>3129.3249999999998</v>
      </c>
      <c r="W44" s="15">
        <v>0.49399999999999999</v>
      </c>
      <c r="X44" s="24">
        <f t="shared" ref="X44:X46" si="410">M44*W44</f>
        <v>7190.17</v>
      </c>
      <c r="Y44" s="15">
        <v>0.39</v>
      </c>
      <c r="Z44" s="24">
        <f t="shared" ref="Z44:Z46" si="411">Y44*M44</f>
        <v>5676.45</v>
      </c>
      <c r="AA44" s="116">
        <v>2.5500000000000002E-3</v>
      </c>
      <c r="AB44" s="18">
        <f t="shared" ref="AB44" si="412">M44*AA44</f>
        <v>37.115250000000003</v>
      </c>
      <c r="AC44" s="16">
        <v>2.7000000000000001E-3</v>
      </c>
      <c r="AD44" s="17">
        <f t="shared" ref="AD44:AD46" si="413">M44*AC44</f>
        <v>39.298500000000004</v>
      </c>
      <c r="AE44" s="26">
        <f>IF(M44&gt;0,(AG44+AP44)/M44,0)</f>
        <v>2.5870238955685329E-3</v>
      </c>
      <c r="AF44" s="16">
        <v>2.4000000000000001E-4</v>
      </c>
      <c r="AG44" s="23">
        <f t="shared" ref="AG44:AG46" si="414">AF44*M44</f>
        <v>3.4932000000000003</v>
      </c>
      <c r="AH44" s="92">
        <v>0.20499999999999999</v>
      </c>
      <c r="AI44" s="29">
        <f t="shared" ref="AI44:AI46" si="415">AL44*(1-AM44)*AH44</f>
        <v>32.602379999999997</v>
      </c>
      <c r="AJ44" s="27">
        <f t="shared" ref="AJ44:AJ46" si="416">IF(AND(AH44&gt;0,AF44&gt;0,AC44&gt;0),((AC44-AF44)*AH44)/((AH44-AF44)*AC44),0)</f>
        <v>0.91217902802196593</v>
      </c>
      <c r="AK44" s="58">
        <f t="shared" si="6"/>
        <v>0.90824410472754757</v>
      </c>
      <c r="AL44" s="11">
        <v>174</v>
      </c>
      <c r="AM44" s="13">
        <v>8.5999999999999993E-2</v>
      </c>
      <c r="AN44" s="14">
        <v>0.21479999999999999</v>
      </c>
      <c r="AO44" s="101">
        <v>0.22059999999999999</v>
      </c>
      <c r="AP44" s="29">
        <f>AL44*(1-AM44)*AN44</f>
        <v>34.160932799999998</v>
      </c>
      <c r="AQ44" s="102">
        <f t="shared" ref="AQ44" si="417">AL44*(1-AM44)*AO44</f>
        <v>35.083341599999997</v>
      </c>
      <c r="AR44" s="18">
        <v>1.55</v>
      </c>
      <c r="AS44" s="18">
        <v>508.5</v>
      </c>
      <c r="AT44" s="79">
        <f>AT42+AL44-AS44+AU44</f>
        <v>350.25999999999868</v>
      </c>
      <c r="AU44" s="80">
        <v>20.56</v>
      </c>
      <c r="AV44" s="11"/>
      <c r="AW44" s="30"/>
      <c r="AX44" s="19"/>
      <c r="AY44" s="19"/>
      <c r="AZ44" s="19"/>
      <c r="BA44" s="19"/>
      <c r="BB44" s="31"/>
    </row>
    <row r="45" spans="1:54">
      <c r="A45" s="148"/>
      <c r="B45" s="32">
        <v>2</v>
      </c>
      <c r="C45" s="10" t="s">
        <v>53</v>
      </c>
      <c r="D45" s="33">
        <v>22100</v>
      </c>
      <c r="E45" s="33">
        <v>3</v>
      </c>
      <c r="F45" s="33">
        <v>16790</v>
      </c>
      <c r="G45" s="34">
        <v>0.4</v>
      </c>
      <c r="H45" s="34">
        <v>5.0999999999999996</v>
      </c>
      <c r="I45" s="33">
        <v>15862</v>
      </c>
      <c r="J45" s="34">
        <v>2.9</v>
      </c>
      <c r="K45" s="33">
        <v>15878</v>
      </c>
      <c r="L45" s="35">
        <v>7.0000000000000007E-2</v>
      </c>
      <c r="M45" s="36">
        <f>ROUND(K45*(1-L45),0)</f>
        <v>14767</v>
      </c>
      <c r="N45" s="37">
        <v>0.751</v>
      </c>
      <c r="O45" s="24">
        <f t="shared" si="406"/>
        <v>11090.017</v>
      </c>
      <c r="P45" s="35">
        <v>0.20499999999999999</v>
      </c>
      <c r="Q45" s="24">
        <f t="shared" si="407"/>
        <v>3027.2349999999997</v>
      </c>
      <c r="R45" s="38">
        <v>4.3999999999999997E-2</v>
      </c>
      <c r="S45" s="105"/>
      <c r="T45" s="24">
        <f t="shared" si="408"/>
        <v>649.74799999999993</v>
      </c>
      <c r="U45" s="27">
        <v>0.20599999999999999</v>
      </c>
      <c r="V45" s="24">
        <f t="shared" si="409"/>
        <v>3042.002</v>
      </c>
      <c r="W45" s="38">
        <v>0.501</v>
      </c>
      <c r="X45" s="24">
        <f t="shared" si="410"/>
        <v>7398.2669999999998</v>
      </c>
      <c r="Y45" s="38">
        <v>0.38</v>
      </c>
      <c r="Z45" s="24">
        <f t="shared" si="411"/>
        <v>5611.46</v>
      </c>
      <c r="AA45" s="117">
        <v>2.5400000000000002E-3</v>
      </c>
      <c r="AB45" s="18">
        <f t="shared" si="60"/>
        <v>37.508180000000003</v>
      </c>
      <c r="AC45" s="39">
        <v>2.6900000000000001E-3</v>
      </c>
      <c r="AD45" s="17">
        <f t="shared" si="413"/>
        <v>39.723230000000001</v>
      </c>
      <c r="AE45" s="26">
        <f>IF(M45&gt;0,(AG45+AP45)/M45,0)</f>
        <v>2.4599671700413087E-3</v>
      </c>
      <c r="AF45" s="39">
        <v>2.4000000000000001E-4</v>
      </c>
      <c r="AG45" s="36">
        <f t="shared" si="414"/>
        <v>3.5440800000000001</v>
      </c>
      <c r="AH45" s="27">
        <v>0.1996</v>
      </c>
      <c r="AI45" s="40">
        <f t="shared" si="415"/>
        <v>29.919241600000003</v>
      </c>
      <c r="AJ45" s="27">
        <f t="shared" si="416"/>
        <v>0.91187711457332588</v>
      </c>
      <c r="AK45" s="28">
        <f t="shared" si="6"/>
        <v>0.903429139809106</v>
      </c>
      <c r="AL45" s="33">
        <v>164</v>
      </c>
      <c r="AM45" s="35">
        <v>8.5999999999999993E-2</v>
      </c>
      <c r="AN45" s="37">
        <v>0.21870000000000001</v>
      </c>
      <c r="AO45" s="103">
        <v>0.21779999999999999</v>
      </c>
      <c r="AP45" s="40">
        <f>AL45*(1-AM45)*AN45</f>
        <v>32.782255200000002</v>
      </c>
      <c r="AQ45" s="104">
        <f t="shared" si="21"/>
        <v>32.647348800000003</v>
      </c>
      <c r="AR45" s="41">
        <v>1.58</v>
      </c>
      <c r="AS45" s="41"/>
      <c r="AT45" s="129">
        <f>AT44+AL45-AS45</f>
        <v>514.25999999999863</v>
      </c>
      <c r="AU45" s="82"/>
      <c r="AV45" s="42"/>
      <c r="AW45" s="43"/>
      <c r="AX45" s="44"/>
      <c r="AY45" s="44"/>
      <c r="AZ45" s="44"/>
      <c r="BA45" s="44"/>
      <c r="BB45" s="31"/>
    </row>
    <row r="46" spans="1:54">
      <c r="A46" s="148"/>
      <c r="B46" s="32">
        <v>3</v>
      </c>
      <c r="C46" s="10" t="s">
        <v>54</v>
      </c>
      <c r="D46" s="42">
        <v>18700</v>
      </c>
      <c r="E46" s="42">
        <v>2</v>
      </c>
      <c r="F46" s="42">
        <v>17886</v>
      </c>
      <c r="G46" s="36">
        <v>0.5</v>
      </c>
      <c r="H46" s="36">
        <v>6.9</v>
      </c>
      <c r="I46" s="42">
        <v>17558</v>
      </c>
      <c r="J46" s="36">
        <v>1.5</v>
      </c>
      <c r="K46" s="42">
        <v>15875</v>
      </c>
      <c r="L46" s="38">
        <v>5.8999999999999997E-2</v>
      </c>
      <c r="M46" s="36">
        <f>ROUND(K46*(1-L46),0)</f>
        <v>14938</v>
      </c>
      <c r="N46" s="27">
        <v>0.76</v>
      </c>
      <c r="O46" s="24">
        <f t="shared" si="406"/>
        <v>11352.880000000001</v>
      </c>
      <c r="P46" s="38">
        <v>0.217</v>
      </c>
      <c r="Q46" s="24">
        <f t="shared" si="407"/>
        <v>3241.5459999999998</v>
      </c>
      <c r="R46" s="38">
        <v>2.3E-2</v>
      </c>
      <c r="S46" s="105"/>
      <c r="T46" s="24">
        <f t="shared" si="408"/>
        <v>343.57400000000001</v>
      </c>
      <c r="U46" s="27">
        <v>0.21</v>
      </c>
      <c r="V46" s="24">
        <f t="shared" si="409"/>
        <v>3136.98</v>
      </c>
      <c r="W46" s="38">
        <v>0.495</v>
      </c>
      <c r="X46" s="24">
        <f t="shared" si="410"/>
        <v>7394.3099999999995</v>
      </c>
      <c r="Y46" s="38">
        <v>0.39</v>
      </c>
      <c r="Z46" s="24">
        <f t="shared" si="411"/>
        <v>5825.8200000000006</v>
      </c>
      <c r="AA46" s="118">
        <v>2.5699999999999998E-3</v>
      </c>
      <c r="AB46" s="121">
        <f t="shared" si="60"/>
        <v>38.390659999999997</v>
      </c>
      <c r="AC46" s="45">
        <v>2.8E-3</v>
      </c>
      <c r="AD46" s="17">
        <f t="shared" si="413"/>
        <v>41.8264</v>
      </c>
      <c r="AE46" s="26">
        <f>IF(M46&gt;0,(AG46+AP46)/M46,0)</f>
        <v>2.4358634020618559E-3</v>
      </c>
      <c r="AF46" s="45">
        <v>2.4000000000000001E-4</v>
      </c>
      <c r="AG46" s="36">
        <f t="shared" si="414"/>
        <v>3.5851200000000003</v>
      </c>
      <c r="AH46" s="27">
        <v>0.20349999999999999</v>
      </c>
      <c r="AI46" s="40">
        <f t="shared" si="415"/>
        <v>32.514212499999999</v>
      </c>
      <c r="AJ46" s="27">
        <f t="shared" si="416"/>
        <v>0.91536526053892953</v>
      </c>
      <c r="AK46" s="28">
        <f t="shared" si="6"/>
        <v>0.90252738101458307</v>
      </c>
      <c r="AL46" s="42">
        <v>175</v>
      </c>
      <c r="AM46" s="38">
        <v>8.6999999999999994E-2</v>
      </c>
      <c r="AN46" s="27">
        <v>0.20530000000000001</v>
      </c>
      <c r="AO46" s="105">
        <v>0.20280000000000001</v>
      </c>
      <c r="AP46" s="40">
        <f>AL46*(1-AM46)*AN46</f>
        <v>32.801807500000002</v>
      </c>
      <c r="AQ46" s="106">
        <f t="shared" si="21"/>
        <v>32.402370000000005</v>
      </c>
      <c r="AR46" s="17">
        <v>1.55</v>
      </c>
      <c r="AS46" s="17"/>
      <c r="AT46" s="129">
        <f>AT45+AL46-AS46</f>
        <v>689.25999999999863</v>
      </c>
      <c r="AU46" s="82"/>
      <c r="AV46" s="42"/>
      <c r="AW46" s="46"/>
      <c r="AX46" s="40"/>
      <c r="AY46" s="40"/>
      <c r="AZ46" s="40"/>
      <c r="BA46" s="40"/>
      <c r="BB46" s="31"/>
    </row>
    <row r="47" spans="1:54">
      <c r="A47" s="149"/>
      <c r="B47" s="47" t="s">
        <v>56</v>
      </c>
      <c r="C47" s="48"/>
      <c r="D47" s="49">
        <f t="shared" ref="D47" si="418">SUM(D44:D46)</f>
        <v>45015</v>
      </c>
      <c r="E47" s="49"/>
      <c r="F47" s="49">
        <f t="shared" ref="F47" si="419">SUM(F44:F46)</f>
        <v>46644</v>
      </c>
      <c r="G47" s="50"/>
      <c r="H47" s="50"/>
      <c r="I47" s="49">
        <f t="shared" ref="I47:K47" si="420">SUM(I44:I46)</f>
        <v>45554</v>
      </c>
      <c r="J47" s="50"/>
      <c r="K47" s="49">
        <f t="shared" si="420"/>
        <v>47370</v>
      </c>
      <c r="L47" s="20">
        <f t="shared" ref="L47" si="421">IF(K47&gt;0,(K44*L44+K45*L45+K46*L46)/K47,0)</f>
        <v>6.5654232636689888E-2</v>
      </c>
      <c r="M47" s="50">
        <f t="shared" ref="M47" si="422">M44+M45+M46</f>
        <v>44260</v>
      </c>
      <c r="N47" s="51">
        <f t="shared" ref="N47" si="423">IF(M47&gt;0,O47/M47,0)</f>
        <v>0.7517355851784906</v>
      </c>
      <c r="O47" s="52">
        <f t="shared" ref="O47" si="424">O44+O45+O46</f>
        <v>33271.816999999995</v>
      </c>
      <c r="P47" s="20">
        <f t="shared" ref="P47" si="425">IF(M47&gt;0,Q47/M47,0)</f>
        <v>0.21135203343877088</v>
      </c>
      <c r="Q47" s="52">
        <f t="shared" ref="Q47" si="426">Q44+Q45+Q46</f>
        <v>9354.4409999999989</v>
      </c>
      <c r="R47" s="20">
        <f t="shared" ref="R47" si="427">IF(M47&gt;0,T47/M47,0)</f>
        <v>3.6912381382738363E-2</v>
      </c>
      <c r="S47" s="107"/>
      <c r="T47" s="52">
        <f t="shared" ref="T47" si="428">T44+T45+T46</f>
        <v>1633.742</v>
      </c>
      <c r="U47" s="20">
        <f t="shared" ref="U47" si="429">IF(M47&gt;0,V47/M47,0)</f>
        <v>0.21030969272480793</v>
      </c>
      <c r="V47" s="52">
        <f t="shared" ref="V47" si="430">V44+V45+V46</f>
        <v>9308.3069999999989</v>
      </c>
      <c r="W47" s="20">
        <f t="shared" ref="W47" si="431">IF(M47&gt;0,X47/M47,0)</f>
        <v>0.49667300045187529</v>
      </c>
      <c r="X47" s="52">
        <f t="shared" ref="X47" si="432">X44+X45+X46</f>
        <v>21982.746999999999</v>
      </c>
      <c r="Y47" s="20">
        <f t="shared" ref="Y47" si="433">IF(M47&gt;0,Z47/M47,0)</f>
        <v>0.38666357885223679</v>
      </c>
      <c r="Z47" s="52">
        <f t="shared" ref="Z47" si="434">Z44+Z45+Z46</f>
        <v>17113.73</v>
      </c>
      <c r="AA47" s="119">
        <f t="shared" ref="AA47" si="435">IF(M47&gt;0,AB47/M47,0)</f>
        <v>2.5534136918210575E-3</v>
      </c>
      <c r="AB47" s="54">
        <f t="shared" ref="AB47" si="436">SUM(AB44:AB46)</f>
        <v>113.01409000000001</v>
      </c>
      <c r="AC47" s="53">
        <f t="shared" ref="AC47" si="437">IF(M47&gt;0,AD47/M47,0)</f>
        <v>2.7304141436963396E-3</v>
      </c>
      <c r="AD47" s="54">
        <f t="shared" ref="AD47" si="438">SUM(AD44:AD46)</f>
        <v>120.84813</v>
      </c>
      <c r="AE47" s="53">
        <f t="shared" ref="AE47" si="439">IF(M47&gt;0,(AE44*M44+AE45*M45+AE46*M46)/M47,0)</f>
        <v>2.4936149005874383E-3</v>
      </c>
      <c r="AF47" s="53">
        <f t="shared" ref="AF47" si="440">IF(K47&gt;0,(K44*AF44+K45*AF45+K46*AF46)/K47,0)</f>
        <v>2.4000000000000001E-4</v>
      </c>
      <c r="AG47" s="50">
        <f t="shared" ref="AG47" si="441">SUM(AG44:AG46)</f>
        <v>10.622400000000001</v>
      </c>
      <c r="AH47" s="51">
        <f t="shared" ref="AH47" si="442">IF(K47&gt;0,(K44*AH44+K45*AH45+K46*AH46)/K47,0)</f>
        <v>0.20268727675744141</v>
      </c>
      <c r="AI47" s="56">
        <f t="shared" ref="AI47" si="443">SUM(AI44:AI46)</f>
        <v>95.035834100000002</v>
      </c>
      <c r="AJ47" s="51">
        <f t="shared" ref="AJ47" si="444">IF(AND(AD47&gt;0),((AD44*AJ44+AD45*AJ45+AD46*AJ46)/AD47),0)</f>
        <v>0.91318256575471446</v>
      </c>
      <c r="AK47" s="55">
        <f t="shared" si="6"/>
        <v>0.90477401416234926</v>
      </c>
      <c r="AL47" s="49">
        <f t="shared" ref="AL47" si="445">SUM(AL44:AL46)</f>
        <v>513</v>
      </c>
      <c r="AM47" s="20">
        <f t="shared" ref="AM47" si="446">IF(AL47&gt;0,(AM44*AL44+AM45*AL45+AM46*AL46)/AL47,0)</f>
        <v>8.6341130604288496E-2</v>
      </c>
      <c r="AN47" s="51">
        <f>IF(K47&gt;0,(AN44*K44+AN45*K45+AN46*K46)/K47,0)</f>
        <v>0.21292353177116319</v>
      </c>
      <c r="AO47" s="107">
        <f>IF(L47&gt;0,(AO44*K44+AO45*K45+AO46*K46)/K47,0)</f>
        <v>0.21369619168249948</v>
      </c>
      <c r="AP47" s="56">
        <f t="shared" ref="AP47" si="447">SUM(AP44:AP46)</f>
        <v>99.744995499999987</v>
      </c>
      <c r="AQ47" s="108">
        <f t="shared" si="403"/>
        <v>100.13306040000001</v>
      </c>
      <c r="AR47" s="54"/>
      <c r="AS47" s="54">
        <f t="shared" ref="AS47" si="448">SUM(AS44:AS46)</f>
        <v>508.5</v>
      </c>
      <c r="AT47" s="83"/>
      <c r="AU47" s="84">
        <f>AT46</f>
        <v>689.25999999999863</v>
      </c>
      <c r="AV47" s="49">
        <f t="shared" ref="AV47" si="449">SUM(AV44:AV46)</f>
        <v>0</v>
      </c>
      <c r="AW47" s="57"/>
      <c r="AX47" s="56"/>
      <c r="AY47" s="56"/>
      <c r="AZ47" s="56"/>
      <c r="BA47" s="56"/>
      <c r="BB47" s="21"/>
    </row>
    <row r="48" spans="1:54">
      <c r="A48" s="147">
        <v>12</v>
      </c>
      <c r="B48" s="22">
        <v>1</v>
      </c>
      <c r="C48" s="10" t="s">
        <v>55</v>
      </c>
      <c r="D48" s="11">
        <v>3932</v>
      </c>
      <c r="E48" s="11">
        <v>0</v>
      </c>
      <c r="F48" s="11">
        <v>10399</v>
      </c>
      <c r="G48" s="12">
        <v>0.3</v>
      </c>
      <c r="H48" s="12">
        <v>4.5</v>
      </c>
      <c r="I48" s="11">
        <v>10173</v>
      </c>
      <c r="J48" s="12">
        <v>3.5</v>
      </c>
      <c r="K48" s="11">
        <v>16077</v>
      </c>
      <c r="L48" s="13">
        <v>5.8999999999999997E-2</v>
      </c>
      <c r="M48" s="23">
        <f>ROUND(K48*(1-L48),0)</f>
        <v>15128</v>
      </c>
      <c r="N48" s="14">
        <v>0.74399999999999999</v>
      </c>
      <c r="O48" s="24">
        <f t="shared" ref="O48:O50" si="450">M48*N48</f>
        <v>11255.232</v>
      </c>
      <c r="P48" s="13">
        <v>0.17100000000000001</v>
      </c>
      <c r="Q48" s="24">
        <f t="shared" ref="Q48:Q50" si="451">M48*P48</f>
        <v>2586.8880000000004</v>
      </c>
      <c r="R48" s="15">
        <v>8.5000000000000006E-2</v>
      </c>
      <c r="S48" s="112"/>
      <c r="T48" s="24">
        <f t="shared" ref="T48:T50" si="452">M48*R48</f>
        <v>1285.8800000000001</v>
      </c>
      <c r="U48" s="25">
        <v>0.20699999999999999</v>
      </c>
      <c r="V48" s="24">
        <f t="shared" ref="V48:V50" si="453">M48*U48</f>
        <v>3131.4959999999996</v>
      </c>
      <c r="W48" s="15">
        <v>0.503</v>
      </c>
      <c r="X48" s="24">
        <f t="shared" ref="X48:X50" si="454">M48*W48</f>
        <v>7609.384</v>
      </c>
      <c r="Y48" s="15">
        <v>0.38</v>
      </c>
      <c r="Z48" s="24">
        <f t="shared" ref="Z48:Z50" si="455">Y48*M48</f>
        <v>5748.64</v>
      </c>
      <c r="AA48" s="116">
        <v>2.6800000000000001E-3</v>
      </c>
      <c r="AB48" s="18">
        <f t="shared" ref="AB48" si="456">M48*AA48</f>
        <v>40.543040000000005</v>
      </c>
      <c r="AC48" s="16">
        <v>2.8900000000000002E-3</v>
      </c>
      <c r="AD48" s="17">
        <f t="shared" ref="AD48:AD50" si="457">M48*AC48</f>
        <v>43.719920000000002</v>
      </c>
      <c r="AE48" s="26">
        <f>IF(M48&gt;0,(AG48+AP48)/M48,0)</f>
        <v>2.3453580116340562E-3</v>
      </c>
      <c r="AF48" s="16">
        <v>2.5000000000000001E-4</v>
      </c>
      <c r="AG48" s="23">
        <f t="shared" ref="AG48:AG50" si="458">AF48*M48</f>
        <v>3.782</v>
      </c>
      <c r="AH48" s="92">
        <v>0.2082</v>
      </c>
      <c r="AI48" s="29">
        <f t="shared" ref="AI48:AI50" si="459">AL48*(1-AM48)*AH48</f>
        <v>33.534773999999999</v>
      </c>
      <c r="AJ48" s="27">
        <f t="shared" ref="AJ48:AJ50" si="460">IF(AND(AH48&gt;0,AF48&gt;0,AC48&gt;0),((AC48-AF48)*AH48)/((AH48-AF48)*AC48),0)</f>
        <v>0.91459302417486232</v>
      </c>
      <c r="AK48" s="58">
        <f t="shared" si="6"/>
        <v>0.89454282585162892</v>
      </c>
      <c r="AL48" s="11">
        <v>177</v>
      </c>
      <c r="AM48" s="13">
        <v>0.09</v>
      </c>
      <c r="AN48" s="14">
        <v>0.1968</v>
      </c>
      <c r="AO48" s="101">
        <v>0.21190000000000001</v>
      </c>
      <c r="AP48" s="29">
        <f>AL48*(1-AM48)*AN48</f>
        <v>31.698575999999999</v>
      </c>
      <c r="AQ48" s="102">
        <f t="shared" ref="AQ48" si="461">AL48*(1-AM48)*AO48</f>
        <v>34.130732999999999</v>
      </c>
      <c r="AR48" s="18">
        <v>1.55</v>
      </c>
      <c r="AS48" s="18">
        <v>502.02</v>
      </c>
      <c r="AT48" s="79">
        <f>AT46+AL48-AS48+AU48</f>
        <v>393.57999999999862</v>
      </c>
      <c r="AU48" s="80">
        <v>29.34</v>
      </c>
      <c r="AV48" s="11"/>
      <c r="AW48" s="30"/>
      <c r="AX48" s="19"/>
      <c r="AY48" s="19"/>
      <c r="AZ48" s="19"/>
      <c r="BA48" s="19"/>
      <c r="BB48" s="31"/>
    </row>
    <row r="49" spans="1:54">
      <c r="A49" s="148"/>
      <c r="B49" s="32">
        <v>2</v>
      </c>
      <c r="C49" s="10" t="s">
        <v>53</v>
      </c>
      <c r="D49" s="33">
        <v>19000</v>
      </c>
      <c r="E49" s="33">
        <v>5</v>
      </c>
      <c r="F49" s="33">
        <v>17728</v>
      </c>
      <c r="G49" s="34">
        <v>0.3</v>
      </c>
      <c r="H49" s="34">
        <v>5</v>
      </c>
      <c r="I49" s="33">
        <v>17067</v>
      </c>
      <c r="J49" s="34">
        <v>2.4</v>
      </c>
      <c r="K49" s="33">
        <v>16476</v>
      </c>
      <c r="L49" s="35">
        <v>6.4000000000000001E-2</v>
      </c>
      <c r="M49" s="36">
        <f>ROUND(K49*(1-L49),0)</f>
        <v>15422</v>
      </c>
      <c r="N49" s="37">
        <v>0.80900000000000005</v>
      </c>
      <c r="O49" s="24">
        <f t="shared" si="450"/>
        <v>12476.398000000001</v>
      </c>
      <c r="P49" s="35">
        <v>0.13400000000000001</v>
      </c>
      <c r="Q49" s="24">
        <f t="shared" si="451"/>
        <v>2066.5480000000002</v>
      </c>
      <c r="R49" s="38">
        <v>5.7000000000000002E-2</v>
      </c>
      <c r="S49" s="105"/>
      <c r="T49" s="24">
        <f t="shared" si="452"/>
        <v>879.05400000000009</v>
      </c>
      <c r="U49" s="27">
        <v>0.20200000000000001</v>
      </c>
      <c r="V49" s="24">
        <f t="shared" si="453"/>
        <v>3115.2440000000001</v>
      </c>
      <c r="W49" s="38">
        <v>0.51500000000000001</v>
      </c>
      <c r="X49" s="24">
        <f t="shared" si="454"/>
        <v>7942.33</v>
      </c>
      <c r="Y49" s="38">
        <v>0.38</v>
      </c>
      <c r="Z49" s="24">
        <f t="shared" si="455"/>
        <v>5860.36</v>
      </c>
      <c r="AA49" s="117">
        <v>2.63E-3</v>
      </c>
      <c r="AB49" s="18">
        <f t="shared" si="60"/>
        <v>40.55986</v>
      </c>
      <c r="AC49" s="39">
        <v>2.7200000000000002E-3</v>
      </c>
      <c r="AD49" s="17">
        <f t="shared" si="457"/>
        <v>41.947840000000006</v>
      </c>
      <c r="AE49" s="26">
        <f>IF(M49&gt;0,(AG49+AP49)/M49,0)</f>
        <v>2.4572640383867203E-3</v>
      </c>
      <c r="AF49" s="39">
        <v>2.5000000000000001E-4</v>
      </c>
      <c r="AG49" s="36">
        <f t="shared" si="458"/>
        <v>3.8555000000000001</v>
      </c>
      <c r="AH49" s="27">
        <v>0.2104</v>
      </c>
      <c r="AI49" s="40">
        <f t="shared" si="459"/>
        <v>32.584648000000001</v>
      </c>
      <c r="AJ49" s="27">
        <f t="shared" si="460"/>
        <v>0.90916852108437951</v>
      </c>
      <c r="AK49" s="28">
        <f t="shared" si="6"/>
        <v>0.89928367464454473</v>
      </c>
      <c r="AL49" s="33">
        <v>170</v>
      </c>
      <c r="AM49" s="35">
        <v>8.8999999999999996E-2</v>
      </c>
      <c r="AN49" s="37">
        <v>0.2198</v>
      </c>
      <c r="AO49" s="103">
        <v>0.21510000000000001</v>
      </c>
      <c r="AP49" s="40">
        <f>AL49*(1-AM49)*AN49</f>
        <v>34.040426000000004</v>
      </c>
      <c r="AQ49" s="104">
        <f t="shared" si="21"/>
        <v>33.312537000000006</v>
      </c>
      <c r="AR49" s="41">
        <v>1.6</v>
      </c>
      <c r="AS49" s="41"/>
      <c r="AT49" s="129">
        <f>AT48+AL49-AS49</f>
        <v>563.57999999999856</v>
      </c>
      <c r="AU49" s="82"/>
      <c r="AV49" s="42"/>
      <c r="AW49" s="43"/>
      <c r="AX49" s="44"/>
      <c r="AY49" s="44"/>
      <c r="AZ49" s="44"/>
      <c r="BA49" s="44"/>
      <c r="BB49" s="31"/>
    </row>
    <row r="50" spans="1:54">
      <c r="A50" s="148"/>
      <c r="B50" s="32">
        <v>3</v>
      </c>
      <c r="C50" s="10" t="s">
        <v>54</v>
      </c>
      <c r="D50" s="42">
        <v>21000</v>
      </c>
      <c r="E50" s="42">
        <v>0</v>
      </c>
      <c r="F50" s="42">
        <v>18124</v>
      </c>
      <c r="G50" s="36">
        <v>0.3</v>
      </c>
      <c r="H50" s="36">
        <v>5.4</v>
      </c>
      <c r="I50" s="42">
        <v>17596</v>
      </c>
      <c r="J50" s="36">
        <v>1.7</v>
      </c>
      <c r="K50" s="42">
        <v>16504</v>
      </c>
      <c r="L50" s="38">
        <v>6.5000000000000002E-2</v>
      </c>
      <c r="M50" s="36">
        <f>ROUND(K50*(1-L50),0)</f>
        <v>15431</v>
      </c>
      <c r="N50" s="27">
        <v>0.71899999999999997</v>
      </c>
      <c r="O50" s="24">
        <f t="shared" si="450"/>
        <v>11094.888999999999</v>
      </c>
      <c r="P50" s="38">
        <v>0.22</v>
      </c>
      <c r="Q50" s="24">
        <f t="shared" si="451"/>
        <v>3394.82</v>
      </c>
      <c r="R50" s="38">
        <v>6.0999999999999999E-2</v>
      </c>
      <c r="S50" s="105"/>
      <c r="T50" s="24">
        <f t="shared" si="452"/>
        <v>941.29099999999994</v>
      </c>
      <c r="U50" s="27">
        <v>0.20100000000000001</v>
      </c>
      <c r="V50" s="24">
        <f t="shared" si="453"/>
        <v>3101.6310000000003</v>
      </c>
      <c r="W50" s="38">
        <v>0.52300000000000002</v>
      </c>
      <c r="X50" s="24">
        <f t="shared" si="454"/>
        <v>8070.4130000000005</v>
      </c>
      <c r="Y50" s="38">
        <v>0.4</v>
      </c>
      <c r="Z50" s="24">
        <f t="shared" si="455"/>
        <v>6172.4000000000005</v>
      </c>
      <c r="AA50" s="118">
        <v>2.65E-3</v>
      </c>
      <c r="AB50" s="121">
        <f t="shared" si="60"/>
        <v>40.892150000000001</v>
      </c>
      <c r="AC50" s="45">
        <v>2.7200000000000002E-3</v>
      </c>
      <c r="AD50" s="17">
        <f t="shared" si="457"/>
        <v>41.972320000000003</v>
      </c>
      <c r="AE50" s="26">
        <f>IF(M50&gt;0,(AG50+AP50)/M50,0)</f>
        <v>2.5948474240165905E-3</v>
      </c>
      <c r="AF50" s="45">
        <v>2.5000000000000001E-4</v>
      </c>
      <c r="AG50" s="36">
        <f t="shared" si="458"/>
        <v>3.8577500000000002</v>
      </c>
      <c r="AH50" s="27">
        <v>0.2155</v>
      </c>
      <c r="AI50" s="40">
        <f t="shared" si="459"/>
        <v>36.832829000000004</v>
      </c>
      <c r="AJ50" s="27">
        <f t="shared" si="460"/>
        <v>0.90914292546286801</v>
      </c>
      <c r="AK50" s="28">
        <f t="shared" si="6"/>
        <v>0.90472362457645927</v>
      </c>
      <c r="AL50" s="42">
        <v>187</v>
      </c>
      <c r="AM50" s="38">
        <v>8.5999999999999993E-2</v>
      </c>
      <c r="AN50" s="27">
        <v>0.2117</v>
      </c>
      <c r="AO50" s="105">
        <v>0.2064</v>
      </c>
      <c r="AP50" s="40">
        <f>AL50*(1-AM50)*AN50</f>
        <v>36.183340600000001</v>
      </c>
      <c r="AQ50" s="106">
        <f t="shared" si="21"/>
        <v>35.277475199999998</v>
      </c>
      <c r="AR50" s="17">
        <v>1.55</v>
      </c>
      <c r="AS50" s="17"/>
      <c r="AT50" s="129">
        <f>AT49+AL50-AS50</f>
        <v>750.57999999999856</v>
      </c>
      <c r="AU50" s="82"/>
      <c r="AV50" s="42"/>
      <c r="AW50" s="46"/>
      <c r="AX50" s="40"/>
      <c r="AY50" s="40"/>
      <c r="AZ50" s="40"/>
      <c r="BA50" s="40"/>
      <c r="BB50" s="31"/>
    </row>
    <row r="51" spans="1:54">
      <c r="A51" s="149"/>
      <c r="B51" s="47" t="s">
        <v>56</v>
      </c>
      <c r="C51" s="48"/>
      <c r="D51" s="49">
        <f t="shared" ref="D51" si="462">SUM(D48:D50)</f>
        <v>43932</v>
      </c>
      <c r="E51" s="49"/>
      <c r="F51" s="49">
        <f t="shared" ref="F51" si="463">SUM(F48:F50)</f>
        <v>46251</v>
      </c>
      <c r="G51" s="50"/>
      <c r="H51" s="50"/>
      <c r="I51" s="49">
        <f t="shared" ref="I51:K51" si="464">SUM(I48:I50)</f>
        <v>44836</v>
      </c>
      <c r="J51" s="50"/>
      <c r="K51" s="49">
        <f t="shared" si="464"/>
        <v>49057</v>
      </c>
      <c r="L51" s="20">
        <f t="shared" ref="L51" si="465">IF(K51&gt;0,(K48*L48+K49*L49+K50*L50)/K51,0)</f>
        <v>6.269782090221579E-2</v>
      </c>
      <c r="M51" s="50">
        <f t="shared" ref="M51" si="466">M48+M49+M50</f>
        <v>45981</v>
      </c>
      <c r="N51" s="51">
        <f t="shared" ref="N51" si="467">IF(M51&gt;0,O51/M51,0)</f>
        <v>0.75741108283856373</v>
      </c>
      <c r="O51" s="52">
        <f t="shared" ref="O51" si="468">O48+O49+O50</f>
        <v>34826.519</v>
      </c>
      <c r="P51" s="20">
        <f t="shared" ref="P51" si="469">IF(M51&gt;0,Q51/M51,0)</f>
        <v>0.17503438376720823</v>
      </c>
      <c r="Q51" s="52">
        <f t="shared" ref="Q51" si="470">Q48+Q49+Q50</f>
        <v>8048.2560000000012</v>
      </c>
      <c r="R51" s="20">
        <f t="shared" ref="R51" si="471">IF(M51&gt;0,T51/M51,0)</f>
        <v>6.7554533394228053E-2</v>
      </c>
      <c r="S51" s="107"/>
      <c r="T51" s="52">
        <f t="shared" ref="T51" si="472">T48+T49+T50</f>
        <v>3106.2250000000004</v>
      </c>
      <c r="U51" s="20">
        <f t="shared" ref="U51" si="473">IF(M51&gt;0,V51/M51,0)</f>
        <v>0.20330943215676039</v>
      </c>
      <c r="V51" s="52">
        <f t="shared" ref="V51" si="474">V48+V49+V50</f>
        <v>9348.3709999999992</v>
      </c>
      <c r="W51" s="20">
        <f t="shared" ref="W51" si="475">IF(M51&gt;0,X51/M51,0)</f>
        <v>0.51373669559165747</v>
      </c>
      <c r="X51" s="52">
        <f t="shared" ref="X51" si="476">X48+X49+X50</f>
        <v>23622.127</v>
      </c>
      <c r="Y51" s="20">
        <f t="shared" ref="Y51" si="477">IF(M51&gt;0,Z51/M51,0)</f>
        <v>0.38671190274243711</v>
      </c>
      <c r="Z51" s="52">
        <f t="shared" ref="Z51" si="478">Z48+Z49+Z50</f>
        <v>17781.400000000001</v>
      </c>
      <c r="AA51" s="119">
        <f t="shared" ref="AA51" si="479">IF(M51&gt;0,AB51/M51,0)</f>
        <v>2.6531621756812596E-3</v>
      </c>
      <c r="AB51" s="54">
        <f t="shared" ref="AB51" si="480">SUM(AB48:AB50)</f>
        <v>121.99505000000001</v>
      </c>
      <c r="AC51" s="53">
        <f t="shared" ref="AC51" si="481">IF(M51&gt;0,AD51/M51,0)</f>
        <v>2.7759309279919969E-3</v>
      </c>
      <c r="AD51" s="54">
        <f t="shared" ref="AD51" si="482">SUM(AD48:AD50)</f>
        <v>127.64008000000001</v>
      </c>
      <c r="AE51" s="53">
        <f t="shared" ref="AE51" si="483">IF(M51&gt;0,(AE48*M48+AE49*M49+AE50*M50)/M51,0)</f>
        <v>2.4666186598812554E-3</v>
      </c>
      <c r="AF51" s="53">
        <f t="shared" ref="AF51" si="484">IF(K51&gt;0,(K48*AF48+K49*AF49+K50*AF50)/K51,0)</f>
        <v>2.5000000000000001E-4</v>
      </c>
      <c r="AG51" s="50">
        <f t="shared" ref="AG51" si="485">SUM(AG48:AG50)</f>
        <v>11.49525</v>
      </c>
      <c r="AH51" s="51">
        <f t="shared" ref="AH51" si="486">IF(K51&gt;0,(K48*AH48+K49*AH49+K50*AH50)/K51,0)</f>
        <v>0.21139478158061034</v>
      </c>
      <c r="AI51" s="56">
        <f t="shared" ref="AI51" si="487">SUM(AI48:AI50)</f>
        <v>102.952251</v>
      </c>
      <c r="AJ51" s="51">
        <f t="shared" ref="AJ51" si="488">IF(AND(AD51&gt;0),((AD48*AJ48+AD49*AJ49+AD50*AJ50)/AD51),0)</f>
        <v>0.91101813237841023</v>
      </c>
      <c r="AK51" s="55">
        <f t="shared" si="6"/>
        <v>0.89972013627622704</v>
      </c>
      <c r="AL51" s="49">
        <f t="shared" ref="AL51" si="489">SUM(AL48:AL50)</f>
        <v>534</v>
      </c>
      <c r="AM51" s="20">
        <f t="shared" ref="AM51" si="490">IF(AL51&gt;0,(AM48*AL48+AM49*AL49+AM50*AL50)/AL51,0)</f>
        <v>8.8280898876404487E-2</v>
      </c>
      <c r="AN51" s="51">
        <f>IF(K51&gt;0,(AN48*K48+AN49*K49+AN50*K50)/K51,0)</f>
        <v>0.20953737896732372</v>
      </c>
      <c r="AO51" s="107">
        <f>IF(L51&gt;0,(AO48*K48+AO49*K49+AO50*K50)/K51,0)</f>
        <v>0.21112439611064682</v>
      </c>
      <c r="AP51" s="56">
        <f t="shared" ref="AP51" si="491">SUM(AP48:AP50)</f>
        <v>101.92234260000001</v>
      </c>
      <c r="AQ51" s="108">
        <f t="shared" si="403"/>
        <v>102.72074520000001</v>
      </c>
      <c r="AR51" s="54"/>
      <c r="AS51" s="54">
        <f t="shared" ref="AS51" si="492">SUM(AS48:AS50)</f>
        <v>502.02</v>
      </c>
      <c r="AT51" s="83"/>
      <c r="AU51" s="84">
        <f>AT50</f>
        <v>750.57999999999856</v>
      </c>
      <c r="AV51" s="49">
        <f t="shared" ref="AV51" si="493">SUM(AV48:AV50)</f>
        <v>0</v>
      </c>
      <c r="AW51" s="57"/>
      <c r="AX51" s="56"/>
      <c r="AY51" s="56"/>
      <c r="AZ51" s="56"/>
      <c r="BA51" s="56"/>
      <c r="BB51" s="21"/>
    </row>
    <row r="52" spans="1:54">
      <c r="A52" s="147">
        <v>13</v>
      </c>
      <c r="B52" s="22">
        <v>1</v>
      </c>
      <c r="C52" s="10" t="s">
        <v>55</v>
      </c>
      <c r="D52" s="11">
        <v>4700</v>
      </c>
      <c r="E52" s="11">
        <v>1</v>
      </c>
      <c r="F52" s="11">
        <v>10866</v>
      </c>
      <c r="G52" s="12">
        <v>0.7</v>
      </c>
      <c r="H52" s="12">
        <v>5.0999999999999996</v>
      </c>
      <c r="I52" s="11">
        <v>10603</v>
      </c>
      <c r="J52" s="12">
        <v>3.5</v>
      </c>
      <c r="K52" s="11">
        <v>16521</v>
      </c>
      <c r="L52" s="13">
        <v>6.7000000000000004E-2</v>
      </c>
      <c r="M52" s="23">
        <f>ROUND(K52*(1-L52),0)</f>
        <v>15414</v>
      </c>
      <c r="N52" s="14">
        <v>0.71799999999999997</v>
      </c>
      <c r="O52" s="24">
        <f t="shared" ref="O52:O54" si="494">M52*N52</f>
        <v>11067.252</v>
      </c>
      <c r="P52" s="13">
        <v>0.22900000000000001</v>
      </c>
      <c r="Q52" s="24">
        <f t="shared" ref="Q52:Q54" si="495">M52*P52</f>
        <v>3529.806</v>
      </c>
      <c r="R52" s="15">
        <v>5.2999999999999999E-2</v>
      </c>
      <c r="S52" s="112"/>
      <c r="T52" s="24">
        <f t="shared" ref="T52:T54" si="496">M52*R52</f>
        <v>816.94200000000001</v>
      </c>
      <c r="U52" s="25">
        <v>0.19700000000000001</v>
      </c>
      <c r="V52" s="24">
        <f t="shared" ref="V52:V54" si="497">M52*U52</f>
        <v>3036.558</v>
      </c>
      <c r="W52" s="15">
        <v>0.50900000000000001</v>
      </c>
      <c r="X52" s="24">
        <f t="shared" ref="X52:X54" si="498">M52*W52</f>
        <v>7845.7260000000006</v>
      </c>
      <c r="Y52" s="15">
        <v>0.38</v>
      </c>
      <c r="Z52" s="24">
        <f t="shared" ref="Z52:Z54" si="499">Y52*M52</f>
        <v>5857.32</v>
      </c>
      <c r="AA52" s="116">
        <v>2.8400000000000001E-3</v>
      </c>
      <c r="AB52" s="18">
        <f t="shared" ref="AB52" si="500">M52*AA52</f>
        <v>43.775759999999998</v>
      </c>
      <c r="AC52" s="16">
        <v>2.8500000000000001E-3</v>
      </c>
      <c r="AD52" s="17">
        <f t="shared" ref="AD52:AD54" si="501">M52*AC52</f>
        <v>43.929900000000004</v>
      </c>
      <c r="AE52" s="26">
        <f>IF(M52&gt;0,(AG52+AP52)/M52,0)</f>
        <v>2.5747966913195796E-3</v>
      </c>
      <c r="AF52" s="16">
        <v>2.5000000000000001E-4</v>
      </c>
      <c r="AG52" s="23">
        <f t="shared" ref="AG52:AG54" si="502">AF52*M52</f>
        <v>3.8534999999999999</v>
      </c>
      <c r="AH52" s="92">
        <v>0.2132</v>
      </c>
      <c r="AI52" s="29">
        <f t="shared" ref="AI52:AI54" si="503">AL52*(1-AM52)*AH52</f>
        <v>35.077582800000002</v>
      </c>
      <c r="AJ52" s="27">
        <f t="shared" ref="AJ52:AJ54" si="504">IF(AND(AH52&gt;0,AF52&gt;0,AC52&gt;0),((AC52-AF52)*AH52)/((AH52-AF52)*AC52),0)</f>
        <v>0.91335170516100062</v>
      </c>
      <c r="AK52" s="58">
        <f t="shared" si="6"/>
        <v>0.90394253849946804</v>
      </c>
      <c r="AL52" s="11">
        <v>181</v>
      </c>
      <c r="AM52" s="13">
        <v>9.0999999999999998E-2</v>
      </c>
      <c r="AN52" s="14">
        <v>0.21779999999999999</v>
      </c>
      <c r="AO52" s="101">
        <v>0.21079999999999999</v>
      </c>
      <c r="AP52" s="29">
        <f>AL52*(1-AM52)*AN52</f>
        <v>35.8344162</v>
      </c>
      <c r="AQ52" s="102">
        <f t="shared" ref="AQ52" si="505">AL52*(1-AM52)*AO52</f>
        <v>34.682713199999995</v>
      </c>
      <c r="AR52" s="18">
        <v>1.58</v>
      </c>
      <c r="AS52" s="18">
        <v>502.64</v>
      </c>
      <c r="AT52" s="79">
        <f>AT50+AL52-AS52+AU52</f>
        <v>455.49999999999858</v>
      </c>
      <c r="AU52" s="80">
        <v>26.56</v>
      </c>
      <c r="AV52" s="11"/>
      <c r="AW52" s="30"/>
      <c r="AX52" s="19"/>
      <c r="AY52" s="19"/>
      <c r="AZ52" s="19"/>
      <c r="BA52" s="19"/>
      <c r="BB52" s="31"/>
    </row>
    <row r="53" spans="1:54">
      <c r="A53" s="148"/>
      <c r="B53" s="32">
        <v>2</v>
      </c>
      <c r="C53" s="143" t="s">
        <v>57</v>
      </c>
      <c r="D53" s="33">
        <v>20000</v>
      </c>
      <c r="E53" s="33">
        <v>4</v>
      </c>
      <c r="F53" s="33">
        <v>16720</v>
      </c>
      <c r="G53" s="34">
        <v>0.5</v>
      </c>
      <c r="H53" s="34">
        <v>4.7</v>
      </c>
      <c r="I53" s="33">
        <v>16243</v>
      </c>
      <c r="J53" s="34">
        <v>3.6</v>
      </c>
      <c r="K53" s="33">
        <v>16899</v>
      </c>
      <c r="L53" s="35">
        <v>6.3E-2</v>
      </c>
      <c r="M53" s="36">
        <f>ROUND(K53*(1-L53),0)</f>
        <v>15834</v>
      </c>
      <c r="N53" s="37">
        <v>0.61799999999999999</v>
      </c>
      <c r="O53" s="24">
        <f t="shared" si="494"/>
        <v>9785.4120000000003</v>
      </c>
      <c r="P53" s="35">
        <v>0.32300000000000001</v>
      </c>
      <c r="Q53" s="24">
        <f t="shared" si="495"/>
        <v>5114.3820000000005</v>
      </c>
      <c r="R53" s="38">
        <v>5.8999999999999997E-2</v>
      </c>
      <c r="S53" s="105"/>
      <c r="T53" s="24">
        <f t="shared" si="496"/>
        <v>934.2059999999999</v>
      </c>
      <c r="U53" s="27">
        <v>0.21099999999999999</v>
      </c>
      <c r="V53" s="24">
        <f t="shared" si="497"/>
        <v>3340.9739999999997</v>
      </c>
      <c r="W53" s="38">
        <v>0.50600000000000001</v>
      </c>
      <c r="X53" s="24">
        <f t="shared" si="498"/>
        <v>8012.0039999999999</v>
      </c>
      <c r="Y53" s="38">
        <v>0.38</v>
      </c>
      <c r="Z53" s="24">
        <f t="shared" si="499"/>
        <v>6016.92</v>
      </c>
      <c r="AA53" s="117">
        <v>2.7399999999999998E-3</v>
      </c>
      <c r="AB53" s="18">
        <f t="shared" si="60"/>
        <v>43.385159999999999</v>
      </c>
      <c r="AC53" s="39">
        <v>2.81E-3</v>
      </c>
      <c r="AD53" s="17">
        <f t="shared" si="501"/>
        <v>44.493540000000003</v>
      </c>
      <c r="AE53" s="26">
        <f>IF(M53&gt;0,(AG53+AP53)/M53,0)</f>
        <v>2.6946379310344832E-3</v>
      </c>
      <c r="AF53" s="39">
        <v>2.5000000000000001E-4</v>
      </c>
      <c r="AG53" s="36">
        <f t="shared" si="502"/>
        <v>3.9584999999999999</v>
      </c>
      <c r="AH53" s="27">
        <v>0.21160000000000001</v>
      </c>
      <c r="AI53" s="40">
        <f t="shared" si="503"/>
        <v>37.383372000000008</v>
      </c>
      <c r="AJ53" s="27">
        <f t="shared" si="504"/>
        <v>0.91210966275940031</v>
      </c>
      <c r="AK53" s="28">
        <f t="shared" si="6"/>
        <v>0.90825950980400894</v>
      </c>
      <c r="AL53" s="33">
        <v>195</v>
      </c>
      <c r="AM53" s="35">
        <v>9.4E-2</v>
      </c>
      <c r="AN53" s="37">
        <v>0.21909999999999999</v>
      </c>
      <c r="AO53" s="103">
        <v>0.2137</v>
      </c>
      <c r="AP53" s="40">
        <f>AL53*(1-AM53)*AN53</f>
        <v>38.708397000000005</v>
      </c>
      <c r="AQ53" s="104">
        <f t="shared" si="21"/>
        <v>37.754379</v>
      </c>
      <c r="AR53" s="41">
        <v>1.58</v>
      </c>
      <c r="AS53" s="41"/>
      <c r="AT53" s="129">
        <f>AT52+AL53-AS53</f>
        <v>650.49999999999864</v>
      </c>
      <c r="AU53" s="82"/>
      <c r="AV53" s="42"/>
      <c r="AW53" s="43"/>
      <c r="AX53" s="44"/>
      <c r="AY53" s="44"/>
      <c r="AZ53" s="44"/>
      <c r="BA53" s="44"/>
      <c r="BB53" s="31"/>
    </row>
    <row r="54" spans="1:54">
      <c r="A54" s="148"/>
      <c r="B54" s="32">
        <v>3</v>
      </c>
      <c r="C54" s="10" t="s">
        <v>54</v>
      </c>
      <c r="D54" s="42">
        <v>17329</v>
      </c>
      <c r="E54" s="42">
        <v>1</v>
      </c>
      <c r="F54" s="42">
        <v>16477</v>
      </c>
      <c r="G54" s="36">
        <v>0.6</v>
      </c>
      <c r="H54" s="36">
        <v>7.4</v>
      </c>
      <c r="I54" s="42">
        <v>16456</v>
      </c>
      <c r="J54" s="36">
        <v>2.9</v>
      </c>
      <c r="K54" s="42">
        <v>16826</v>
      </c>
      <c r="L54" s="38">
        <v>6.5000000000000002E-2</v>
      </c>
      <c r="M54" s="36">
        <f>ROUND(K54*(1-L54),0)</f>
        <v>15732</v>
      </c>
      <c r="N54" s="27">
        <v>0.749</v>
      </c>
      <c r="O54" s="24">
        <f t="shared" si="494"/>
        <v>11783.268</v>
      </c>
      <c r="P54" s="38">
        <v>0.22500000000000001</v>
      </c>
      <c r="Q54" s="24">
        <f t="shared" si="495"/>
        <v>3539.7000000000003</v>
      </c>
      <c r="R54" s="38">
        <v>2.5999999999999999E-2</v>
      </c>
      <c r="S54" s="105"/>
      <c r="T54" s="24">
        <f t="shared" si="496"/>
        <v>409.03199999999998</v>
      </c>
      <c r="U54" s="27">
        <v>0.218</v>
      </c>
      <c r="V54" s="24">
        <f t="shared" si="497"/>
        <v>3429.576</v>
      </c>
      <c r="W54" s="38">
        <v>0.50600000000000001</v>
      </c>
      <c r="X54" s="24">
        <f t="shared" si="498"/>
        <v>7960.3919999999998</v>
      </c>
      <c r="Y54" s="38">
        <v>0.39</v>
      </c>
      <c r="Z54" s="24">
        <f t="shared" si="499"/>
        <v>6135.4800000000005</v>
      </c>
      <c r="AA54" s="118">
        <v>2.6199999999999999E-3</v>
      </c>
      <c r="AB54" s="121">
        <f t="shared" si="60"/>
        <v>41.217840000000002</v>
      </c>
      <c r="AC54" s="45">
        <v>2.7100000000000002E-3</v>
      </c>
      <c r="AD54" s="17">
        <f t="shared" si="501"/>
        <v>42.633720000000004</v>
      </c>
      <c r="AE54" s="26">
        <f>IF(M54&gt;0,(AG54+AP54)/M54,0)</f>
        <v>2.5798533562166287E-3</v>
      </c>
      <c r="AF54" s="45">
        <v>2.5000000000000001E-4</v>
      </c>
      <c r="AG54" s="36">
        <f t="shared" si="502"/>
        <v>3.9330000000000003</v>
      </c>
      <c r="AH54" s="27">
        <v>0.20899999999999999</v>
      </c>
      <c r="AI54" s="40">
        <f t="shared" si="503"/>
        <v>34.804769999999998</v>
      </c>
      <c r="AJ54" s="27">
        <f t="shared" si="504"/>
        <v>0.90883620213447658</v>
      </c>
      <c r="AK54" s="28">
        <f t="shared" si="6"/>
        <v>0.90412221206864518</v>
      </c>
      <c r="AL54" s="42">
        <v>182</v>
      </c>
      <c r="AM54" s="38">
        <v>8.5000000000000006E-2</v>
      </c>
      <c r="AN54" s="27">
        <v>0.22009999999999999</v>
      </c>
      <c r="AO54" s="105">
        <v>0.21970000000000001</v>
      </c>
      <c r="AP54" s="40">
        <f>AL54*(1-AM54)*AN54</f>
        <v>36.653252999999999</v>
      </c>
      <c r="AQ54" s="106">
        <f t="shared" si="21"/>
        <v>36.586641</v>
      </c>
      <c r="AR54" s="17">
        <v>1.55</v>
      </c>
      <c r="AS54" s="17"/>
      <c r="AT54" s="129">
        <f>AT53+AL54-AS54</f>
        <v>832.49999999999864</v>
      </c>
      <c r="AU54" s="82"/>
      <c r="AV54" s="42"/>
      <c r="AW54" s="46"/>
      <c r="AX54" s="40"/>
      <c r="AY54" s="40"/>
      <c r="AZ54" s="40"/>
      <c r="BA54" s="40"/>
      <c r="BB54" s="31"/>
    </row>
    <row r="55" spans="1:54">
      <c r="A55" s="149"/>
      <c r="B55" s="47" t="s">
        <v>56</v>
      </c>
      <c r="C55" s="48"/>
      <c r="D55" s="49">
        <f t="shared" ref="D55" si="506">SUM(D52:D54)</f>
        <v>42029</v>
      </c>
      <c r="E55" s="49"/>
      <c r="F55" s="49">
        <f t="shared" ref="F55" si="507">SUM(F52:F54)</f>
        <v>44063</v>
      </c>
      <c r="G55" s="50"/>
      <c r="H55" s="50"/>
      <c r="I55" s="49">
        <f t="shared" ref="I55:K55" si="508">SUM(I52:I54)</f>
        <v>43302</v>
      </c>
      <c r="J55" s="50"/>
      <c r="K55" s="49">
        <f t="shared" si="508"/>
        <v>50246</v>
      </c>
      <c r="L55" s="20">
        <f t="shared" ref="L55" si="509">IF(K55&gt;0,(K52*L52+K53*L53+K54*L54)/K55,0)</f>
        <v>6.4984954026191144E-2</v>
      </c>
      <c r="M55" s="50">
        <f t="shared" ref="M55" si="510">M52+M53+M54</f>
        <v>46980</v>
      </c>
      <c r="N55" s="51">
        <f t="shared" ref="N55" si="511">IF(M55&gt;0,O55/M55,0)</f>
        <v>0.69467713920817376</v>
      </c>
      <c r="O55" s="52">
        <f t="shared" ref="O55" si="512">O52+O53+O54</f>
        <v>32635.932000000001</v>
      </c>
      <c r="P55" s="20">
        <f t="shared" ref="P55" si="513">IF(M55&gt;0,Q55/M55,0)</f>
        <v>0.25934201787994893</v>
      </c>
      <c r="Q55" s="52">
        <f t="shared" ref="Q55" si="514">Q52+Q53+Q54</f>
        <v>12183.888000000001</v>
      </c>
      <c r="R55" s="20">
        <f t="shared" ref="R55" si="515">IF(M55&gt;0,T55/M55,0)</f>
        <v>4.5980842911877394E-2</v>
      </c>
      <c r="S55" s="107"/>
      <c r="T55" s="52">
        <f t="shared" ref="T55" si="516">T52+T53+T54</f>
        <v>2160.1799999999998</v>
      </c>
      <c r="U55" s="20">
        <f t="shared" ref="U55" si="517">IF(M55&gt;0,V55/M55,0)</f>
        <v>0.20875070242656449</v>
      </c>
      <c r="V55" s="52">
        <f t="shared" ref="V55" si="518">V52+V53+V54</f>
        <v>9807.1080000000002</v>
      </c>
      <c r="W55" s="20">
        <f t="shared" ref="W55" si="519">IF(M55&gt;0,X55/M55,0)</f>
        <v>0.50698429118773947</v>
      </c>
      <c r="X55" s="52">
        <f t="shared" ref="X55" si="520">X52+X53+X54</f>
        <v>23818.121999999999</v>
      </c>
      <c r="Y55" s="20">
        <f t="shared" ref="Y55" si="521">IF(M55&gt;0,Z55/M55,0)</f>
        <v>0.38334865900383142</v>
      </c>
      <c r="Z55" s="52">
        <f t="shared" ref="Z55" si="522">Z52+Z53+Z54</f>
        <v>18009.72</v>
      </c>
      <c r="AA55" s="119">
        <f t="shared" ref="AA55" si="523">IF(M55&gt;0,AB55/M55,0)</f>
        <v>2.732625798212005E-3</v>
      </c>
      <c r="AB55" s="54">
        <f t="shared" ref="AB55" si="524">SUM(AB52:AB54)</f>
        <v>128.37876</v>
      </c>
      <c r="AC55" s="53">
        <f t="shared" ref="AC55" si="525">IF(M55&gt;0,AD55/M55,0)</f>
        <v>2.7896372924648789E-3</v>
      </c>
      <c r="AD55" s="54">
        <f t="shared" ref="AD55" si="526">SUM(AD52:AD54)</f>
        <v>131.05716000000001</v>
      </c>
      <c r="AE55" s="53">
        <f t="shared" ref="AE55" si="527">IF(M55&gt;0,(AE52*M52+AE53*M53+AE54*M54)/M55,0)</f>
        <v>2.6168809323116218E-3</v>
      </c>
      <c r="AF55" s="53">
        <f t="shared" ref="AF55" si="528">IF(K55&gt;0,(K52*AF52+K53*AF53+K54*AF54)/K55,0)</f>
        <v>2.5000000000000001E-4</v>
      </c>
      <c r="AG55" s="50">
        <f t="shared" ref="AG55" si="529">SUM(AG52:AG54)</f>
        <v>11.744999999999999</v>
      </c>
      <c r="AH55" s="51">
        <f t="shared" ref="AH55" si="530">IF(K55&gt;0,(K52*AH52+K53*AH53+K54*AH54)/K55,0)</f>
        <v>0.21125541535644629</v>
      </c>
      <c r="AI55" s="56">
        <f t="shared" ref="AI55" si="531">SUM(AI52:AI54)</f>
        <v>107.26572480000002</v>
      </c>
      <c r="AJ55" s="51">
        <f t="shared" ref="AJ55" si="532">IF(AND(AD55&gt;0),((AD52*AJ52+AD53*AJ53+AD54*AJ54)/AD55),0)</f>
        <v>0.91146111364376281</v>
      </c>
      <c r="AK55" s="55">
        <f t="shared" si="6"/>
        <v>0.90550006229389357</v>
      </c>
      <c r="AL55" s="49">
        <f t="shared" ref="AL55" si="533">SUM(AL52:AL54)</f>
        <v>558</v>
      </c>
      <c r="AM55" s="20">
        <f t="shared" ref="AM55" si="534">IF(AL55&gt;0,(AM52*AL52+AM53*AL53+AM54*AL54)/AL55,0)</f>
        <v>9.0091397849462365E-2</v>
      </c>
      <c r="AN55" s="51">
        <f>IF(K55&gt;0,(AN52*K52+AN53*K53+AN54*K54)/K55,0)</f>
        <v>0.21900742944712015</v>
      </c>
      <c r="AO55" s="107">
        <f>IF(L55&gt;0,(AO52*K52+AO53*K53+AO54*K54)/K55,0)</f>
        <v>0.21475570791704815</v>
      </c>
      <c r="AP55" s="56">
        <f t="shared" ref="AP55" si="535">SUM(AP52:AP54)</f>
        <v>111.19606620000002</v>
      </c>
      <c r="AQ55" s="108">
        <f t="shared" si="403"/>
        <v>109.0237332</v>
      </c>
      <c r="AR55" s="54"/>
      <c r="AS55" s="54">
        <f t="shared" ref="AS55" si="536">SUM(AS52:AS54)</f>
        <v>502.64</v>
      </c>
      <c r="AT55" s="83"/>
      <c r="AU55" s="84">
        <f>AT54</f>
        <v>832.49999999999864</v>
      </c>
      <c r="AV55" s="49">
        <f t="shared" ref="AV55" si="537">SUM(AV52:AV54)</f>
        <v>0</v>
      </c>
      <c r="AW55" s="57"/>
      <c r="AX55" s="56"/>
      <c r="AY55" s="56"/>
      <c r="AZ55" s="56"/>
      <c r="BA55" s="56"/>
      <c r="BB55" s="21"/>
    </row>
    <row r="56" spans="1:54">
      <c r="A56" s="147">
        <v>14</v>
      </c>
      <c r="B56" s="22">
        <v>1</v>
      </c>
      <c r="C56" s="10" t="s">
        <v>55</v>
      </c>
      <c r="D56" s="11">
        <v>13000</v>
      </c>
      <c r="E56" s="11">
        <v>0</v>
      </c>
      <c r="F56" s="11">
        <v>17334</v>
      </c>
      <c r="G56" s="12">
        <v>0.6</v>
      </c>
      <c r="H56" s="12">
        <v>6.3</v>
      </c>
      <c r="I56" s="11">
        <v>16786</v>
      </c>
      <c r="J56" s="12">
        <v>2.2999999999999998</v>
      </c>
      <c r="K56" s="11">
        <v>16767</v>
      </c>
      <c r="L56" s="13">
        <v>5.8000000000000003E-2</v>
      </c>
      <c r="M56" s="23">
        <f>ROUND(K56*(1-L56),0)</f>
        <v>15795</v>
      </c>
      <c r="N56" s="14">
        <v>0.65500000000000003</v>
      </c>
      <c r="O56" s="24">
        <f t="shared" ref="O56:O58" si="538">M56*N56</f>
        <v>10345.725</v>
      </c>
      <c r="P56" s="13">
        <v>0.29699999999999999</v>
      </c>
      <c r="Q56" s="24">
        <f t="shared" ref="Q56:Q58" si="539">M56*P56</f>
        <v>4691.1149999999998</v>
      </c>
      <c r="R56" s="15">
        <v>4.8000000000000001E-2</v>
      </c>
      <c r="S56" s="112"/>
      <c r="T56" s="24">
        <f t="shared" ref="T56:T58" si="540">M56*R56</f>
        <v>758.16</v>
      </c>
      <c r="U56" s="25">
        <v>0.22</v>
      </c>
      <c r="V56" s="24">
        <f t="shared" ref="V56:V58" si="541">M56*U56</f>
        <v>3474.9</v>
      </c>
      <c r="W56" s="15">
        <v>0.504</v>
      </c>
      <c r="X56" s="24">
        <f t="shared" ref="X56:X58" si="542">M56*W56</f>
        <v>7960.68</v>
      </c>
      <c r="Y56" s="15">
        <v>0.4</v>
      </c>
      <c r="Z56" s="24">
        <f t="shared" ref="Z56:Z58" si="543">Y56*M56</f>
        <v>6318</v>
      </c>
      <c r="AA56" s="116">
        <v>2.5899999999999999E-3</v>
      </c>
      <c r="AB56" s="18">
        <f t="shared" ref="AB56" si="544">M56*AA56</f>
        <v>40.909050000000001</v>
      </c>
      <c r="AC56" s="16">
        <v>2.6900000000000001E-3</v>
      </c>
      <c r="AD56" s="17">
        <f t="shared" ref="AD56:AD58" si="545">M56*AC56</f>
        <v>42.488550000000004</v>
      </c>
      <c r="AE56" s="26">
        <f>IF(M56&gt;0,(AG56+AP56)/M56,0)</f>
        <v>2.4831358277936054E-3</v>
      </c>
      <c r="AF56" s="16">
        <v>2.4000000000000001E-4</v>
      </c>
      <c r="AG56" s="23">
        <f t="shared" ref="AG56:AG58" si="546">AF56*M56</f>
        <v>3.7907999999999999</v>
      </c>
      <c r="AH56" s="92">
        <v>0.20619999999999999</v>
      </c>
      <c r="AI56" s="29">
        <f t="shared" ref="AI56:AI58" si="547">AL56*(1-AM56)*AH56</f>
        <v>33.6204976</v>
      </c>
      <c r="AJ56" s="27">
        <f t="shared" ref="AJ56:AJ58" si="548">IF(AND(AH56&gt;0,AF56&gt;0,AC56&gt;0),((AC56-AF56)*AH56)/((AH56-AF56)*AC56),0)</f>
        <v>0.91184197891675645</v>
      </c>
      <c r="AK56" s="58">
        <f t="shared" si="6"/>
        <v>0.90434683614160172</v>
      </c>
      <c r="AL56" s="11">
        <v>178</v>
      </c>
      <c r="AM56" s="13">
        <v>8.4000000000000005E-2</v>
      </c>
      <c r="AN56" s="14">
        <v>0.21729999999999999</v>
      </c>
      <c r="AO56" s="101">
        <v>0.21460000000000001</v>
      </c>
      <c r="AP56" s="29">
        <f>AL56*(1-AM56)*AN56</f>
        <v>35.430330400000003</v>
      </c>
      <c r="AQ56" s="102">
        <f t="shared" ref="AQ56" si="549">AL56*(1-AM56)*AO56</f>
        <v>34.9901008</v>
      </c>
      <c r="AR56" s="18">
        <v>1.56</v>
      </c>
      <c r="AS56" s="18"/>
      <c r="AT56" s="79">
        <f>AT54+AL56-AS56</f>
        <v>1010.4999999999986</v>
      </c>
      <c r="AU56" s="80"/>
      <c r="AV56" s="11"/>
      <c r="AW56" s="30"/>
      <c r="AX56" s="19"/>
      <c r="AY56" s="19"/>
      <c r="AZ56" s="19"/>
      <c r="BA56" s="19"/>
      <c r="BB56" s="31"/>
    </row>
    <row r="57" spans="1:54">
      <c r="A57" s="148"/>
      <c r="B57" s="32">
        <v>2</v>
      </c>
      <c r="C57" s="143" t="s">
        <v>57</v>
      </c>
      <c r="D57" s="33">
        <v>21000</v>
      </c>
      <c r="E57" s="33">
        <v>2</v>
      </c>
      <c r="F57" s="33">
        <v>16172</v>
      </c>
      <c r="G57" s="34">
        <v>0.8</v>
      </c>
      <c r="H57" s="34">
        <v>6.2</v>
      </c>
      <c r="I57" s="33">
        <v>15769</v>
      </c>
      <c r="J57" s="34">
        <v>2.2000000000000002</v>
      </c>
      <c r="K57" s="33">
        <v>16769</v>
      </c>
      <c r="L57" s="35">
        <v>6.0999999999999999E-2</v>
      </c>
      <c r="M57" s="36">
        <f>ROUND(K57*(1-L57),0)</f>
        <v>15746</v>
      </c>
      <c r="N57" s="37">
        <v>0.65600000000000003</v>
      </c>
      <c r="O57" s="24">
        <f t="shared" si="538"/>
        <v>10329.376</v>
      </c>
      <c r="P57" s="35">
        <v>0.311</v>
      </c>
      <c r="Q57" s="24">
        <f t="shared" si="539"/>
        <v>4897.0060000000003</v>
      </c>
      <c r="R57" s="38">
        <v>3.3000000000000002E-2</v>
      </c>
      <c r="S57" s="105"/>
      <c r="T57" s="24">
        <f t="shared" si="540"/>
        <v>519.61800000000005</v>
      </c>
      <c r="U57" s="27">
        <v>0.23699999999999999</v>
      </c>
      <c r="V57" s="24">
        <f t="shared" si="541"/>
        <v>3731.8019999999997</v>
      </c>
      <c r="W57" s="38">
        <v>0.47599999999999998</v>
      </c>
      <c r="X57" s="24">
        <f t="shared" si="542"/>
        <v>7495.0959999999995</v>
      </c>
      <c r="Y57" s="38">
        <v>0.42</v>
      </c>
      <c r="Z57" s="24">
        <f t="shared" si="543"/>
        <v>6613.32</v>
      </c>
      <c r="AA57" s="117">
        <v>2.7100000000000002E-3</v>
      </c>
      <c r="AB57" s="18">
        <f t="shared" si="60"/>
        <v>42.671660000000003</v>
      </c>
      <c r="AC57" s="39">
        <v>2.7599999999999999E-3</v>
      </c>
      <c r="AD57" s="17">
        <f t="shared" si="545"/>
        <v>43.458959999999998</v>
      </c>
      <c r="AE57" s="26">
        <f>IF(M57&gt;0,(AG57+AP57)/M57,0)</f>
        <v>2.5054642448875909E-3</v>
      </c>
      <c r="AF57" s="39">
        <v>2.4000000000000001E-4</v>
      </c>
      <c r="AG57" s="36">
        <f t="shared" si="546"/>
        <v>3.7790400000000002</v>
      </c>
      <c r="AH57" s="27">
        <v>0.21809999999999999</v>
      </c>
      <c r="AI57" s="40">
        <f t="shared" si="547"/>
        <v>34.732424999999999</v>
      </c>
      <c r="AJ57" s="27">
        <f t="shared" si="548"/>
        <v>0.91404930968831177</v>
      </c>
      <c r="AK57" s="28">
        <f t="shared" si="6"/>
        <v>0.90517920424713905</v>
      </c>
      <c r="AL57" s="33">
        <v>175</v>
      </c>
      <c r="AM57" s="35">
        <v>0.09</v>
      </c>
      <c r="AN57" s="37">
        <v>0.224</v>
      </c>
      <c r="AO57" s="103">
        <v>0.2263</v>
      </c>
      <c r="AP57" s="40">
        <f>AL57*(1-AM57)*AN57</f>
        <v>35.672000000000004</v>
      </c>
      <c r="AQ57" s="104">
        <f t="shared" si="21"/>
        <v>36.038274999999999</v>
      </c>
      <c r="AR57" s="41">
        <v>1.55</v>
      </c>
      <c r="AS57" s="41"/>
      <c r="AT57" s="129">
        <f>AT56+AL57-AS57</f>
        <v>1185.4999999999986</v>
      </c>
      <c r="AU57" s="82"/>
      <c r="AV57" s="42"/>
      <c r="AW57" s="43"/>
      <c r="AX57" s="44"/>
      <c r="AY57" s="44"/>
      <c r="AZ57" s="44"/>
      <c r="BA57" s="44"/>
      <c r="BB57" s="31"/>
    </row>
    <row r="58" spans="1:54">
      <c r="A58" s="148"/>
      <c r="B58" s="32">
        <v>3</v>
      </c>
      <c r="C58" s="10" t="s">
        <v>58</v>
      </c>
      <c r="D58" s="42">
        <v>17820</v>
      </c>
      <c r="E58" s="42">
        <v>1</v>
      </c>
      <c r="F58" s="42">
        <v>19219</v>
      </c>
      <c r="G58" s="36">
        <v>0.6</v>
      </c>
      <c r="H58" s="36">
        <v>6.4</v>
      </c>
      <c r="I58" s="42">
        <v>18791</v>
      </c>
      <c r="J58" s="36">
        <v>1.3</v>
      </c>
      <c r="K58" s="42">
        <v>16721</v>
      </c>
      <c r="L58" s="38">
        <v>5.5E-2</v>
      </c>
      <c r="M58" s="36">
        <f>ROUND(K58*(1-L58),0)</f>
        <v>15801</v>
      </c>
      <c r="N58" s="27">
        <v>0.80500000000000005</v>
      </c>
      <c r="O58" s="24">
        <f t="shared" si="538"/>
        <v>12719.805</v>
      </c>
      <c r="P58" s="38">
        <v>0.17599999999999999</v>
      </c>
      <c r="Q58" s="24">
        <f t="shared" si="539"/>
        <v>2780.9759999999997</v>
      </c>
      <c r="R58" s="38">
        <v>1.9E-2</v>
      </c>
      <c r="S58" s="105"/>
      <c r="T58" s="24">
        <f t="shared" si="540"/>
        <v>300.21899999999999</v>
      </c>
      <c r="U58" s="27">
        <v>0.24</v>
      </c>
      <c r="V58" s="24">
        <f t="shared" si="541"/>
        <v>3792.24</v>
      </c>
      <c r="W58" s="38">
        <v>0.47599999999999998</v>
      </c>
      <c r="X58" s="24">
        <f t="shared" si="542"/>
        <v>7521.2759999999998</v>
      </c>
      <c r="Y58" s="38">
        <v>0.43</v>
      </c>
      <c r="Z58" s="24">
        <f t="shared" si="543"/>
        <v>6794.43</v>
      </c>
      <c r="AA58" s="118">
        <v>2.7299999999999998E-3</v>
      </c>
      <c r="AB58" s="121">
        <f t="shared" si="60"/>
        <v>43.13673</v>
      </c>
      <c r="AC58" s="45">
        <v>2.7699999999999999E-3</v>
      </c>
      <c r="AD58" s="17">
        <f t="shared" si="545"/>
        <v>43.768769999999996</v>
      </c>
      <c r="AE58" s="26">
        <f>IF(M58&gt;0,(AG58+AP58)/M58,0)</f>
        <v>2.5930219289918358E-3</v>
      </c>
      <c r="AF58" s="45">
        <v>2.5000000000000001E-4</v>
      </c>
      <c r="AG58" s="36">
        <f t="shared" si="546"/>
        <v>3.95025</v>
      </c>
      <c r="AH58" s="27">
        <v>0.20599999999999999</v>
      </c>
      <c r="AI58" s="40">
        <f t="shared" si="547"/>
        <v>34.493669999999995</v>
      </c>
      <c r="AJ58" s="27">
        <f t="shared" si="548"/>
        <v>0.91085269617626785</v>
      </c>
      <c r="AK58" s="28">
        <f t="shared" si="6"/>
        <v>0.90461024654249966</v>
      </c>
      <c r="AL58" s="42">
        <v>183</v>
      </c>
      <c r="AM58" s="38">
        <v>8.5000000000000006E-2</v>
      </c>
      <c r="AN58" s="27">
        <v>0.22109999999999999</v>
      </c>
      <c r="AO58" s="105">
        <v>0.22170000000000001</v>
      </c>
      <c r="AP58" s="40">
        <f>AL58*(1-AM58)*AN58</f>
        <v>37.0220895</v>
      </c>
      <c r="AQ58" s="106">
        <f t="shared" si="21"/>
        <v>37.122556500000002</v>
      </c>
      <c r="AR58" s="17">
        <v>1.55</v>
      </c>
      <c r="AS58" s="17"/>
      <c r="AT58" s="129">
        <f>AT57+AL58-AS58</f>
        <v>1368.4999999999986</v>
      </c>
      <c r="AU58" s="82"/>
      <c r="AV58" s="42"/>
      <c r="AW58" s="46"/>
      <c r="AX58" s="40"/>
      <c r="AY58" s="40"/>
      <c r="AZ58" s="40"/>
      <c r="BA58" s="40"/>
      <c r="BB58" s="31"/>
    </row>
    <row r="59" spans="1:54">
      <c r="A59" s="149"/>
      <c r="B59" s="47" t="s">
        <v>56</v>
      </c>
      <c r="C59" s="48"/>
      <c r="D59" s="49">
        <f t="shared" ref="D59" si="550">SUM(D56:D58)</f>
        <v>51820</v>
      </c>
      <c r="E59" s="49"/>
      <c r="F59" s="49">
        <f t="shared" ref="F59" si="551">SUM(F56:F58)</f>
        <v>52725</v>
      </c>
      <c r="G59" s="50"/>
      <c r="H59" s="50"/>
      <c r="I59" s="49">
        <f t="shared" ref="I59:K59" si="552">SUM(I56:I58)</f>
        <v>51346</v>
      </c>
      <c r="J59" s="50"/>
      <c r="K59" s="49">
        <f t="shared" si="552"/>
        <v>50257</v>
      </c>
      <c r="L59" s="20">
        <f t="shared" ref="L59" si="553">IF(K59&gt;0,(K56*L56+K57*L57+K58*L58)/K59,0)</f>
        <v>5.8002865272499357E-2</v>
      </c>
      <c r="M59" s="50">
        <f t="shared" ref="M59" si="554">M56+M57+M58</f>
        <v>47342</v>
      </c>
      <c r="N59" s="51">
        <f t="shared" ref="N59" si="555">IF(M59&gt;0,O59/M59,0)</f>
        <v>0.70539702589666686</v>
      </c>
      <c r="O59" s="52">
        <f t="shared" ref="O59" si="556">O56+O57+O58</f>
        <v>33394.906000000003</v>
      </c>
      <c r="P59" s="20">
        <f t="shared" ref="P59" si="557">IF(M59&gt;0,Q59/M59,0)</f>
        <v>0.26127111233154487</v>
      </c>
      <c r="Q59" s="52">
        <f t="shared" ref="Q59" si="558">Q56+Q57+Q58</f>
        <v>12369.096999999998</v>
      </c>
      <c r="R59" s="20">
        <f t="shared" ref="R59" si="559">IF(M59&gt;0,T59/M59,0)</f>
        <v>3.3331861771788263E-2</v>
      </c>
      <c r="S59" s="107"/>
      <c r="T59" s="52">
        <f t="shared" ref="T59" si="560">T56+T57+T58</f>
        <v>1577.9970000000001</v>
      </c>
      <c r="U59" s="20">
        <f t="shared" ref="U59" si="561">IF(M59&gt;0,V59/M59,0)</f>
        <v>0.2323294748848802</v>
      </c>
      <c r="V59" s="52">
        <f t="shared" ref="V59" si="562">V56+V57+V58</f>
        <v>10998.941999999999</v>
      </c>
      <c r="W59" s="20">
        <f t="shared" ref="W59" si="563">IF(M59&gt;0,X59/M59,0)</f>
        <v>0.4853418106543872</v>
      </c>
      <c r="X59" s="52">
        <f t="shared" ref="X59" si="564">X56+X57+X58</f>
        <v>22977.052</v>
      </c>
      <c r="Y59" s="20">
        <f t="shared" ref="Y59" si="565">IF(M59&gt;0,Z59/M59,0)</f>
        <v>0.41666490642558407</v>
      </c>
      <c r="Z59" s="52">
        <f t="shared" ref="Z59" si="566">Z56+Z57+Z58</f>
        <v>19725.75</v>
      </c>
      <c r="AA59" s="119">
        <f t="shared" ref="AA59" si="567">IF(M59&gt;0,AB59/M59,0)</f>
        <v>2.6766389252672047E-3</v>
      </c>
      <c r="AB59" s="54">
        <f t="shared" ref="AB59" si="568">SUM(AB56:AB58)</f>
        <v>126.71744000000001</v>
      </c>
      <c r="AC59" s="53">
        <f t="shared" ref="AC59" si="569">IF(M59&gt;0,AD59/M59,0)</f>
        <v>2.7399831016856066E-3</v>
      </c>
      <c r="AD59" s="54">
        <f t="shared" ref="AD59" si="570">SUM(AD56:AD58)</f>
        <v>129.71627999999998</v>
      </c>
      <c r="AE59" s="53">
        <f t="shared" ref="AE59" si="571">IF(M59&gt;0,(AE56*M56+AE57*M57+AE58*M58)/M59,0)</f>
        <v>2.5272381796290822E-3</v>
      </c>
      <c r="AF59" s="53">
        <f t="shared" ref="AF59" si="572">IF(K59&gt;0,(K56*AF56+K57*AF57+K58*AF58)/K59,0)</f>
        <v>2.4332709871261715E-4</v>
      </c>
      <c r="AG59" s="50">
        <f t="shared" ref="AG59" si="573">SUM(AG56:AG58)</f>
        <v>11.52009</v>
      </c>
      <c r="AH59" s="51">
        <f t="shared" ref="AH59" si="574">IF(K59&gt;0,(K56*AH56+K57*AH57+K58*AH58)/K59,0)</f>
        <v>0.21010407107467619</v>
      </c>
      <c r="AI59" s="56">
        <f t="shared" ref="AI59" si="575">SUM(AI56:AI58)</f>
        <v>102.84659259999999</v>
      </c>
      <c r="AJ59" s="51">
        <f t="shared" ref="AJ59" si="576">IF(AND(AD59&gt;0),((AD56*AJ56+AD57*AJ57+AD58*AJ58)/AD59),0)</f>
        <v>0.91224769985613585</v>
      </c>
      <c r="AK59" s="55">
        <f t="shared" si="6"/>
        <v>0.90471519649134635</v>
      </c>
      <c r="AL59" s="49">
        <f t="shared" ref="AL59" si="577">SUM(AL56:AL58)</f>
        <v>536</v>
      </c>
      <c r="AM59" s="20">
        <f t="shared" ref="AM59" si="578">IF(AL59&gt;0,(AM56*AL56+AM57*AL57+AM58*AL58)/AL59,0)</f>
        <v>8.6300373134328368E-2</v>
      </c>
      <c r="AN59" s="51">
        <f>IF(K59&gt;0,(AN56*K56+AN57*K57+AN58*K58)/K59,0)</f>
        <v>0.2207998527568299</v>
      </c>
      <c r="AO59" s="107">
        <f>IF(L59&gt;0,(AO56*K56+AO57*K57+AO58*K58)/K59,0)</f>
        <v>0.22086612014246773</v>
      </c>
      <c r="AP59" s="56">
        <f t="shared" ref="AP59:AQ71" si="579">SUM(AP56:AP58)</f>
        <v>108.12441989999999</v>
      </c>
      <c r="AQ59" s="108">
        <f t="shared" si="579"/>
        <v>108.15093229999999</v>
      </c>
      <c r="AR59" s="54"/>
      <c r="AS59" s="54">
        <f t="shared" ref="AS59" si="580">SUM(AS56:AS58)</f>
        <v>0</v>
      </c>
      <c r="AT59" s="83"/>
      <c r="AU59" s="84">
        <f>AT58</f>
        <v>1368.4999999999986</v>
      </c>
      <c r="AV59" s="49">
        <f t="shared" ref="AV59" si="581">SUM(AV56:AV58)</f>
        <v>0</v>
      </c>
      <c r="AW59" s="57"/>
      <c r="AX59" s="56"/>
      <c r="AY59" s="56"/>
      <c r="AZ59" s="56"/>
      <c r="BA59" s="56"/>
      <c r="BB59" s="21"/>
    </row>
    <row r="60" spans="1:54">
      <c r="A60" s="147">
        <v>15</v>
      </c>
      <c r="B60" s="22">
        <v>1</v>
      </c>
      <c r="C60" s="10" t="s">
        <v>53</v>
      </c>
      <c r="D60" s="11">
        <v>13300</v>
      </c>
      <c r="E60" s="11">
        <v>0</v>
      </c>
      <c r="F60" s="11">
        <v>16936</v>
      </c>
      <c r="G60" s="12">
        <v>0.8</v>
      </c>
      <c r="H60" s="12">
        <v>4.8</v>
      </c>
      <c r="I60" s="11">
        <v>16307</v>
      </c>
      <c r="J60" s="12">
        <v>1.1000000000000001</v>
      </c>
      <c r="K60" s="11">
        <v>16538</v>
      </c>
      <c r="L60" s="13">
        <v>0.05</v>
      </c>
      <c r="M60" s="23">
        <f>ROUND(K60*(1-L60),0)</f>
        <v>15711</v>
      </c>
      <c r="N60" s="14">
        <v>0.65500000000000003</v>
      </c>
      <c r="O60" s="24">
        <f t="shared" ref="O60:O62" si="582">M60*N60</f>
        <v>10290.705</v>
      </c>
      <c r="P60" s="13">
        <v>0.27500000000000002</v>
      </c>
      <c r="Q60" s="24">
        <f t="shared" ref="Q60:Q62" si="583">M60*P60</f>
        <v>4320.5250000000005</v>
      </c>
      <c r="R60" s="15">
        <v>7.0000000000000007E-2</v>
      </c>
      <c r="S60" s="112"/>
      <c r="T60" s="24">
        <f t="shared" ref="T60:T62" si="584">M60*R60</f>
        <v>1099.7700000000002</v>
      </c>
      <c r="U60" s="25">
        <v>0.23499999999999999</v>
      </c>
      <c r="V60" s="24">
        <f t="shared" ref="V60:V62" si="585">M60*U60</f>
        <v>3692.0849999999996</v>
      </c>
      <c r="W60" s="15">
        <v>0.48099999999999998</v>
      </c>
      <c r="X60" s="24">
        <f t="shared" ref="X60:X62" si="586">M60*W60</f>
        <v>7556.991</v>
      </c>
      <c r="Y60" s="15">
        <v>0.41</v>
      </c>
      <c r="Z60" s="24">
        <f t="shared" ref="Z60:Z62" si="587">Y60*M60</f>
        <v>6441.5099999999993</v>
      </c>
      <c r="AA60" s="116">
        <v>2.7200000000000002E-3</v>
      </c>
      <c r="AB60" s="18">
        <f t="shared" ref="AB60" si="588">M60*AA60</f>
        <v>42.733920000000005</v>
      </c>
      <c r="AC60" s="16">
        <v>2.7799999999999999E-3</v>
      </c>
      <c r="AD60" s="17">
        <f t="shared" ref="AD60:AD62" si="589">M60*AC60</f>
        <v>43.676580000000001</v>
      </c>
      <c r="AE60" s="26">
        <f>IF(M60&gt;0,(AG60+AP60)/M60,0)</f>
        <v>2.4903376360511744E-3</v>
      </c>
      <c r="AF60" s="16">
        <v>2.5000000000000001E-4</v>
      </c>
      <c r="AG60" s="23">
        <f t="shared" ref="AG60:AG62" si="590">AF60*M60</f>
        <v>3.9277500000000001</v>
      </c>
      <c r="AH60" s="92">
        <v>0.20830000000000001</v>
      </c>
      <c r="AI60" s="29">
        <f t="shared" ref="AI60:AI62" si="591">AL60*(1-AM60)*AH60</f>
        <v>34.764020200000004</v>
      </c>
      <c r="AJ60" s="27">
        <f t="shared" ref="AJ60:AJ62" si="592">IF(AND(AH60&gt;0,AF60&gt;0,AC60&gt;0),((AC60-AF60)*AH60)/((AH60-AF60)*AC60),0)</f>
        <v>0.91116551603706231</v>
      </c>
      <c r="AK60" s="58">
        <f t="shared" si="6"/>
        <v>0.90067966787137066</v>
      </c>
      <c r="AL60" s="11">
        <v>182</v>
      </c>
      <c r="AM60" s="13">
        <v>8.3000000000000004E-2</v>
      </c>
      <c r="AN60" s="14">
        <v>0.2109</v>
      </c>
      <c r="AO60" s="101">
        <v>0.21529999999999999</v>
      </c>
      <c r="AP60" s="29">
        <f>AL60*(1-AM60)*AN60</f>
        <v>35.1979446</v>
      </c>
      <c r="AQ60" s="102">
        <f t="shared" ref="AQ60" si="593">AL60*(1-AM60)*AO60</f>
        <v>35.932278199999999</v>
      </c>
      <c r="AR60" s="18">
        <v>1.6</v>
      </c>
      <c r="AS60" s="18"/>
      <c r="AT60" s="79">
        <f>AT58+AL60-AS60</f>
        <v>1550.4999999999986</v>
      </c>
      <c r="AU60" s="80"/>
      <c r="AV60" s="11"/>
      <c r="AW60" s="30"/>
      <c r="AX60" s="19"/>
      <c r="AY60" s="19"/>
      <c r="AZ60" s="19"/>
      <c r="BA60" s="19"/>
      <c r="BB60" s="31"/>
    </row>
    <row r="61" spans="1:54">
      <c r="A61" s="148"/>
      <c r="B61" s="32">
        <v>2</v>
      </c>
      <c r="C61" s="143" t="s">
        <v>57</v>
      </c>
      <c r="D61" s="33">
        <v>16200</v>
      </c>
      <c r="E61" s="33">
        <v>2</v>
      </c>
      <c r="F61" s="33">
        <v>11973</v>
      </c>
      <c r="G61" s="34">
        <v>0.5</v>
      </c>
      <c r="H61" s="34">
        <v>5</v>
      </c>
      <c r="I61" s="33">
        <v>12055</v>
      </c>
      <c r="J61" s="34">
        <v>2.1</v>
      </c>
      <c r="K61" s="33">
        <v>16225</v>
      </c>
      <c r="L61" s="35">
        <v>0.06</v>
      </c>
      <c r="M61" s="36">
        <f>ROUND(K61*(1-L61),0)</f>
        <v>15252</v>
      </c>
      <c r="N61" s="37">
        <v>0.71</v>
      </c>
      <c r="O61" s="24">
        <f t="shared" si="582"/>
        <v>10828.92</v>
      </c>
      <c r="P61" s="35">
        <v>0.25</v>
      </c>
      <c r="Q61" s="24">
        <f t="shared" si="583"/>
        <v>3813</v>
      </c>
      <c r="R61" s="38">
        <v>0.04</v>
      </c>
      <c r="S61" s="105"/>
      <c r="T61" s="24">
        <f t="shared" si="584"/>
        <v>610.08000000000004</v>
      </c>
      <c r="U61" s="27">
        <v>0.22500000000000001</v>
      </c>
      <c r="V61" s="24">
        <f t="shared" si="585"/>
        <v>3431.7000000000003</v>
      </c>
      <c r="W61" s="38">
        <v>0.48699999999999999</v>
      </c>
      <c r="X61" s="24">
        <f t="shared" si="586"/>
        <v>7427.7240000000002</v>
      </c>
      <c r="Y61" s="38">
        <v>0.4</v>
      </c>
      <c r="Z61" s="24">
        <f t="shared" si="587"/>
        <v>6100.8</v>
      </c>
      <c r="AA61" s="117">
        <v>2.5799999999999998E-3</v>
      </c>
      <c r="AB61" s="18">
        <f t="shared" si="60"/>
        <v>39.350159999999995</v>
      </c>
      <c r="AC61" s="39">
        <v>2.5999999999999999E-3</v>
      </c>
      <c r="AD61" s="17">
        <f t="shared" si="589"/>
        <v>39.655200000000001</v>
      </c>
      <c r="AE61" s="26">
        <f>IF(M61&gt;0,(AG61+AP61)/M61,0)</f>
        <v>2.6485106215578288E-3</v>
      </c>
      <c r="AF61" s="39">
        <v>2.5000000000000001E-4</v>
      </c>
      <c r="AG61" s="36">
        <f t="shared" si="590"/>
        <v>3.8130000000000002</v>
      </c>
      <c r="AH61" s="27">
        <v>0.20649999999999999</v>
      </c>
      <c r="AI61" s="40">
        <f t="shared" si="591"/>
        <v>33.936209999999996</v>
      </c>
      <c r="AJ61" s="27">
        <f t="shared" si="592"/>
        <v>0.90494172494172487</v>
      </c>
      <c r="AK61" s="28">
        <f t="shared" si="6"/>
        <v>0.90662554864506317</v>
      </c>
      <c r="AL61" s="33">
        <v>180</v>
      </c>
      <c r="AM61" s="35">
        <v>8.6999999999999994E-2</v>
      </c>
      <c r="AN61" s="37">
        <v>0.22259999999999999</v>
      </c>
      <c r="AO61" s="103">
        <v>0.22670000000000001</v>
      </c>
      <c r="AP61" s="40">
        <f>AL61*(1-AM61)*AN61</f>
        <v>36.582084000000002</v>
      </c>
      <c r="AQ61" s="104">
        <f t="shared" si="21"/>
        <v>37.255878000000003</v>
      </c>
      <c r="AR61" s="41">
        <v>1.55</v>
      </c>
      <c r="AS61" s="41"/>
      <c r="AT61" s="129">
        <f>AT60+AL61-AS61</f>
        <v>1730.4999999999986</v>
      </c>
      <c r="AU61" s="82"/>
      <c r="AV61" s="42"/>
      <c r="AW61" s="43"/>
      <c r="AX61" s="44"/>
      <c r="AY61" s="44"/>
      <c r="AZ61" s="44"/>
      <c r="BA61" s="44"/>
      <c r="BB61" s="31"/>
    </row>
    <row r="62" spans="1:54">
      <c r="A62" s="148"/>
      <c r="B62" s="32">
        <v>3</v>
      </c>
      <c r="C62" s="10" t="s">
        <v>58</v>
      </c>
      <c r="D62" s="42">
        <v>16600</v>
      </c>
      <c r="E62" s="42">
        <v>1</v>
      </c>
      <c r="F62" s="42">
        <v>19590</v>
      </c>
      <c r="G62" s="36">
        <v>0.7</v>
      </c>
      <c r="H62" s="36">
        <v>5</v>
      </c>
      <c r="I62" s="42">
        <v>18468</v>
      </c>
      <c r="J62" s="36">
        <v>1.1000000000000001</v>
      </c>
      <c r="K62" s="42">
        <v>15956</v>
      </c>
      <c r="L62" s="38">
        <v>5.8000000000000003E-2</v>
      </c>
      <c r="M62" s="36">
        <f>ROUND(K62*(1-L62),0)</f>
        <v>15031</v>
      </c>
      <c r="N62" s="27">
        <v>0.70699999999999996</v>
      </c>
      <c r="O62" s="24">
        <f t="shared" si="582"/>
        <v>10626.916999999999</v>
      </c>
      <c r="P62" s="38">
        <v>0.23499999999999999</v>
      </c>
      <c r="Q62" s="24">
        <f t="shared" si="583"/>
        <v>3532.2849999999999</v>
      </c>
      <c r="R62" s="38">
        <v>5.7000000000000002E-2</v>
      </c>
      <c r="S62" s="105"/>
      <c r="T62" s="24">
        <f t="shared" si="584"/>
        <v>856.76700000000005</v>
      </c>
      <c r="U62" s="27">
        <v>0.20499999999999999</v>
      </c>
      <c r="V62" s="24">
        <f t="shared" si="585"/>
        <v>3081.355</v>
      </c>
      <c r="W62" s="38">
        <v>0.499</v>
      </c>
      <c r="X62" s="24">
        <f t="shared" si="586"/>
        <v>7500.4690000000001</v>
      </c>
      <c r="Y62" s="38">
        <v>0.4</v>
      </c>
      <c r="Z62" s="24">
        <f t="shared" si="587"/>
        <v>6012.4000000000005</v>
      </c>
      <c r="AA62" s="118">
        <v>2.6900000000000001E-3</v>
      </c>
      <c r="AB62" s="121">
        <f t="shared" si="60"/>
        <v>40.433390000000003</v>
      </c>
      <c r="AC62" s="45">
        <v>2.8700000000000002E-3</v>
      </c>
      <c r="AD62" s="17">
        <f t="shared" si="589"/>
        <v>43.13897</v>
      </c>
      <c r="AE62" s="26">
        <f>IF(M62&gt;0,(AG62+AP62)/M62,0)</f>
        <v>2.6494492715055549E-3</v>
      </c>
      <c r="AF62" s="45">
        <v>2.4000000000000001E-4</v>
      </c>
      <c r="AG62" s="36">
        <f t="shared" si="590"/>
        <v>3.60744</v>
      </c>
      <c r="AH62" s="27">
        <v>0.20799999999999999</v>
      </c>
      <c r="AI62" s="40">
        <f t="shared" si="591"/>
        <v>35.283456000000001</v>
      </c>
      <c r="AJ62" s="27">
        <f t="shared" si="592"/>
        <v>0.91743488533405582</v>
      </c>
      <c r="AK62" s="28">
        <f t="shared" si="6"/>
        <v>0.91043858056769023</v>
      </c>
      <c r="AL62" s="42">
        <v>186</v>
      </c>
      <c r="AM62" s="38">
        <v>8.7999999999999995E-2</v>
      </c>
      <c r="AN62" s="27">
        <v>0.2135</v>
      </c>
      <c r="AO62" s="105">
        <v>0.21529999999999999</v>
      </c>
      <c r="AP62" s="40">
        <f>AL62*(1-AM62)*AN62</f>
        <v>36.216431999999998</v>
      </c>
      <c r="AQ62" s="106">
        <f t="shared" si="21"/>
        <v>36.521769599999999</v>
      </c>
      <c r="AR62" s="17">
        <v>1.55</v>
      </c>
      <c r="AS62" s="17"/>
      <c r="AT62" s="129">
        <f>AT61+AL62-AS62</f>
        <v>1916.4999999999986</v>
      </c>
      <c r="AU62" s="82"/>
      <c r="AV62" s="42"/>
      <c r="AW62" s="46"/>
      <c r="AX62" s="40"/>
      <c r="AY62" s="40"/>
      <c r="AZ62" s="40"/>
      <c r="BA62" s="40"/>
      <c r="BB62" s="31"/>
    </row>
    <row r="63" spans="1:54">
      <c r="A63" s="149"/>
      <c r="B63" s="47" t="s">
        <v>56</v>
      </c>
      <c r="C63" s="48"/>
      <c r="D63" s="49">
        <f t="shared" ref="D63" si="594">SUM(D60:D62)</f>
        <v>46100</v>
      </c>
      <c r="E63" s="49"/>
      <c r="F63" s="49">
        <f t="shared" ref="F63" si="595">SUM(F60:F62)</f>
        <v>48499</v>
      </c>
      <c r="G63" s="50"/>
      <c r="H63" s="50"/>
      <c r="I63" s="49">
        <f t="shared" ref="I63:K63" si="596">SUM(I60:I62)</f>
        <v>46830</v>
      </c>
      <c r="J63" s="50"/>
      <c r="K63" s="49">
        <f t="shared" si="596"/>
        <v>48719</v>
      </c>
      <c r="L63" s="20">
        <f t="shared" ref="L63" si="597">IF(K63&gt;0,(K60*L60+K61*L61+K62*L62)/K63,0)</f>
        <v>5.5950409491163609E-2</v>
      </c>
      <c r="M63" s="50">
        <f t="shared" ref="M63" si="598">M60+M61+M62</f>
        <v>45994</v>
      </c>
      <c r="N63" s="51">
        <f t="shared" ref="N63" si="599">IF(M63&gt;0,O63/M63,0)</f>
        <v>0.69023224768448066</v>
      </c>
      <c r="O63" s="52">
        <f t="shared" ref="O63" si="600">O60+O61+O62</f>
        <v>31746.542000000001</v>
      </c>
      <c r="P63" s="20">
        <f t="shared" ref="P63" si="601">IF(M63&gt;0,Q63/M63,0)</f>
        <v>0.25363764838892033</v>
      </c>
      <c r="Q63" s="52">
        <f t="shared" ref="Q63" si="602">Q60+Q61+Q62</f>
        <v>11665.810000000001</v>
      </c>
      <c r="R63" s="20">
        <f t="shared" ref="R63" si="603">IF(M63&gt;0,T63/M63,0)</f>
        <v>5.5803300430490935E-2</v>
      </c>
      <c r="S63" s="107"/>
      <c r="T63" s="52">
        <f t="shared" ref="T63" si="604">T60+T61+T62</f>
        <v>2566.6170000000002</v>
      </c>
      <c r="U63" s="20">
        <f t="shared" ref="U63" si="605">IF(M63&gt;0,V63/M63,0)</f>
        <v>0.22187981041005347</v>
      </c>
      <c r="V63" s="52">
        <f t="shared" ref="V63" si="606">V60+V61+V62</f>
        <v>10205.14</v>
      </c>
      <c r="W63" s="20">
        <f t="shared" ref="W63" si="607">IF(M63&gt;0,X63/M63,0)</f>
        <v>0.48887211375396794</v>
      </c>
      <c r="X63" s="52">
        <f t="shared" ref="X63" si="608">X60+X61+X62</f>
        <v>22485.184000000001</v>
      </c>
      <c r="Y63" s="20">
        <f t="shared" ref="Y63" si="609">IF(M63&gt;0,Z63/M63,0)</f>
        <v>0.4034158803322172</v>
      </c>
      <c r="Z63" s="52">
        <f t="shared" ref="Z63" si="610">Z60+Z61+Z62</f>
        <v>18554.71</v>
      </c>
      <c r="AA63" s="119">
        <f t="shared" ref="AA63" si="611">IF(M63&gt;0,AB63/M63,0)</f>
        <v>2.6637707092229423E-3</v>
      </c>
      <c r="AB63" s="54">
        <f t="shared" ref="AB63" si="612">SUM(AB60:AB62)</f>
        <v>122.51747</v>
      </c>
      <c r="AC63" s="53">
        <f t="shared" ref="AC63" si="613">IF(M63&gt;0,AD63/M63,0)</f>
        <v>2.7497227899291213E-3</v>
      </c>
      <c r="AD63" s="54">
        <f t="shared" ref="AD63" si="614">SUM(AD60:AD62)</f>
        <v>126.47075000000001</v>
      </c>
      <c r="AE63" s="53">
        <f t="shared" ref="AE63" si="615">IF(M63&gt;0,(AE60*M60+AE61*M61+AE62*M62)/M63,0)</f>
        <v>2.5947873766143407E-3</v>
      </c>
      <c r="AF63" s="53">
        <f t="shared" ref="AF63" si="616">IF(K63&gt;0,(K60*AF60+K61*AF61+K62*AF62)/K63,0)</f>
        <v>2.4672489172602069E-4</v>
      </c>
      <c r="AG63" s="50">
        <f t="shared" ref="AG63" si="617">SUM(AG60:AG62)</f>
        <v>11.348190000000001</v>
      </c>
      <c r="AH63" s="51">
        <f t="shared" ref="AH63" si="618">IF(K63&gt;0,(K60*AH60+K61*AH61+K62*AH62)/K63,0)</f>
        <v>0.20760228863482419</v>
      </c>
      <c r="AI63" s="56">
        <f t="shared" ref="AI63" si="619">SUM(AI60:AI62)</f>
        <v>103.98368619999999</v>
      </c>
      <c r="AJ63" s="51">
        <f t="shared" ref="AJ63" si="620">IF(AND(AD63&gt;0),((AD60*AJ60+AD61*AJ61+AD62*AJ62)/AD63),0)</f>
        <v>0.91135250356878872</v>
      </c>
      <c r="AK63" s="55">
        <f t="shared" si="6"/>
        <v>0.90595168734478326</v>
      </c>
      <c r="AL63" s="49">
        <f t="shared" ref="AL63" si="621">SUM(AL60:AL62)</f>
        <v>548</v>
      </c>
      <c r="AM63" s="20">
        <f t="shared" ref="AM63" si="622">IF(AL63&gt;0,(AM60*AL60+AM61*AL61+AM62*AL62)/AL63,0)</f>
        <v>8.6010948905109491E-2</v>
      </c>
      <c r="AN63" s="51">
        <f>IF(K63&gt;0,(AN60*K60+AN61*K61+AN62*K62)/K63,0)</f>
        <v>0.21564800591145136</v>
      </c>
      <c r="AO63" s="107">
        <f>IF(L63&gt;0,(AO60*K60+AO61*K61+AO62*K62)/K63,0)</f>
        <v>0.21909656807405734</v>
      </c>
      <c r="AP63" s="56">
        <f t="shared" ref="AP63" si="623">SUM(AP60:AP62)</f>
        <v>107.99646060000001</v>
      </c>
      <c r="AQ63" s="108">
        <f t="shared" si="579"/>
        <v>109.70992580000001</v>
      </c>
      <c r="AR63" s="54"/>
      <c r="AS63" s="54">
        <f t="shared" ref="AS63" si="624">SUM(AS60:AS62)</f>
        <v>0</v>
      </c>
      <c r="AT63" s="83"/>
      <c r="AU63" s="84">
        <f>AT62</f>
        <v>1916.4999999999986</v>
      </c>
      <c r="AV63" s="49">
        <f t="shared" ref="AV63" si="625">SUM(AV60:AV62)</f>
        <v>0</v>
      </c>
      <c r="AW63" s="57"/>
      <c r="AX63" s="56"/>
      <c r="AY63" s="56"/>
      <c r="AZ63" s="56"/>
      <c r="BA63" s="56"/>
      <c r="BB63" s="21"/>
    </row>
    <row r="64" spans="1:54">
      <c r="A64" s="147">
        <v>16</v>
      </c>
      <c r="B64" s="22">
        <v>1</v>
      </c>
      <c r="C64" s="10" t="s">
        <v>53</v>
      </c>
      <c r="D64" s="11">
        <v>4400</v>
      </c>
      <c r="E64" s="11">
        <v>0</v>
      </c>
      <c r="F64" s="11">
        <v>9392</v>
      </c>
      <c r="G64" s="12">
        <v>0.9</v>
      </c>
      <c r="H64" s="12">
        <v>5.5</v>
      </c>
      <c r="I64" s="11">
        <v>9344</v>
      </c>
      <c r="J64" s="12">
        <v>3.1</v>
      </c>
      <c r="K64" s="11">
        <v>15765</v>
      </c>
      <c r="L64" s="13">
        <v>6.2E-2</v>
      </c>
      <c r="M64" s="23">
        <f>ROUND(K64*(1-L64),0)</f>
        <v>14788</v>
      </c>
      <c r="N64" s="14">
        <v>0.78300000000000003</v>
      </c>
      <c r="O64" s="24">
        <f t="shared" ref="O64:O66" si="626">M64*N64</f>
        <v>11579.004000000001</v>
      </c>
      <c r="P64" s="13">
        <v>0.16</v>
      </c>
      <c r="Q64" s="24">
        <f t="shared" ref="Q64:Q66" si="627">M64*P64</f>
        <v>2366.08</v>
      </c>
      <c r="R64" s="15">
        <v>5.7000000000000002E-2</v>
      </c>
      <c r="S64" s="112">
        <v>0.24030000000000001</v>
      </c>
      <c r="T64" s="24">
        <f t="shared" ref="T64:T66" si="628">M64*R64</f>
        <v>842.91600000000005</v>
      </c>
      <c r="U64" s="25">
        <v>0.20799999999999999</v>
      </c>
      <c r="V64" s="24">
        <f t="shared" ref="V64:V66" si="629">M64*U64</f>
        <v>3075.904</v>
      </c>
      <c r="W64" s="15">
        <v>0.499</v>
      </c>
      <c r="X64" s="24">
        <f t="shared" ref="X64:X66" si="630">M64*W64</f>
        <v>7379.2119999999995</v>
      </c>
      <c r="Y64" s="15">
        <v>0.4</v>
      </c>
      <c r="Z64" s="24">
        <f t="shared" ref="Z64:Z66" si="631">Y64*M64</f>
        <v>5915.2000000000007</v>
      </c>
      <c r="AA64" s="116">
        <v>2.7699999999999999E-3</v>
      </c>
      <c r="AB64" s="18">
        <f t="shared" ref="AB64" si="632">M64*AA64</f>
        <v>40.962759999999996</v>
      </c>
      <c r="AC64" s="16">
        <v>2.8700000000000002E-3</v>
      </c>
      <c r="AD64" s="17">
        <f t="shared" ref="AD64:AD66" si="633">M64*AC64</f>
        <v>42.441560000000003</v>
      </c>
      <c r="AE64" s="26">
        <f>IF(M64&gt;0,(AG64+AP64)/M64,0)</f>
        <v>2.7910097917230193E-3</v>
      </c>
      <c r="AF64" s="16">
        <v>2.4000000000000001E-4</v>
      </c>
      <c r="AG64" s="23">
        <f t="shared" ref="AG64:AG66" si="634">AF64*M64</f>
        <v>3.5491200000000003</v>
      </c>
      <c r="AH64" s="92">
        <v>0.20660000000000001</v>
      </c>
      <c r="AI64" s="29">
        <f t="shared" ref="AI64:AI66" si="635">AL64*(1-AM64)*AH64</f>
        <v>35.234390400000002</v>
      </c>
      <c r="AJ64" s="27">
        <f t="shared" ref="AJ64:AJ66" si="636">IF(AND(AH64&gt;0,AF64&gt;0,AC64&gt;0),((AC64-AF64)*AH64)/((AH64-AF64)*AC64),0)</f>
        <v>0.91744206700782682</v>
      </c>
      <c r="AK64" s="58">
        <f t="shared" si="6"/>
        <v>0.91500238665575206</v>
      </c>
      <c r="AL64" s="11">
        <v>187</v>
      </c>
      <c r="AM64" s="13">
        <v>8.7999999999999995E-2</v>
      </c>
      <c r="AN64" s="14">
        <v>0.22120000000000001</v>
      </c>
      <c r="AO64" s="101">
        <v>0.2233</v>
      </c>
      <c r="AP64" s="29">
        <f>AL64*(1-AM64)*AN64</f>
        <v>37.724332800000006</v>
      </c>
      <c r="AQ64" s="102">
        <f t="shared" ref="AQ64" si="637">AL64*(1-AM64)*AO64</f>
        <v>38.082475200000005</v>
      </c>
      <c r="AR64" s="18">
        <v>1.6</v>
      </c>
      <c r="AS64" s="18">
        <v>1071.06</v>
      </c>
      <c r="AT64" s="79">
        <f>AT62+AL64-AS64+AU64</f>
        <v>1056.3199999999988</v>
      </c>
      <c r="AU64" s="80">
        <v>23.88</v>
      </c>
      <c r="AV64" s="11"/>
      <c r="AW64" s="30"/>
      <c r="AX64" s="19"/>
      <c r="AY64" s="19"/>
      <c r="AZ64" s="19"/>
      <c r="BA64" s="19"/>
      <c r="BB64" s="31"/>
    </row>
    <row r="65" spans="1:54">
      <c r="A65" s="148"/>
      <c r="B65" s="32">
        <v>2</v>
      </c>
      <c r="C65" s="10" t="s">
        <v>54</v>
      </c>
      <c r="D65" s="33">
        <v>19500</v>
      </c>
      <c r="E65" s="33">
        <v>3</v>
      </c>
      <c r="F65" s="33">
        <v>18511</v>
      </c>
      <c r="G65" s="34">
        <v>0.4</v>
      </c>
      <c r="H65" s="34">
        <v>5.4</v>
      </c>
      <c r="I65" s="33">
        <v>17216</v>
      </c>
      <c r="J65" s="34">
        <v>1.3</v>
      </c>
      <c r="K65" s="33">
        <v>15915</v>
      </c>
      <c r="L65" s="35">
        <v>5.2999999999999999E-2</v>
      </c>
      <c r="M65" s="36">
        <f>ROUND(K65*(1-L65),0)</f>
        <v>15072</v>
      </c>
      <c r="N65" s="37">
        <v>0.73699999999999999</v>
      </c>
      <c r="O65" s="24">
        <f t="shared" si="626"/>
        <v>11108.064</v>
      </c>
      <c r="P65" s="35">
        <v>0.221</v>
      </c>
      <c r="Q65" s="24">
        <f t="shared" si="627"/>
        <v>3330.9119999999998</v>
      </c>
      <c r="R65" s="38">
        <v>4.2000000000000003E-2</v>
      </c>
      <c r="S65" s="105">
        <v>0.2432</v>
      </c>
      <c r="T65" s="24">
        <f t="shared" si="628"/>
        <v>633.024</v>
      </c>
      <c r="U65" s="27">
        <v>0.216</v>
      </c>
      <c r="V65" s="24">
        <f t="shared" si="629"/>
        <v>3255.5520000000001</v>
      </c>
      <c r="W65" s="38">
        <v>0.48799999999999999</v>
      </c>
      <c r="X65" s="24">
        <f t="shared" si="630"/>
        <v>7355.1359999999995</v>
      </c>
      <c r="Y65" s="38">
        <v>0.39</v>
      </c>
      <c r="Z65" s="24">
        <f t="shared" si="631"/>
        <v>5878.08</v>
      </c>
      <c r="AA65" s="117">
        <v>2.7599999999999999E-3</v>
      </c>
      <c r="AB65" s="18">
        <f t="shared" si="60"/>
        <v>41.59872</v>
      </c>
      <c r="AC65" s="39">
        <v>2.9399999999999999E-3</v>
      </c>
      <c r="AD65" s="17">
        <f t="shared" si="633"/>
        <v>44.311679999999996</v>
      </c>
      <c r="AE65" s="26">
        <f>IF(M65&gt;0,(AG65+AP65)/M65,0)</f>
        <v>2.7877910828025478E-3</v>
      </c>
      <c r="AF65" s="39">
        <v>2.5000000000000001E-4</v>
      </c>
      <c r="AG65" s="36">
        <f t="shared" si="634"/>
        <v>3.7680000000000002</v>
      </c>
      <c r="AH65" s="27">
        <v>0.21260000000000001</v>
      </c>
      <c r="AI65" s="40">
        <f t="shared" si="635"/>
        <v>37.267929600000002</v>
      </c>
      <c r="AJ65" s="27">
        <f t="shared" si="636"/>
        <v>0.91604317733686369</v>
      </c>
      <c r="AK65" s="28">
        <f t="shared" si="6"/>
        <v>0.91136745396961272</v>
      </c>
      <c r="AL65" s="33">
        <v>192</v>
      </c>
      <c r="AM65" s="35">
        <v>8.6999999999999994E-2</v>
      </c>
      <c r="AN65" s="37">
        <v>0.21820000000000001</v>
      </c>
      <c r="AO65" s="103">
        <v>0.21829999999999999</v>
      </c>
      <c r="AP65" s="40">
        <f>AL65*(1-AM65)*AN65</f>
        <v>38.249587200000001</v>
      </c>
      <c r="AQ65" s="104">
        <f t="shared" si="21"/>
        <v>38.267116799999997</v>
      </c>
      <c r="AR65" s="41">
        <v>1.55</v>
      </c>
      <c r="AS65" s="41"/>
      <c r="AT65" s="129">
        <f>AT64+AL65-AS65</f>
        <v>1248.3199999999988</v>
      </c>
      <c r="AU65" s="82"/>
      <c r="AV65" s="42"/>
      <c r="AW65" s="43"/>
      <c r="AX65" s="44"/>
      <c r="AY65" s="44"/>
      <c r="AZ65" s="44"/>
      <c r="BA65" s="44"/>
      <c r="BB65" s="31"/>
    </row>
    <row r="66" spans="1:54">
      <c r="A66" s="148"/>
      <c r="B66" s="32">
        <v>3</v>
      </c>
      <c r="C66" s="10" t="s">
        <v>58</v>
      </c>
      <c r="D66" s="42">
        <v>19300</v>
      </c>
      <c r="E66" s="42">
        <v>1</v>
      </c>
      <c r="F66" s="42">
        <v>16689</v>
      </c>
      <c r="G66" s="36">
        <v>0.6</v>
      </c>
      <c r="H66" s="36">
        <v>4.9000000000000004</v>
      </c>
      <c r="I66" s="42">
        <v>16565</v>
      </c>
      <c r="J66" s="36">
        <v>1.5</v>
      </c>
      <c r="K66" s="42">
        <v>15963</v>
      </c>
      <c r="L66" s="38">
        <v>6.3E-2</v>
      </c>
      <c r="M66" s="36">
        <f>ROUND(K66*(1-L66),0)</f>
        <v>14957</v>
      </c>
      <c r="N66" s="27">
        <v>0.76600000000000001</v>
      </c>
      <c r="O66" s="24">
        <f t="shared" si="626"/>
        <v>11457.062</v>
      </c>
      <c r="P66" s="38">
        <v>0.19700000000000001</v>
      </c>
      <c r="Q66" s="24">
        <f t="shared" si="627"/>
        <v>2946.529</v>
      </c>
      <c r="R66" s="38">
        <v>3.6999999999999998E-2</v>
      </c>
      <c r="S66" s="105">
        <v>0.2301</v>
      </c>
      <c r="T66" s="24">
        <f t="shared" si="628"/>
        <v>553.40899999999999</v>
      </c>
      <c r="U66" s="27">
        <v>0.218</v>
      </c>
      <c r="V66" s="24">
        <f t="shared" si="629"/>
        <v>3260.6260000000002</v>
      </c>
      <c r="W66" s="38">
        <v>0.49099999999999999</v>
      </c>
      <c r="X66" s="24">
        <f t="shared" si="630"/>
        <v>7343.8869999999997</v>
      </c>
      <c r="Y66" s="38">
        <v>0.4</v>
      </c>
      <c r="Z66" s="24">
        <f t="shared" si="631"/>
        <v>5982.8</v>
      </c>
      <c r="AA66" s="118">
        <v>2.81E-3</v>
      </c>
      <c r="AB66" s="121">
        <f t="shared" si="60"/>
        <v>42.029170000000001</v>
      </c>
      <c r="AC66" s="45">
        <v>2.9399999999999999E-3</v>
      </c>
      <c r="AD66" s="17">
        <f t="shared" si="633"/>
        <v>43.973579999999998</v>
      </c>
      <c r="AE66" s="26">
        <f>IF(M66&gt;0,(AG66+AP66)/M66,0)</f>
        <v>2.9782810857792337E-3</v>
      </c>
      <c r="AF66" s="45">
        <v>2.5000000000000001E-4</v>
      </c>
      <c r="AG66" s="36">
        <f t="shared" si="634"/>
        <v>3.7392500000000002</v>
      </c>
      <c r="AH66" s="27">
        <v>0.2082</v>
      </c>
      <c r="AI66" s="40">
        <f t="shared" si="635"/>
        <v>37.827233400000004</v>
      </c>
      <c r="AJ66" s="27">
        <f t="shared" si="636"/>
        <v>0.91606596954723196</v>
      </c>
      <c r="AK66" s="28">
        <f t="shared" si="6"/>
        <v>0.91707975619477278</v>
      </c>
      <c r="AL66" s="42">
        <v>199</v>
      </c>
      <c r="AM66" s="38">
        <v>8.6999999999999994E-2</v>
      </c>
      <c r="AN66" s="27">
        <v>0.22459999999999999</v>
      </c>
      <c r="AO66" s="105">
        <v>0.22919999999999999</v>
      </c>
      <c r="AP66" s="40">
        <f>AL66*(1-AM66)*AN66</f>
        <v>40.806900200000001</v>
      </c>
      <c r="AQ66" s="106">
        <f t="shared" si="21"/>
        <v>41.642660399999997</v>
      </c>
      <c r="AR66" s="17">
        <v>1.55</v>
      </c>
      <c r="AS66" s="17"/>
      <c r="AT66" s="129">
        <f>AT65+AL66-AS66</f>
        <v>1447.3199999999988</v>
      </c>
      <c r="AU66" s="82"/>
      <c r="AV66" s="42"/>
      <c r="AW66" s="46"/>
      <c r="AX66" s="40"/>
      <c r="AY66" s="40"/>
      <c r="AZ66" s="40"/>
      <c r="BA66" s="40"/>
      <c r="BB66" s="31"/>
    </row>
    <row r="67" spans="1:54">
      <c r="A67" s="149"/>
      <c r="B67" s="47" t="s">
        <v>56</v>
      </c>
      <c r="C67" s="48"/>
      <c r="D67" s="49">
        <f t="shared" ref="D67" si="638">SUM(D64:D66)</f>
        <v>43200</v>
      </c>
      <c r="E67" s="49"/>
      <c r="F67" s="49">
        <f t="shared" ref="F67" si="639">SUM(F64:F66)</f>
        <v>44592</v>
      </c>
      <c r="G67" s="50"/>
      <c r="H67" s="50"/>
      <c r="I67" s="49">
        <f t="shared" ref="I67:K67" si="640">SUM(I64:I66)</f>
        <v>43125</v>
      </c>
      <c r="J67" s="50"/>
      <c r="K67" s="49">
        <f t="shared" si="640"/>
        <v>47643</v>
      </c>
      <c r="L67" s="20">
        <f t="shared" ref="L67" si="641">IF(K67&gt;0,(K64*L64+K65*L65+K66*L66)/K67,0)</f>
        <v>5.9328631698255779E-2</v>
      </c>
      <c r="M67" s="50">
        <f t="shared" ref="M67" si="642">M64+M65+M66</f>
        <v>44817</v>
      </c>
      <c r="N67" s="51">
        <f t="shared" ref="N67" si="643">IF(M67&gt;0,O67/M67,0)</f>
        <v>0.76185666153468545</v>
      </c>
      <c r="O67" s="52">
        <f t="shared" ref="O67" si="644">O64+O65+O66</f>
        <v>34144.129999999997</v>
      </c>
      <c r="P67" s="20">
        <f t="shared" ref="P67" si="645">IF(M67&gt;0,Q67/M67,0)</f>
        <v>0.19286255215654774</v>
      </c>
      <c r="Q67" s="52">
        <f t="shared" ref="Q67" si="646">Q64+Q65+Q66</f>
        <v>8643.5210000000006</v>
      </c>
      <c r="R67" s="20">
        <f t="shared" ref="R67" si="647">IF(M67&gt;0,T67/M67,0)</f>
        <v>4.5280786308766766E-2</v>
      </c>
      <c r="S67" s="107"/>
      <c r="T67" s="52">
        <f t="shared" ref="T67" si="648">T64+T65+T66</f>
        <v>2029.3490000000002</v>
      </c>
      <c r="U67" s="20">
        <f t="shared" ref="U67" si="649">IF(M67&gt;0,V67/M67,0)</f>
        <v>0.21402775732422966</v>
      </c>
      <c r="V67" s="52">
        <f t="shared" ref="V67" si="650">V64+V65+V66</f>
        <v>9592.0820000000003</v>
      </c>
      <c r="W67" s="20">
        <f t="shared" ref="W67" si="651">IF(M67&gt;0,X67/M67,0)</f>
        <v>0.49263080973737639</v>
      </c>
      <c r="X67" s="52">
        <f t="shared" ref="X67" si="652">X64+X65+X66</f>
        <v>22078.234999999997</v>
      </c>
      <c r="Y67" s="20">
        <f t="shared" ref="Y67" si="653">IF(M67&gt;0,Z67/M67,0)</f>
        <v>0.39663699042773953</v>
      </c>
      <c r="Z67" s="52">
        <f t="shared" ref="Z67" si="654">Z64+Z65+Z66</f>
        <v>17776.080000000002</v>
      </c>
      <c r="AA67" s="119">
        <f t="shared" ref="AA67" si="655">IF(M67&gt;0,AB67/M67,0)</f>
        <v>2.7799863890934241E-3</v>
      </c>
      <c r="AB67" s="54">
        <f t="shared" ref="AB67" si="656">SUM(AB64:AB66)</f>
        <v>124.59064999999998</v>
      </c>
      <c r="AC67" s="53">
        <f t="shared" ref="AC67" si="657">IF(M67&gt;0,AD67/M67,0)</f>
        <v>2.9169025146707724E-3</v>
      </c>
      <c r="AD67" s="54">
        <f t="shared" ref="AD67" si="658">SUM(AD64:AD66)</f>
        <v>130.72682</v>
      </c>
      <c r="AE67" s="53">
        <f t="shared" ref="AE67" si="659">IF(M67&gt;0,(AE64*M64+AE65*M65+AE66*M66)/M67,0)</f>
        <v>2.8524263159069104E-3</v>
      </c>
      <c r="AF67" s="53">
        <f t="shared" ref="AF67" si="660">IF(K67&gt;0,(K64*AF64+K65*AF65+K66*AF66)/K67,0)</f>
        <v>2.4669101441974686E-4</v>
      </c>
      <c r="AG67" s="50">
        <f t="shared" ref="AG67" si="661">SUM(AG64:AG66)</f>
        <v>11.056370000000001</v>
      </c>
      <c r="AH67" s="51">
        <f t="shared" ref="AH67" si="662">IF(K67&gt;0,(K64*AH64+K65*AH65+K66*AH66)/K67,0)</f>
        <v>0.20914036899439581</v>
      </c>
      <c r="AI67" s="56">
        <f t="shared" ref="AI67" si="663">SUM(AI64:AI66)</f>
        <v>110.32955340000001</v>
      </c>
      <c r="AJ67" s="51">
        <f t="shared" ref="AJ67" si="664">IF(AND(AD67&gt;0),((AD64*AJ64+AD65*AJ65+AD66*AJ66)/AD67),0)</f>
        <v>0.91650500540695334</v>
      </c>
      <c r="AK67" s="55">
        <f t="shared" si="6"/>
        <v>0.91453467089098905</v>
      </c>
      <c r="AL67" s="49">
        <f t="shared" ref="AL67" si="665">SUM(AL64:AL66)</f>
        <v>578</v>
      </c>
      <c r="AM67" s="20">
        <f t="shared" ref="AM67" si="666">IF(AL67&gt;0,(AM64*AL64+AM65*AL65+AM66*AL66)/AL67,0)</f>
        <v>8.7323529411764703E-2</v>
      </c>
      <c r="AN67" s="51">
        <f>IF(K67&gt;0,(AN64*K64+AN65*K65+AN66*K66)/K67,0)</f>
        <v>0.22133704426673387</v>
      </c>
      <c r="AO67" s="107">
        <f>IF(L67&gt;0,(AO64*K64+AO65*K65+AO66*K66)/K67,0)</f>
        <v>0.22360658648699705</v>
      </c>
      <c r="AP67" s="56">
        <f t="shared" ref="AP67" si="667">SUM(AP64:AP66)</f>
        <v>116.78082020000001</v>
      </c>
      <c r="AQ67" s="108">
        <f t="shared" si="579"/>
        <v>117.9922524</v>
      </c>
      <c r="AR67" s="54"/>
      <c r="AS67" s="54">
        <f t="shared" ref="AS67" si="668">SUM(AS64:AS66)</f>
        <v>1071.06</v>
      </c>
      <c r="AT67" s="83"/>
      <c r="AU67" s="84">
        <f>AT66</f>
        <v>1447.3199999999988</v>
      </c>
      <c r="AV67" s="49">
        <f t="shared" ref="AV67" si="669">SUM(AV64:AV66)</f>
        <v>0</v>
      </c>
      <c r="AW67" s="57"/>
      <c r="AX67" s="56"/>
      <c r="AY67" s="56"/>
      <c r="AZ67" s="56"/>
      <c r="BA67" s="56"/>
      <c r="BB67" s="21"/>
    </row>
    <row r="68" spans="1:54">
      <c r="A68" s="147">
        <v>17</v>
      </c>
      <c r="B68" s="22">
        <v>1</v>
      </c>
      <c r="C68" s="10" t="s">
        <v>53</v>
      </c>
      <c r="D68" s="11">
        <v>3700</v>
      </c>
      <c r="E68" s="11">
        <v>1</v>
      </c>
      <c r="F68" s="11">
        <v>10262</v>
      </c>
      <c r="G68" s="12">
        <v>0.7</v>
      </c>
      <c r="H68" s="12">
        <v>5.7</v>
      </c>
      <c r="I68" s="11">
        <v>10340</v>
      </c>
      <c r="J68" s="12">
        <v>3</v>
      </c>
      <c r="K68" s="11">
        <v>15851</v>
      </c>
      <c r="L68" s="13">
        <v>5.5E-2</v>
      </c>
      <c r="M68" s="23">
        <f>ROUND(K68*(1-L68),0)</f>
        <v>14979</v>
      </c>
      <c r="N68" s="14">
        <v>0.77400000000000002</v>
      </c>
      <c r="O68" s="24">
        <f t="shared" ref="O68:O70" si="670">M68*N68</f>
        <v>11593.746000000001</v>
      </c>
      <c r="P68" s="13">
        <v>0.17799999999999999</v>
      </c>
      <c r="Q68" s="24">
        <f t="shared" ref="Q68:Q70" si="671">M68*P68</f>
        <v>2666.2619999999997</v>
      </c>
      <c r="R68" s="15">
        <v>4.8000000000000001E-2</v>
      </c>
      <c r="S68" s="112">
        <v>0.2293</v>
      </c>
      <c r="T68" s="24">
        <f t="shared" ref="T68:T70" si="672">M68*R68</f>
        <v>718.99199999999996</v>
      </c>
      <c r="U68" s="25">
        <v>0.217</v>
      </c>
      <c r="V68" s="24">
        <f t="shared" ref="V68:V70" si="673">M68*U68</f>
        <v>3250.4429999999998</v>
      </c>
      <c r="W68" s="15">
        <v>0.496</v>
      </c>
      <c r="X68" s="24">
        <f t="shared" ref="X68:X70" si="674">M68*W68</f>
        <v>7429.5839999999998</v>
      </c>
      <c r="Y68" s="15">
        <v>0.38</v>
      </c>
      <c r="Z68" s="24">
        <f t="shared" ref="Z68:Z70" si="675">Y68*M68</f>
        <v>5692.02</v>
      </c>
      <c r="AA68" s="116">
        <v>2.7299999999999998E-3</v>
      </c>
      <c r="AB68" s="18">
        <f t="shared" ref="AB68" si="676">M68*AA68</f>
        <v>40.892669999999995</v>
      </c>
      <c r="AC68" s="16">
        <v>2.8300000000000001E-3</v>
      </c>
      <c r="AD68" s="17">
        <f t="shared" ref="AD68:AD70" si="677">M68*AC68</f>
        <v>42.390570000000004</v>
      </c>
      <c r="AE68" s="26">
        <f>IF(M68&gt;0,(AG68+AP68)/M68,0)</f>
        <v>2.6425405167234133E-3</v>
      </c>
      <c r="AF68" s="16">
        <v>2.5999999999999998E-4</v>
      </c>
      <c r="AG68" s="23">
        <f t="shared" ref="AG68:AG70" si="678">AF68*M68</f>
        <v>3.8945399999999997</v>
      </c>
      <c r="AH68" s="92">
        <v>0.20530000000000001</v>
      </c>
      <c r="AI68" s="29">
        <f t="shared" ref="AI68:AI70" si="679">AL68*(1-AM68)*AH68</f>
        <v>34.301318700000003</v>
      </c>
      <c r="AJ68" s="27">
        <f t="shared" ref="AJ68:AJ70" si="680">IF(AND(AH68&gt;0,AF68&gt;0,AC68&gt;0),((AC68-AF68)*AH68)/((AH68-AF68)*AC68),0)</f>
        <v>0.90927875488226728</v>
      </c>
      <c r="AK68" s="58">
        <f t="shared" ref="AK68:AK119" si="681">IF(AND(AE68&gt;0,AN68&gt;0,AF68&gt;0),((AN68*(AE68-AF68))/(AE68*(AN68-AF68))),0)</f>
        <v>0.90270863668630519</v>
      </c>
      <c r="AL68" s="11">
        <v>183</v>
      </c>
      <c r="AM68" s="13">
        <v>8.6999999999999994E-2</v>
      </c>
      <c r="AN68" s="14">
        <v>0.21360000000000001</v>
      </c>
      <c r="AO68" s="101">
        <v>0.21329999999999999</v>
      </c>
      <c r="AP68" s="29">
        <f>AL68*(1-AM68)*AN68</f>
        <v>35.688074400000005</v>
      </c>
      <c r="AQ68" s="102">
        <f t="shared" ref="AQ68" si="682">AL68*(1-AM68)*AO68</f>
        <v>35.637950699999998</v>
      </c>
      <c r="AR68" s="18">
        <v>1.6</v>
      </c>
      <c r="AS68" s="18">
        <v>1039.3</v>
      </c>
      <c r="AT68" s="79">
        <f>AT66+AL68-AS68+AU68</f>
        <v>581.19999999999879</v>
      </c>
      <c r="AU68" s="130">
        <v>-9.82</v>
      </c>
      <c r="AV68" s="11"/>
      <c r="AW68" s="30"/>
      <c r="AX68" s="19"/>
      <c r="AY68" s="19"/>
      <c r="AZ68" s="19"/>
      <c r="BA68" s="19"/>
      <c r="BB68" s="31"/>
    </row>
    <row r="69" spans="1:54">
      <c r="A69" s="148"/>
      <c r="B69" s="32">
        <v>2</v>
      </c>
      <c r="C69" s="10" t="s">
        <v>54</v>
      </c>
      <c r="D69" s="33">
        <v>19100</v>
      </c>
      <c r="E69" s="33">
        <v>6</v>
      </c>
      <c r="F69" s="33">
        <v>18456</v>
      </c>
      <c r="G69" s="34">
        <v>0.5</v>
      </c>
      <c r="H69" s="34">
        <v>5.7</v>
      </c>
      <c r="I69" s="33">
        <v>17157</v>
      </c>
      <c r="J69" s="34">
        <v>1.6</v>
      </c>
      <c r="K69" s="33">
        <v>16081</v>
      </c>
      <c r="L69" s="35">
        <v>5.1999999999999998E-2</v>
      </c>
      <c r="M69" s="36">
        <f>ROUND(K69*(1-L69),0)</f>
        <v>15245</v>
      </c>
      <c r="N69" s="37">
        <v>0.71799999999999997</v>
      </c>
      <c r="O69" s="24">
        <f t="shared" si="670"/>
        <v>10945.91</v>
      </c>
      <c r="P69" s="35">
        <v>0.248</v>
      </c>
      <c r="Q69" s="24">
        <f t="shared" si="671"/>
        <v>3780.7599999999998</v>
      </c>
      <c r="R69" s="38">
        <v>3.4000000000000002E-2</v>
      </c>
      <c r="S69" s="105">
        <v>0.2278</v>
      </c>
      <c r="T69" s="24">
        <f t="shared" si="672"/>
        <v>518.33000000000004</v>
      </c>
      <c r="U69" s="27">
        <v>0.22</v>
      </c>
      <c r="V69" s="24">
        <f t="shared" si="673"/>
        <v>3353.9</v>
      </c>
      <c r="W69" s="38">
        <v>0.48899999999999999</v>
      </c>
      <c r="X69" s="24">
        <f t="shared" si="674"/>
        <v>7454.8050000000003</v>
      </c>
      <c r="Y69" s="38">
        <v>0.39</v>
      </c>
      <c r="Z69" s="24">
        <f t="shared" si="675"/>
        <v>5945.55</v>
      </c>
      <c r="AA69" s="117">
        <v>2.82E-3</v>
      </c>
      <c r="AB69" s="18">
        <f t="shared" si="60"/>
        <v>42.990900000000003</v>
      </c>
      <c r="AC69" s="39">
        <v>2.7899999999999999E-3</v>
      </c>
      <c r="AD69" s="17">
        <f t="shared" si="677"/>
        <v>42.533549999999998</v>
      </c>
      <c r="AE69" s="26">
        <f>IF(M69&gt;0,(AG69+AP69)/M69,0)</f>
        <v>2.7686417841915386E-3</v>
      </c>
      <c r="AF69" s="39">
        <v>2.5000000000000001E-4</v>
      </c>
      <c r="AG69" s="36">
        <f t="shared" si="678"/>
        <v>3.8112500000000002</v>
      </c>
      <c r="AH69" s="27">
        <v>0.21160000000000001</v>
      </c>
      <c r="AI69" s="40">
        <f t="shared" si="679"/>
        <v>37.948344000000006</v>
      </c>
      <c r="AJ69" s="27">
        <f t="shared" si="680"/>
        <v>0.91147114513034055</v>
      </c>
      <c r="AK69" s="28">
        <f t="shared" si="681"/>
        <v>0.91076649964459977</v>
      </c>
      <c r="AL69" s="33">
        <v>196</v>
      </c>
      <c r="AM69" s="35">
        <v>8.5000000000000006E-2</v>
      </c>
      <c r="AN69" s="37">
        <v>0.21410000000000001</v>
      </c>
      <c r="AO69" s="103">
        <v>0.21310000000000001</v>
      </c>
      <c r="AP69" s="40">
        <f>AL69*(1-AM69)*AN69</f>
        <v>38.396694000000004</v>
      </c>
      <c r="AQ69" s="104">
        <f t="shared" si="21"/>
        <v>38.217354</v>
      </c>
      <c r="AR69" s="41">
        <v>1.58</v>
      </c>
      <c r="AS69" s="41"/>
      <c r="AT69" s="129">
        <f>AT68+AL69-AS69</f>
        <v>777.19999999999879</v>
      </c>
      <c r="AU69" s="82"/>
      <c r="AV69" s="42"/>
      <c r="AW69" s="43"/>
      <c r="AX69" s="44"/>
      <c r="AY69" s="44"/>
      <c r="AZ69" s="44"/>
      <c r="BA69" s="44"/>
      <c r="BB69" s="31"/>
    </row>
    <row r="70" spans="1:54">
      <c r="A70" s="148"/>
      <c r="B70" s="32">
        <v>3</v>
      </c>
      <c r="C70" s="10" t="s">
        <v>59</v>
      </c>
      <c r="D70" s="42">
        <v>19062</v>
      </c>
      <c r="E70" s="42">
        <v>0</v>
      </c>
      <c r="F70" s="42">
        <v>17107</v>
      </c>
      <c r="G70" s="36">
        <v>0.5</v>
      </c>
      <c r="H70" s="36">
        <v>7.6</v>
      </c>
      <c r="I70" s="42">
        <v>16778</v>
      </c>
      <c r="J70" s="36">
        <v>1</v>
      </c>
      <c r="K70" s="42">
        <v>16180</v>
      </c>
      <c r="L70" s="38">
        <v>0.06</v>
      </c>
      <c r="M70" s="36">
        <f>ROUND(K70*(1-L70),0)</f>
        <v>15209</v>
      </c>
      <c r="N70" s="27">
        <v>0.64700000000000002</v>
      </c>
      <c r="O70" s="24">
        <f t="shared" si="670"/>
        <v>9840.223</v>
      </c>
      <c r="P70" s="38">
        <v>0.30499999999999999</v>
      </c>
      <c r="Q70" s="24">
        <f t="shared" si="671"/>
        <v>4638.7449999999999</v>
      </c>
      <c r="R70" s="38">
        <v>4.8000000000000001E-2</v>
      </c>
      <c r="S70" s="105">
        <v>0.2225</v>
      </c>
      <c r="T70" s="24">
        <f t="shared" si="672"/>
        <v>730.03200000000004</v>
      </c>
      <c r="U70" s="27">
        <v>0.222</v>
      </c>
      <c r="V70" s="24">
        <f t="shared" si="673"/>
        <v>3376.3980000000001</v>
      </c>
      <c r="W70" s="38">
        <v>0.48799999999999999</v>
      </c>
      <c r="X70" s="24">
        <f t="shared" si="674"/>
        <v>7421.9920000000002</v>
      </c>
      <c r="Y70" s="38">
        <v>0.4</v>
      </c>
      <c r="Z70" s="24">
        <f t="shared" si="675"/>
        <v>6083.6</v>
      </c>
      <c r="AA70" s="118">
        <v>2.66E-3</v>
      </c>
      <c r="AB70" s="121">
        <f t="shared" si="60"/>
        <v>40.455939999999998</v>
      </c>
      <c r="AC70" s="45">
        <v>2.6700000000000001E-3</v>
      </c>
      <c r="AD70" s="17">
        <f t="shared" si="677"/>
        <v>40.608029999999999</v>
      </c>
      <c r="AE70" s="26">
        <f>IF(M70&gt;0,(AG70+AP70)/M70,0)</f>
        <v>2.6945106647379841E-3</v>
      </c>
      <c r="AF70" s="45">
        <v>2.4000000000000001E-4</v>
      </c>
      <c r="AG70" s="36">
        <f t="shared" si="678"/>
        <v>3.6501600000000001</v>
      </c>
      <c r="AH70" s="27">
        <v>0.20830000000000001</v>
      </c>
      <c r="AI70" s="40">
        <f t="shared" si="679"/>
        <v>34.422199900000003</v>
      </c>
      <c r="AJ70" s="27">
        <f t="shared" si="680"/>
        <v>0.91116218636153989</v>
      </c>
      <c r="AK70" s="28">
        <f t="shared" si="681"/>
        <v>0.91189884091871509</v>
      </c>
      <c r="AL70" s="42">
        <v>181</v>
      </c>
      <c r="AM70" s="38">
        <v>8.6999999999999994E-2</v>
      </c>
      <c r="AN70" s="27">
        <v>0.22589999999999999</v>
      </c>
      <c r="AO70" s="105">
        <v>0.22470000000000001</v>
      </c>
      <c r="AP70" s="40">
        <f>AL70*(1-AM70)*AN70</f>
        <v>37.330652700000002</v>
      </c>
      <c r="AQ70" s="106">
        <f t="shared" si="21"/>
        <v>37.132349100000006</v>
      </c>
      <c r="AR70" s="17">
        <v>1.6</v>
      </c>
      <c r="AS70" s="17"/>
      <c r="AT70" s="129">
        <f>AT69+AL70-AS70</f>
        <v>958.19999999999879</v>
      </c>
      <c r="AU70" s="82"/>
      <c r="AV70" s="42"/>
      <c r="AW70" s="46"/>
      <c r="AX70" s="40"/>
      <c r="AY70" s="40"/>
      <c r="AZ70" s="40"/>
      <c r="BA70" s="40"/>
      <c r="BB70" s="31"/>
    </row>
    <row r="71" spans="1:54">
      <c r="A71" s="149"/>
      <c r="B71" s="47" t="s">
        <v>56</v>
      </c>
      <c r="C71" s="48"/>
      <c r="D71" s="49">
        <f t="shared" ref="D71" si="683">SUM(D68:D70)</f>
        <v>41862</v>
      </c>
      <c r="E71" s="49"/>
      <c r="F71" s="49">
        <f t="shared" ref="F71" si="684">SUM(F68:F70)</f>
        <v>45825</v>
      </c>
      <c r="G71" s="50"/>
      <c r="H71" s="50"/>
      <c r="I71" s="49">
        <f t="shared" ref="I71:K71" si="685">SUM(I68:I70)</f>
        <v>44275</v>
      </c>
      <c r="J71" s="50"/>
      <c r="K71" s="49">
        <f t="shared" si="685"/>
        <v>48112</v>
      </c>
      <c r="L71" s="20">
        <f t="shared" ref="L71" si="686">IF(K71&gt;0,(K68*L68+K69*L69+K70*L70)/K71,0)</f>
        <v>5.5678770369138673E-2</v>
      </c>
      <c r="M71" s="50">
        <f t="shared" ref="M71" si="687">M68+M69+M70</f>
        <v>45433</v>
      </c>
      <c r="N71" s="51">
        <f t="shared" ref="N71" si="688">IF(M71&gt;0,O71/M71,0)</f>
        <v>0.71269515550370877</v>
      </c>
      <c r="O71" s="52">
        <f t="shared" ref="O71" si="689">O68+O69+O70</f>
        <v>32379.879000000001</v>
      </c>
      <c r="P71" s="20">
        <f t="shared" ref="P71" si="690">IF(M71&gt;0,Q71/M71,0)</f>
        <v>0.24400253119978871</v>
      </c>
      <c r="Q71" s="52">
        <f t="shared" ref="Q71" si="691">Q68+Q69+Q70</f>
        <v>11085.767</v>
      </c>
      <c r="R71" s="20">
        <f t="shared" ref="R71" si="692">IF(M71&gt;0,T71/M71,0)</f>
        <v>4.3302313296502547E-2</v>
      </c>
      <c r="S71" s="107"/>
      <c r="T71" s="52">
        <f t="shared" ref="T71" si="693">T68+T69+T70</f>
        <v>1967.3540000000003</v>
      </c>
      <c r="U71" s="20">
        <f t="shared" ref="U71" si="694">IF(M71&gt;0,V71/M71,0)</f>
        <v>0.21968043052406841</v>
      </c>
      <c r="V71" s="52">
        <f t="shared" ref="V71" si="695">V68+V69+V70</f>
        <v>9980.741</v>
      </c>
      <c r="W71" s="20">
        <f t="shared" ref="W71" si="696">IF(M71&gt;0,X71/M71,0)</f>
        <v>0.49097310325094096</v>
      </c>
      <c r="X71" s="52">
        <f t="shared" ref="X71" si="697">X68+X69+X70</f>
        <v>22306.381000000001</v>
      </c>
      <c r="Y71" s="20">
        <f t="shared" ref="Y71" si="698">IF(M71&gt;0,Z71/M71,0)</f>
        <v>0.39005062399577395</v>
      </c>
      <c r="Z71" s="52">
        <f t="shared" ref="Z71" si="699">Z68+Z69+Z70</f>
        <v>17721.169999999998</v>
      </c>
      <c r="AA71" s="119">
        <f t="shared" ref="AA71" si="700">IF(M71&gt;0,AB71/M71,0)</f>
        <v>2.7367664472960182E-3</v>
      </c>
      <c r="AB71" s="54">
        <f t="shared" ref="AB71" si="701">SUM(AB68:AB70)</f>
        <v>124.33950999999999</v>
      </c>
      <c r="AC71" s="53">
        <f t="shared" ref="AC71" si="702">IF(M71&gt;0,AD71/M71,0)</f>
        <v>2.7630169700438006E-3</v>
      </c>
      <c r="AD71" s="54">
        <f t="shared" ref="AD71" si="703">SUM(AD68:AD70)</f>
        <v>125.53215</v>
      </c>
      <c r="AE71" s="53">
        <f t="shared" ref="AE71" si="704">IF(M71&gt;0,(AE68*M68+AE69*M69+AE70*M70)/M71,0)</f>
        <v>2.7022510311887839E-3</v>
      </c>
      <c r="AF71" s="53">
        <f t="shared" ref="AF71" si="705">IF(K71&gt;0,(K68*AF68+K69*AF69+K70*AF70)/K71,0)</f>
        <v>2.4993161789158632E-4</v>
      </c>
      <c r="AG71" s="50">
        <f t="shared" ref="AG71" si="706">SUM(AG68:AG70)</f>
        <v>11.35595</v>
      </c>
      <c r="AH71" s="51">
        <f t="shared" ref="AH71" si="707">IF(K71&gt;0,(K68*AH68+K69*AH69+K70*AH70)/K71,0)</f>
        <v>0.20841461381775858</v>
      </c>
      <c r="AI71" s="56">
        <f t="shared" ref="AI71" si="708">SUM(AI68:AI70)</f>
        <v>106.67186260000003</v>
      </c>
      <c r="AJ71" s="51">
        <f t="shared" ref="AJ71" si="709">IF(AND(AD71&gt;0),((AD68*AJ68+AD69*AJ69+AD70*AJ70)/AD71),0)</f>
        <v>0.91063085936107357</v>
      </c>
      <c r="AK71" s="55">
        <f t="shared" si="681"/>
        <v>0.90855193777922838</v>
      </c>
      <c r="AL71" s="49">
        <f t="shared" ref="AL71" si="710">SUM(AL68:AL70)</f>
        <v>560</v>
      </c>
      <c r="AM71" s="20">
        <f t="shared" ref="AM71" si="711">IF(AL71&gt;0,(AM68*AL68+AM69*AL69+AM70*AL70)/AL71,0)</f>
        <v>8.6300000000000002E-2</v>
      </c>
      <c r="AN71" s="51">
        <f>IF(K71&gt;0,(AN68*K68+AN69*K69+AN70*K70)/K71,0)</f>
        <v>0.21790359369803791</v>
      </c>
      <c r="AO71" s="107">
        <f>IF(L71&gt;0,(AO68*K68+AO69*K69+AO70*K70)/K71,0)</f>
        <v>0.21706695626870637</v>
      </c>
      <c r="AP71" s="56">
        <f t="shared" ref="AP71" si="712">SUM(AP68:AP70)</f>
        <v>111.4154211</v>
      </c>
      <c r="AQ71" s="108">
        <f t="shared" si="579"/>
        <v>110.9876538</v>
      </c>
      <c r="AR71" s="54"/>
      <c r="AS71" s="54">
        <f t="shared" ref="AS71" si="713">SUM(AS68:AS70)</f>
        <v>1039.3</v>
      </c>
      <c r="AT71" s="83"/>
      <c r="AU71" s="84">
        <f>AT70</f>
        <v>958.19999999999879</v>
      </c>
      <c r="AV71" s="49">
        <f t="shared" ref="AV71" si="714">SUM(AV68:AV70)</f>
        <v>0</v>
      </c>
      <c r="AW71" s="57"/>
      <c r="AX71" s="56"/>
      <c r="AY71" s="56"/>
      <c r="AZ71" s="56"/>
      <c r="BA71" s="56"/>
      <c r="BB71" s="21"/>
    </row>
    <row r="72" spans="1:54">
      <c r="A72" s="147">
        <v>18</v>
      </c>
      <c r="B72" s="22">
        <v>1</v>
      </c>
      <c r="C72" s="143" t="s">
        <v>57</v>
      </c>
      <c r="D72" s="11">
        <v>6400</v>
      </c>
      <c r="E72" s="11">
        <v>0</v>
      </c>
      <c r="F72" s="11">
        <v>9814</v>
      </c>
      <c r="G72" s="12">
        <v>0.6</v>
      </c>
      <c r="H72" s="12">
        <v>6.9</v>
      </c>
      <c r="I72" s="11">
        <v>10103</v>
      </c>
      <c r="J72" s="131">
        <v>3</v>
      </c>
      <c r="K72" s="11">
        <v>16128</v>
      </c>
      <c r="L72" s="13">
        <v>6.4000000000000001E-2</v>
      </c>
      <c r="M72" s="23">
        <f>ROUND(K72*(1-L72),0)</f>
        <v>15096</v>
      </c>
      <c r="N72" s="14">
        <v>0.75800000000000001</v>
      </c>
      <c r="O72" s="24">
        <f t="shared" ref="O72:O74" si="715">M72*N72</f>
        <v>11442.768</v>
      </c>
      <c r="P72" s="13">
        <v>0.20799999999999999</v>
      </c>
      <c r="Q72" s="24">
        <f t="shared" ref="Q72:Q74" si="716">M72*P72</f>
        <v>3139.9679999999998</v>
      </c>
      <c r="R72" s="15">
        <v>3.4000000000000002E-2</v>
      </c>
      <c r="S72" s="112">
        <v>0.24010000000000001</v>
      </c>
      <c r="T72" s="24">
        <f t="shared" ref="T72:T74" si="717">M72*R72</f>
        <v>513.26400000000001</v>
      </c>
      <c r="U72" s="25">
        <v>0.218</v>
      </c>
      <c r="V72" s="24">
        <f t="shared" ref="V72:V74" si="718">M72*U72</f>
        <v>3290.9279999999999</v>
      </c>
      <c r="W72" s="15">
        <v>0.48699999999999999</v>
      </c>
      <c r="X72" s="24">
        <f t="shared" ref="X72:X74" si="719">M72*W72</f>
        <v>7351.7519999999995</v>
      </c>
      <c r="Y72" s="15">
        <v>0.4</v>
      </c>
      <c r="Z72" s="24">
        <f t="shared" ref="Z72:Z74" si="720">Y72*M72</f>
        <v>6038.4000000000005</v>
      </c>
      <c r="AA72" s="116">
        <v>2.5500000000000002E-3</v>
      </c>
      <c r="AB72" s="18">
        <f t="shared" ref="AB72" si="721">M72*AA72</f>
        <v>38.494800000000005</v>
      </c>
      <c r="AC72" s="16">
        <v>2.3900000000000002E-3</v>
      </c>
      <c r="AD72" s="17">
        <f t="shared" ref="AD72:AD74" si="722">M72*AC72</f>
        <v>36.079440000000005</v>
      </c>
      <c r="AE72" s="26">
        <f>IF(M72&gt;0,(AG72+AP72)/M72,0)</f>
        <v>2.0798065712771597E-3</v>
      </c>
      <c r="AF72" s="16">
        <v>2.3000000000000001E-4</v>
      </c>
      <c r="AG72" s="23">
        <f t="shared" ref="AG72:AG74" si="723">AF72*M72</f>
        <v>3.4720800000000001</v>
      </c>
      <c r="AH72" s="92">
        <v>0.20930000000000001</v>
      </c>
      <c r="AI72" s="29">
        <f t="shared" ref="AI72:AI74" si="724">AL72*(1-AM72)*AH72</f>
        <v>26.518310000000003</v>
      </c>
      <c r="AJ72" s="27">
        <f t="shared" ref="AJ72:AJ74" si="725">IF(AND(AH72&gt;0,AF72&gt;0,AC72&gt;0),((AC72-AF72)*AH72)/((AH72-AF72)*AC72),0)</f>
        <v>0.90475993206015159</v>
      </c>
      <c r="AK72" s="58">
        <f t="shared" si="681"/>
        <v>0.89034191560108422</v>
      </c>
      <c r="AL72" s="11">
        <v>140</v>
      </c>
      <c r="AM72" s="13">
        <v>9.5000000000000001E-2</v>
      </c>
      <c r="AN72" s="14">
        <v>0.22040000000000001</v>
      </c>
      <c r="AO72" s="101">
        <v>0.2165</v>
      </c>
      <c r="AP72" s="29">
        <f>AL72*(1-AM72)*AN72</f>
        <v>27.924680000000002</v>
      </c>
      <c r="AQ72" s="102">
        <f t="shared" ref="AQ72:AQ119" si="726">AL72*(1-AM72)*AO72</f>
        <v>27.43055</v>
      </c>
      <c r="AR72" s="18">
        <v>1.7</v>
      </c>
      <c r="AS72" s="18">
        <v>1100.26</v>
      </c>
      <c r="AT72" s="79">
        <f>AT70+AL72-AS72+AU72</f>
        <v>17.019999999998916</v>
      </c>
      <c r="AU72" s="80">
        <v>19.079999999999998</v>
      </c>
      <c r="AV72" s="11"/>
      <c r="AW72" s="30"/>
      <c r="AX72" s="19"/>
      <c r="AY72" s="19"/>
      <c r="AZ72" s="19"/>
      <c r="BA72" s="19"/>
      <c r="BB72" s="31"/>
    </row>
    <row r="73" spans="1:54">
      <c r="A73" s="148"/>
      <c r="B73" s="32">
        <v>2</v>
      </c>
      <c r="C73" s="10" t="s">
        <v>54</v>
      </c>
      <c r="D73" s="33">
        <v>24100</v>
      </c>
      <c r="E73" s="33">
        <v>2</v>
      </c>
      <c r="F73" s="33">
        <v>19010</v>
      </c>
      <c r="G73" s="34">
        <v>0.4</v>
      </c>
      <c r="H73" s="34">
        <v>5</v>
      </c>
      <c r="I73" s="33">
        <v>18030</v>
      </c>
      <c r="J73" s="132">
        <v>2.2999999999999998</v>
      </c>
      <c r="K73" s="33">
        <v>15965</v>
      </c>
      <c r="L73" s="35">
        <v>7.0999999999999994E-2</v>
      </c>
      <c r="M73" s="36">
        <f>ROUND(K73*(1-L73),0)</f>
        <v>14831</v>
      </c>
      <c r="N73" s="37">
        <v>0.72099999999999997</v>
      </c>
      <c r="O73" s="24">
        <f t="shared" si="715"/>
        <v>10693.151</v>
      </c>
      <c r="P73" s="35">
        <v>0.254</v>
      </c>
      <c r="Q73" s="24">
        <f t="shared" si="716"/>
        <v>3767.0740000000001</v>
      </c>
      <c r="R73" s="38">
        <v>2.5000000000000001E-2</v>
      </c>
      <c r="S73" s="105">
        <v>0.23119999999999999</v>
      </c>
      <c r="T73" s="24">
        <f t="shared" si="717"/>
        <v>370.77500000000003</v>
      </c>
      <c r="U73" s="27">
        <v>0.20699999999999999</v>
      </c>
      <c r="V73" s="24">
        <f t="shared" si="718"/>
        <v>3070.0169999999998</v>
      </c>
      <c r="W73" s="38">
        <v>0.50900000000000001</v>
      </c>
      <c r="X73" s="24">
        <f t="shared" si="719"/>
        <v>7548.9790000000003</v>
      </c>
      <c r="Y73" s="38">
        <v>0.39</v>
      </c>
      <c r="Z73" s="24">
        <f t="shared" si="720"/>
        <v>5784.09</v>
      </c>
      <c r="AA73" s="117">
        <v>2.4199999999999998E-3</v>
      </c>
      <c r="AB73" s="18">
        <f t="shared" si="60"/>
        <v>35.891019999999997</v>
      </c>
      <c r="AC73" s="39">
        <v>2.33E-3</v>
      </c>
      <c r="AD73" s="17">
        <f t="shared" si="722"/>
        <v>34.556229999999999</v>
      </c>
      <c r="AE73" s="26">
        <f>IF(M73&gt;0,(AG73+AP73)/M73,0)</f>
        <v>2.9336202885847209E-3</v>
      </c>
      <c r="AF73" s="39">
        <v>2.2000000000000001E-4</v>
      </c>
      <c r="AG73" s="36">
        <f t="shared" si="723"/>
        <v>3.2628200000000001</v>
      </c>
      <c r="AH73" s="27">
        <v>0.20280000000000001</v>
      </c>
      <c r="AI73" s="40">
        <f t="shared" si="724"/>
        <v>37.873913999999999</v>
      </c>
      <c r="AJ73" s="27">
        <f t="shared" si="725"/>
        <v>0.90656284996506442</v>
      </c>
      <c r="AK73" s="28">
        <f t="shared" si="681"/>
        <v>0.92595262426826974</v>
      </c>
      <c r="AL73" s="33">
        <v>205</v>
      </c>
      <c r="AM73" s="35">
        <v>8.8999999999999996E-2</v>
      </c>
      <c r="AN73" s="37">
        <v>0.2155</v>
      </c>
      <c r="AO73" s="103">
        <v>0.21460000000000001</v>
      </c>
      <c r="AP73" s="40">
        <f>AL73*(1-AM73)*AN73</f>
        <v>40.2457025</v>
      </c>
      <c r="AQ73" s="104">
        <f t="shared" si="726"/>
        <v>40.077623000000003</v>
      </c>
      <c r="AR73" s="41">
        <v>1.6</v>
      </c>
      <c r="AS73" s="41"/>
      <c r="AT73" s="129">
        <f>AT72+AL73-AS73</f>
        <v>222.0199999999989</v>
      </c>
      <c r="AU73" s="82"/>
      <c r="AV73" s="42"/>
      <c r="AW73" s="43"/>
      <c r="AX73" s="44"/>
      <c r="AY73" s="44"/>
      <c r="AZ73" s="44"/>
      <c r="BA73" s="44"/>
      <c r="BB73" s="31"/>
    </row>
    <row r="74" spans="1:54">
      <c r="A74" s="148"/>
      <c r="B74" s="32">
        <v>3</v>
      </c>
      <c r="C74" s="10" t="s">
        <v>59</v>
      </c>
      <c r="D74" s="42">
        <v>15000</v>
      </c>
      <c r="E74" s="42">
        <v>1</v>
      </c>
      <c r="F74" s="42">
        <v>17096</v>
      </c>
      <c r="G74" s="36">
        <v>1.1000000000000001</v>
      </c>
      <c r="H74" s="36">
        <v>5.4</v>
      </c>
      <c r="I74" s="42">
        <v>17062</v>
      </c>
      <c r="J74" s="36">
        <v>1</v>
      </c>
      <c r="K74" s="42">
        <v>16098</v>
      </c>
      <c r="L74" s="38">
        <v>6.2E-2</v>
      </c>
      <c r="M74" s="36">
        <f>ROUND(K74*(1-L74),0)</f>
        <v>15100</v>
      </c>
      <c r="N74" s="27">
        <v>0.66500000000000004</v>
      </c>
      <c r="O74" s="24">
        <f t="shared" si="715"/>
        <v>10041.5</v>
      </c>
      <c r="P74" s="38">
        <v>0.317</v>
      </c>
      <c r="Q74" s="24">
        <f t="shared" si="716"/>
        <v>4786.7</v>
      </c>
      <c r="R74" s="38">
        <v>1.7999999999999999E-2</v>
      </c>
      <c r="S74" s="105">
        <v>0.2346</v>
      </c>
      <c r="T74" s="24">
        <f t="shared" si="717"/>
        <v>271.79999999999995</v>
      </c>
      <c r="U74" s="27">
        <v>0.21299999999999999</v>
      </c>
      <c r="V74" s="24">
        <f t="shared" si="718"/>
        <v>3216.2999999999997</v>
      </c>
      <c r="W74" s="38">
        <v>0.498</v>
      </c>
      <c r="X74" s="24">
        <f t="shared" si="719"/>
        <v>7519.8</v>
      </c>
      <c r="Y74" s="38">
        <v>0.4</v>
      </c>
      <c r="Z74" s="24">
        <f t="shared" si="720"/>
        <v>6040</v>
      </c>
      <c r="AA74" s="118">
        <v>2.3999999999999998E-3</v>
      </c>
      <c r="AB74" s="121">
        <f t="shared" si="60"/>
        <v>36.239999999999995</v>
      </c>
      <c r="AC74" s="45">
        <v>2.2899999999999999E-3</v>
      </c>
      <c r="AD74" s="17">
        <f t="shared" si="722"/>
        <v>34.579000000000001</v>
      </c>
      <c r="AE74" s="26">
        <f>IF(M74&gt;0,(AG74+AP74)/M74,0)</f>
        <v>2.5549084768211922E-3</v>
      </c>
      <c r="AF74" s="45">
        <v>2.4000000000000001E-4</v>
      </c>
      <c r="AG74" s="36">
        <f t="shared" si="723"/>
        <v>3.6240000000000001</v>
      </c>
      <c r="AH74" s="27">
        <v>0.20660000000000001</v>
      </c>
      <c r="AI74" s="40">
        <f t="shared" si="724"/>
        <v>33.952643999999999</v>
      </c>
      <c r="AJ74" s="27">
        <f t="shared" si="725"/>
        <v>0.89623763448960603</v>
      </c>
      <c r="AK74" s="28">
        <f t="shared" si="681"/>
        <v>0.9070866823392314</v>
      </c>
      <c r="AL74" s="42">
        <v>180</v>
      </c>
      <c r="AM74" s="38">
        <v>8.6999999999999994E-2</v>
      </c>
      <c r="AN74" s="27">
        <v>0.2127</v>
      </c>
      <c r="AO74" s="105">
        <v>0.21490000000000001</v>
      </c>
      <c r="AP74" s="40">
        <f>AL74*(1-AM74)*AN74</f>
        <v>34.955117999999999</v>
      </c>
      <c r="AQ74" s="106">
        <f t="shared" si="726"/>
        <v>35.316666000000005</v>
      </c>
      <c r="AR74" s="17">
        <v>1.55</v>
      </c>
      <c r="AS74" s="17"/>
      <c r="AT74" s="129">
        <f>AT73+AL74-AS74</f>
        <v>402.0199999999989</v>
      </c>
      <c r="AU74" s="82"/>
      <c r="AV74" s="42"/>
      <c r="AW74" s="46"/>
      <c r="AX74" s="40"/>
      <c r="AY74" s="40"/>
      <c r="AZ74" s="40"/>
      <c r="BA74" s="40"/>
      <c r="BB74" s="31"/>
    </row>
    <row r="75" spans="1:54">
      <c r="A75" s="149"/>
      <c r="B75" s="47" t="s">
        <v>56</v>
      </c>
      <c r="C75" s="48"/>
      <c r="D75" s="49">
        <f t="shared" ref="D75" si="727">SUM(D72:D74)</f>
        <v>45500</v>
      </c>
      <c r="E75" s="49"/>
      <c r="F75" s="49">
        <f t="shared" ref="F75" si="728">SUM(F72:F74)</f>
        <v>45920</v>
      </c>
      <c r="G75" s="50"/>
      <c r="H75" s="50"/>
      <c r="I75" s="49">
        <f t="shared" ref="I75:K75" si="729">SUM(I72:I74)</f>
        <v>45195</v>
      </c>
      <c r="J75" s="50"/>
      <c r="K75" s="49">
        <f t="shared" si="729"/>
        <v>48191</v>
      </c>
      <c r="L75" s="20">
        <f t="shared" ref="L75" si="730">IF(K75&gt;0,(K72*L72+K73*L73+K74*L74)/K75,0)</f>
        <v>6.5650909920939596E-2</v>
      </c>
      <c r="M75" s="50">
        <f t="shared" ref="M75" si="731">M72+M73+M74</f>
        <v>45027</v>
      </c>
      <c r="N75" s="51">
        <f t="shared" ref="N75" si="732">IF(M75&gt;0,O75/M75,0)</f>
        <v>0.71462498056721524</v>
      </c>
      <c r="O75" s="52">
        <f t="shared" ref="O75" si="733">O72+O73+O74</f>
        <v>32177.419000000002</v>
      </c>
      <c r="P75" s="20">
        <f t="shared" ref="P75" si="734">IF(M75&gt;0,Q75/M75,0)</f>
        <v>0.25970511026717297</v>
      </c>
      <c r="Q75" s="52">
        <f t="shared" ref="Q75" si="735">Q72+Q73+Q74</f>
        <v>11693.741999999998</v>
      </c>
      <c r="R75" s="20">
        <f t="shared" ref="R75" si="736">IF(M75&gt;0,T75/M75,0)</f>
        <v>2.5669909165611744E-2</v>
      </c>
      <c r="S75" s="107"/>
      <c r="T75" s="52">
        <f t="shared" ref="T75" si="737">T72+T73+T74</f>
        <v>1155.8389999999999</v>
      </c>
      <c r="U75" s="20">
        <f t="shared" ref="U75" si="738">IF(M75&gt;0,V75/M75,0)</f>
        <v>0.21270004663868344</v>
      </c>
      <c r="V75" s="52">
        <f t="shared" ref="V75" si="739">V72+V73+V74</f>
        <v>9577.244999999999</v>
      </c>
      <c r="W75" s="20">
        <f t="shared" ref="W75" si="740">IF(M75&gt;0,X75/M75,0)</f>
        <v>0.49793526106558283</v>
      </c>
      <c r="X75" s="52">
        <f t="shared" ref="X75" si="741">X72+X73+X74</f>
        <v>22420.530999999999</v>
      </c>
      <c r="Y75" s="20">
        <f t="shared" ref="Y75" si="742">IF(M75&gt;0,Z75/M75,0)</f>
        <v>0.39670619850312039</v>
      </c>
      <c r="Z75" s="52">
        <f t="shared" ref="Z75" si="743">Z72+Z73+Z74</f>
        <v>17862.490000000002</v>
      </c>
      <c r="AA75" s="119">
        <f t="shared" ref="AA75" si="744">IF(M75&gt;0,AB75/M75,0)</f>
        <v>2.4568774290980966E-3</v>
      </c>
      <c r="AB75" s="54">
        <f t="shared" ref="AB75" si="745">SUM(AB72:AB74)</f>
        <v>110.62581999999999</v>
      </c>
      <c r="AC75" s="53">
        <f t="shared" ref="AC75" si="746">IF(M75&gt;0,AD75/M75,0)</f>
        <v>2.3367017567237436E-3</v>
      </c>
      <c r="AD75" s="54">
        <f t="shared" ref="AD75" si="747">SUM(AD72:AD74)</f>
        <v>105.21467000000001</v>
      </c>
      <c r="AE75" s="53">
        <f t="shared" ref="AE75" si="748">IF(M75&gt;0,(AE72*M72+AE73*M73+AE74*M74)/M75,0)</f>
        <v>2.5203633486574721E-3</v>
      </c>
      <c r="AF75" s="53">
        <f t="shared" ref="AF75" si="749">IF(K75&gt;0,(K72*AF72+K73*AF73+K74*AF74)/K75,0)</f>
        <v>2.3002759851424543E-4</v>
      </c>
      <c r="AG75" s="50">
        <f t="shared" ref="AG75" si="750">SUM(AG72:AG74)</f>
        <v>10.3589</v>
      </c>
      <c r="AH75" s="51">
        <f t="shared" ref="AH75" si="751">IF(K75&gt;0,(K72*AH72+K73*AH73+K74*AH74)/K75,0)</f>
        <v>0.20624471789338261</v>
      </c>
      <c r="AI75" s="56">
        <f t="shared" ref="AI75" si="752">SUM(AI72:AI74)</f>
        <v>98.344867999999991</v>
      </c>
      <c r="AJ75" s="51">
        <f t="shared" ref="AJ75" si="753">IF(AND(AD75&gt;0),((AD72*AJ72+AD73*AJ73+AD74*AJ74)/AD75),0)</f>
        <v>0.90255120506515552</v>
      </c>
      <c r="AK75" s="55">
        <f t="shared" si="681"/>
        <v>0.90970022842441234</v>
      </c>
      <c r="AL75" s="49">
        <f t="shared" ref="AL75" si="754">SUM(AL72:AL74)</f>
        <v>525</v>
      </c>
      <c r="AM75" s="20">
        <f t="shared" ref="AM75" si="755">IF(AL75&gt;0,(AM72*AL72+AM73*AL73+AM74*AL74)/AL75,0)</f>
        <v>8.991428571428571E-2</v>
      </c>
      <c r="AN75" s="51">
        <f>IF(K75&gt;0,(AN72*K72+AN73*K73+AN74*K74)/K75,0)</f>
        <v>0.21620454649208359</v>
      </c>
      <c r="AO75" s="107">
        <f>IF(L75&gt;0,(AO72*K72+AO73*K73+AO74*K74)/K75,0)</f>
        <v>0.21533608350106867</v>
      </c>
      <c r="AP75" s="56">
        <f t="shared" ref="AP75:AQ87" si="756">SUM(AP72:AP74)</f>
        <v>103.1255005</v>
      </c>
      <c r="AQ75" s="108">
        <f t="shared" si="756"/>
        <v>102.824839</v>
      </c>
      <c r="AR75" s="54"/>
      <c r="AS75" s="54">
        <f t="shared" ref="AS75" si="757">SUM(AS72:AS74)</f>
        <v>1100.26</v>
      </c>
      <c r="AT75" s="83"/>
      <c r="AU75" s="84">
        <f>AT74</f>
        <v>402.0199999999989</v>
      </c>
      <c r="AV75" s="49">
        <f t="shared" ref="AV75" si="758">SUM(AV72:AV74)</f>
        <v>0</v>
      </c>
      <c r="AW75" s="57"/>
      <c r="AX75" s="56"/>
      <c r="AY75" s="56"/>
      <c r="AZ75" s="56"/>
      <c r="BA75" s="56"/>
      <c r="BB75" s="21"/>
    </row>
    <row r="76" spans="1:54">
      <c r="A76" s="147">
        <v>19</v>
      </c>
      <c r="B76" s="22">
        <v>1</v>
      </c>
      <c r="C76" s="143" t="s">
        <v>57</v>
      </c>
      <c r="D76" s="11">
        <v>4000</v>
      </c>
      <c r="E76" s="11">
        <v>2</v>
      </c>
      <c r="F76" s="11">
        <v>10493</v>
      </c>
      <c r="G76" s="12">
        <v>0.9</v>
      </c>
      <c r="H76" s="12">
        <v>6.2</v>
      </c>
      <c r="I76" s="11">
        <v>9906</v>
      </c>
      <c r="J76" s="12">
        <v>2.2000000000000002</v>
      </c>
      <c r="K76" s="11">
        <v>15219</v>
      </c>
      <c r="L76" s="13">
        <v>0.06</v>
      </c>
      <c r="M76" s="23">
        <f>ROUND(K76*(1-L76),0)</f>
        <v>14306</v>
      </c>
      <c r="N76" s="14">
        <v>0.63600000000000001</v>
      </c>
      <c r="O76" s="24">
        <f t="shared" ref="O76:O78" si="759">M76*N76</f>
        <v>9098.616</v>
      </c>
      <c r="P76" s="13">
        <v>0.32300000000000001</v>
      </c>
      <c r="Q76" s="24">
        <f t="shared" ref="Q76:Q78" si="760">M76*P76</f>
        <v>4620.8379999999997</v>
      </c>
      <c r="R76" s="15">
        <v>4.1000000000000002E-2</v>
      </c>
      <c r="S76" s="112">
        <v>0.21990000000000001</v>
      </c>
      <c r="T76" s="24">
        <f t="shared" ref="T76:T78" si="761">M76*R76</f>
        <v>586.54600000000005</v>
      </c>
      <c r="U76" s="25">
        <v>0.20899999999999999</v>
      </c>
      <c r="V76" s="24">
        <f t="shared" ref="V76:V78" si="762">M76*U76</f>
        <v>2989.9539999999997</v>
      </c>
      <c r="W76" s="15">
        <v>0.50700000000000001</v>
      </c>
      <c r="X76" s="24">
        <f t="shared" ref="X76:X78" si="763">M76*W76</f>
        <v>7253.1419999999998</v>
      </c>
      <c r="Y76" s="15">
        <v>0.4</v>
      </c>
      <c r="Z76" s="24">
        <f t="shared" ref="Z76:Z78" si="764">Y76*M76</f>
        <v>5722.4000000000005</v>
      </c>
      <c r="AA76" s="116">
        <v>2.4599999999999999E-3</v>
      </c>
      <c r="AB76" s="18">
        <f t="shared" ref="AB76:AB119" si="765">M76*AA76</f>
        <v>35.19276</v>
      </c>
      <c r="AC76" s="16">
        <v>2.32E-3</v>
      </c>
      <c r="AD76" s="17">
        <f t="shared" ref="AD76:AD78" si="766">M76*AC76</f>
        <v>33.189920000000001</v>
      </c>
      <c r="AE76" s="26">
        <f>IF(M76&gt;0,(AG76+AP76)/M76,0)</f>
        <v>2.5244135887040405E-3</v>
      </c>
      <c r="AF76" s="16">
        <v>2.5999999999999998E-4</v>
      </c>
      <c r="AG76" s="23">
        <f t="shared" ref="AG76:AG78" si="767">AF76*M76</f>
        <v>3.7195599999999995</v>
      </c>
      <c r="AH76" s="92">
        <v>0.2014</v>
      </c>
      <c r="AI76" s="29">
        <f t="shared" ref="AI76:AI78" si="768">AL76*(1-AM76)*AH76</f>
        <v>30.891537600000003</v>
      </c>
      <c r="AJ76" s="27">
        <f t="shared" ref="AJ76:AJ78" si="769">IF(AND(AH76&gt;0,AF76&gt;0,AC76&gt;0),((AC76-AF76)*AH76)/((AH76-AF76)*AC76),0)</f>
        <v>0.88907880254960536</v>
      </c>
      <c r="AK76" s="58">
        <f t="shared" si="681"/>
        <v>0.89811141295775332</v>
      </c>
      <c r="AL76" s="11">
        <v>168</v>
      </c>
      <c r="AM76" s="13">
        <v>8.6999999999999994E-2</v>
      </c>
      <c r="AN76" s="14">
        <v>0.2112</v>
      </c>
      <c r="AO76" s="101">
        <v>0.21329999999999999</v>
      </c>
      <c r="AP76" s="29">
        <f>AL76*(1-AM76)*AN76</f>
        <v>32.394700800000003</v>
      </c>
      <c r="AQ76" s="102">
        <f t="shared" ref="AQ76" si="770">AL76*(1-AM76)*AO76</f>
        <v>32.716807199999998</v>
      </c>
      <c r="AR76" s="18">
        <v>1.55</v>
      </c>
      <c r="AS76" s="18">
        <v>503.64</v>
      </c>
      <c r="AT76" s="79">
        <f>AT74+AL76-AS76+AU76</f>
        <v>53.619999999998861</v>
      </c>
      <c r="AU76" s="130">
        <v>-12.76</v>
      </c>
      <c r="AV76" s="11"/>
      <c r="AW76" s="30"/>
      <c r="AX76" s="19"/>
      <c r="AY76" s="19"/>
      <c r="AZ76" s="19"/>
      <c r="BA76" s="19"/>
      <c r="BB76" s="31"/>
    </row>
    <row r="77" spans="1:54">
      <c r="A77" s="148"/>
      <c r="B77" s="32">
        <v>2</v>
      </c>
      <c r="C77" s="10" t="s">
        <v>58</v>
      </c>
      <c r="D77" s="33">
        <v>19638</v>
      </c>
      <c r="E77" s="33">
        <v>5</v>
      </c>
      <c r="F77" s="33">
        <v>19953</v>
      </c>
      <c r="G77" s="34">
        <v>0.6</v>
      </c>
      <c r="H77" s="34">
        <v>5.4</v>
      </c>
      <c r="I77" s="33">
        <v>18978</v>
      </c>
      <c r="J77" s="34">
        <v>1.2</v>
      </c>
      <c r="K77" s="33">
        <v>15558</v>
      </c>
      <c r="L77" s="35">
        <v>6.6000000000000003E-2</v>
      </c>
      <c r="M77" s="36">
        <f>ROUND(K77*(1-L77),0)</f>
        <v>14531</v>
      </c>
      <c r="N77" s="37">
        <v>0.69699999999999995</v>
      </c>
      <c r="O77" s="24">
        <f t="shared" si="759"/>
        <v>10128.107</v>
      </c>
      <c r="P77" s="35">
        <v>0.249</v>
      </c>
      <c r="Q77" s="24">
        <f t="shared" si="760"/>
        <v>3618.2190000000001</v>
      </c>
      <c r="R77" s="38">
        <v>5.3999999999999999E-2</v>
      </c>
      <c r="S77" s="105">
        <v>0.2266</v>
      </c>
      <c r="T77" s="24">
        <f t="shared" si="761"/>
        <v>784.67399999999998</v>
      </c>
      <c r="U77" s="27">
        <v>0.19900000000000001</v>
      </c>
      <c r="V77" s="24">
        <f t="shared" si="762"/>
        <v>2891.6690000000003</v>
      </c>
      <c r="W77" s="38">
        <v>0.51600000000000001</v>
      </c>
      <c r="X77" s="24">
        <f t="shared" si="763"/>
        <v>7497.9960000000001</v>
      </c>
      <c r="Y77" s="38">
        <v>0.39</v>
      </c>
      <c r="Z77" s="24">
        <f t="shared" si="764"/>
        <v>5667.09</v>
      </c>
      <c r="AA77" s="117">
        <v>2.5799999999999998E-3</v>
      </c>
      <c r="AB77" s="18">
        <f t="shared" si="765"/>
        <v>37.489979999999996</v>
      </c>
      <c r="AC77" s="39">
        <v>2.3800000000000002E-3</v>
      </c>
      <c r="AD77" s="17">
        <f t="shared" si="766"/>
        <v>34.583780000000004</v>
      </c>
      <c r="AE77" s="26">
        <f>IF(M77&gt;0,(AG77+AP77)/M77,0)</f>
        <v>2.700735186841924E-3</v>
      </c>
      <c r="AF77" s="39">
        <v>2.7E-4</v>
      </c>
      <c r="AG77" s="36">
        <f t="shared" si="767"/>
        <v>3.9233700000000002</v>
      </c>
      <c r="AH77" s="27">
        <v>0.20530000000000001</v>
      </c>
      <c r="AI77" s="40">
        <f t="shared" si="768"/>
        <v>33.964421400000006</v>
      </c>
      <c r="AJ77" s="27">
        <f t="shared" si="769"/>
        <v>0.88772210830388831</v>
      </c>
      <c r="AK77" s="28">
        <f t="shared" si="681"/>
        <v>0.90116687070002188</v>
      </c>
      <c r="AL77" s="33">
        <v>182</v>
      </c>
      <c r="AM77" s="35">
        <v>9.0999999999999998E-2</v>
      </c>
      <c r="AN77" s="37">
        <v>0.2135</v>
      </c>
      <c r="AO77" s="103">
        <v>0.2165</v>
      </c>
      <c r="AP77" s="40">
        <f>AL77*(1-AM77)*AN77</f>
        <v>35.321013000000001</v>
      </c>
      <c r="AQ77" s="104">
        <f t="shared" si="726"/>
        <v>35.817327000000006</v>
      </c>
      <c r="AR77" s="41">
        <v>1.55</v>
      </c>
      <c r="AS77" s="41"/>
      <c r="AT77" s="129">
        <f>AT76+AL77-AS77</f>
        <v>235.61999999999887</v>
      </c>
      <c r="AU77" s="82"/>
      <c r="AV77" s="42"/>
      <c r="AW77" s="43"/>
      <c r="AX77" s="44"/>
      <c r="AY77" s="44"/>
      <c r="AZ77" s="44"/>
      <c r="BA77" s="44"/>
      <c r="BB77" s="31"/>
    </row>
    <row r="78" spans="1:54">
      <c r="A78" s="148"/>
      <c r="B78" s="32">
        <v>3</v>
      </c>
      <c r="C78" s="10" t="s">
        <v>59</v>
      </c>
      <c r="D78" s="42">
        <v>19000</v>
      </c>
      <c r="E78" s="42">
        <v>2</v>
      </c>
      <c r="F78" s="42">
        <v>15137</v>
      </c>
      <c r="G78" s="36">
        <v>0.5</v>
      </c>
      <c r="H78" s="36">
        <v>4.7</v>
      </c>
      <c r="I78" s="42">
        <v>15018</v>
      </c>
      <c r="J78" s="133">
        <v>1.3</v>
      </c>
      <c r="K78" s="42">
        <v>16035</v>
      </c>
      <c r="L78" s="38">
        <v>6.6000000000000003E-2</v>
      </c>
      <c r="M78" s="36">
        <f>ROUND(K78*(1-L78),0)</f>
        <v>14977</v>
      </c>
      <c r="N78" s="27">
        <v>0.71499999999999997</v>
      </c>
      <c r="O78" s="24">
        <f t="shared" si="759"/>
        <v>10708.555</v>
      </c>
      <c r="P78" s="38">
        <v>0.23300000000000001</v>
      </c>
      <c r="Q78" s="24">
        <f t="shared" si="760"/>
        <v>3489.6410000000001</v>
      </c>
      <c r="R78" s="38">
        <v>5.1999999999999998E-2</v>
      </c>
      <c r="S78" s="105">
        <v>0.23169999999999999</v>
      </c>
      <c r="T78" s="24">
        <f t="shared" si="761"/>
        <v>778.80399999999997</v>
      </c>
      <c r="U78" s="27">
        <v>0.19400000000000001</v>
      </c>
      <c r="V78" s="24">
        <f t="shared" si="762"/>
        <v>2905.538</v>
      </c>
      <c r="W78" s="38">
        <v>0.52300000000000002</v>
      </c>
      <c r="X78" s="24">
        <f t="shared" si="763"/>
        <v>7832.9710000000005</v>
      </c>
      <c r="Y78" s="38">
        <v>0.39</v>
      </c>
      <c r="Z78" s="24">
        <f t="shared" si="764"/>
        <v>5841.03</v>
      </c>
      <c r="AA78" s="118">
        <v>2.5899999999999999E-3</v>
      </c>
      <c r="AB78" s="121">
        <f t="shared" si="765"/>
        <v>38.790430000000001</v>
      </c>
      <c r="AC78" s="45">
        <v>2.32E-3</v>
      </c>
      <c r="AD78" s="17">
        <f t="shared" si="766"/>
        <v>34.746639999999999</v>
      </c>
      <c r="AE78" s="26">
        <f>IF(M78&gt;0,(AG78+AP78)/M78,0)</f>
        <v>2.3950097883421247E-3</v>
      </c>
      <c r="AF78" s="45">
        <v>2.7E-4</v>
      </c>
      <c r="AG78" s="36">
        <f t="shared" si="767"/>
        <v>4.0437900000000004</v>
      </c>
      <c r="AH78" s="27">
        <v>0.2046</v>
      </c>
      <c r="AI78" s="40">
        <f t="shared" si="768"/>
        <v>30.314968200000003</v>
      </c>
      <c r="AJ78" s="27">
        <f t="shared" si="769"/>
        <v>0.88478829884719956</v>
      </c>
      <c r="AK78" s="28">
        <f t="shared" si="681"/>
        <v>0.88838227807826009</v>
      </c>
      <c r="AL78" s="42">
        <v>163</v>
      </c>
      <c r="AM78" s="38">
        <v>9.0999999999999998E-2</v>
      </c>
      <c r="AN78" s="27">
        <v>0.21479999999999999</v>
      </c>
      <c r="AO78" s="105">
        <v>0.22289999999999999</v>
      </c>
      <c r="AP78" s="40">
        <f>AL78*(1-AM78)*AN78</f>
        <v>31.826271599999998</v>
      </c>
      <c r="AQ78" s="106">
        <f t="shared" si="726"/>
        <v>33.026424299999995</v>
      </c>
      <c r="AR78" s="17">
        <v>1.5</v>
      </c>
      <c r="AS78" s="17"/>
      <c r="AT78" s="129">
        <f>AT77+AL78-AS78</f>
        <v>398.61999999999887</v>
      </c>
      <c r="AU78" s="82"/>
      <c r="AV78" s="42"/>
      <c r="AW78" s="46"/>
      <c r="AX78" s="40"/>
      <c r="AY78" s="40"/>
      <c r="AZ78" s="40"/>
      <c r="BA78" s="40"/>
      <c r="BB78" s="31"/>
    </row>
    <row r="79" spans="1:54">
      <c r="A79" s="149"/>
      <c r="B79" s="47" t="s">
        <v>56</v>
      </c>
      <c r="C79" s="48"/>
      <c r="D79" s="49">
        <f t="shared" ref="D79" si="771">SUM(D76:D78)</f>
        <v>42638</v>
      </c>
      <c r="E79" s="49"/>
      <c r="F79" s="49">
        <f t="shared" ref="F79" si="772">SUM(F76:F78)</f>
        <v>45583</v>
      </c>
      <c r="G79" s="50"/>
      <c r="H79" s="50"/>
      <c r="I79" s="49">
        <f t="shared" ref="I79:K79" si="773">SUM(I76:I78)</f>
        <v>43902</v>
      </c>
      <c r="J79" s="50"/>
      <c r="K79" s="49">
        <f t="shared" si="773"/>
        <v>46812</v>
      </c>
      <c r="L79" s="20">
        <f t="shared" ref="L79" si="774">IF(K79&gt;0,(K76*L76+K77*L77+K78*L78)/K79,0)</f>
        <v>6.4049346321456035E-2</v>
      </c>
      <c r="M79" s="50">
        <f t="shared" ref="M79" si="775">M76+M77+M78</f>
        <v>43814</v>
      </c>
      <c r="N79" s="51">
        <f t="shared" ref="N79" si="776">IF(M79&gt;0,O79/M79,0)</f>
        <v>0.68323544985621032</v>
      </c>
      <c r="O79" s="52">
        <f t="shared" ref="O79" si="777">O76+O77+O78</f>
        <v>29935.277999999998</v>
      </c>
      <c r="P79" s="20">
        <f t="shared" ref="P79" si="778">IF(M79&gt;0,Q79/M79,0)</f>
        <v>0.26769292920071208</v>
      </c>
      <c r="Q79" s="52">
        <f t="shared" ref="Q79" si="779">Q76+Q77+Q78</f>
        <v>11728.698</v>
      </c>
      <c r="R79" s="20">
        <f t="shared" ref="R79" si="780">IF(M79&gt;0,T79/M79,0)</f>
        <v>4.907162094307755E-2</v>
      </c>
      <c r="S79" s="107"/>
      <c r="T79" s="52">
        <f t="shared" ref="T79" si="781">T76+T77+T78</f>
        <v>2150.0239999999999</v>
      </c>
      <c r="U79" s="20">
        <f t="shared" ref="U79" si="782">IF(M79&gt;0,V79/M79,0)</f>
        <v>0.20055600949468205</v>
      </c>
      <c r="V79" s="52">
        <f t="shared" ref="V79" si="783">V76+V77+V78</f>
        <v>8787.1610000000001</v>
      </c>
      <c r="W79" s="20">
        <f t="shared" ref="W79" si="784">IF(M79&gt;0,X79/M79,0)</f>
        <v>0.51545416990003201</v>
      </c>
      <c r="X79" s="52">
        <f t="shared" ref="X79" si="785">X76+X77+X78</f>
        <v>22584.109</v>
      </c>
      <c r="Y79" s="20">
        <f t="shared" ref="Y79" si="786">IF(M79&gt;0,Z79/M79,0)</f>
        <v>0.39326516638517373</v>
      </c>
      <c r="Z79" s="52">
        <f t="shared" ref="Z79" si="787">Z76+Z77+Z78</f>
        <v>17230.52</v>
      </c>
      <c r="AA79" s="119">
        <f t="shared" ref="AA79" si="788">IF(M79&gt;0,AB79/M79,0)</f>
        <v>2.544236317158899E-3</v>
      </c>
      <c r="AB79" s="54">
        <f t="shared" ref="AB79" si="789">SUM(AB76:AB78)</f>
        <v>111.47317</v>
      </c>
      <c r="AC79" s="53">
        <f t="shared" ref="AC79" si="790">IF(M79&gt;0,AD79/M79,0)</f>
        <v>2.3398991190030586E-3</v>
      </c>
      <c r="AD79" s="54">
        <f t="shared" ref="AD79" si="791">SUM(AD76:AD78)</f>
        <v>102.52034</v>
      </c>
      <c r="AE79" s="53">
        <f t="shared" ref="AE79" si="792">IF(M79&gt;0,(AE76*M76+AE77*M77+AE78*M78)/M79,0)</f>
        <v>2.5386567170310862E-3</v>
      </c>
      <c r="AF79" s="53">
        <f t="shared" ref="AF79" si="793">IF(K79&gt;0,(K76*AF76+K77*AF77+K78*AF78)/K79,0)</f>
        <v>2.6674891053576005E-4</v>
      </c>
      <c r="AG79" s="50">
        <f t="shared" ref="AG79" si="794">SUM(AG76:AG78)</f>
        <v>11.686720000000001</v>
      </c>
      <c r="AH79" s="51">
        <f t="shared" ref="AH79" si="795">IF(K79&gt;0,(K76*AH76+K77*AH77+K78*AH78)/K79,0)</f>
        <v>0.20379229684696235</v>
      </c>
      <c r="AI79" s="56">
        <f t="shared" ref="AI79" si="796">SUM(AI76:AI78)</f>
        <v>95.170927200000023</v>
      </c>
      <c r="AJ79" s="51">
        <f t="shared" ref="AJ79" si="797">IF(AND(AD79&gt;0),((AD76*AJ76+AD77*AJ77+AD78*AJ78)/AD79),0)</f>
        <v>0.88716698482750944</v>
      </c>
      <c r="AK79" s="55">
        <f t="shared" si="681"/>
        <v>0.89604629176825867</v>
      </c>
      <c r="AL79" s="49">
        <f t="shared" ref="AL79" si="798">SUM(AL76:AL78)</f>
        <v>513</v>
      </c>
      <c r="AM79" s="20">
        <f t="shared" ref="AM79" si="799">IF(AL79&gt;0,(AM76*AL76+AM77*AL77+AM78*AL78)/AL79,0)</f>
        <v>8.9690058479532167E-2</v>
      </c>
      <c r="AN79" s="51">
        <f>IF(K79&gt;0,(AN76*K76+AN77*K77+AN78*K78)/K79,0)</f>
        <v>0.21319755190976672</v>
      </c>
      <c r="AO79" s="107">
        <f>IF(L79&gt;0,(AO76*K76+AO77*K77+AO78*K78)/K79,0)</f>
        <v>0.21765190976672649</v>
      </c>
      <c r="AP79" s="56">
        <f t="shared" ref="AP79" si="800">SUM(AP76:AP78)</f>
        <v>99.541985400000002</v>
      </c>
      <c r="AQ79" s="108">
        <f t="shared" si="756"/>
        <v>101.56055850000001</v>
      </c>
      <c r="AR79" s="54"/>
      <c r="AS79" s="54">
        <f t="shared" ref="AS79" si="801">SUM(AS76:AS78)</f>
        <v>503.64</v>
      </c>
      <c r="AT79" s="83"/>
      <c r="AU79" s="84">
        <f>AT78</f>
        <v>398.61999999999887</v>
      </c>
      <c r="AV79" s="49">
        <f t="shared" ref="AV79" si="802">SUM(AV76:AV78)</f>
        <v>0</v>
      </c>
      <c r="AW79" s="57"/>
      <c r="AX79" s="56"/>
      <c r="AY79" s="56"/>
      <c r="AZ79" s="56"/>
      <c r="BA79" s="56"/>
      <c r="BB79" s="21"/>
    </row>
    <row r="80" spans="1:54">
      <c r="A80" s="147">
        <v>20</v>
      </c>
      <c r="B80" s="22">
        <v>1</v>
      </c>
      <c r="C80" s="143" t="s">
        <v>57</v>
      </c>
      <c r="D80" s="11">
        <v>4759</v>
      </c>
      <c r="E80" s="11">
        <v>0</v>
      </c>
      <c r="F80" s="11">
        <v>7904</v>
      </c>
      <c r="G80" s="12">
        <v>0.8</v>
      </c>
      <c r="H80" s="12">
        <v>4.9000000000000004</v>
      </c>
      <c r="I80" s="11">
        <v>7716</v>
      </c>
      <c r="J80" s="131">
        <v>4.9000000000000004</v>
      </c>
      <c r="K80" s="11">
        <v>16669</v>
      </c>
      <c r="L80" s="13">
        <v>7.2999999999999995E-2</v>
      </c>
      <c r="M80" s="23">
        <f>ROUND(K80*(1-L80),0)</f>
        <v>15452</v>
      </c>
      <c r="N80" s="14">
        <v>0.65400000000000003</v>
      </c>
      <c r="O80" s="24">
        <f t="shared" ref="O80:O82" si="803">M80*N80</f>
        <v>10105.608</v>
      </c>
      <c r="P80" s="13">
        <v>0.312</v>
      </c>
      <c r="Q80" s="24">
        <f t="shared" ref="Q80:Q82" si="804">M80*P80</f>
        <v>4821.0240000000003</v>
      </c>
      <c r="R80" s="15">
        <v>3.4000000000000002E-2</v>
      </c>
      <c r="S80" s="112">
        <v>0.2248</v>
      </c>
      <c r="T80" s="24">
        <f t="shared" ref="T80:T82" si="805">M80*R80</f>
        <v>525.36800000000005</v>
      </c>
      <c r="U80" s="25">
        <v>0.215</v>
      </c>
      <c r="V80" s="24">
        <f t="shared" ref="V80:V82" si="806">M80*U80</f>
        <v>3322.18</v>
      </c>
      <c r="W80" s="15">
        <v>0.49099999999999999</v>
      </c>
      <c r="X80" s="24">
        <f t="shared" ref="X80:X82" si="807">M80*W80</f>
        <v>7586.9319999999998</v>
      </c>
      <c r="Y80" s="15">
        <v>0.39</v>
      </c>
      <c r="Z80" s="24">
        <f t="shared" ref="Z80:Z82" si="808">Y80*M80</f>
        <v>6026.2800000000007</v>
      </c>
      <c r="AA80" s="116">
        <v>2.5699999999999998E-3</v>
      </c>
      <c r="AB80" s="18">
        <f t="shared" ref="AB80" si="809">M80*AA80</f>
        <v>39.711639999999996</v>
      </c>
      <c r="AC80" s="16">
        <v>2.3999999999999998E-3</v>
      </c>
      <c r="AD80" s="17">
        <f t="shared" ref="AD80:AD82" si="810">M80*AC80</f>
        <v>37.084799999999994</v>
      </c>
      <c r="AE80" s="26">
        <f>IF(M80&gt;0,(AG80+AP80)/M80,0)</f>
        <v>2.4344403442920011E-3</v>
      </c>
      <c r="AF80" s="16">
        <v>2.5999999999999998E-4</v>
      </c>
      <c r="AG80" s="23">
        <f t="shared" ref="AG80:AG82" si="811">AF80*M80</f>
        <v>4.0175199999999993</v>
      </c>
      <c r="AH80" s="92">
        <v>0.21129999999999999</v>
      </c>
      <c r="AI80" s="29">
        <f t="shared" ref="AI80:AI82" si="812">AL80*(1-AM80)*AH80</f>
        <v>33.346943400000001</v>
      </c>
      <c r="AJ80" s="27">
        <f t="shared" ref="AJ80:AJ82" si="813">IF(AND(AH80&gt;0,AF80&gt;0,AC80&gt;0),((AC80-AF80)*AH80)/((AH80-AF80)*AC80),0)</f>
        <v>0.89276519459186254</v>
      </c>
      <c r="AK80" s="58">
        <f t="shared" si="681"/>
        <v>0.89429140848386979</v>
      </c>
      <c r="AL80" s="11">
        <v>174</v>
      </c>
      <c r="AM80" s="13">
        <v>9.2999999999999999E-2</v>
      </c>
      <c r="AN80" s="14">
        <v>0.21290000000000001</v>
      </c>
      <c r="AO80" s="101">
        <v>0.2208</v>
      </c>
      <c r="AP80" s="29">
        <f>AL80*(1-AM80)*AN80</f>
        <v>33.599452200000002</v>
      </c>
      <c r="AQ80" s="102">
        <f t="shared" ref="AQ80" si="814">AL80*(1-AM80)*AO80</f>
        <v>34.846214400000001</v>
      </c>
      <c r="AR80" s="18">
        <v>1.55</v>
      </c>
      <c r="AS80" s="18">
        <v>502.06</v>
      </c>
      <c r="AT80" s="79">
        <f>AT78+AL80-AS80+AU80</f>
        <v>65.339999999998867</v>
      </c>
      <c r="AU80" s="130">
        <v>-5.22</v>
      </c>
      <c r="AV80" s="11"/>
      <c r="AW80" s="30"/>
      <c r="AX80" s="19"/>
      <c r="AY80" s="19"/>
      <c r="AZ80" s="19"/>
      <c r="BA80" s="19"/>
      <c r="BB80" s="31"/>
    </row>
    <row r="81" spans="1:54">
      <c r="A81" s="148"/>
      <c r="B81" s="32">
        <v>2</v>
      </c>
      <c r="C81" s="10" t="s">
        <v>58</v>
      </c>
      <c r="D81" s="33">
        <v>18341</v>
      </c>
      <c r="E81" s="33">
        <v>4</v>
      </c>
      <c r="F81" s="33">
        <v>19483</v>
      </c>
      <c r="G81" s="34">
        <v>0.3</v>
      </c>
      <c r="H81" s="34">
        <v>4.3</v>
      </c>
      <c r="I81" s="33">
        <v>18283</v>
      </c>
      <c r="J81" s="34">
        <v>2.5</v>
      </c>
      <c r="K81" s="33">
        <v>16751</v>
      </c>
      <c r="L81" s="35">
        <v>7.0000000000000007E-2</v>
      </c>
      <c r="M81" s="36">
        <f>ROUND(K81*(1-L81),0)</f>
        <v>15578</v>
      </c>
      <c r="N81" s="37">
        <v>0.70399999999999996</v>
      </c>
      <c r="O81" s="24">
        <f t="shared" si="803"/>
        <v>10966.912</v>
      </c>
      <c r="P81" s="35">
        <v>0.23799999999999999</v>
      </c>
      <c r="Q81" s="24">
        <f t="shared" si="804"/>
        <v>3707.5639999999999</v>
      </c>
      <c r="R81" s="38">
        <v>5.8000000000000003E-2</v>
      </c>
      <c r="S81" s="105">
        <v>0.23449999999999999</v>
      </c>
      <c r="T81" s="24">
        <f t="shared" si="805"/>
        <v>903.524</v>
      </c>
      <c r="U81" s="27">
        <v>0.223</v>
      </c>
      <c r="V81" s="24">
        <f t="shared" si="806"/>
        <v>3473.8940000000002</v>
      </c>
      <c r="W81" s="38">
        <v>0.49199999999999999</v>
      </c>
      <c r="X81" s="24">
        <f t="shared" si="807"/>
        <v>7664.3760000000002</v>
      </c>
      <c r="Y81" s="38">
        <v>0.4</v>
      </c>
      <c r="Z81" s="24">
        <f t="shared" si="808"/>
        <v>6231.2000000000007</v>
      </c>
      <c r="AA81" s="117">
        <v>2.5799999999999998E-3</v>
      </c>
      <c r="AB81" s="18">
        <f t="shared" si="765"/>
        <v>40.191240000000001</v>
      </c>
      <c r="AC81" s="39">
        <v>2.47E-3</v>
      </c>
      <c r="AD81" s="17">
        <f t="shared" si="810"/>
        <v>38.47766</v>
      </c>
      <c r="AE81" s="26">
        <f>IF(M81&gt;0,(AG81+AP81)/M81,0)</f>
        <v>2.6912620362049043E-3</v>
      </c>
      <c r="AF81" s="39">
        <v>2.5999999999999998E-4</v>
      </c>
      <c r="AG81" s="36">
        <f t="shared" si="811"/>
        <v>4.0502799999999999</v>
      </c>
      <c r="AH81" s="27">
        <v>0.20599999999999999</v>
      </c>
      <c r="AI81" s="40">
        <f t="shared" si="812"/>
        <v>37.491999999999997</v>
      </c>
      <c r="AJ81" s="27">
        <f t="shared" si="813"/>
        <v>0.89586754872015295</v>
      </c>
      <c r="AK81" s="28">
        <f t="shared" si="681"/>
        <v>0.90452115793767818</v>
      </c>
      <c r="AL81" s="33">
        <v>200</v>
      </c>
      <c r="AM81" s="35">
        <v>0.09</v>
      </c>
      <c r="AN81" s="37">
        <v>0.20810000000000001</v>
      </c>
      <c r="AO81" s="103">
        <v>0.20300000000000001</v>
      </c>
      <c r="AP81" s="40">
        <f>AL81*(1-AM81)*AN81</f>
        <v>37.874200000000002</v>
      </c>
      <c r="AQ81" s="104">
        <f t="shared" si="726"/>
        <v>36.946000000000005</v>
      </c>
      <c r="AR81" s="41">
        <v>1.55</v>
      </c>
      <c r="AS81" s="41"/>
      <c r="AT81" s="129">
        <f>AT80+AL81-AS81</f>
        <v>265.33999999999889</v>
      </c>
      <c r="AU81" s="82"/>
      <c r="AV81" s="42"/>
      <c r="AW81" s="43"/>
      <c r="AX81" s="44"/>
      <c r="AY81" s="44"/>
      <c r="AZ81" s="44"/>
      <c r="BA81" s="44"/>
      <c r="BB81" s="31"/>
    </row>
    <row r="82" spans="1:54">
      <c r="A82" s="148"/>
      <c r="B82" s="32">
        <v>3</v>
      </c>
      <c r="C82" s="10" t="s">
        <v>53</v>
      </c>
      <c r="D82" s="42">
        <v>18400</v>
      </c>
      <c r="E82" s="42">
        <v>2</v>
      </c>
      <c r="F82" s="42">
        <v>17153</v>
      </c>
      <c r="G82" s="36">
        <v>0.8</v>
      </c>
      <c r="H82" s="36">
        <v>4.9000000000000004</v>
      </c>
      <c r="I82" s="42">
        <v>16931</v>
      </c>
      <c r="J82" s="36">
        <v>1.8</v>
      </c>
      <c r="K82" s="42">
        <v>16751</v>
      </c>
      <c r="L82" s="38">
        <v>6.8000000000000005E-2</v>
      </c>
      <c r="M82" s="36">
        <f>ROUND(K82*(1-L82),0)</f>
        <v>15612</v>
      </c>
      <c r="N82" s="27">
        <v>0.73899999999999999</v>
      </c>
      <c r="O82" s="24">
        <f t="shared" si="803"/>
        <v>11537.268</v>
      </c>
      <c r="P82" s="38">
        <v>0.19700000000000001</v>
      </c>
      <c r="Q82" s="24">
        <f t="shared" si="804"/>
        <v>3075.5640000000003</v>
      </c>
      <c r="R82" s="38">
        <v>6.4000000000000001E-2</v>
      </c>
      <c r="S82" s="105">
        <v>0.23130000000000001</v>
      </c>
      <c r="T82" s="24">
        <f t="shared" si="805"/>
        <v>999.16800000000001</v>
      </c>
      <c r="U82" s="27">
        <v>0.222</v>
      </c>
      <c r="V82" s="24">
        <f t="shared" si="806"/>
        <v>3465.864</v>
      </c>
      <c r="W82" s="38">
        <v>0.49099999999999999</v>
      </c>
      <c r="X82" s="24">
        <f t="shared" si="807"/>
        <v>7665.4920000000002</v>
      </c>
      <c r="Y82" s="38">
        <v>0.4</v>
      </c>
      <c r="Z82" s="24">
        <f t="shared" si="808"/>
        <v>6244.8</v>
      </c>
      <c r="AA82" s="118">
        <v>2.5799999999999998E-3</v>
      </c>
      <c r="AB82" s="121">
        <f t="shared" si="765"/>
        <v>40.278959999999998</v>
      </c>
      <c r="AC82" s="45">
        <v>2.5600000000000002E-3</v>
      </c>
      <c r="AD82" s="17">
        <f t="shared" si="810"/>
        <v>39.966720000000002</v>
      </c>
      <c r="AE82" s="26">
        <f>IF(M82&gt;0,(AG82+AP82)/M82,0)</f>
        <v>2.5550816231104277E-3</v>
      </c>
      <c r="AF82" s="45">
        <v>2.5999999999999998E-4</v>
      </c>
      <c r="AG82" s="36">
        <f t="shared" si="811"/>
        <v>4.0591200000000001</v>
      </c>
      <c r="AH82" s="27">
        <v>0.20760000000000001</v>
      </c>
      <c r="AI82" s="40">
        <f t="shared" si="812"/>
        <v>34.231371600000003</v>
      </c>
      <c r="AJ82" s="27">
        <f t="shared" si="813"/>
        <v>0.89956412173242029</v>
      </c>
      <c r="AK82" s="28">
        <f t="shared" si="681"/>
        <v>0.89931803466267135</v>
      </c>
      <c r="AL82" s="42">
        <v>181</v>
      </c>
      <c r="AM82" s="38">
        <v>8.8999999999999996E-2</v>
      </c>
      <c r="AN82" s="27">
        <v>0.21729999999999999</v>
      </c>
      <c r="AO82" s="105">
        <v>0.21879999999999999</v>
      </c>
      <c r="AP82" s="40">
        <f>AL82*(1-AM82)*AN82</f>
        <v>35.8308143</v>
      </c>
      <c r="AQ82" s="106">
        <f t="shared" si="726"/>
        <v>36.078150800000003</v>
      </c>
      <c r="AR82" s="17">
        <v>1.6</v>
      </c>
      <c r="AS82" s="17"/>
      <c r="AT82" s="129">
        <f>AT81+AL82-AS82</f>
        <v>446.33999999999889</v>
      </c>
      <c r="AU82" s="82"/>
      <c r="AV82" s="42"/>
      <c r="AW82" s="46"/>
      <c r="AX82" s="40"/>
      <c r="AY82" s="40"/>
      <c r="AZ82" s="40"/>
      <c r="BA82" s="40"/>
      <c r="BB82" s="31"/>
    </row>
    <row r="83" spans="1:54">
      <c r="A83" s="149"/>
      <c r="B83" s="47" t="s">
        <v>56</v>
      </c>
      <c r="C83" s="48"/>
      <c r="D83" s="49">
        <f t="shared" ref="D83" si="815">SUM(D80:D82)</f>
        <v>41500</v>
      </c>
      <c r="E83" s="49"/>
      <c r="F83" s="49">
        <f t="shared" ref="F83" si="816">SUM(F80:F82)</f>
        <v>44540</v>
      </c>
      <c r="G83" s="50"/>
      <c r="H83" s="50"/>
      <c r="I83" s="49">
        <f t="shared" ref="I83:K83" si="817">SUM(I80:I82)</f>
        <v>42930</v>
      </c>
      <c r="J83" s="50"/>
      <c r="K83" s="49">
        <f t="shared" si="817"/>
        <v>50171</v>
      </c>
      <c r="L83" s="20">
        <f t="shared" ref="L83" si="818">IF(K83&gt;0,(K80*L80+K81*L81+K82*L82)/K83,0)</f>
        <v>7.03289749058221E-2</v>
      </c>
      <c r="M83" s="50">
        <f t="shared" ref="M83" si="819">M80+M81+M82</f>
        <v>46642</v>
      </c>
      <c r="N83" s="51">
        <f t="shared" ref="N83" si="820">IF(M83&gt;0,O83/M83,0)</f>
        <v>0.69915072252476307</v>
      </c>
      <c r="O83" s="52">
        <f t="shared" ref="O83" si="821">O80+O81+O82</f>
        <v>32609.788</v>
      </c>
      <c r="P83" s="20">
        <f t="shared" ref="P83" si="822">IF(M83&gt;0,Q83/M83,0)</f>
        <v>0.24879190429226877</v>
      </c>
      <c r="Q83" s="52">
        <f t="shared" ref="Q83" si="823">Q80+Q81+Q82</f>
        <v>11604.152</v>
      </c>
      <c r="R83" s="20">
        <f t="shared" ref="R83" si="824">IF(M83&gt;0,T83/M83,0)</f>
        <v>5.2057373182968138E-2</v>
      </c>
      <c r="S83" s="107"/>
      <c r="T83" s="52">
        <f t="shared" ref="T83" si="825">T80+T81+T82</f>
        <v>2428.06</v>
      </c>
      <c r="U83" s="20">
        <f t="shared" ref="U83" si="826">IF(M83&gt;0,V83/M83,0)</f>
        <v>0.22001496505295656</v>
      </c>
      <c r="V83" s="52">
        <f t="shared" ref="V83" si="827">V80+V81+V82</f>
        <v>10261.938</v>
      </c>
      <c r="W83" s="20">
        <f t="shared" ref="W83" si="828">IF(M83&gt;0,X83/M83,0)</f>
        <v>0.49133399082372115</v>
      </c>
      <c r="X83" s="52">
        <f t="shared" ref="X83" si="829">X80+X81+X82</f>
        <v>22916.800000000003</v>
      </c>
      <c r="Y83" s="20">
        <f t="shared" ref="Y83" si="830">IF(M83&gt;0,Z83/M83,0)</f>
        <v>0.39668710604176499</v>
      </c>
      <c r="Z83" s="52">
        <f t="shared" ref="Z83" si="831">Z80+Z81+Z82</f>
        <v>18502.280000000002</v>
      </c>
      <c r="AA83" s="119">
        <f t="shared" ref="AA83" si="832">IF(M83&gt;0,AB83/M83,0)</f>
        <v>2.5766871060417646E-3</v>
      </c>
      <c r="AB83" s="54">
        <f t="shared" ref="AB83" si="833">SUM(AB80:AB82)</f>
        <v>120.18183999999999</v>
      </c>
      <c r="AC83" s="53">
        <f t="shared" ref="AC83" si="834">IF(M83&gt;0,AD83/M83,0)</f>
        <v>2.4769345225333392E-3</v>
      </c>
      <c r="AD83" s="54">
        <f t="shared" ref="AD83" si="835">SUM(AD80:AD82)</f>
        <v>115.52918</v>
      </c>
      <c r="AE83" s="53">
        <f t="shared" ref="AE83" si="836">IF(M83&gt;0,(AE80*M80+AE81*M81+AE82*M82)/M83,0)</f>
        <v>2.5605974550834015E-3</v>
      </c>
      <c r="AF83" s="53">
        <f t="shared" ref="AF83" si="837">IF(K83&gt;0,(K80*AF80+K81*AF81+K82*AF82)/K83,0)</f>
        <v>2.5999999999999998E-4</v>
      </c>
      <c r="AG83" s="50">
        <f t="shared" ref="AG83" si="838">SUM(AG80:AG82)</f>
        <v>12.126919999999998</v>
      </c>
      <c r="AH83" s="51">
        <f t="shared" ref="AH83" si="839">IF(K83&gt;0,(K80*AH80+K81*AH81+K82*AH82)/K83,0)</f>
        <v>0.20829509676904984</v>
      </c>
      <c r="AI83" s="56">
        <f t="shared" ref="AI83" si="840">SUM(AI80:AI82)</f>
        <v>105.07031500000001</v>
      </c>
      <c r="AJ83" s="51">
        <f t="shared" ref="AJ83" si="841">IF(AND(AD83&gt;0),((AD80*AJ80+AD81*AJ81+AD82*AJ82)/AD83),0)</f>
        <v>0.89615050507943828</v>
      </c>
      <c r="AK83" s="55">
        <f t="shared" si="681"/>
        <v>0.89956045755719127</v>
      </c>
      <c r="AL83" s="49">
        <f t="shared" ref="AL83" si="842">SUM(AL80:AL82)</f>
        <v>555</v>
      </c>
      <c r="AM83" s="20">
        <f t="shared" ref="AM83" si="843">IF(AL83&gt;0,(AM80*AL80+AM81*AL81+AM82*AL82)/AL83,0)</f>
        <v>9.061441441441441E-2</v>
      </c>
      <c r="AN83" s="51">
        <f>IF(K83&gt;0,(AN80*K80+AN81*K81+AN82*K82)/K83,0)</f>
        <v>0.2127664487452911</v>
      </c>
      <c r="AO83" s="107">
        <f>IF(L83&gt;0,(AO80*K80+AO81*K81+AO82*K82)/K83,0)</f>
        <v>0.21418921289190965</v>
      </c>
      <c r="AP83" s="56">
        <f t="shared" ref="AP83" si="844">SUM(AP80:AP82)</f>
        <v>107.3044665</v>
      </c>
      <c r="AQ83" s="108">
        <f t="shared" si="756"/>
        <v>107.87036520000001</v>
      </c>
      <c r="AR83" s="54"/>
      <c r="AS83" s="54">
        <f t="shared" ref="AS83" si="845">SUM(AS80:AS82)</f>
        <v>502.06</v>
      </c>
      <c r="AT83" s="83"/>
      <c r="AU83" s="84">
        <f>AT82</f>
        <v>446.33999999999889</v>
      </c>
      <c r="AV83" s="49">
        <f t="shared" ref="AV83" si="846">SUM(AV80:AV82)</f>
        <v>0</v>
      </c>
      <c r="AW83" s="57"/>
      <c r="AX83" s="56"/>
      <c r="AY83" s="56"/>
      <c r="AZ83" s="56"/>
      <c r="BA83" s="56"/>
      <c r="BB83" s="21"/>
    </row>
    <row r="84" spans="1:54">
      <c r="A84" s="147">
        <v>21</v>
      </c>
      <c r="B84" s="22">
        <v>1</v>
      </c>
      <c r="C84" s="10" t="s">
        <v>54</v>
      </c>
      <c r="D84" s="11">
        <v>14921</v>
      </c>
      <c r="E84" s="11">
        <v>0</v>
      </c>
      <c r="F84" s="11">
        <v>18174</v>
      </c>
      <c r="G84" s="12">
        <v>0.7</v>
      </c>
      <c r="H84" s="12">
        <v>5.3</v>
      </c>
      <c r="I84" s="11">
        <v>17102</v>
      </c>
      <c r="J84" s="12">
        <v>1.4</v>
      </c>
      <c r="K84" s="11">
        <v>16747</v>
      </c>
      <c r="L84" s="13">
        <v>6.7000000000000004E-2</v>
      </c>
      <c r="M84" s="23">
        <f>ROUND(K84*(1-L84),0)</f>
        <v>15625</v>
      </c>
      <c r="N84" s="14">
        <v>0.70799999999999996</v>
      </c>
      <c r="O84" s="24">
        <f t="shared" ref="O84:O86" si="847">M84*N84</f>
        <v>11062.5</v>
      </c>
      <c r="P84" s="13">
        <v>0.20200000000000001</v>
      </c>
      <c r="Q84" s="24">
        <f t="shared" ref="Q84:Q86" si="848">M84*P84</f>
        <v>3156.25</v>
      </c>
      <c r="R84" s="15">
        <v>0.09</v>
      </c>
      <c r="S84" s="112">
        <v>0.24579999999999999</v>
      </c>
      <c r="T84" s="24">
        <f t="shared" ref="T84:T86" si="849">M84*R84</f>
        <v>1406.25</v>
      </c>
      <c r="U84" s="25">
        <v>0.23300000000000001</v>
      </c>
      <c r="V84" s="24">
        <f t="shared" ref="V84:V86" si="850">M84*U84</f>
        <v>3640.625</v>
      </c>
      <c r="W84" s="15">
        <v>0.48399999999999999</v>
      </c>
      <c r="X84" s="24">
        <f t="shared" ref="X84:X86" si="851">M84*W84</f>
        <v>7562.5</v>
      </c>
      <c r="Y84" s="15">
        <v>0.4</v>
      </c>
      <c r="Z84" s="24">
        <f t="shared" ref="Z84:Z86" si="852">Y84*M84</f>
        <v>6250</v>
      </c>
      <c r="AA84" s="116">
        <v>2.8E-3</v>
      </c>
      <c r="AB84" s="18">
        <f t="shared" ref="AB84" si="853">M84*AA84</f>
        <v>43.75</v>
      </c>
      <c r="AC84" s="16">
        <v>2.65E-3</v>
      </c>
      <c r="AD84" s="17">
        <f t="shared" ref="AD84:AD86" si="854">M84*AC84</f>
        <v>41.40625</v>
      </c>
      <c r="AE84" s="26">
        <f>IF(M84&gt;0,(AG84+AP84)/M84,0)</f>
        <v>2.7784079360000003E-3</v>
      </c>
      <c r="AF84" s="16">
        <v>2.5999999999999998E-4</v>
      </c>
      <c r="AG84" s="23">
        <f t="shared" ref="AG84:AG86" si="855">AF84*M84</f>
        <v>4.0625</v>
      </c>
      <c r="AH84" s="92">
        <v>0.20960000000000001</v>
      </c>
      <c r="AI84" s="29">
        <f t="shared" ref="AI84:AI86" si="856">AL84*(1-AM84)*AH84</f>
        <v>37.973232000000003</v>
      </c>
      <c r="AJ84" s="27">
        <f t="shared" ref="AJ84:AJ86" si="857">IF(AND(AH84&gt;0,AF84&gt;0,AC84&gt;0),((AC84-AF84)*AH84)/((AH84-AF84)*AC84),0)</f>
        <v>0.90300693464274961</v>
      </c>
      <c r="AK84" s="58">
        <f t="shared" si="681"/>
        <v>0.90750756401689381</v>
      </c>
      <c r="AL84" s="11">
        <v>198</v>
      </c>
      <c r="AM84" s="13">
        <v>8.5000000000000006E-2</v>
      </c>
      <c r="AN84" s="14">
        <v>0.2172</v>
      </c>
      <c r="AO84" s="101">
        <v>0.22059999999999999</v>
      </c>
      <c r="AP84" s="29">
        <f>AL84*(1-AM84)*AN84</f>
        <v>39.350124000000001</v>
      </c>
      <c r="AQ84" s="102">
        <f t="shared" ref="AQ84" si="858">AL84*(1-AM84)*AO84</f>
        <v>39.966101999999999</v>
      </c>
      <c r="AR84" s="18">
        <v>1.6</v>
      </c>
      <c r="AS84" s="18"/>
      <c r="AT84" s="79">
        <f>AT82+AL84-AS84</f>
        <v>644.33999999999889</v>
      </c>
      <c r="AU84" s="80"/>
      <c r="AV84" s="11"/>
      <c r="AW84" s="30"/>
      <c r="AX84" s="19"/>
      <c r="AY84" s="19"/>
      <c r="AZ84" s="19"/>
      <c r="BA84" s="19"/>
      <c r="BB84" s="31"/>
    </row>
    <row r="85" spans="1:54">
      <c r="A85" s="148"/>
      <c r="B85" s="32">
        <v>2</v>
      </c>
      <c r="C85" s="10" t="s">
        <v>58</v>
      </c>
      <c r="D85" s="33">
        <v>20079</v>
      </c>
      <c r="E85" s="33">
        <v>1</v>
      </c>
      <c r="F85" s="33">
        <v>13058</v>
      </c>
      <c r="G85" s="34">
        <v>0.7</v>
      </c>
      <c r="H85" s="34">
        <v>6.8</v>
      </c>
      <c r="I85" s="33">
        <v>13094</v>
      </c>
      <c r="J85" s="34">
        <v>2.7</v>
      </c>
      <c r="K85" s="33">
        <v>16729</v>
      </c>
      <c r="L85" s="35">
        <v>5.8999999999999997E-2</v>
      </c>
      <c r="M85" s="36">
        <f>ROUND(K85*(1-L85),0)</f>
        <v>15742</v>
      </c>
      <c r="N85" s="37">
        <v>0.69799999999999995</v>
      </c>
      <c r="O85" s="24">
        <f t="shared" si="847"/>
        <v>10987.915999999999</v>
      </c>
      <c r="P85" s="35">
        <v>0.253</v>
      </c>
      <c r="Q85" s="24">
        <f t="shared" si="848"/>
        <v>3982.7260000000001</v>
      </c>
      <c r="R85" s="38">
        <v>4.9000000000000002E-2</v>
      </c>
      <c r="S85" s="105">
        <v>0.25879999999999997</v>
      </c>
      <c r="T85" s="24">
        <f t="shared" si="849"/>
        <v>771.35800000000006</v>
      </c>
      <c r="U85" s="27">
        <v>0.23300000000000001</v>
      </c>
      <c r="V85" s="24">
        <f t="shared" si="850"/>
        <v>3667.8860000000004</v>
      </c>
      <c r="W85" s="38">
        <v>0.48399999999999999</v>
      </c>
      <c r="X85" s="24">
        <f t="shared" si="851"/>
        <v>7619.1279999999997</v>
      </c>
      <c r="Y85" s="38">
        <v>0.41</v>
      </c>
      <c r="Z85" s="24">
        <f t="shared" si="852"/>
        <v>6454.2199999999993</v>
      </c>
      <c r="AA85" s="117">
        <v>2.64E-3</v>
      </c>
      <c r="AB85" s="18">
        <f t="shared" si="765"/>
        <v>41.558880000000002</v>
      </c>
      <c r="AC85" s="39">
        <v>2.5300000000000001E-3</v>
      </c>
      <c r="AD85" s="17">
        <f t="shared" si="854"/>
        <v>39.827260000000003</v>
      </c>
      <c r="AE85" s="26">
        <f>IF(M85&gt;0,(AG85+AP85)/M85,0)</f>
        <v>2.7066018422055643E-3</v>
      </c>
      <c r="AF85" s="39">
        <v>2.5999999999999998E-4</v>
      </c>
      <c r="AG85" s="36">
        <f t="shared" si="855"/>
        <v>4.0929199999999994</v>
      </c>
      <c r="AH85" s="27">
        <v>0.20519999999999999</v>
      </c>
      <c r="AI85" s="40">
        <f t="shared" si="856"/>
        <v>36.947901599999994</v>
      </c>
      <c r="AJ85" s="27">
        <f t="shared" si="857"/>
        <v>0.89837148904277786</v>
      </c>
      <c r="AK85" s="28">
        <f t="shared" si="681"/>
        <v>0.90503867980288</v>
      </c>
      <c r="AL85" s="33">
        <v>197</v>
      </c>
      <c r="AM85" s="35">
        <v>8.5999999999999993E-2</v>
      </c>
      <c r="AN85" s="37">
        <v>0.21390000000000001</v>
      </c>
      <c r="AO85" s="103">
        <v>0.2165</v>
      </c>
      <c r="AP85" s="40">
        <f>AL85*(1-AM85)*AN85</f>
        <v>38.514406199999996</v>
      </c>
      <c r="AQ85" s="104">
        <f t="shared" si="726"/>
        <v>38.982557</v>
      </c>
      <c r="AR85" s="41">
        <v>1.55</v>
      </c>
      <c r="AS85" s="41"/>
      <c r="AT85" s="129">
        <f>AT84+AL85-AS85</f>
        <v>841.33999999999889</v>
      </c>
      <c r="AU85" s="82"/>
      <c r="AV85" s="42"/>
      <c r="AW85" s="43"/>
      <c r="AX85" s="44"/>
      <c r="AY85" s="44"/>
      <c r="AZ85" s="44"/>
      <c r="BA85" s="44"/>
      <c r="BB85" s="31"/>
    </row>
    <row r="86" spans="1:54">
      <c r="A86" s="148"/>
      <c r="B86" s="32">
        <v>3</v>
      </c>
      <c r="C86" s="10" t="s">
        <v>53</v>
      </c>
      <c r="D86" s="42">
        <v>14500</v>
      </c>
      <c r="E86" s="42">
        <v>0</v>
      </c>
      <c r="F86" s="42">
        <v>19005</v>
      </c>
      <c r="G86" s="36">
        <v>0.7</v>
      </c>
      <c r="H86" s="36">
        <v>4.7</v>
      </c>
      <c r="I86" s="42">
        <v>18147</v>
      </c>
      <c r="J86" s="133">
        <v>0.8</v>
      </c>
      <c r="K86" s="42">
        <v>16749</v>
      </c>
      <c r="L86" s="38">
        <v>6.2E-2</v>
      </c>
      <c r="M86" s="36">
        <f>ROUND(K86*(1-L86),0)</f>
        <v>15711</v>
      </c>
      <c r="N86" s="27">
        <v>0.72099999999999997</v>
      </c>
      <c r="O86" s="24">
        <f t="shared" si="847"/>
        <v>11327.630999999999</v>
      </c>
      <c r="P86" s="38">
        <v>0.21099999999999999</v>
      </c>
      <c r="Q86" s="24">
        <f t="shared" si="848"/>
        <v>3315.0209999999997</v>
      </c>
      <c r="R86" s="38">
        <v>6.8000000000000005E-2</v>
      </c>
      <c r="S86" s="105">
        <v>0.26100000000000001</v>
      </c>
      <c r="T86" s="24">
        <f t="shared" si="849"/>
        <v>1068.3480000000002</v>
      </c>
      <c r="U86" s="27">
        <v>0.22500000000000001</v>
      </c>
      <c r="V86" s="24">
        <f t="shared" si="850"/>
        <v>3534.9749999999999</v>
      </c>
      <c r="W86" s="38">
        <v>0.48599999999999999</v>
      </c>
      <c r="X86" s="24">
        <f t="shared" si="851"/>
        <v>7635.5459999999994</v>
      </c>
      <c r="Y86" s="38">
        <v>0.4</v>
      </c>
      <c r="Z86" s="24">
        <f t="shared" si="852"/>
        <v>6284.4000000000005</v>
      </c>
      <c r="AA86" s="118">
        <v>2.65E-3</v>
      </c>
      <c r="AB86" s="121">
        <f t="shared" si="765"/>
        <v>41.634149999999998</v>
      </c>
      <c r="AC86" s="45">
        <v>2.5699999999999998E-3</v>
      </c>
      <c r="AD86" s="17">
        <f t="shared" si="854"/>
        <v>40.377269999999996</v>
      </c>
      <c r="AE86" s="26">
        <f>IF(M86&gt;0,(AG86+AP86)/M86,0)</f>
        <v>2.480097995035326E-3</v>
      </c>
      <c r="AF86" s="45">
        <v>2.7E-4</v>
      </c>
      <c r="AG86" s="36">
        <f t="shared" si="855"/>
        <v>4.2419700000000002</v>
      </c>
      <c r="AH86" s="27">
        <v>0.20680000000000001</v>
      </c>
      <c r="AI86" s="40">
        <f t="shared" si="856"/>
        <v>33.759686400000007</v>
      </c>
      <c r="AJ86" s="27">
        <f t="shared" si="857"/>
        <v>0.89611160587367211</v>
      </c>
      <c r="AK86" s="28">
        <f t="shared" si="681"/>
        <v>0.89226597066347435</v>
      </c>
      <c r="AL86" s="42">
        <v>179</v>
      </c>
      <c r="AM86" s="38">
        <v>8.7999999999999995E-2</v>
      </c>
      <c r="AN86" s="27">
        <v>0.2127</v>
      </c>
      <c r="AO86" s="105">
        <v>0.2147</v>
      </c>
      <c r="AP86" s="40">
        <f>AL86*(1-AM86)*AN86</f>
        <v>34.722849600000004</v>
      </c>
      <c r="AQ86" s="106">
        <f t="shared" si="726"/>
        <v>35.049345600000002</v>
      </c>
      <c r="AR86" s="17">
        <v>1.6</v>
      </c>
      <c r="AS86" s="17"/>
      <c r="AT86" s="129">
        <f>AT85+AL86-AS86</f>
        <v>1020.3399999999989</v>
      </c>
      <c r="AU86" s="82"/>
      <c r="AV86" s="42"/>
      <c r="AW86" s="46"/>
      <c r="AX86" s="40"/>
      <c r="AY86" s="40"/>
      <c r="AZ86" s="40"/>
      <c r="BA86" s="40"/>
      <c r="BB86" s="31"/>
    </row>
    <row r="87" spans="1:54">
      <c r="A87" s="149"/>
      <c r="B87" s="47" t="s">
        <v>56</v>
      </c>
      <c r="C87" s="48"/>
      <c r="D87" s="49">
        <f t="shared" ref="D87" si="859">SUM(D84:D86)</f>
        <v>49500</v>
      </c>
      <c r="E87" s="49"/>
      <c r="F87" s="49">
        <f t="shared" ref="F87" si="860">SUM(F84:F86)</f>
        <v>50237</v>
      </c>
      <c r="G87" s="50"/>
      <c r="H87" s="50"/>
      <c r="I87" s="49">
        <f t="shared" ref="I87:K87" si="861">SUM(I84:I86)</f>
        <v>48343</v>
      </c>
      <c r="J87" s="50"/>
      <c r="K87" s="49">
        <f t="shared" si="861"/>
        <v>50225</v>
      </c>
      <c r="L87" s="20">
        <f t="shared" ref="L87" si="862">IF(K87&gt;0,(K84*L84+K85*L85+K86*L86)/K87,0)</f>
        <v>6.2667954206072671E-2</v>
      </c>
      <c r="M87" s="50">
        <f t="shared" ref="M87" si="863">M84+M85+M86</f>
        <v>47078</v>
      </c>
      <c r="N87" s="51">
        <f t="shared" ref="N87" si="864">IF(M87&gt;0,O87/M87,0)</f>
        <v>0.7089945834572412</v>
      </c>
      <c r="O87" s="52">
        <f t="shared" ref="O87" si="865">O84+O85+O86</f>
        <v>33378.046999999999</v>
      </c>
      <c r="P87" s="20">
        <f t="shared" ref="P87" si="866">IF(M87&gt;0,Q87/M87,0)</f>
        <v>0.22205694804367218</v>
      </c>
      <c r="Q87" s="52">
        <f t="shared" ref="Q87" si="867">Q84+Q85+Q86</f>
        <v>10453.996999999999</v>
      </c>
      <c r="R87" s="20">
        <f t="shared" ref="R87" si="868">IF(M87&gt;0,T87/M87,0)</f>
        <v>6.8948468499086618E-2</v>
      </c>
      <c r="S87" s="107"/>
      <c r="T87" s="52">
        <f t="shared" ref="T87" si="869">T84+T85+T86</f>
        <v>3245.9560000000001</v>
      </c>
      <c r="U87" s="20">
        <f t="shared" ref="U87" si="870">IF(M87&gt;0,V87/M87,0)</f>
        <v>0.23033021793619102</v>
      </c>
      <c r="V87" s="52">
        <f t="shared" ref="V87" si="871">V84+V85+V86</f>
        <v>10843.486000000001</v>
      </c>
      <c r="W87" s="20">
        <f t="shared" ref="W87" si="872">IF(M87&gt;0,X87/M87,0)</f>
        <v>0.48466744551595226</v>
      </c>
      <c r="X87" s="52">
        <f t="shared" ref="X87" si="873">X84+X85+X86</f>
        <v>22817.173999999999</v>
      </c>
      <c r="Y87" s="20">
        <f t="shared" ref="Y87" si="874">IF(M87&gt;0,Z87/M87,0)</f>
        <v>0.4033438123964484</v>
      </c>
      <c r="Z87" s="52">
        <f t="shared" ref="Z87" si="875">Z84+Z85+Z86</f>
        <v>18988.62</v>
      </c>
      <c r="AA87" s="119">
        <f t="shared" ref="AA87" si="876">IF(M87&gt;0,AB87/M87,0)</f>
        <v>2.6964405879604061E-3</v>
      </c>
      <c r="AB87" s="54">
        <f t="shared" ref="AB87" si="877">SUM(AB84:AB86)</f>
        <v>126.94302999999999</v>
      </c>
      <c r="AC87" s="53">
        <f t="shared" ref="AC87" si="878">IF(M87&gt;0,AD87/M87,0)</f>
        <v>2.5831764306045286E-3</v>
      </c>
      <c r="AD87" s="54">
        <f t="shared" ref="AD87" si="879">SUM(AD84:AD86)</f>
        <v>121.61077999999999</v>
      </c>
      <c r="AE87" s="53">
        <f t="shared" ref="AE87" si="880">IF(M87&gt;0,(AE84*M84+AE85*M85+AE86*M86)/M87,0)</f>
        <v>2.6548445091125368E-3</v>
      </c>
      <c r="AF87" s="53">
        <f t="shared" ref="AF87" si="881">IF(K87&gt;0,(K84*AF84+K85*AF85+K86*AF86)/K87,0)</f>
        <v>2.6333479342956694E-4</v>
      </c>
      <c r="AG87" s="50">
        <f t="shared" ref="AG87" si="882">SUM(AG84:AG86)</f>
        <v>12.39739</v>
      </c>
      <c r="AH87" s="51">
        <f t="shared" ref="AH87" si="883">IF(K87&gt;0,(K84*AH84+K85*AH85+K86*AH86)/K87,0)</f>
        <v>0.20720070084619213</v>
      </c>
      <c r="AI87" s="56">
        <f t="shared" ref="AI87" si="884">SUM(AI84:AI86)</f>
        <v>108.68082</v>
      </c>
      <c r="AJ87" s="51">
        <f t="shared" ref="AJ87" si="885">IF(AND(AD87&gt;0),((AD84*AJ84+AD85*AJ85+AD86*AJ86)/AD87),0)</f>
        <v>0.89919944612426683</v>
      </c>
      <c r="AK87" s="55">
        <f t="shared" si="681"/>
        <v>0.90191644838410312</v>
      </c>
      <c r="AL87" s="49">
        <f t="shared" ref="AL87" si="886">SUM(AL84:AL86)</f>
        <v>574</v>
      </c>
      <c r="AM87" s="20">
        <f t="shared" ref="AM87" si="887">IF(AL87&gt;0,(AM84*AL84+AM85*AL85+AM86*AL86)/AL87,0)</f>
        <v>8.6278745644599308E-2</v>
      </c>
      <c r="AN87" s="51">
        <f>IF(K87&gt;0,(AN84*K84+AN85*K85+AN86*K86)/K87,0)</f>
        <v>0.21460017521154806</v>
      </c>
      <c r="AO87" s="107">
        <f>IF(L87&gt;0,(AO84*K84+AO85*K85+AO86*K86)/K87,0)</f>
        <v>0.21726683922349427</v>
      </c>
      <c r="AP87" s="56">
        <f t="shared" ref="AP87" si="888">SUM(AP84:AP86)</f>
        <v>112.58737979999999</v>
      </c>
      <c r="AQ87" s="108">
        <f t="shared" si="756"/>
        <v>113.9980046</v>
      </c>
      <c r="AR87" s="54"/>
      <c r="AS87" s="54">
        <f t="shared" ref="AS87" si="889">SUM(AS84:AS86)</f>
        <v>0</v>
      </c>
      <c r="AT87" s="83"/>
      <c r="AU87" s="84">
        <f>AT86</f>
        <v>1020.3399999999989</v>
      </c>
      <c r="AV87" s="49">
        <f t="shared" ref="AV87" si="890">SUM(AV84:AV86)</f>
        <v>0</v>
      </c>
      <c r="AW87" s="57"/>
      <c r="AX87" s="56"/>
      <c r="AY87" s="56"/>
      <c r="AZ87" s="56"/>
      <c r="BA87" s="56"/>
      <c r="BB87" s="21"/>
    </row>
    <row r="88" spans="1:54">
      <c r="A88" s="147">
        <v>22</v>
      </c>
      <c r="B88" s="22">
        <v>1</v>
      </c>
      <c r="C88" s="10" t="s">
        <v>54</v>
      </c>
      <c r="D88" s="11">
        <v>13200</v>
      </c>
      <c r="E88" s="11">
        <v>0</v>
      </c>
      <c r="F88" s="11">
        <v>13014</v>
      </c>
      <c r="G88" s="12">
        <v>0.4</v>
      </c>
      <c r="H88" s="12">
        <v>4.8</v>
      </c>
      <c r="I88" s="11">
        <v>12363</v>
      </c>
      <c r="J88" s="131">
        <v>3.5</v>
      </c>
      <c r="K88" s="11">
        <v>16731</v>
      </c>
      <c r="L88" s="13">
        <v>6.6000000000000003E-2</v>
      </c>
      <c r="M88" s="23">
        <f>ROUND(K88*(1-L88),0)</f>
        <v>15627</v>
      </c>
      <c r="N88" s="14">
        <v>0.628</v>
      </c>
      <c r="O88" s="24">
        <f t="shared" ref="O88:O90" si="891">M88*N88</f>
        <v>9813.7559999999994</v>
      </c>
      <c r="P88" s="13">
        <v>0.29599999999999999</v>
      </c>
      <c r="Q88" s="24">
        <f t="shared" ref="Q88:Q90" si="892">M88*P88</f>
        <v>4625.5919999999996</v>
      </c>
      <c r="R88" s="15">
        <v>7.5999999999999998E-2</v>
      </c>
      <c r="S88" s="112">
        <v>0.26240000000000002</v>
      </c>
      <c r="T88" s="24">
        <f t="shared" ref="T88:T90" si="893">M88*R88</f>
        <v>1187.652</v>
      </c>
      <c r="U88" s="25">
        <v>0.23200000000000001</v>
      </c>
      <c r="V88" s="24">
        <f t="shared" ref="V88:V90" si="894">M88*U88</f>
        <v>3625.4640000000004</v>
      </c>
      <c r="W88" s="15">
        <v>0.48899999999999999</v>
      </c>
      <c r="X88" s="24">
        <f t="shared" ref="X88:X90" si="895">M88*W88</f>
        <v>7641.6030000000001</v>
      </c>
      <c r="Y88" s="15">
        <v>0.4</v>
      </c>
      <c r="Z88" s="24">
        <f t="shared" ref="Z88:Z90" si="896">Y88*M88</f>
        <v>6250.8</v>
      </c>
      <c r="AA88" s="116">
        <v>2.63E-3</v>
      </c>
      <c r="AB88" s="18">
        <f t="shared" ref="AB88" si="897">M88*AA88</f>
        <v>41.09901</v>
      </c>
      <c r="AC88" s="16">
        <v>2.5300000000000001E-3</v>
      </c>
      <c r="AD88" s="17">
        <f t="shared" ref="AD88:AD90" si="898">M88*AC88</f>
        <v>39.53631</v>
      </c>
      <c r="AE88" s="26">
        <f>IF(M88&gt;0,(AG88+AP88)/M88,0)</f>
        <v>2.6683057016701865E-3</v>
      </c>
      <c r="AF88" s="16">
        <v>2.7E-4</v>
      </c>
      <c r="AG88" s="23">
        <f t="shared" ref="AG88:AG90" si="899">AF88*M88</f>
        <v>4.21929</v>
      </c>
      <c r="AH88" s="92">
        <v>0.21</v>
      </c>
      <c r="AI88" s="29">
        <f t="shared" ref="AI88:AI90" si="900">AL88*(1-AM88)*AH88</f>
        <v>36.933120000000002</v>
      </c>
      <c r="AJ88" s="27">
        <f t="shared" ref="AJ88:AJ90" si="901">IF(AND(AH88&gt;0,AF88&gt;0,AC88&gt;0),((AC88-AF88)*AH88)/((AH88-AF88)*AC88),0)</f>
        <v>0.89443061462987705</v>
      </c>
      <c r="AK88" s="58">
        <f t="shared" si="681"/>
        <v>0.8999524433425089</v>
      </c>
      <c r="AL88" s="11">
        <v>192</v>
      </c>
      <c r="AM88" s="13">
        <v>8.4000000000000005E-2</v>
      </c>
      <c r="AN88" s="14">
        <v>0.21310000000000001</v>
      </c>
      <c r="AO88" s="101">
        <v>0.21190000000000001</v>
      </c>
      <c r="AP88" s="29">
        <f>AL88*(1-AM88)*AN88</f>
        <v>37.478323200000005</v>
      </c>
      <c r="AQ88" s="102">
        <f t="shared" ref="AQ88" si="902">AL88*(1-AM88)*AO88</f>
        <v>37.267276800000005</v>
      </c>
      <c r="AR88" s="18">
        <v>1.55</v>
      </c>
      <c r="AS88" s="18"/>
      <c r="AT88" s="79">
        <f>AT86+AL88-AS88</f>
        <v>1212.3399999999988</v>
      </c>
      <c r="AU88" s="80"/>
      <c r="AV88" s="11"/>
      <c r="AW88" s="30"/>
      <c r="AX88" s="19"/>
      <c r="AY88" s="19"/>
      <c r="AZ88" s="19"/>
      <c r="BA88" s="19"/>
      <c r="BB88" s="31"/>
    </row>
    <row r="89" spans="1:54">
      <c r="A89" s="148"/>
      <c r="B89" s="32">
        <v>2</v>
      </c>
      <c r="C89" s="10" t="s">
        <v>55</v>
      </c>
      <c r="D89" s="33">
        <v>16200</v>
      </c>
      <c r="E89" s="33">
        <v>0</v>
      </c>
      <c r="F89" s="33">
        <v>14691</v>
      </c>
      <c r="G89" s="34">
        <v>1</v>
      </c>
      <c r="H89" s="34">
        <v>6.2</v>
      </c>
      <c r="I89" s="33">
        <v>14620</v>
      </c>
      <c r="J89" s="34">
        <v>2.6</v>
      </c>
      <c r="K89" s="33">
        <v>16704</v>
      </c>
      <c r="L89" s="35">
        <v>6.0999999999999999E-2</v>
      </c>
      <c r="M89" s="36">
        <f>ROUND(K89*(1-L89),0)</f>
        <v>15685</v>
      </c>
      <c r="N89" s="37">
        <v>0.76900000000000002</v>
      </c>
      <c r="O89" s="24">
        <f t="shared" si="891"/>
        <v>12061.764999999999</v>
      </c>
      <c r="P89" s="35">
        <v>0.189</v>
      </c>
      <c r="Q89" s="24">
        <f t="shared" si="892"/>
        <v>2964.4650000000001</v>
      </c>
      <c r="R89" s="38">
        <v>4.2000000000000003E-2</v>
      </c>
      <c r="S89" s="105">
        <v>0.26319999999999999</v>
      </c>
      <c r="T89" s="24">
        <f t="shared" si="893"/>
        <v>658.7700000000001</v>
      </c>
      <c r="U89" s="27">
        <v>0.22700000000000001</v>
      </c>
      <c r="V89" s="24">
        <f t="shared" si="894"/>
        <v>3560.4949999999999</v>
      </c>
      <c r="W89" s="38">
        <v>0.496</v>
      </c>
      <c r="X89" s="24">
        <f t="shared" si="895"/>
        <v>7779.76</v>
      </c>
      <c r="Y89" s="38">
        <v>0.4</v>
      </c>
      <c r="Z89" s="24">
        <f t="shared" si="896"/>
        <v>6274</v>
      </c>
      <c r="AA89" s="117">
        <v>2.7000000000000001E-3</v>
      </c>
      <c r="AB89" s="18">
        <f t="shared" si="765"/>
        <v>42.349499999999999</v>
      </c>
      <c r="AC89" s="39">
        <v>2.5300000000000001E-3</v>
      </c>
      <c r="AD89" s="17">
        <f t="shared" si="898"/>
        <v>39.683050000000001</v>
      </c>
      <c r="AE89" s="26">
        <f>IF(M89&gt;0,(AG89+AP89)/M89,0)</f>
        <v>2.6710784124960151E-3</v>
      </c>
      <c r="AF89" s="39">
        <v>2.7E-4</v>
      </c>
      <c r="AG89" s="36">
        <f t="shared" si="899"/>
        <v>4.2349500000000004</v>
      </c>
      <c r="AH89" s="27">
        <v>0.2092</v>
      </c>
      <c r="AI89" s="40">
        <f t="shared" si="900"/>
        <v>36.257079600000004</v>
      </c>
      <c r="AJ89" s="27">
        <f t="shared" si="901"/>
        <v>0.89443501795048708</v>
      </c>
      <c r="AK89" s="28">
        <f t="shared" si="681"/>
        <v>0.90003554564487909</v>
      </c>
      <c r="AL89" s="33">
        <v>189</v>
      </c>
      <c r="AM89" s="35">
        <v>8.3000000000000004E-2</v>
      </c>
      <c r="AN89" s="37">
        <v>0.21729999999999999</v>
      </c>
      <c r="AO89" s="103">
        <v>0.21460000000000001</v>
      </c>
      <c r="AP89" s="40">
        <f>AL89*(1-AM89)*AN89</f>
        <v>37.660914900000002</v>
      </c>
      <c r="AQ89" s="104">
        <f t="shared" si="726"/>
        <v>37.192969800000007</v>
      </c>
      <c r="AR89" s="41">
        <v>1.58</v>
      </c>
      <c r="AS89" s="41"/>
      <c r="AT89" s="129">
        <f>AT88+AL89-AS89</f>
        <v>1401.3399999999988</v>
      </c>
      <c r="AU89" s="82"/>
      <c r="AV89" s="42"/>
      <c r="AW89" s="43"/>
      <c r="AX89" s="44"/>
      <c r="AY89" s="44"/>
      <c r="AZ89" s="44"/>
      <c r="BA89" s="44"/>
      <c r="BB89" s="31"/>
    </row>
    <row r="90" spans="1:54">
      <c r="A90" s="148"/>
      <c r="B90" s="32">
        <v>3</v>
      </c>
      <c r="C90" s="10" t="s">
        <v>53</v>
      </c>
      <c r="D90" s="42">
        <v>15000</v>
      </c>
      <c r="E90" s="42">
        <v>0</v>
      </c>
      <c r="F90" s="42">
        <v>18279</v>
      </c>
      <c r="G90" s="36">
        <v>0.5</v>
      </c>
      <c r="H90" s="36">
        <v>3.7</v>
      </c>
      <c r="I90" s="42">
        <v>17816</v>
      </c>
      <c r="J90" s="133">
        <v>1.5</v>
      </c>
      <c r="K90" s="42">
        <v>16688</v>
      </c>
      <c r="L90" s="38">
        <v>6.6000000000000003E-2</v>
      </c>
      <c r="M90" s="36">
        <f>ROUND(K90*(1-L90),0)</f>
        <v>15587</v>
      </c>
      <c r="N90" s="27">
        <v>0.70599999999999996</v>
      </c>
      <c r="O90" s="24">
        <f t="shared" si="891"/>
        <v>11004.421999999999</v>
      </c>
      <c r="P90" s="38">
        <v>0.224</v>
      </c>
      <c r="Q90" s="24">
        <f t="shared" si="892"/>
        <v>3491.4880000000003</v>
      </c>
      <c r="R90" s="38">
        <v>7.0000000000000007E-2</v>
      </c>
      <c r="S90" s="105">
        <v>0.2442</v>
      </c>
      <c r="T90" s="24">
        <f t="shared" si="893"/>
        <v>1091.0900000000001</v>
      </c>
      <c r="U90" s="27">
        <v>0.22</v>
      </c>
      <c r="V90" s="24">
        <f t="shared" si="894"/>
        <v>3429.14</v>
      </c>
      <c r="W90" s="38">
        <v>0.501</v>
      </c>
      <c r="X90" s="24">
        <f t="shared" si="895"/>
        <v>7809.0870000000004</v>
      </c>
      <c r="Y90" s="38">
        <v>0.4</v>
      </c>
      <c r="Z90" s="24">
        <f t="shared" si="896"/>
        <v>6234.8</v>
      </c>
      <c r="AA90" s="118">
        <v>2.66E-3</v>
      </c>
      <c r="AB90" s="121">
        <f t="shared" si="765"/>
        <v>41.461420000000004</v>
      </c>
      <c r="AC90" s="45">
        <v>2.5300000000000001E-3</v>
      </c>
      <c r="AD90" s="17">
        <f t="shared" si="898"/>
        <v>39.435110000000002</v>
      </c>
      <c r="AE90" s="26">
        <f>IF(M90&gt;0,(AG90+AP90)/M90,0)</f>
        <v>2.4266667350997624E-3</v>
      </c>
      <c r="AF90" s="45">
        <v>2.7999999999999998E-4</v>
      </c>
      <c r="AG90" s="36">
        <f t="shared" si="899"/>
        <v>4.3643599999999996</v>
      </c>
      <c r="AH90" s="27">
        <v>0.2104</v>
      </c>
      <c r="AI90" s="40">
        <f t="shared" si="900"/>
        <v>34.7311488</v>
      </c>
      <c r="AJ90" s="27">
        <f t="shared" si="901"/>
        <v>0.89051315679577792</v>
      </c>
      <c r="AK90" s="28">
        <f t="shared" si="681"/>
        <v>0.88583904318300377</v>
      </c>
      <c r="AL90" s="42">
        <v>181</v>
      </c>
      <c r="AM90" s="38">
        <v>8.7999999999999995E-2</v>
      </c>
      <c r="AN90" s="27">
        <v>0.20269999999999999</v>
      </c>
      <c r="AO90" s="105">
        <v>0.21049999999999999</v>
      </c>
      <c r="AP90" s="40">
        <f>AL90*(1-AM90)*AN90</f>
        <v>33.460094399999996</v>
      </c>
      <c r="AQ90" s="106">
        <f t="shared" si="726"/>
        <v>34.747655999999999</v>
      </c>
      <c r="AR90" s="17">
        <v>1.6</v>
      </c>
      <c r="AS90" s="17"/>
      <c r="AT90" s="129">
        <f>AT89+AL90-AS90</f>
        <v>1582.3399999999988</v>
      </c>
      <c r="AU90" s="82"/>
      <c r="AV90" s="42"/>
      <c r="AW90" s="46"/>
      <c r="AX90" s="40"/>
      <c r="AY90" s="40"/>
      <c r="AZ90" s="40"/>
      <c r="BA90" s="40"/>
      <c r="BB90" s="31"/>
    </row>
    <row r="91" spans="1:54">
      <c r="A91" s="149"/>
      <c r="B91" s="47" t="s">
        <v>56</v>
      </c>
      <c r="C91" s="48"/>
      <c r="D91" s="49">
        <f t="shared" ref="D91" si="903">SUM(D88:D90)</f>
        <v>44400</v>
      </c>
      <c r="E91" s="49"/>
      <c r="F91" s="49">
        <f t="shared" ref="F91" si="904">SUM(F88:F90)</f>
        <v>45984</v>
      </c>
      <c r="G91" s="50"/>
      <c r="H91" s="50"/>
      <c r="I91" s="49">
        <f t="shared" ref="I91:K91" si="905">SUM(I88:I90)</f>
        <v>44799</v>
      </c>
      <c r="J91" s="50"/>
      <c r="K91" s="49">
        <f t="shared" si="905"/>
        <v>50123</v>
      </c>
      <c r="L91" s="20">
        <f t="shared" ref="L91" si="906">IF(K91&gt;0,(K88*L88+K89*L89+K90*L90)/K91,0)</f>
        <v>6.4333699100213471E-2</v>
      </c>
      <c r="M91" s="50">
        <f t="shared" ref="M91" si="907">M88+M89+M90</f>
        <v>46899</v>
      </c>
      <c r="N91" s="51">
        <f t="shared" ref="N91" si="908">IF(M91&gt;0,O91/M91,0)</f>
        <v>0.70107983112646322</v>
      </c>
      <c r="O91" s="52">
        <f t="shared" ref="O91" si="909">O88+O89+O90</f>
        <v>32879.942999999999</v>
      </c>
      <c r="P91" s="20">
        <f t="shared" ref="P91" si="910">IF(M91&gt;0,Q91/M91,0)</f>
        <v>0.23628531525192434</v>
      </c>
      <c r="Q91" s="52">
        <f t="shared" ref="Q91" si="911">Q88+Q89+Q90</f>
        <v>11081.545</v>
      </c>
      <c r="R91" s="20">
        <f t="shared" ref="R91" si="912">IF(M91&gt;0,T91/M91,0)</f>
        <v>6.2634853621612405E-2</v>
      </c>
      <c r="S91" s="107"/>
      <c r="T91" s="52">
        <f t="shared" ref="T91" si="913">T88+T89+T90</f>
        <v>2937.5120000000002</v>
      </c>
      <c r="U91" s="20">
        <f t="shared" ref="U91" si="914">IF(M91&gt;0,V91/M91,0)</f>
        <v>0.22633955947888015</v>
      </c>
      <c r="V91" s="52">
        <f t="shared" ref="V91" si="915">V88+V89+V90</f>
        <v>10615.099</v>
      </c>
      <c r="W91" s="20">
        <f t="shared" ref="W91" si="916">IF(M91&gt;0,X91/M91,0)</f>
        <v>0.4953293247190772</v>
      </c>
      <c r="X91" s="52">
        <f t="shared" ref="X91" si="917">X88+X89+X90</f>
        <v>23230.45</v>
      </c>
      <c r="Y91" s="20">
        <f t="shared" ref="Y91" si="918">IF(M91&gt;0,Z91/M91,0)</f>
        <v>0.39999999999999997</v>
      </c>
      <c r="Z91" s="52">
        <f t="shared" ref="Z91" si="919">Z88+Z89+Z90</f>
        <v>18759.599999999999</v>
      </c>
      <c r="AA91" s="119">
        <f t="shared" ref="AA91" si="920">IF(M91&gt;0,AB91/M91,0)</f>
        <v>2.6633815219940724E-3</v>
      </c>
      <c r="AB91" s="54">
        <f t="shared" ref="AB91" si="921">SUM(AB88:AB90)</f>
        <v>124.90993</v>
      </c>
      <c r="AC91" s="53">
        <f t="shared" ref="AC91" si="922">IF(M91&gt;0,AD91/M91,0)</f>
        <v>2.5300000000000001E-3</v>
      </c>
      <c r="AD91" s="54">
        <f t="shared" ref="AD91" si="923">SUM(AD88:AD90)</f>
        <v>118.65447</v>
      </c>
      <c r="AE91" s="53">
        <f t="shared" ref="AE91" si="924">IF(M91&gt;0,(AE88*M88+AE89*M89+AE90*M90)/M91,0)</f>
        <v>2.5889236977334269E-3</v>
      </c>
      <c r="AF91" s="53">
        <f t="shared" ref="AF91" si="925">IF(K91&gt;0,(K88*AF88+K89*AF89+K90*AF90)/K91,0)</f>
        <v>2.7332940965225542E-4</v>
      </c>
      <c r="AG91" s="50">
        <f t="shared" ref="AG91" si="926">SUM(AG88:AG90)</f>
        <v>12.8186</v>
      </c>
      <c r="AH91" s="51">
        <f t="shared" ref="AH91" si="927">IF(K91&gt;0,(K88*AH88+K89*AH89+K90*AH90)/K91,0)</f>
        <v>0.20986656824212438</v>
      </c>
      <c r="AI91" s="56">
        <f t="shared" ref="AI91" si="928">SUM(AI88:AI90)</f>
        <v>107.9213484</v>
      </c>
      <c r="AJ91" s="51">
        <f t="shared" ref="AJ91" si="929">IF(AND(AD91&gt;0),((AD88*AJ88+AD89*AJ89+AD90*AJ90)/AD91),0)</f>
        <v>0.89313011037229506</v>
      </c>
      <c r="AK91" s="55">
        <f t="shared" si="681"/>
        <v>0.89558347085073864</v>
      </c>
      <c r="AL91" s="49">
        <f t="shared" ref="AL91" si="930">SUM(AL88:AL90)</f>
        <v>562</v>
      </c>
      <c r="AM91" s="20">
        <f t="shared" ref="AM91" si="931">IF(AL91&gt;0,(AM88*AL88+AM89*AL89+AM90*AL90)/AL91,0)</f>
        <v>8.4951957295373665E-2</v>
      </c>
      <c r="AN91" s="51">
        <f>IF(K91&gt;0,(AN88*K88+AN89*K89+AN90*K90)/K91,0)</f>
        <v>0.21103710671747503</v>
      </c>
      <c r="AO91" s="107">
        <f>IF(L91&gt;0,(AO88*K88+AO89*K89+AO90*K90)/K91,0)</f>
        <v>0.21233368513456899</v>
      </c>
      <c r="AP91" s="56">
        <f t="shared" ref="AP91:AQ103" si="932">SUM(AP88:AP90)</f>
        <v>108.5993325</v>
      </c>
      <c r="AQ91" s="108">
        <f t="shared" si="932"/>
        <v>109.20790260000001</v>
      </c>
      <c r="AR91" s="54"/>
      <c r="AS91" s="54">
        <f t="shared" ref="AS91" si="933">SUM(AS88:AS90)</f>
        <v>0</v>
      </c>
      <c r="AT91" s="83"/>
      <c r="AU91" s="84">
        <f>AT90</f>
        <v>1582.3399999999988</v>
      </c>
      <c r="AV91" s="49">
        <f t="shared" ref="AV91" si="934">SUM(AV88:AV90)</f>
        <v>0</v>
      </c>
      <c r="AW91" s="57"/>
      <c r="AX91" s="56"/>
      <c r="AY91" s="56"/>
      <c r="AZ91" s="56"/>
      <c r="BA91" s="56"/>
      <c r="BB91" s="21"/>
    </row>
    <row r="92" spans="1:54">
      <c r="A92" s="147">
        <v>23</v>
      </c>
      <c r="B92" s="22">
        <v>1</v>
      </c>
      <c r="C92" s="10" t="s">
        <v>61</v>
      </c>
      <c r="D92" s="11">
        <v>3300</v>
      </c>
      <c r="E92" s="11">
        <v>1</v>
      </c>
      <c r="F92" s="11">
        <v>14865</v>
      </c>
      <c r="G92" s="12">
        <v>1</v>
      </c>
      <c r="H92" s="12">
        <v>7.2</v>
      </c>
      <c r="I92" s="11">
        <v>14583</v>
      </c>
      <c r="J92" s="12">
        <v>2</v>
      </c>
      <c r="K92" s="11">
        <v>16299</v>
      </c>
      <c r="L92" s="13">
        <v>6.2E-2</v>
      </c>
      <c r="M92" s="23">
        <f>ROUND(K92*(1-L92),0)</f>
        <v>15288</v>
      </c>
      <c r="N92" s="14">
        <v>0.80500000000000005</v>
      </c>
      <c r="O92" s="24">
        <f t="shared" ref="O92:O94" si="935">M92*N92</f>
        <v>12306.84</v>
      </c>
      <c r="P92" s="13">
        <v>0.125</v>
      </c>
      <c r="Q92" s="24">
        <f t="shared" ref="Q92:Q94" si="936">M92*P92</f>
        <v>1911</v>
      </c>
      <c r="R92" s="15">
        <v>7.0000000000000007E-2</v>
      </c>
      <c r="S92" s="112">
        <v>0.26079999999999998</v>
      </c>
      <c r="T92" s="24">
        <f t="shared" ref="T92:T94" si="937">M92*R92</f>
        <v>1070.1600000000001</v>
      </c>
      <c r="U92" s="25">
        <v>0.21299999999999999</v>
      </c>
      <c r="V92" s="24">
        <f t="shared" ref="V92:V94" si="938">M92*U92</f>
        <v>3256.3440000000001</v>
      </c>
      <c r="W92" s="15">
        <v>0.51200000000000001</v>
      </c>
      <c r="X92" s="24">
        <f t="shared" ref="X92:X94" si="939">M92*W92</f>
        <v>7827.4560000000001</v>
      </c>
      <c r="Y92" s="15">
        <v>0.39</v>
      </c>
      <c r="Z92" s="24">
        <f t="shared" ref="Z92:Z94" si="940">Y92*M92</f>
        <v>5962.3200000000006</v>
      </c>
      <c r="AA92" s="116">
        <v>2.5699999999999998E-3</v>
      </c>
      <c r="AB92" s="18">
        <f t="shared" ref="AB92" si="941">M92*AA92</f>
        <v>39.29016</v>
      </c>
      <c r="AC92" s="16">
        <v>2.3700000000000001E-3</v>
      </c>
      <c r="AD92" s="17">
        <f t="shared" ref="AD92:AD94" si="942">M92*AC92</f>
        <v>36.232559999999999</v>
      </c>
      <c r="AE92" s="26">
        <f>IF(M92&gt;0,(AG92+AP92)/M92,0)</f>
        <v>2.4980916666666668E-3</v>
      </c>
      <c r="AF92" s="16">
        <v>2.7E-4</v>
      </c>
      <c r="AG92" s="23">
        <f t="shared" ref="AG92:AG94" si="943">AF92*M92</f>
        <v>4.1277600000000003</v>
      </c>
      <c r="AH92" s="92">
        <v>0.20499999999999999</v>
      </c>
      <c r="AI92" s="29">
        <f t="shared" ref="AI92:AI94" si="944">AL92*(1-AM92)*AH92</f>
        <v>34.213270000000001</v>
      </c>
      <c r="AJ92" s="27">
        <f t="shared" ref="AJ92:AJ94" si="945">IF(AND(AH92&gt;0,AF92&gt;0,AC92&gt;0),((AC92-AF92)*AH92)/((AH92-AF92)*AC92),0)</f>
        <v>0.88724451531408777</v>
      </c>
      <c r="AK92" s="58">
        <f t="shared" si="681"/>
        <v>0.89309896061589888</v>
      </c>
      <c r="AL92" s="11">
        <v>182</v>
      </c>
      <c r="AM92" s="13">
        <v>8.3000000000000004E-2</v>
      </c>
      <c r="AN92" s="14">
        <v>0.2041</v>
      </c>
      <c r="AO92" s="101">
        <v>0.2014</v>
      </c>
      <c r="AP92" s="29">
        <f>AL92*(1-AM92)*AN92</f>
        <v>34.063065399999999</v>
      </c>
      <c r="AQ92" s="102">
        <f t="shared" ref="AQ92" si="946">AL92*(1-AM92)*AO92</f>
        <v>33.6124516</v>
      </c>
      <c r="AR92" s="18">
        <v>1.55</v>
      </c>
      <c r="AS92" s="18">
        <v>1003.98</v>
      </c>
      <c r="AT92" s="79">
        <f>AT90+AL92-AS92+AU92</f>
        <v>763.29999999999882</v>
      </c>
      <c r="AU92" s="80">
        <v>2.94</v>
      </c>
      <c r="AV92" s="11"/>
      <c r="AW92" s="30"/>
      <c r="AX92" s="19"/>
      <c r="AY92" s="19"/>
      <c r="AZ92" s="19"/>
      <c r="BA92" s="19"/>
      <c r="BB92" s="31"/>
    </row>
    <row r="93" spans="1:54">
      <c r="A93" s="148"/>
      <c r="B93" s="32">
        <v>2</v>
      </c>
      <c r="C93" s="10" t="s">
        <v>55</v>
      </c>
      <c r="D93" s="33">
        <v>20500</v>
      </c>
      <c r="E93" s="33">
        <v>4</v>
      </c>
      <c r="F93" s="33">
        <v>15321</v>
      </c>
      <c r="G93" s="34">
        <v>0.8</v>
      </c>
      <c r="H93" s="34">
        <v>6.4</v>
      </c>
      <c r="I93" s="33">
        <v>14729</v>
      </c>
      <c r="J93" s="34">
        <v>2.2000000000000002</v>
      </c>
      <c r="K93" s="33">
        <v>16163</v>
      </c>
      <c r="L93" s="35">
        <v>6.0999999999999999E-2</v>
      </c>
      <c r="M93" s="36">
        <f>ROUND(K93*(1-L93),0)</f>
        <v>15177</v>
      </c>
      <c r="N93" s="37">
        <v>0.63</v>
      </c>
      <c r="O93" s="24">
        <f t="shared" si="935"/>
        <v>9561.51</v>
      </c>
      <c r="P93" s="35">
        <v>0.28999999999999998</v>
      </c>
      <c r="Q93" s="24">
        <f t="shared" si="936"/>
        <v>4401.33</v>
      </c>
      <c r="R93" s="38">
        <v>0.08</v>
      </c>
      <c r="S93" s="105">
        <v>0.2626</v>
      </c>
      <c r="T93" s="24">
        <f t="shared" si="937"/>
        <v>1214.1600000000001</v>
      </c>
      <c r="U93" s="27">
        <v>0.215</v>
      </c>
      <c r="V93" s="24">
        <f t="shared" si="938"/>
        <v>3263.0549999999998</v>
      </c>
      <c r="W93" s="38">
        <v>0.505</v>
      </c>
      <c r="X93" s="24">
        <f t="shared" si="939"/>
        <v>7664.3850000000002</v>
      </c>
      <c r="Y93" s="38">
        <v>0.4</v>
      </c>
      <c r="Z93" s="24">
        <f t="shared" si="940"/>
        <v>6070.8</v>
      </c>
      <c r="AA93" s="117">
        <v>2.2899999999999999E-3</v>
      </c>
      <c r="AB93" s="18">
        <f t="shared" si="765"/>
        <v>34.755330000000001</v>
      </c>
      <c r="AC93" s="39">
        <v>2.3E-3</v>
      </c>
      <c r="AD93" s="17">
        <f t="shared" si="942"/>
        <v>34.9071</v>
      </c>
      <c r="AE93" s="26">
        <f>IF(M93&gt;0,(AG93+AP93)/M93,0)</f>
        <v>2.4049995651314483E-3</v>
      </c>
      <c r="AF93" s="39">
        <v>2.5999999999999998E-4</v>
      </c>
      <c r="AG93" s="36">
        <f t="shared" si="943"/>
        <v>3.9460199999999999</v>
      </c>
      <c r="AH93" s="27">
        <v>0.21299999999999999</v>
      </c>
      <c r="AI93" s="40">
        <f t="shared" si="944"/>
        <v>32.281853999999996</v>
      </c>
      <c r="AJ93" s="27">
        <f t="shared" si="945"/>
        <v>0.88804051485585611</v>
      </c>
      <c r="AK93" s="28">
        <f t="shared" si="681"/>
        <v>0.89297275183871672</v>
      </c>
      <c r="AL93" s="33">
        <v>166</v>
      </c>
      <c r="AM93" s="35">
        <v>8.6999999999999994E-2</v>
      </c>
      <c r="AN93" s="37">
        <v>0.21479999999999999</v>
      </c>
      <c r="AO93" s="103">
        <v>0.2094</v>
      </c>
      <c r="AP93" s="40">
        <f>AL93*(1-AM93)*AN93</f>
        <v>32.554658399999994</v>
      </c>
      <c r="AQ93" s="104">
        <f t="shared" si="726"/>
        <v>31.736245199999999</v>
      </c>
      <c r="AR93" s="41">
        <v>1.55</v>
      </c>
      <c r="AS93" s="41"/>
      <c r="AT93" s="129">
        <f>AT92+AL93-AS93</f>
        <v>929.29999999999882</v>
      </c>
      <c r="AU93" s="82"/>
      <c r="AV93" s="42"/>
      <c r="AW93" s="43"/>
      <c r="AX93" s="44"/>
      <c r="AY93" s="44"/>
      <c r="AZ93" s="44"/>
      <c r="BA93" s="44"/>
      <c r="BB93" s="31"/>
    </row>
    <row r="94" spans="1:54">
      <c r="A94" s="148"/>
      <c r="B94" s="32">
        <v>3</v>
      </c>
      <c r="C94" s="143" t="s">
        <v>57</v>
      </c>
      <c r="D94" s="42">
        <v>21200</v>
      </c>
      <c r="E94" s="42">
        <v>1</v>
      </c>
      <c r="F94" s="42">
        <v>16780</v>
      </c>
      <c r="G94" s="36">
        <v>0.8</v>
      </c>
      <c r="H94" s="36">
        <v>6.3</v>
      </c>
      <c r="I94" s="42">
        <v>16706</v>
      </c>
      <c r="J94" s="36">
        <v>1</v>
      </c>
      <c r="K94" s="42">
        <v>15968</v>
      </c>
      <c r="L94" s="38">
        <v>6.0999999999999999E-2</v>
      </c>
      <c r="M94" s="36">
        <f>ROUND(K94*(1-L94),0)</f>
        <v>14994</v>
      </c>
      <c r="N94" s="27">
        <v>0.61799999999999999</v>
      </c>
      <c r="O94" s="24">
        <f t="shared" si="935"/>
        <v>9266.2919999999995</v>
      </c>
      <c r="P94" s="38">
        <v>0.29499999999999998</v>
      </c>
      <c r="Q94" s="24">
        <f t="shared" si="936"/>
        <v>4423.2299999999996</v>
      </c>
      <c r="R94" s="38">
        <v>8.6999999999999994E-2</v>
      </c>
      <c r="S94" s="105">
        <v>0.25629999999999997</v>
      </c>
      <c r="T94" s="24">
        <f t="shared" si="937"/>
        <v>1304.4779999999998</v>
      </c>
      <c r="U94" s="27">
        <v>0.218</v>
      </c>
      <c r="V94" s="24">
        <f t="shared" si="938"/>
        <v>3268.692</v>
      </c>
      <c r="W94" s="38">
        <v>0.496</v>
      </c>
      <c r="X94" s="24">
        <f t="shared" si="939"/>
        <v>7437.0240000000003</v>
      </c>
      <c r="Y94" s="38">
        <v>0.39</v>
      </c>
      <c r="Z94" s="24">
        <f t="shared" si="940"/>
        <v>5847.66</v>
      </c>
      <c r="AA94" s="118">
        <v>2.4599999999999999E-3</v>
      </c>
      <c r="AB94" s="121">
        <f t="shared" si="765"/>
        <v>36.885239999999996</v>
      </c>
      <c r="AC94" s="45">
        <v>2.33E-3</v>
      </c>
      <c r="AD94" s="17">
        <f t="shared" si="942"/>
        <v>34.936019999999999</v>
      </c>
      <c r="AE94" s="26">
        <f>IF(M94&gt;0,(AG94+AP94)/M94,0)</f>
        <v>2.3092801120448178E-3</v>
      </c>
      <c r="AF94" s="45">
        <v>2.5000000000000001E-4</v>
      </c>
      <c r="AG94" s="36">
        <f t="shared" si="943"/>
        <v>3.7484999999999999</v>
      </c>
      <c r="AH94" s="27">
        <v>0.20979999999999999</v>
      </c>
      <c r="AI94" s="40">
        <f t="shared" si="944"/>
        <v>30.355961999999998</v>
      </c>
      <c r="AJ94" s="27">
        <f t="shared" si="945"/>
        <v>0.89376888755078077</v>
      </c>
      <c r="AK94" s="28">
        <f t="shared" si="681"/>
        <v>0.89278706200100855</v>
      </c>
      <c r="AL94" s="42">
        <v>159</v>
      </c>
      <c r="AM94" s="38">
        <v>0.09</v>
      </c>
      <c r="AN94" s="27">
        <v>0.21340000000000001</v>
      </c>
      <c r="AO94" s="105">
        <v>0.20660000000000001</v>
      </c>
      <c r="AP94" s="40">
        <f>AL94*(1-AM94)*AN94</f>
        <v>30.876846</v>
      </c>
      <c r="AQ94" s="106">
        <f t="shared" si="726"/>
        <v>29.892954</v>
      </c>
      <c r="AR94" s="17">
        <v>1.55</v>
      </c>
      <c r="AS94" s="17"/>
      <c r="AT94" s="129">
        <f>AT93+AL94-AS94</f>
        <v>1088.2999999999988</v>
      </c>
      <c r="AU94" s="82"/>
      <c r="AV94" s="42"/>
      <c r="AW94" s="46"/>
      <c r="AX94" s="40"/>
      <c r="AY94" s="40"/>
      <c r="AZ94" s="40"/>
      <c r="BA94" s="40"/>
      <c r="BB94" s="31"/>
    </row>
    <row r="95" spans="1:54">
      <c r="A95" s="149"/>
      <c r="B95" s="47" t="s">
        <v>56</v>
      </c>
      <c r="C95" s="48"/>
      <c r="D95" s="49">
        <f t="shared" ref="D95" si="947">SUM(D92:D94)</f>
        <v>45000</v>
      </c>
      <c r="E95" s="49"/>
      <c r="F95" s="49">
        <f t="shared" ref="F95" si="948">SUM(F92:F94)</f>
        <v>46966</v>
      </c>
      <c r="G95" s="50"/>
      <c r="H95" s="50"/>
      <c r="I95" s="49">
        <f t="shared" ref="I95:K95" si="949">SUM(I92:I94)</f>
        <v>46018</v>
      </c>
      <c r="J95" s="50"/>
      <c r="K95" s="49">
        <f t="shared" si="949"/>
        <v>48430</v>
      </c>
      <c r="L95" s="20">
        <f t="shared" ref="L95" si="950">IF(K95&gt;0,(K92*L92+K93*L93+K94*L94)/K95,0)</f>
        <v>6.1336547594466238E-2</v>
      </c>
      <c r="M95" s="50">
        <f t="shared" ref="M95" si="951">M92+M93+M94</f>
        <v>45459</v>
      </c>
      <c r="N95" s="51">
        <f t="shared" ref="N95" si="952">IF(M95&gt;0,O95/M95,0)</f>
        <v>0.68489500428957961</v>
      </c>
      <c r="O95" s="52">
        <f t="shared" ref="O95" si="953">O92+O93+O94</f>
        <v>31134.642</v>
      </c>
      <c r="P95" s="20">
        <f t="shared" ref="P95" si="954">IF(M95&gt;0,Q95/M95,0)</f>
        <v>0.23615917640071271</v>
      </c>
      <c r="Q95" s="52">
        <f t="shared" ref="Q95" si="955">Q92+Q93+Q94</f>
        <v>10735.56</v>
      </c>
      <c r="R95" s="20">
        <f t="shared" ref="R95" si="956">IF(M95&gt;0,T95/M95,0)</f>
        <v>7.8945819309707649E-2</v>
      </c>
      <c r="S95" s="107"/>
      <c r="T95" s="52">
        <f t="shared" ref="T95" si="957">T92+T93+T94</f>
        <v>3588.7979999999998</v>
      </c>
      <c r="U95" s="20">
        <f t="shared" ref="U95" si="958">IF(M95&gt;0,V95/M95,0)</f>
        <v>0.21531690094370753</v>
      </c>
      <c r="V95" s="52">
        <f t="shared" ref="V95" si="959">V92+V93+V94</f>
        <v>9788.0910000000003</v>
      </c>
      <c r="W95" s="20">
        <f t="shared" ref="W95" si="960">IF(M95&gt;0,X95/M95,0)</f>
        <v>0.50438560021117929</v>
      </c>
      <c r="X95" s="52">
        <f t="shared" ref="X95" si="961">X92+X93+X94</f>
        <v>22928.865000000002</v>
      </c>
      <c r="Y95" s="20">
        <f t="shared" ref="Y95" si="962">IF(M95&gt;0,Z95/M95,0)</f>
        <v>0.39333861281594401</v>
      </c>
      <c r="Z95" s="52">
        <f t="shared" ref="Z95" si="963">Z92+Z93+Z94</f>
        <v>17880.78</v>
      </c>
      <c r="AA95" s="119">
        <f t="shared" ref="AA95" si="964">IF(M95&gt;0,AB95/M95,0)</f>
        <v>2.4402369167821551E-3</v>
      </c>
      <c r="AB95" s="54">
        <f t="shared" ref="AB95" si="965">SUM(AB92:AB94)</f>
        <v>110.93073</v>
      </c>
      <c r="AC95" s="53">
        <f t="shared" ref="AC95" si="966">IF(M95&gt;0,AD95/M95,0)</f>
        <v>2.3334362832442418E-3</v>
      </c>
      <c r="AD95" s="54">
        <f t="shared" ref="AD95" si="967">SUM(AD92:AD94)</f>
        <v>106.07567999999999</v>
      </c>
      <c r="AE95" s="53">
        <f t="shared" ref="AE95" si="968">IF(M95&gt;0,(AE92*M92+AE93*M93+AE94*M94)/M95,0)</f>
        <v>2.4047350315669065E-3</v>
      </c>
      <c r="AF95" s="53">
        <f t="shared" ref="AF95" si="969">IF(K95&gt;0,(K92*AF92+K93*AF93+K94*AF94)/K95,0)</f>
        <v>2.6006834606648777E-4</v>
      </c>
      <c r="AG95" s="50">
        <f t="shared" ref="AG95" si="970">SUM(AG92:AG94)</f>
        <v>11.822279999999999</v>
      </c>
      <c r="AH95" s="51">
        <f t="shared" ref="AH95" si="971">IF(K95&gt;0,(K92*AH92+K93*AH93+K94*AH94)/K95,0)</f>
        <v>0.20925253768325416</v>
      </c>
      <c r="AI95" s="56">
        <f t="shared" ref="AI95" si="972">SUM(AI92:AI94)</f>
        <v>96.851086000000009</v>
      </c>
      <c r="AJ95" s="51">
        <f t="shared" ref="AJ95" si="973">IF(AND(AD95&gt;0),((AD92*AJ92+AD93*AJ93+AD94*AJ94)/AD95),0)</f>
        <v>0.88965526238215298</v>
      </c>
      <c r="AK95" s="55">
        <f t="shared" si="681"/>
        <v>0.89295354133719851</v>
      </c>
      <c r="AL95" s="49">
        <f t="shared" ref="AL95" si="974">SUM(AL92:AL94)</f>
        <v>507</v>
      </c>
      <c r="AM95" s="20">
        <f t="shared" ref="AM95" si="975">IF(AL95&gt;0,(AM92*AL92+AM93*AL93+AM94*AL94)/AL95,0)</f>
        <v>8.650493096646944E-2</v>
      </c>
      <c r="AN95" s="51">
        <f>IF(K95&gt;0,(AN92*K92+AN93*K93+AN94*K94)/K95,0)</f>
        <v>0.21073734255626678</v>
      </c>
      <c r="AO95" s="107">
        <f>IF(L95&gt;0,(AO92*K92+AO93*K93+AO94*K94)/K95,0)</f>
        <v>0.20578442287838114</v>
      </c>
      <c r="AP95" s="56">
        <f t="shared" ref="AP95" si="976">SUM(AP92:AP94)</f>
        <v>97.494569799999994</v>
      </c>
      <c r="AQ95" s="108">
        <f t="shared" si="932"/>
        <v>95.241650800000002</v>
      </c>
      <c r="AR95" s="54"/>
      <c r="AS95" s="54">
        <f t="shared" ref="AS95" si="977">SUM(AS92:AS94)</f>
        <v>1003.98</v>
      </c>
      <c r="AT95" s="83"/>
      <c r="AU95" s="84">
        <f>AT94</f>
        <v>1088.2999999999988</v>
      </c>
      <c r="AV95" s="49">
        <f t="shared" ref="AV95" si="978">SUM(AV92:AV94)</f>
        <v>0</v>
      </c>
      <c r="AW95" s="57"/>
      <c r="AX95" s="56"/>
      <c r="AY95" s="56"/>
      <c r="AZ95" s="56"/>
      <c r="BA95" s="56"/>
      <c r="BB95" s="21"/>
    </row>
    <row r="96" spans="1:54">
      <c r="A96" s="147">
        <v>24</v>
      </c>
      <c r="B96" s="22">
        <v>1</v>
      </c>
      <c r="C96" s="10" t="s">
        <v>58</v>
      </c>
      <c r="D96" s="11">
        <v>4400</v>
      </c>
      <c r="E96" s="11">
        <v>0</v>
      </c>
      <c r="F96" s="11">
        <v>5425</v>
      </c>
      <c r="G96" s="12">
        <v>0.5</v>
      </c>
      <c r="H96" s="12">
        <v>5</v>
      </c>
      <c r="I96" s="11">
        <v>5393</v>
      </c>
      <c r="J96" s="12">
        <v>6.5</v>
      </c>
      <c r="K96" s="11">
        <v>16497</v>
      </c>
      <c r="L96" s="13">
        <v>7.1999999999999995E-2</v>
      </c>
      <c r="M96" s="23">
        <f>ROUND(K96*(1-L96),0)</f>
        <v>15309</v>
      </c>
      <c r="N96" s="14">
        <v>0.66800000000000004</v>
      </c>
      <c r="O96" s="24">
        <f t="shared" ref="O96:O98" si="979">M96*N96</f>
        <v>10226.412</v>
      </c>
      <c r="P96" s="13">
        <v>0.23899999999999999</v>
      </c>
      <c r="Q96" s="24">
        <f t="shared" ref="Q96:Q98" si="980">M96*P96</f>
        <v>3658.8509999999997</v>
      </c>
      <c r="R96" s="15">
        <v>9.2999999999999999E-2</v>
      </c>
      <c r="S96" s="112">
        <v>0.26450000000000001</v>
      </c>
      <c r="T96" s="24">
        <f t="shared" ref="T96:T98" si="981">M96*R96</f>
        <v>1423.7370000000001</v>
      </c>
      <c r="U96" s="25">
        <v>0.223</v>
      </c>
      <c r="V96" s="24">
        <f t="shared" ref="V96:V98" si="982">M96*U96</f>
        <v>3413.9070000000002</v>
      </c>
      <c r="W96" s="15">
        <v>0.497</v>
      </c>
      <c r="X96" s="24">
        <f t="shared" ref="X96:X98" si="983">M96*W96</f>
        <v>7608.5730000000003</v>
      </c>
      <c r="Y96" s="15">
        <v>0.39</v>
      </c>
      <c r="Z96" s="24">
        <f t="shared" ref="Z96:Z98" si="984">Y96*M96</f>
        <v>5970.51</v>
      </c>
      <c r="AA96" s="116">
        <v>2.49E-3</v>
      </c>
      <c r="AB96" s="18">
        <f t="shared" ref="AB96" si="985">M96*AA96</f>
        <v>38.119410000000002</v>
      </c>
      <c r="AC96" s="16">
        <v>2.5100000000000001E-3</v>
      </c>
      <c r="AD96" s="17">
        <f t="shared" ref="AD96:AD98" si="986">M96*AC96</f>
        <v>38.42559</v>
      </c>
      <c r="AE96" s="26">
        <f>IF(M96&gt;0,(AG96+AP96)/M96,0)</f>
        <v>2.4969590175713632E-3</v>
      </c>
      <c r="AF96" s="16">
        <v>2.7E-4</v>
      </c>
      <c r="AG96" s="23">
        <f t="shared" ref="AG96:AG98" si="987">AF96*M96</f>
        <v>4.1334299999999997</v>
      </c>
      <c r="AH96" s="92">
        <v>0.20610000000000001</v>
      </c>
      <c r="AI96" s="29">
        <f t="shared" ref="AI96:AI98" si="988">AL96*(1-AM96)*AH96</f>
        <v>32.3651196</v>
      </c>
      <c r="AJ96" s="27">
        <f t="shared" ref="AJ96:AJ98" si="989">IF(AND(AH96&gt;0,AF96&gt;0,AC96&gt;0),((AC96-AF96)*AH96)/((AH96-AF96)*AC96),0)</f>
        <v>0.89360093513135919</v>
      </c>
      <c r="AK96" s="58">
        <f t="shared" si="681"/>
        <v>0.8929790376924911</v>
      </c>
      <c r="AL96" s="11">
        <v>172</v>
      </c>
      <c r="AM96" s="13">
        <v>8.6999999999999994E-2</v>
      </c>
      <c r="AN96" s="14">
        <v>0.21709999999999999</v>
      </c>
      <c r="AO96" s="101">
        <v>0.22009999999999999</v>
      </c>
      <c r="AP96" s="29">
        <f>AL96*(1-AM96)*AN96</f>
        <v>34.092515599999999</v>
      </c>
      <c r="AQ96" s="102">
        <f t="shared" ref="AQ96" si="990">AL96*(1-AM96)*AO96</f>
        <v>34.5636236</v>
      </c>
      <c r="AR96" s="18">
        <v>1.6</v>
      </c>
      <c r="AS96" s="18">
        <v>1008.28</v>
      </c>
      <c r="AT96" s="79">
        <f>AT94+AL96-AS96+AU96</f>
        <v>264.95999999999884</v>
      </c>
      <c r="AU96" s="80">
        <v>12.94</v>
      </c>
      <c r="AV96" s="11"/>
      <c r="AW96" s="30"/>
      <c r="AX96" s="19"/>
      <c r="AY96" s="19"/>
      <c r="AZ96" s="19"/>
      <c r="BA96" s="19"/>
      <c r="BB96" s="31"/>
    </row>
    <row r="97" spans="1:54">
      <c r="A97" s="148"/>
      <c r="B97" s="32">
        <v>2</v>
      </c>
      <c r="C97" s="10" t="s">
        <v>55</v>
      </c>
      <c r="D97" s="33">
        <v>13300</v>
      </c>
      <c r="E97" s="33">
        <v>2</v>
      </c>
      <c r="F97" s="33">
        <v>12113</v>
      </c>
      <c r="G97" s="34">
        <v>0.9</v>
      </c>
      <c r="H97" s="34">
        <v>7</v>
      </c>
      <c r="I97" s="33">
        <v>12080</v>
      </c>
      <c r="J97" s="34">
        <v>5.2</v>
      </c>
      <c r="K97" s="33">
        <v>16571</v>
      </c>
      <c r="L97" s="35">
        <v>6.6000000000000003E-2</v>
      </c>
      <c r="M97" s="36">
        <f>ROUND(K97*(1-L97),0)</f>
        <v>15477</v>
      </c>
      <c r="N97" s="37">
        <v>0.65200000000000002</v>
      </c>
      <c r="O97" s="24">
        <f t="shared" si="979"/>
        <v>10091.004000000001</v>
      </c>
      <c r="P97" s="35">
        <v>0.23899999999999999</v>
      </c>
      <c r="Q97" s="24">
        <f t="shared" si="980"/>
        <v>3699.0029999999997</v>
      </c>
      <c r="R97" s="38">
        <v>0.109</v>
      </c>
      <c r="S97" s="105">
        <v>0.26</v>
      </c>
      <c r="T97" s="24">
        <f t="shared" si="981"/>
        <v>1686.9929999999999</v>
      </c>
      <c r="U97" s="27">
        <v>0.23200000000000001</v>
      </c>
      <c r="V97" s="24">
        <f t="shared" si="982"/>
        <v>3590.6640000000002</v>
      </c>
      <c r="W97" s="38">
        <v>0.48599999999999999</v>
      </c>
      <c r="X97" s="24">
        <f t="shared" si="983"/>
        <v>7521.8220000000001</v>
      </c>
      <c r="Y97" s="38">
        <v>0.39</v>
      </c>
      <c r="Z97" s="24">
        <f t="shared" si="984"/>
        <v>6036.0300000000007</v>
      </c>
      <c r="AA97" s="117">
        <v>2.5200000000000001E-3</v>
      </c>
      <c r="AB97" s="18">
        <f t="shared" si="765"/>
        <v>39.002040000000001</v>
      </c>
      <c r="AC97" s="39">
        <v>2.6199999999999999E-3</v>
      </c>
      <c r="AD97" s="17">
        <f t="shared" si="986"/>
        <v>40.54974</v>
      </c>
      <c r="AE97" s="26">
        <f>IF(M97&gt;0,(AG97+AP97)/M97,0)</f>
        <v>2.4133599017897526E-3</v>
      </c>
      <c r="AF97" s="39">
        <v>2.7E-4</v>
      </c>
      <c r="AG97" s="36">
        <f t="shared" si="987"/>
        <v>4.1787900000000002</v>
      </c>
      <c r="AH97" s="27">
        <v>0.20399999999999999</v>
      </c>
      <c r="AI97" s="40">
        <f t="shared" si="988"/>
        <v>33.156528000000002</v>
      </c>
      <c r="AJ97" s="27">
        <f t="shared" si="989"/>
        <v>0.89813527333549914</v>
      </c>
      <c r="AK97" s="28">
        <f t="shared" si="681"/>
        <v>0.88929921560380509</v>
      </c>
      <c r="AL97" s="33">
        <v>179</v>
      </c>
      <c r="AM97" s="35">
        <v>9.1999999999999998E-2</v>
      </c>
      <c r="AN97" s="37">
        <v>0.2041</v>
      </c>
      <c r="AO97" s="103">
        <v>0.20369999999999999</v>
      </c>
      <c r="AP97" s="40">
        <f>AL97*(1-AM97)*AN97</f>
        <v>33.172781200000003</v>
      </c>
      <c r="AQ97" s="104">
        <f t="shared" si="726"/>
        <v>33.107768399999998</v>
      </c>
      <c r="AR97" s="41">
        <v>1.6</v>
      </c>
      <c r="AS97" s="41"/>
      <c r="AT97" s="129">
        <f>AT96+AL97-AS97</f>
        <v>443.95999999999884</v>
      </c>
      <c r="AU97" s="82"/>
      <c r="AV97" s="42"/>
      <c r="AW97" s="43"/>
      <c r="AX97" s="44"/>
      <c r="AY97" s="44"/>
      <c r="AZ97" s="44"/>
      <c r="BA97" s="44"/>
      <c r="BB97" s="31"/>
    </row>
    <row r="98" spans="1:54">
      <c r="A98" s="148"/>
      <c r="B98" s="32">
        <v>3</v>
      </c>
      <c r="C98" s="143" t="s">
        <v>57</v>
      </c>
      <c r="D98" s="42">
        <v>16700</v>
      </c>
      <c r="E98" s="42">
        <v>1</v>
      </c>
      <c r="F98" s="42">
        <v>18098</v>
      </c>
      <c r="G98" s="36">
        <v>0.7</v>
      </c>
      <c r="H98" s="36">
        <v>5.0999999999999996</v>
      </c>
      <c r="I98" s="42">
        <v>17592</v>
      </c>
      <c r="J98" s="36">
        <v>4.5</v>
      </c>
      <c r="K98" s="42">
        <v>17170</v>
      </c>
      <c r="L98" s="38">
        <v>7.0000000000000007E-2</v>
      </c>
      <c r="M98" s="36">
        <f>ROUND(K98*(1-L98),0)</f>
        <v>15968</v>
      </c>
      <c r="N98" s="27">
        <v>0.58499999999999996</v>
      </c>
      <c r="O98" s="24">
        <f t="shared" si="979"/>
        <v>9341.2799999999988</v>
      </c>
      <c r="P98" s="38">
        <v>0.29499999999999998</v>
      </c>
      <c r="Q98" s="24">
        <f t="shared" si="980"/>
        <v>4710.5599999999995</v>
      </c>
      <c r="R98" s="38">
        <v>0.12</v>
      </c>
      <c r="S98" s="105">
        <v>0.26540000000000002</v>
      </c>
      <c r="T98" s="24">
        <f t="shared" si="981"/>
        <v>1916.1599999999999</v>
      </c>
      <c r="U98" s="27">
        <v>0.23</v>
      </c>
      <c r="V98" s="24">
        <f t="shared" si="982"/>
        <v>3672.6400000000003</v>
      </c>
      <c r="W98" s="38">
        <v>0.496</v>
      </c>
      <c r="X98" s="24">
        <f t="shared" si="983"/>
        <v>7920.1279999999997</v>
      </c>
      <c r="Y98" s="38">
        <v>0.41</v>
      </c>
      <c r="Z98" s="24">
        <f t="shared" si="984"/>
        <v>6546.8799999999992</v>
      </c>
      <c r="AA98" s="118">
        <v>2.7000000000000001E-3</v>
      </c>
      <c r="AB98" s="121">
        <f t="shared" si="765"/>
        <v>43.113600000000005</v>
      </c>
      <c r="AC98" s="45">
        <v>2.6900000000000001E-3</v>
      </c>
      <c r="AD98" s="17">
        <f t="shared" si="986"/>
        <v>42.953920000000004</v>
      </c>
      <c r="AE98" s="26">
        <f>IF(M98&gt;0,(AG98+AP98)/M98,0)</f>
        <v>2.5710509018036071E-3</v>
      </c>
      <c r="AF98" s="45">
        <v>2.7E-4</v>
      </c>
      <c r="AG98" s="36">
        <f t="shared" si="987"/>
        <v>4.3113599999999996</v>
      </c>
      <c r="AH98" s="27">
        <v>0.2104</v>
      </c>
      <c r="AI98" s="40">
        <f t="shared" si="988"/>
        <v>35.268089599999996</v>
      </c>
      <c r="AJ98" s="27">
        <f t="shared" si="989"/>
        <v>0.90078420209687871</v>
      </c>
      <c r="AK98" s="28">
        <f t="shared" si="681"/>
        <v>0.89608833466642379</v>
      </c>
      <c r="AL98" s="42">
        <v>184</v>
      </c>
      <c r="AM98" s="38">
        <v>8.8999999999999996E-2</v>
      </c>
      <c r="AN98" s="27">
        <v>0.21920000000000001</v>
      </c>
      <c r="AO98" s="105">
        <v>0.21260000000000001</v>
      </c>
      <c r="AP98" s="40">
        <f>AL98*(1-AM98)*AN98</f>
        <v>36.743180799999998</v>
      </c>
      <c r="AQ98" s="106">
        <f t="shared" si="726"/>
        <v>35.636862399999998</v>
      </c>
      <c r="AR98" s="17">
        <v>1.6</v>
      </c>
      <c r="AS98" s="17"/>
      <c r="AT98" s="129">
        <f>AT97+AL98-AS98</f>
        <v>627.9599999999989</v>
      </c>
      <c r="AU98" s="82"/>
      <c r="AV98" s="42"/>
      <c r="AW98" s="46"/>
      <c r="AX98" s="40"/>
      <c r="AY98" s="40"/>
      <c r="AZ98" s="40"/>
      <c r="BA98" s="40"/>
      <c r="BB98" s="31"/>
    </row>
    <row r="99" spans="1:54">
      <c r="A99" s="149"/>
      <c r="B99" s="47" t="s">
        <v>56</v>
      </c>
      <c r="C99" s="48"/>
      <c r="D99" s="49">
        <f t="shared" ref="D99" si="991">SUM(D96:D98)</f>
        <v>34400</v>
      </c>
      <c r="E99" s="49"/>
      <c r="F99" s="49">
        <f t="shared" ref="F99" si="992">SUM(F96:F98)</f>
        <v>35636</v>
      </c>
      <c r="G99" s="50"/>
      <c r="H99" s="50"/>
      <c r="I99" s="49">
        <f t="shared" ref="I99:K99" si="993">SUM(I96:I98)</f>
        <v>35065</v>
      </c>
      <c r="J99" s="50"/>
      <c r="K99" s="49">
        <f t="shared" si="993"/>
        <v>50238</v>
      </c>
      <c r="L99" s="20">
        <f t="shared" ref="L99" si="994">IF(K99&gt;0,(K96*L96+K97*L97+K98*L98)/K99,0)</f>
        <v>6.9337354194036388E-2</v>
      </c>
      <c r="M99" s="50">
        <f t="shared" ref="M99" si="995">M96+M97+M98</f>
        <v>46754</v>
      </c>
      <c r="N99" s="51">
        <f t="shared" ref="N99" si="996">IF(M99&gt;0,O99/M99,0)</f>
        <v>0.63435633314796591</v>
      </c>
      <c r="O99" s="52">
        <f t="shared" ref="O99" si="997">O96+O97+O98</f>
        <v>29658.696</v>
      </c>
      <c r="P99" s="20">
        <f t="shared" ref="P99" si="998">IF(M99&gt;0,Q99/M99,0)</f>
        <v>0.25812580741754715</v>
      </c>
      <c r="Q99" s="52">
        <f t="shared" ref="Q99" si="999">Q96+Q97+Q98</f>
        <v>12068.413999999999</v>
      </c>
      <c r="R99" s="20">
        <f t="shared" ref="R99" si="1000">IF(M99&gt;0,T99/M99,0)</f>
        <v>0.10751785943448687</v>
      </c>
      <c r="S99" s="107"/>
      <c r="T99" s="52">
        <f t="shared" ref="T99" si="1001">T96+T97+T98</f>
        <v>5026.8899999999994</v>
      </c>
      <c r="U99" s="20">
        <f t="shared" ref="U99" si="1002">IF(M99&gt;0,V99/M99,0)</f>
        <v>0.22837000042777086</v>
      </c>
      <c r="V99" s="52">
        <f t="shared" ref="V99" si="1003">V96+V97+V98</f>
        <v>10677.210999999999</v>
      </c>
      <c r="W99" s="20">
        <f t="shared" ref="W99" si="1004">IF(M99&gt;0,X99/M99,0)</f>
        <v>0.49301713222398086</v>
      </c>
      <c r="X99" s="52">
        <f t="shared" ref="X99" si="1005">X96+X97+X98</f>
        <v>23050.523000000001</v>
      </c>
      <c r="Y99" s="20">
        <f t="shared" ref="Y99" si="1006">IF(M99&gt;0,Z99/M99,0)</f>
        <v>0.39683064550626679</v>
      </c>
      <c r="Z99" s="52">
        <f t="shared" ref="Z99" si="1007">Z96+Z97+Z98</f>
        <v>18553.419999999998</v>
      </c>
      <c r="AA99" s="119">
        <f t="shared" ref="AA99" si="1008">IF(M99&gt;0,AB99/M99,0)</f>
        <v>2.571652692817727E-3</v>
      </c>
      <c r="AB99" s="54">
        <f t="shared" ref="AB99" si="1009">SUM(AB96:AB98)</f>
        <v>120.23505000000002</v>
      </c>
      <c r="AC99" s="53">
        <f t="shared" ref="AC99" si="1010">IF(M99&gt;0,AD99/M99,0)</f>
        <v>2.6078891645634596E-3</v>
      </c>
      <c r="AD99" s="54">
        <f t="shared" ref="AD99" si="1011">SUM(AD96:AD98)</f>
        <v>121.92925</v>
      </c>
      <c r="AE99" s="53">
        <f t="shared" ref="AE99" si="1012">IF(M99&gt;0,(AE96*M96+AE97*M97+AE98*M98)/M99,0)</f>
        <v>2.4945899302733455E-3</v>
      </c>
      <c r="AF99" s="53">
        <f t="shared" ref="AF99" si="1013">IF(K99&gt;0,(K96*AF96+K97*AF97+K98*AF98)/K99,0)</f>
        <v>2.7E-4</v>
      </c>
      <c r="AG99" s="50">
        <f t="shared" ref="AG99" si="1014">SUM(AG96:AG98)</f>
        <v>12.62358</v>
      </c>
      <c r="AH99" s="51">
        <f t="shared" ref="AH99" si="1015">IF(K99&gt;0,(K96*AH96+K97*AH97+K98*AH98)/K99,0)</f>
        <v>0.20687693976671045</v>
      </c>
      <c r="AI99" s="56">
        <f t="shared" ref="AI99" si="1016">SUM(AI96:AI98)</f>
        <v>100.78973719999999</v>
      </c>
      <c r="AJ99" s="51">
        <f t="shared" ref="AJ99" si="1017">IF(AND(AD99&gt;0),((AD96*AJ96+AD97*AJ97+AD98*AJ98)/AD99),0)</f>
        <v>0.89763947149425427</v>
      </c>
      <c r="AK99" s="55">
        <f t="shared" si="681"/>
        <v>0.89289480901378704</v>
      </c>
      <c r="AL99" s="49">
        <f t="shared" ref="AL99" si="1018">SUM(AL96:AL98)</f>
        <v>535</v>
      </c>
      <c r="AM99" s="20">
        <f t="shared" ref="AM99" si="1019">IF(AL99&gt;0,(AM96*AL96+AM97*AL97+AM98*AL98)/AL99,0)</f>
        <v>8.9360747663551385E-2</v>
      </c>
      <c r="AN99" s="51">
        <f>IF(K99&gt;0,(AN96*K96+AN97*K97+AN98*K98)/K99,0)</f>
        <v>0.21352967474819856</v>
      </c>
      <c r="AO99" s="107">
        <f>IF(L99&gt;0,(AO96*K96+AO97*K97+AO98*K98)/K99,0)</f>
        <v>0.2121271627055217</v>
      </c>
      <c r="AP99" s="56">
        <f t="shared" ref="AP99" si="1020">SUM(AP96:AP98)</f>
        <v>104.00847759999999</v>
      </c>
      <c r="AQ99" s="108">
        <f t="shared" si="932"/>
        <v>103.3082544</v>
      </c>
      <c r="AR99" s="54"/>
      <c r="AS99" s="54">
        <f t="shared" ref="AS99" si="1021">SUM(AS96:AS98)</f>
        <v>1008.28</v>
      </c>
      <c r="AT99" s="83"/>
      <c r="AU99" s="84">
        <f>AT98</f>
        <v>627.9599999999989</v>
      </c>
      <c r="AV99" s="49">
        <f t="shared" ref="AV99" si="1022">SUM(AV96:AV98)</f>
        <v>0</v>
      </c>
      <c r="AW99" s="57"/>
      <c r="AX99" s="56"/>
      <c r="AY99" s="56"/>
      <c r="AZ99" s="56"/>
      <c r="BA99" s="56"/>
      <c r="BB99" s="21"/>
    </row>
    <row r="100" spans="1:54">
      <c r="A100" s="154">
        <v>25</v>
      </c>
      <c r="B100" s="32">
        <v>1</v>
      </c>
      <c r="C100" s="10" t="s">
        <v>58</v>
      </c>
      <c r="D100" s="11">
        <v>5024</v>
      </c>
      <c r="E100" s="11">
        <v>0</v>
      </c>
      <c r="F100" s="11">
        <v>17146</v>
      </c>
      <c r="G100" s="12">
        <v>0.7</v>
      </c>
      <c r="H100" s="12">
        <v>5.0999999999999996</v>
      </c>
      <c r="I100" s="11">
        <v>16403</v>
      </c>
      <c r="J100" s="12">
        <v>4.0999999999999996</v>
      </c>
      <c r="K100" s="11">
        <v>17011</v>
      </c>
      <c r="L100" s="13">
        <v>7.3999999999999996E-2</v>
      </c>
      <c r="M100" s="23">
        <f>ROUND(K100*(1-L100),0)</f>
        <v>15752</v>
      </c>
      <c r="N100" s="14">
        <v>0.70799999999999996</v>
      </c>
      <c r="O100" s="24">
        <f t="shared" ref="O100:O102" si="1023">M100*N100</f>
        <v>11152.415999999999</v>
      </c>
      <c r="P100" s="13">
        <v>0.23699999999999999</v>
      </c>
      <c r="Q100" s="24">
        <f t="shared" ref="Q100:Q102" si="1024">M100*P100</f>
        <v>3733.2239999999997</v>
      </c>
      <c r="R100" s="15">
        <v>5.5E-2</v>
      </c>
      <c r="S100" s="112">
        <v>0.28289999999999998</v>
      </c>
      <c r="T100" s="24">
        <f t="shared" ref="T100:T102" si="1025">M100*R100</f>
        <v>866.36</v>
      </c>
      <c r="U100" s="25">
        <v>0.249</v>
      </c>
      <c r="V100" s="24">
        <f t="shared" ref="V100:V102" si="1026">M100*U100</f>
        <v>3922.248</v>
      </c>
      <c r="W100" s="15">
        <v>0.47099999999999997</v>
      </c>
      <c r="X100" s="24">
        <f t="shared" ref="X100:X102" si="1027">M100*W100</f>
        <v>7419.192</v>
      </c>
      <c r="Y100" s="15">
        <v>0.41</v>
      </c>
      <c r="Z100" s="24">
        <f t="shared" ref="Z100:Z102" si="1028">Y100*M100</f>
        <v>6458.32</v>
      </c>
      <c r="AA100" s="116">
        <v>2.5899999999999999E-3</v>
      </c>
      <c r="AB100" s="18">
        <f t="shared" ref="AB100" si="1029">M100*AA100</f>
        <v>40.79768</v>
      </c>
      <c r="AC100" s="16">
        <v>2.6800000000000001E-3</v>
      </c>
      <c r="AD100" s="17">
        <f t="shared" ref="AD100:AD102" si="1030">M100*AC100</f>
        <v>42.215360000000004</v>
      </c>
      <c r="AE100" s="26">
        <f>IF(M100&gt;0,(AG100+AP100)/M100,0)</f>
        <v>2.6873923882681562E-3</v>
      </c>
      <c r="AF100" s="16">
        <v>2.7E-4</v>
      </c>
      <c r="AG100" s="23">
        <f t="shared" ref="AG100:AG102" si="1031">AF100*M100</f>
        <v>4.2530400000000004</v>
      </c>
      <c r="AH100" s="92">
        <v>0.20499999999999999</v>
      </c>
      <c r="AI100" s="29">
        <f t="shared" ref="AI100:AI102" si="1032">AL100*(1-AM100)*AH100</f>
        <v>36.122844999999998</v>
      </c>
      <c r="AJ100" s="27">
        <f t="shared" ref="AJ100:AJ102" si="1033">IF(AND(AH100&gt;0,AF100&gt;0,AC100&gt;0),((AC100-AF100)*AH100)/((AH100-AF100)*AC100),0)</f>
        <v>0.90043967628277788</v>
      </c>
      <c r="AK100" s="58">
        <f t="shared" si="681"/>
        <v>0.90065616000653648</v>
      </c>
      <c r="AL100" s="11">
        <v>193</v>
      </c>
      <c r="AM100" s="13">
        <v>8.6999999999999994E-2</v>
      </c>
      <c r="AN100" s="14">
        <v>0.21609999999999999</v>
      </c>
      <c r="AO100" s="101">
        <v>0.21759999999999999</v>
      </c>
      <c r="AP100" s="29">
        <f>AL100*(1-AM100)*AN100</f>
        <v>38.078764899999996</v>
      </c>
      <c r="AQ100" s="102">
        <f t="shared" ref="AQ100" si="1034">AL100*(1-AM100)*AO100</f>
        <v>38.343078399999996</v>
      </c>
      <c r="AR100" s="18">
        <v>1.55</v>
      </c>
      <c r="AS100" s="18">
        <v>509.48</v>
      </c>
      <c r="AT100" s="79">
        <f>AT98+AL100-AS100+AU100</f>
        <v>320.83999999999889</v>
      </c>
      <c r="AU100" s="134">
        <v>9.36</v>
      </c>
      <c r="AV100" s="11"/>
      <c r="AW100" s="30"/>
      <c r="AX100" s="19"/>
      <c r="AY100" s="19"/>
      <c r="AZ100" s="19"/>
      <c r="BA100" s="19"/>
      <c r="BB100" s="31"/>
    </row>
    <row r="101" spans="1:54">
      <c r="A101" s="154"/>
      <c r="B101" s="32">
        <v>2</v>
      </c>
      <c r="C101" s="10" t="s">
        <v>53</v>
      </c>
      <c r="D101" s="33">
        <v>22500</v>
      </c>
      <c r="E101" s="33">
        <v>4</v>
      </c>
      <c r="F101" s="33">
        <v>17270</v>
      </c>
      <c r="G101" s="34">
        <v>1</v>
      </c>
      <c r="H101" s="34">
        <v>6.3</v>
      </c>
      <c r="I101" s="33">
        <v>16600</v>
      </c>
      <c r="J101" s="34">
        <v>4.2</v>
      </c>
      <c r="K101" s="33">
        <v>17470</v>
      </c>
      <c r="L101" s="35">
        <v>6.8000000000000005E-2</v>
      </c>
      <c r="M101" s="36">
        <f>ROUND(K101*(1-L101),0)</f>
        <v>16282</v>
      </c>
      <c r="N101" s="37">
        <v>0.748</v>
      </c>
      <c r="O101" s="24">
        <f t="shared" si="1023"/>
        <v>12178.936</v>
      </c>
      <c r="P101" s="35">
        <v>0.128</v>
      </c>
      <c r="Q101" s="24">
        <f t="shared" si="1024"/>
        <v>2084.096</v>
      </c>
      <c r="R101" s="38">
        <v>0.124</v>
      </c>
      <c r="S101" s="105">
        <v>0.2838</v>
      </c>
      <c r="T101" s="24">
        <f t="shared" si="1025"/>
        <v>2018.9680000000001</v>
      </c>
      <c r="U101" s="27">
        <v>0.23499999999999999</v>
      </c>
      <c r="V101" s="24">
        <f t="shared" si="1026"/>
        <v>3826.27</v>
      </c>
      <c r="W101" s="38">
        <v>0.49099999999999999</v>
      </c>
      <c r="X101" s="24">
        <f t="shared" si="1027"/>
        <v>7994.4619999999995</v>
      </c>
      <c r="Y101" s="38">
        <v>0.41</v>
      </c>
      <c r="Z101" s="24">
        <f t="shared" si="1028"/>
        <v>6675.62</v>
      </c>
      <c r="AA101" s="117">
        <v>2.7499999999999998E-3</v>
      </c>
      <c r="AB101" s="18">
        <f t="shared" si="765"/>
        <v>44.775499999999994</v>
      </c>
      <c r="AC101" s="39">
        <v>2.9299999999999999E-3</v>
      </c>
      <c r="AD101" s="17">
        <f t="shared" si="1030"/>
        <v>47.70626</v>
      </c>
      <c r="AE101" s="26">
        <f>IF(M101&gt;0,(AG101+AP101)/M101,0)</f>
        <v>2.756750915120993E-3</v>
      </c>
      <c r="AF101" s="39">
        <v>2.5000000000000001E-4</v>
      </c>
      <c r="AG101" s="36">
        <f t="shared" si="1031"/>
        <v>4.0705</v>
      </c>
      <c r="AH101" s="27">
        <v>0.20669999999999999</v>
      </c>
      <c r="AI101" s="40">
        <f t="shared" si="1032"/>
        <v>39.964204799999997</v>
      </c>
      <c r="AJ101" s="27">
        <f t="shared" si="1033"/>
        <v>0.91578339175911339</v>
      </c>
      <c r="AK101" s="28">
        <f t="shared" si="681"/>
        <v>0.91039168548520255</v>
      </c>
      <c r="AL101" s="33">
        <v>212</v>
      </c>
      <c r="AM101" s="35">
        <v>8.7999999999999995E-2</v>
      </c>
      <c r="AN101" s="37">
        <v>0.21110000000000001</v>
      </c>
      <c r="AO101" s="103">
        <v>0.2089</v>
      </c>
      <c r="AP101" s="40">
        <f>AL101*(1-AM101)*AN101</f>
        <v>40.814918400000003</v>
      </c>
      <c r="AQ101" s="104">
        <f t="shared" si="726"/>
        <v>40.3895616</v>
      </c>
      <c r="AR101" s="41">
        <v>1.65</v>
      </c>
      <c r="AS101" s="41"/>
      <c r="AT101" s="129">
        <f>AT100+AL101-AS101</f>
        <v>532.83999999999889</v>
      </c>
      <c r="AU101" s="82"/>
      <c r="AV101" s="42"/>
      <c r="AW101" s="43"/>
      <c r="AX101" s="44"/>
      <c r="AY101" s="44"/>
      <c r="AZ101" s="44"/>
      <c r="BA101" s="44"/>
      <c r="BB101" s="31"/>
    </row>
    <row r="102" spans="1:54">
      <c r="A102" s="154"/>
      <c r="B102" s="32">
        <v>3</v>
      </c>
      <c r="C102" s="143" t="s">
        <v>57</v>
      </c>
      <c r="D102" s="42">
        <v>20500</v>
      </c>
      <c r="E102" s="42">
        <v>0</v>
      </c>
      <c r="F102" s="42">
        <v>17614</v>
      </c>
      <c r="G102" s="36">
        <v>1</v>
      </c>
      <c r="H102" s="36">
        <v>6.7</v>
      </c>
      <c r="I102" s="42">
        <v>17169</v>
      </c>
      <c r="J102" s="36">
        <v>3.3</v>
      </c>
      <c r="K102" s="42">
        <v>17272</v>
      </c>
      <c r="L102" s="38">
        <v>6.5000000000000002E-2</v>
      </c>
      <c r="M102" s="36">
        <f>ROUND(K102*(1-L102),0)</f>
        <v>16149</v>
      </c>
      <c r="N102" s="27">
        <v>0.69399999999999995</v>
      </c>
      <c r="O102" s="24">
        <f t="shared" si="1023"/>
        <v>11207.405999999999</v>
      </c>
      <c r="P102" s="38">
        <v>0.24099999999999999</v>
      </c>
      <c r="Q102" s="24">
        <f t="shared" si="1024"/>
        <v>3891.9089999999997</v>
      </c>
      <c r="R102" s="38">
        <v>6.5000000000000002E-2</v>
      </c>
      <c r="S102" s="105">
        <v>0.25700000000000001</v>
      </c>
      <c r="T102" s="24">
        <f t="shared" si="1025"/>
        <v>1049.6849999999999</v>
      </c>
      <c r="U102" s="27">
        <v>0.24299999999999999</v>
      </c>
      <c r="V102" s="24">
        <f t="shared" si="1026"/>
        <v>3924.2069999999999</v>
      </c>
      <c r="W102" s="38">
        <v>0.49199999999999999</v>
      </c>
      <c r="X102" s="24">
        <f t="shared" si="1027"/>
        <v>7945.308</v>
      </c>
      <c r="Y102" s="38">
        <v>0.42</v>
      </c>
      <c r="Z102" s="24">
        <f t="shared" si="1028"/>
        <v>6782.58</v>
      </c>
      <c r="AA102" s="118">
        <v>2.6800000000000001E-3</v>
      </c>
      <c r="AB102" s="121">
        <f t="shared" si="765"/>
        <v>43.279319999999998</v>
      </c>
      <c r="AC102" s="45">
        <v>2.8999999999999998E-3</v>
      </c>
      <c r="AD102" s="17">
        <f t="shared" si="1030"/>
        <v>46.832099999999997</v>
      </c>
      <c r="AE102" s="26">
        <f>IF(M102&gt;0,(AG102+AP102)/M102,0)</f>
        <v>2.7278741222366712E-3</v>
      </c>
      <c r="AF102" s="45">
        <v>2.5999999999999998E-4</v>
      </c>
      <c r="AG102" s="36">
        <f t="shared" si="1031"/>
        <v>4.1987399999999999</v>
      </c>
      <c r="AH102" s="27">
        <v>0.21299999999999999</v>
      </c>
      <c r="AI102" s="40">
        <f t="shared" si="1032"/>
        <v>38.032428000000003</v>
      </c>
      <c r="AJ102" s="27">
        <f t="shared" si="1033"/>
        <v>0.91145740469992509</v>
      </c>
      <c r="AK102" s="28">
        <f t="shared" si="681"/>
        <v>0.90574276081985972</v>
      </c>
      <c r="AL102" s="42">
        <v>196</v>
      </c>
      <c r="AM102" s="38">
        <v>8.8999999999999996E-2</v>
      </c>
      <c r="AN102" s="27">
        <v>0.22320000000000001</v>
      </c>
      <c r="AO102" s="105">
        <v>0.22059999999999999</v>
      </c>
      <c r="AP102" s="40">
        <f>AL102*(1-AM102)*AN102</f>
        <v>39.853699200000001</v>
      </c>
      <c r="AQ102" s="106">
        <f t="shared" si="726"/>
        <v>39.389453600000003</v>
      </c>
      <c r="AR102" s="17">
        <v>1.6</v>
      </c>
      <c r="AS102" s="17"/>
      <c r="AT102" s="129">
        <f>AT101+AL102-AS102</f>
        <v>728.83999999999889</v>
      </c>
      <c r="AU102" s="82"/>
      <c r="AV102" s="42"/>
      <c r="AW102" s="46"/>
      <c r="AX102" s="40"/>
      <c r="AY102" s="40"/>
      <c r="AZ102" s="40"/>
      <c r="BA102" s="40"/>
      <c r="BB102" s="31"/>
    </row>
    <row r="103" spans="1:54">
      <c r="A103" s="154"/>
      <c r="B103" s="135" t="s">
        <v>56</v>
      </c>
      <c r="C103" s="48"/>
      <c r="D103" s="49">
        <f t="shared" ref="D103" si="1035">SUM(D100:D102)</f>
        <v>48024</v>
      </c>
      <c r="E103" s="49"/>
      <c r="F103" s="49">
        <f t="shared" ref="F103" si="1036">SUM(F100:F102)</f>
        <v>52030</v>
      </c>
      <c r="G103" s="50"/>
      <c r="H103" s="50"/>
      <c r="I103" s="49">
        <f t="shared" ref="I103:K103" si="1037">SUM(I100:I102)</f>
        <v>50172</v>
      </c>
      <c r="J103" s="50"/>
      <c r="K103" s="49">
        <f t="shared" si="1037"/>
        <v>51753</v>
      </c>
      <c r="L103" s="20">
        <f t="shared" ref="L103" si="1038">IF(K103&gt;0,(K100*L100+K101*L101+K102*L102)/K103,0)</f>
        <v>6.8970958205321425E-2</v>
      </c>
      <c r="M103" s="50">
        <f t="shared" ref="M103" si="1039">M100+M101+M102</f>
        <v>48183</v>
      </c>
      <c r="N103" s="51">
        <f t="shared" ref="N103" si="1040">IF(M103&gt;0,O103/M103,0)</f>
        <v>0.71682456468048905</v>
      </c>
      <c r="O103" s="52">
        <f t="shared" ref="O103" si="1041">O100+O101+O102</f>
        <v>34538.758000000002</v>
      </c>
      <c r="P103" s="20">
        <f t="shared" ref="P103" si="1042">IF(M103&gt;0,Q103/M103,0)</f>
        <v>0.20150735736670608</v>
      </c>
      <c r="Q103" s="52">
        <f t="shared" ref="Q103" si="1043">Q100+Q101+Q102</f>
        <v>9709.2289999999994</v>
      </c>
      <c r="R103" s="20">
        <f t="shared" ref="R103" si="1044">IF(M103&gt;0,T103/M103,0)</f>
        <v>8.1668077952804924E-2</v>
      </c>
      <c r="S103" s="107"/>
      <c r="T103" s="52">
        <f t="shared" ref="T103" si="1045">T100+T101+T102</f>
        <v>3935.0129999999999</v>
      </c>
      <c r="U103" s="20">
        <f t="shared" ref="U103" si="1046">IF(M103&gt;0,V103/M103,0)</f>
        <v>0.24225816159226285</v>
      </c>
      <c r="V103" s="52">
        <f t="shared" ref="V103" si="1047">V100+V101+V102</f>
        <v>11672.725</v>
      </c>
      <c r="W103" s="20">
        <f t="shared" ref="W103" si="1048">IF(M103&gt;0,X103/M103,0)</f>
        <v>0.48479675404188199</v>
      </c>
      <c r="X103" s="52">
        <f t="shared" ref="X103" si="1049">X100+X101+X102</f>
        <v>23358.962</v>
      </c>
      <c r="Y103" s="20">
        <f t="shared" ref="Y103" si="1050">IF(M103&gt;0,Z103/M103,0)</f>
        <v>0.41335159703629903</v>
      </c>
      <c r="Z103" s="52">
        <f t="shared" ref="Z103" si="1051">Z100+Z101+Z102</f>
        <v>19916.519999999997</v>
      </c>
      <c r="AA103" s="119">
        <f t="shared" ref="AA103" si="1052">IF(M103&gt;0,AB103/M103,0)</f>
        <v>2.6742315754519227E-3</v>
      </c>
      <c r="AB103" s="54">
        <f t="shared" ref="AB103" si="1053">SUM(AB100:AB102)</f>
        <v>128.85249999999999</v>
      </c>
      <c r="AC103" s="53">
        <f t="shared" ref="AC103" si="1054">IF(M103&gt;0,AD103/M103,0)</f>
        <v>2.8382151381192533E-3</v>
      </c>
      <c r="AD103" s="54">
        <f t="shared" ref="AD103" si="1055">SUM(AD100:AD102)</f>
        <v>136.75371999999999</v>
      </c>
      <c r="AE103" s="53">
        <f t="shared" ref="AE103" si="1056">IF(M103&gt;0,(AE100*M100+AE101*M101+AE102*M102)/M103,0)</f>
        <v>2.7243978685428474E-3</v>
      </c>
      <c r="AF103" s="53">
        <f t="shared" ref="AF103" si="1057">IF(K103&gt;0,(K100*AF100+K101*AF101+K102*AF102)/K103,0)</f>
        <v>2.5991130948930499E-4</v>
      </c>
      <c r="AG103" s="50">
        <f t="shared" ref="AG103" si="1058">SUM(AG100:AG102)</f>
        <v>12.522280000000002</v>
      </c>
      <c r="AH103" s="51">
        <f t="shared" ref="AH103" si="1059">IF(K103&gt;0,(K100*AH100+K101*AH101+K102*AH102)/K103,0)</f>
        <v>0.20824377330782756</v>
      </c>
      <c r="AI103" s="56">
        <f t="shared" ref="AI103" si="1060">SUM(AI100:AI102)</f>
        <v>114.1194778</v>
      </c>
      <c r="AJ103" s="51">
        <f t="shared" ref="AJ103" si="1061">IF(AND(AD103&gt;0),((AD100*AJ100+AD101*AJ101+AD102*AJ102)/AD103),0)</f>
        <v>0.90956538517672825</v>
      </c>
      <c r="AK103" s="55">
        <f t="shared" si="681"/>
        <v>0.90568449654255923</v>
      </c>
      <c r="AL103" s="49">
        <f t="shared" ref="AL103" si="1062">SUM(AL100:AL102)</f>
        <v>601</v>
      </c>
      <c r="AM103" s="20">
        <f t="shared" ref="AM103" si="1063">IF(AL103&gt;0,(AM100*AL100+AM101*AL101+AM102*AL102)/AL103,0)</f>
        <v>8.8004991680532454E-2</v>
      </c>
      <c r="AN103" s="51">
        <f>IF(K103&gt;0,(AN100*K100+AN101*K101+AN102*K102)/K103,0)</f>
        <v>0.21678172279867833</v>
      </c>
      <c r="AO103" s="107">
        <f>IF(L103&gt;0,(AO100*K100+AO101*K101+AO102*K102)/K103,0)</f>
        <v>0.21566440206364848</v>
      </c>
      <c r="AP103" s="56">
        <f t="shared" ref="AP103" si="1064">SUM(AP100:AP102)</f>
        <v>118.74738249999999</v>
      </c>
      <c r="AQ103" s="108">
        <f t="shared" si="932"/>
        <v>118.1220936</v>
      </c>
      <c r="AR103" s="54"/>
      <c r="AS103" s="54">
        <f t="shared" ref="AS103" si="1065">SUM(AS100:AS102)</f>
        <v>509.48</v>
      </c>
      <c r="AT103" s="136"/>
      <c r="AU103" s="84">
        <f>AT102</f>
        <v>728.83999999999889</v>
      </c>
      <c r="AV103" s="49">
        <f t="shared" ref="AV103" si="1066">SUM(AV100:AV102)</f>
        <v>0</v>
      </c>
      <c r="AW103" s="57"/>
      <c r="AX103" s="56"/>
      <c r="AY103" s="56"/>
      <c r="AZ103" s="56"/>
      <c r="BA103" s="56"/>
      <c r="BB103" s="21"/>
    </row>
    <row r="104" spans="1:54">
      <c r="A104" s="147">
        <v>26</v>
      </c>
      <c r="B104" s="22">
        <v>1</v>
      </c>
      <c r="C104" s="10" t="s">
        <v>58</v>
      </c>
      <c r="D104" s="11">
        <v>4363</v>
      </c>
      <c r="E104" s="11">
        <v>1</v>
      </c>
      <c r="F104" s="11">
        <v>15112</v>
      </c>
      <c r="G104" s="12">
        <v>0.8</v>
      </c>
      <c r="H104" s="12">
        <v>6</v>
      </c>
      <c r="I104" s="11">
        <v>14067</v>
      </c>
      <c r="J104" s="12">
        <v>4.5999999999999996</v>
      </c>
      <c r="K104" s="11">
        <v>17413</v>
      </c>
      <c r="L104" s="13">
        <v>6.5000000000000002E-2</v>
      </c>
      <c r="M104" s="23">
        <f>ROUND(K104*(1-L104),0)</f>
        <v>16281</v>
      </c>
      <c r="N104" s="14">
        <v>0.68700000000000006</v>
      </c>
      <c r="O104" s="24">
        <f t="shared" ref="O104:O106" si="1067">M104*N104</f>
        <v>11185.047</v>
      </c>
      <c r="P104" s="13">
        <v>0.25800000000000001</v>
      </c>
      <c r="Q104" s="24">
        <f t="shared" ref="Q104:Q106" si="1068">M104*P104</f>
        <v>4200.4980000000005</v>
      </c>
      <c r="R104" s="15">
        <v>5.5E-2</v>
      </c>
      <c r="S104" s="112">
        <v>0.2397</v>
      </c>
      <c r="T104" s="24">
        <f t="shared" ref="T104:T106" si="1069">M104*R104</f>
        <v>895.45500000000004</v>
      </c>
      <c r="U104" s="25">
        <v>0.247</v>
      </c>
      <c r="V104" s="24">
        <f t="shared" ref="V104:V106" si="1070">M104*U104</f>
        <v>4021.4070000000002</v>
      </c>
      <c r="W104" s="15">
        <v>0.46600000000000003</v>
      </c>
      <c r="X104" s="24">
        <f t="shared" ref="X104:X106" si="1071">M104*W104</f>
        <v>7586.9460000000008</v>
      </c>
      <c r="Y104" s="15">
        <v>0.42</v>
      </c>
      <c r="Z104" s="24">
        <f t="shared" ref="Z104:Z106" si="1072">Y104*M104</f>
        <v>6838.0199999999995</v>
      </c>
      <c r="AA104" s="116">
        <v>2.7299999999999998E-3</v>
      </c>
      <c r="AB104" s="18">
        <f t="shared" ref="AB104" si="1073">M104*AA104</f>
        <v>44.447129999999994</v>
      </c>
      <c r="AC104" s="16">
        <v>2.8900000000000002E-3</v>
      </c>
      <c r="AD104" s="17">
        <f t="shared" ref="AD104:AD106" si="1074">M104*AC104</f>
        <v>47.052090000000007</v>
      </c>
      <c r="AE104" s="26">
        <f>IF(M104&gt;0,(AG104+AP104)/M104,0)</f>
        <v>2.822792150359315E-3</v>
      </c>
      <c r="AF104" s="16">
        <v>2.5000000000000001E-4</v>
      </c>
      <c r="AG104" s="23">
        <f t="shared" ref="AG104:AG106" si="1075">AF104*M104</f>
        <v>4.0702499999999997</v>
      </c>
      <c r="AH104" s="92">
        <v>0.21340000000000001</v>
      </c>
      <c r="AI104" s="29">
        <f t="shared" ref="AI104:AI106" si="1076">AL104*(1-AM104)*AH104</f>
        <v>39.378061800000005</v>
      </c>
      <c r="AJ104" s="27">
        <f t="shared" ref="AJ104:AJ106" si="1077">IF(AND(AH104&gt;0,AF104&gt;0,AC104&gt;0),((AC104-AF104)*AH104)/((AH104-AF104)*AC104),0)</f>
        <v>0.91456623217238209</v>
      </c>
      <c r="AK104" s="58">
        <f t="shared" si="681"/>
        <v>0.91244009785367575</v>
      </c>
      <c r="AL104" s="11">
        <v>203</v>
      </c>
      <c r="AM104" s="13">
        <v>9.0999999999999998E-2</v>
      </c>
      <c r="AN104" s="14">
        <v>0.22700000000000001</v>
      </c>
      <c r="AO104" s="101">
        <v>0.2137</v>
      </c>
      <c r="AP104" s="29">
        <f>AL104*(1-AM104)*AN104</f>
        <v>41.887629000000004</v>
      </c>
      <c r="AQ104" s="102">
        <f t="shared" ref="AQ104" si="1078">AL104*(1-AM104)*AO104</f>
        <v>39.433419900000004</v>
      </c>
      <c r="AR104" s="18">
        <v>1.55</v>
      </c>
      <c r="AS104" s="18">
        <v>508.74</v>
      </c>
      <c r="AT104" s="79">
        <f>AT102+AL104-AS104+AU104</f>
        <v>429.27999999999889</v>
      </c>
      <c r="AU104" s="80">
        <v>6.18</v>
      </c>
      <c r="AV104" s="11"/>
      <c r="AW104" s="30"/>
      <c r="AX104" s="19"/>
      <c r="AY104" s="19"/>
      <c r="AZ104" s="19"/>
      <c r="BA104" s="19"/>
      <c r="BB104" s="31"/>
    </row>
    <row r="105" spans="1:54">
      <c r="A105" s="148"/>
      <c r="B105" s="32">
        <v>2</v>
      </c>
      <c r="C105" s="10" t="s">
        <v>53</v>
      </c>
      <c r="D105" s="33">
        <v>21693</v>
      </c>
      <c r="E105" s="33">
        <v>5</v>
      </c>
      <c r="F105" s="33">
        <v>18068</v>
      </c>
      <c r="G105" s="34">
        <v>1.1000000000000001</v>
      </c>
      <c r="H105" s="34">
        <v>6.3</v>
      </c>
      <c r="I105" s="33">
        <v>17442</v>
      </c>
      <c r="J105" s="34">
        <v>4.2</v>
      </c>
      <c r="K105" s="33">
        <v>17515</v>
      </c>
      <c r="L105" s="35">
        <v>6.7000000000000004E-2</v>
      </c>
      <c r="M105" s="36">
        <f>ROUND(K105*(1-L105),0)</f>
        <v>16341</v>
      </c>
      <c r="N105" s="37">
        <v>0.77500000000000002</v>
      </c>
      <c r="O105" s="24">
        <f t="shared" si="1067"/>
        <v>12664.275</v>
      </c>
      <c r="P105" s="35">
        <v>0.188</v>
      </c>
      <c r="Q105" s="24">
        <f t="shared" si="1068"/>
        <v>3072.1080000000002</v>
      </c>
      <c r="R105" s="38">
        <v>3.6999999999999998E-2</v>
      </c>
      <c r="S105" s="105">
        <v>0.24149999999999999</v>
      </c>
      <c r="T105" s="24">
        <f t="shared" si="1069"/>
        <v>604.61699999999996</v>
      </c>
      <c r="U105" s="27">
        <v>0.24099999999999999</v>
      </c>
      <c r="V105" s="24">
        <f t="shared" si="1070"/>
        <v>3938.181</v>
      </c>
      <c r="W105" s="38">
        <v>0.48099999999999998</v>
      </c>
      <c r="X105" s="24">
        <f t="shared" si="1071"/>
        <v>7860.0209999999997</v>
      </c>
      <c r="Y105" s="38">
        <v>0.4</v>
      </c>
      <c r="Z105" s="24">
        <f t="shared" si="1072"/>
        <v>6536.4000000000005</v>
      </c>
      <c r="AA105" s="117">
        <v>2.7599999999999999E-3</v>
      </c>
      <c r="AB105" s="18">
        <f t="shared" si="765"/>
        <v>45.10116</v>
      </c>
      <c r="AC105" s="39">
        <v>3.0699999999999998E-3</v>
      </c>
      <c r="AD105" s="17">
        <f t="shared" si="1074"/>
        <v>50.166869999999996</v>
      </c>
      <c r="AE105" s="26">
        <f>IF(M105&gt;0,(AG105+AP105)/M105,0)</f>
        <v>2.734485680190931E-3</v>
      </c>
      <c r="AF105" s="39">
        <v>2.7E-4</v>
      </c>
      <c r="AG105" s="36">
        <f t="shared" si="1075"/>
        <v>4.4120699999999999</v>
      </c>
      <c r="AH105" s="27">
        <v>0.2172</v>
      </c>
      <c r="AI105" s="40">
        <f t="shared" si="1076"/>
        <v>38.415078000000001</v>
      </c>
      <c r="AJ105" s="27">
        <f t="shared" si="1077"/>
        <v>0.9131872948403027</v>
      </c>
      <c r="AK105" s="28">
        <f t="shared" si="681"/>
        <v>0.90233109736524486</v>
      </c>
      <c r="AL105" s="33">
        <v>195</v>
      </c>
      <c r="AM105" s="35">
        <v>9.2999999999999999E-2</v>
      </c>
      <c r="AN105" s="37">
        <v>0.22770000000000001</v>
      </c>
      <c r="AO105" s="103">
        <v>0.21099999999999999</v>
      </c>
      <c r="AP105" s="40">
        <f>AL105*(1-AM105)*AN105</f>
        <v>40.272160500000005</v>
      </c>
      <c r="AQ105" s="104">
        <f t="shared" si="726"/>
        <v>37.318514999999998</v>
      </c>
      <c r="AR105" s="41">
        <v>1.6</v>
      </c>
      <c r="AS105" s="41"/>
      <c r="AT105" s="129">
        <f>AT104+AL105-AS105</f>
        <v>624.27999999999884</v>
      </c>
      <c r="AU105" s="82"/>
      <c r="AV105" s="42"/>
      <c r="AW105" s="43"/>
      <c r="AX105" s="44"/>
      <c r="AY105" s="44"/>
      <c r="AZ105" s="44"/>
      <c r="BA105" s="44"/>
      <c r="BB105" s="31"/>
    </row>
    <row r="106" spans="1:54">
      <c r="A106" s="148"/>
      <c r="B106" s="32">
        <v>3</v>
      </c>
      <c r="C106" s="10" t="s">
        <v>59</v>
      </c>
      <c r="D106" s="42">
        <v>22100</v>
      </c>
      <c r="E106" s="42">
        <v>2</v>
      </c>
      <c r="F106" s="42">
        <v>18630</v>
      </c>
      <c r="G106" s="36">
        <v>0.9</v>
      </c>
      <c r="H106" s="36">
        <v>6.1</v>
      </c>
      <c r="I106" s="42">
        <v>18425</v>
      </c>
      <c r="J106" s="36">
        <v>3.1</v>
      </c>
      <c r="K106" s="42">
        <v>17541</v>
      </c>
      <c r="L106" s="38">
        <v>6.0999999999999999E-2</v>
      </c>
      <c r="M106" s="36">
        <f>ROUND(K106*(1-L106),0)</f>
        <v>16471</v>
      </c>
      <c r="N106" s="27">
        <v>0.80100000000000005</v>
      </c>
      <c r="O106" s="24">
        <f t="shared" si="1067"/>
        <v>13193.271000000001</v>
      </c>
      <c r="P106" s="38">
        <v>0.17599999999999999</v>
      </c>
      <c r="Q106" s="24">
        <f t="shared" si="1068"/>
        <v>2898.8959999999997</v>
      </c>
      <c r="R106" s="38">
        <v>2.3E-2</v>
      </c>
      <c r="S106" s="105">
        <v>0.28389999999999999</v>
      </c>
      <c r="T106" s="24">
        <f t="shared" si="1069"/>
        <v>378.83299999999997</v>
      </c>
      <c r="U106" s="27">
        <v>0.24099999999999999</v>
      </c>
      <c r="V106" s="24">
        <f t="shared" si="1070"/>
        <v>3969.511</v>
      </c>
      <c r="W106" s="38">
        <v>0.49399999999999999</v>
      </c>
      <c r="X106" s="24">
        <f t="shared" si="1071"/>
        <v>8136.674</v>
      </c>
      <c r="Y106" s="38">
        <v>0.43</v>
      </c>
      <c r="Z106" s="24">
        <f t="shared" si="1072"/>
        <v>7082.53</v>
      </c>
      <c r="AA106" s="118">
        <v>2.7499999999999998E-3</v>
      </c>
      <c r="AB106" s="121">
        <f t="shared" si="765"/>
        <v>45.295249999999996</v>
      </c>
      <c r="AC106" s="45">
        <v>3.0300000000000001E-3</v>
      </c>
      <c r="AD106" s="17">
        <f t="shared" si="1074"/>
        <v>49.907130000000002</v>
      </c>
      <c r="AE106" s="26">
        <f>IF(M106&gt;0,(AG106+AP106)/M106,0)</f>
        <v>2.9244514662133446E-3</v>
      </c>
      <c r="AF106" s="45">
        <v>2.7E-4</v>
      </c>
      <c r="AG106" s="36">
        <f t="shared" si="1075"/>
        <v>4.4471699999999998</v>
      </c>
      <c r="AH106" s="27">
        <v>0.219</v>
      </c>
      <c r="AI106" s="40">
        <f t="shared" si="1076"/>
        <v>40.589241000000001</v>
      </c>
      <c r="AJ106" s="27">
        <f t="shared" si="1077"/>
        <v>0.91201549176999719</v>
      </c>
      <c r="AK106" s="28">
        <f t="shared" si="681"/>
        <v>0.90871506606643193</v>
      </c>
      <c r="AL106" s="42">
        <v>203</v>
      </c>
      <c r="AM106" s="38">
        <v>8.6999999999999994E-2</v>
      </c>
      <c r="AN106" s="27">
        <v>0.2359</v>
      </c>
      <c r="AO106" s="105">
        <v>0.221</v>
      </c>
      <c r="AP106" s="40">
        <f>AL106*(1-AM106)*AN106</f>
        <v>43.721470099999998</v>
      </c>
      <c r="AQ106" s="106">
        <f t="shared" si="726"/>
        <v>40.959918999999999</v>
      </c>
      <c r="AR106" s="17">
        <v>1.55</v>
      </c>
      <c r="AS106" s="17"/>
      <c r="AT106" s="129">
        <f>AT105+AL106-AS106</f>
        <v>827.27999999999884</v>
      </c>
      <c r="AU106" s="82"/>
      <c r="AV106" s="42"/>
      <c r="AW106" s="46"/>
      <c r="AX106" s="40"/>
      <c r="AY106" s="40"/>
      <c r="AZ106" s="40"/>
      <c r="BA106" s="40"/>
      <c r="BB106" s="31"/>
    </row>
    <row r="107" spans="1:54">
      <c r="A107" s="149"/>
      <c r="B107" s="47" t="s">
        <v>56</v>
      </c>
      <c r="C107" s="48"/>
      <c r="D107" s="49">
        <f t="shared" ref="D107" si="1079">SUM(D104:D106)</f>
        <v>48156</v>
      </c>
      <c r="E107" s="49"/>
      <c r="F107" s="49">
        <f t="shared" ref="F107" si="1080">SUM(F104:F106)</f>
        <v>51810</v>
      </c>
      <c r="G107" s="50"/>
      <c r="H107" s="50"/>
      <c r="I107" s="49">
        <f t="shared" ref="I107:K107" si="1081">SUM(I104:I106)</f>
        <v>49934</v>
      </c>
      <c r="J107" s="50"/>
      <c r="K107" s="49">
        <f t="shared" si="1081"/>
        <v>52469</v>
      </c>
      <c r="L107" s="20">
        <f t="shared" ref="L107" si="1082">IF(K107&gt;0,(K104*L104+K105*L105+K106*L106)/K107,0)</f>
        <v>6.4330385560997932E-2</v>
      </c>
      <c r="M107" s="50">
        <f t="shared" ref="M107" si="1083">M104+M105+M106</f>
        <v>49093</v>
      </c>
      <c r="N107" s="51">
        <f t="shared" ref="N107" si="1084">IF(M107&gt;0,O107/M107,0)</f>
        <v>0.75453920110810102</v>
      </c>
      <c r="O107" s="52">
        <f t="shared" ref="O107" si="1085">O104+O105+O106</f>
        <v>37042.593000000001</v>
      </c>
      <c r="P107" s="20">
        <f t="shared" ref="P107" si="1086">IF(M107&gt;0,Q107/M107,0)</f>
        <v>0.20718843827022182</v>
      </c>
      <c r="Q107" s="52">
        <f t="shared" ref="Q107" si="1087">Q104+Q105+Q106</f>
        <v>10171.502</v>
      </c>
      <c r="R107" s="20">
        <f t="shared" ref="R107" si="1088">IF(M107&gt;0,T107/M107,0)</f>
        <v>3.8272360621677229E-2</v>
      </c>
      <c r="S107" s="107"/>
      <c r="T107" s="52">
        <f t="shared" ref="T107" si="1089">T104+T105+T106</f>
        <v>1878.9050000000002</v>
      </c>
      <c r="U107" s="20">
        <f t="shared" ref="U107" si="1090">IF(M107&gt;0,V107/M107,0)</f>
        <v>0.2429898152486098</v>
      </c>
      <c r="V107" s="52">
        <f t="shared" ref="V107" si="1091">V104+V105+V106</f>
        <v>11929.099</v>
      </c>
      <c r="W107" s="20">
        <f t="shared" ref="W107" si="1092">IF(M107&gt;0,X107/M107,0)</f>
        <v>0.48038704092233109</v>
      </c>
      <c r="X107" s="52">
        <f t="shared" ref="X107" si="1093">X104+X105+X106</f>
        <v>23583.641</v>
      </c>
      <c r="Y107" s="20">
        <f t="shared" ref="Y107" si="1094">IF(M107&gt;0,Z107/M107,0)</f>
        <v>0.41669789990426337</v>
      </c>
      <c r="Z107" s="52">
        <f t="shared" ref="Z107" si="1095">Z104+Z105+Z106</f>
        <v>20456.95</v>
      </c>
      <c r="AA107" s="119">
        <f t="shared" ref="AA107" si="1096">IF(M107&gt;0,AB107/M107,0)</f>
        <v>2.7466958629539851E-3</v>
      </c>
      <c r="AB107" s="54">
        <f t="shared" ref="AB107" si="1097">SUM(AB104:AB106)</f>
        <v>134.84353999999999</v>
      </c>
      <c r="AC107" s="53">
        <f t="shared" ref="AC107" si="1098">IF(M107&gt;0,AD107/M107,0)</f>
        <v>2.9968852993298434E-3</v>
      </c>
      <c r="AD107" s="54">
        <f t="shared" ref="AD107" si="1099">SUM(AD104:AD106)</f>
        <v>147.12609</v>
      </c>
      <c r="AE107" s="53">
        <f t="shared" ref="AE107" si="1100">IF(M107&gt;0,(AE104*M104+AE105*M105+AE106*M106)/M107,0)</f>
        <v>2.8275059499317623E-3</v>
      </c>
      <c r="AF107" s="53">
        <f t="shared" ref="AF107" si="1101">IF(K107&gt;0,(K104*AF104+K105*AF105+K106*AF106)/K107,0)</f>
        <v>2.6336255693838268E-4</v>
      </c>
      <c r="AG107" s="50">
        <f t="shared" ref="AG107" si="1102">SUM(AG104:AG106)</f>
        <v>12.929489999999999</v>
      </c>
      <c r="AH107" s="51">
        <f t="shared" ref="AH107" si="1103">IF(K107&gt;0,(K104*AH104+K105*AH105+K106*AH106)/K107,0)</f>
        <v>0.21654064685814481</v>
      </c>
      <c r="AI107" s="56">
        <f t="shared" ref="AI107" si="1104">SUM(AI104:AI106)</f>
        <v>118.38238080000001</v>
      </c>
      <c r="AJ107" s="51">
        <f t="shared" ref="AJ107" si="1105">IF(AND(AD107&gt;0),((AD104*AJ104+AD105*AJ105+AD106*AJ106)/AD107),0)</f>
        <v>0.91323079871707413</v>
      </c>
      <c r="AK107" s="55">
        <f t="shared" si="681"/>
        <v>0.9078955857848654</v>
      </c>
      <c r="AL107" s="49">
        <f t="shared" ref="AL107" si="1106">SUM(AL104:AL106)</f>
        <v>601</v>
      </c>
      <c r="AM107" s="20">
        <f t="shared" ref="AM107" si="1107">IF(AL107&gt;0,(AM104*AL104+AM105*AL105+AM106*AL106)/AL107,0)</f>
        <v>9.0297836938435946E-2</v>
      </c>
      <c r="AN107" s="51">
        <f>IF(K107&gt;0,(AN104*K104+AN105*K105+AN106*K106)/K107,0)</f>
        <v>0.23020904534105854</v>
      </c>
      <c r="AO107" s="107">
        <f>IF(L107&gt;0,(AO104*K104+AO105*K105+AO106*K106)/K107,0)</f>
        <v>0.21523917170138557</v>
      </c>
      <c r="AP107" s="56">
        <f t="shared" ref="AP107:AQ119" si="1108">SUM(AP104:AP106)</f>
        <v>125.88125960000002</v>
      </c>
      <c r="AQ107" s="108">
        <f t="shared" si="1108"/>
        <v>117.71185390000001</v>
      </c>
      <c r="AR107" s="54"/>
      <c r="AS107" s="54">
        <f t="shared" ref="AS107" si="1109">SUM(AS104:AS106)</f>
        <v>508.74</v>
      </c>
      <c r="AT107" s="83"/>
      <c r="AU107" s="84">
        <f>AT106</f>
        <v>827.27999999999884</v>
      </c>
      <c r="AV107" s="49">
        <f t="shared" ref="AV107" si="1110">SUM(AV104:AV106)</f>
        <v>0</v>
      </c>
      <c r="AW107" s="57"/>
      <c r="AX107" s="56"/>
      <c r="AY107" s="56"/>
      <c r="AZ107" s="56"/>
      <c r="BA107" s="56"/>
      <c r="BB107" s="21"/>
    </row>
    <row r="108" spans="1:54">
      <c r="A108" s="147">
        <v>27</v>
      </c>
      <c r="B108" s="22">
        <v>1</v>
      </c>
      <c r="C108" s="10" t="s">
        <v>55</v>
      </c>
      <c r="D108" s="11">
        <v>6808</v>
      </c>
      <c r="E108" s="11">
        <v>0</v>
      </c>
      <c r="F108" s="11">
        <v>9465</v>
      </c>
      <c r="G108" s="12">
        <v>1</v>
      </c>
      <c r="H108" s="12">
        <v>5.6</v>
      </c>
      <c r="I108" s="11">
        <v>9129</v>
      </c>
      <c r="J108" s="12">
        <v>6</v>
      </c>
      <c r="K108" s="11">
        <v>16853</v>
      </c>
      <c r="L108" s="13">
        <v>0.06</v>
      </c>
      <c r="M108" s="23">
        <f>ROUND(K108*(1-L108),0)</f>
        <v>15842</v>
      </c>
      <c r="N108" s="14">
        <v>0.82</v>
      </c>
      <c r="O108" s="24">
        <f t="shared" ref="O108:O110" si="1111">M108*N108</f>
        <v>12990.439999999999</v>
      </c>
      <c r="P108" s="13">
        <v>0.154</v>
      </c>
      <c r="Q108" s="24">
        <f t="shared" ref="Q108:Q110" si="1112">M108*P108</f>
        <v>2439.6680000000001</v>
      </c>
      <c r="R108" s="15">
        <v>2.5999999999999999E-2</v>
      </c>
      <c r="S108" s="112">
        <v>0.31890000000000002</v>
      </c>
      <c r="T108" s="24">
        <f t="shared" ref="T108:T110" si="1113">M108*R108</f>
        <v>411.892</v>
      </c>
      <c r="U108" s="25">
        <v>0.23699999999999999</v>
      </c>
      <c r="V108" s="24">
        <f t="shared" ref="V108:V110" si="1114">M108*U108</f>
        <v>3754.5539999999996</v>
      </c>
      <c r="W108" s="15">
        <v>0.48199999999999998</v>
      </c>
      <c r="X108" s="24">
        <f t="shared" ref="X108:X110" si="1115">M108*W108</f>
        <v>7635.8440000000001</v>
      </c>
      <c r="Y108" s="15">
        <v>0.43</v>
      </c>
      <c r="Z108" s="24">
        <f t="shared" ref="Z108:Z110" si="1116">Y108*M108</f>
        <v>6812.0599999999995</v>
      </c>
      <c r="AA108" s="116">
        <v>2.64E-3</v>
      </c>
      <c r="AB108" s="18">
        <f t="shared" ref="AB108" si="1117">M108*AA108</f>
        <v>41.822879999999998</v>
      </c>
      <c r="AC108" s="16">
        <v>2.8700000000000002E-3</v>
      </c>
      <c r="AD108" s="17">
        <f t="shared" ref="AD108:AD110" si="1118">M108*AC108</f>
        <v>45.466540000000002</v>
      </c>
      <c r="AE108" s="26">
        <f>IF(M108&gt;0,(AG108+AP108)/M108,0)</f>
        <v>2.7636864663552578E-3</v>
      </c>
      <c r="AF108" s="16">
        <v>2.2000000000000001E-4</v>
      </c>
      <c r="AG108" s="23">
        <f t="shared" ref="AG108:AG110" si="1119">AF108*M108</f>
        <v>3.4852400000000001</v>
      </c>
      <c r="AH108" s="92">
        <v>0.22090000000000001</v>
      </c>
      <c r="AI108" s="29">
        <f t="shared" ref="AI108:AI110" si="1120">AL108*(1-AM108)*AH108</f>
        <v>38.319523000000004</v>
      </c>
      <c r="AJ108" s="27">
        <f t="shared" ref="AJ108:AJ110" si="1121">IF(AND(AH108&gt;0,AF108&gt;0,AC108&gt;0),((AC108-AF108)*AH108)/((AH108-AF108)*AC108),0)</f>
        <v>0.92426544750182982</v>
      </c>
      <c r="AK108" s="58">
        <f t="shared" si="681"/>
        <v>0.92126866862440249</v>
      </c>
      <c r="AL108" s="11">
        <v>190</v>
      </c>
      <c r="AM108" s="13">
        <v>8.6999999999999994E-2</v>
      </c>
      <c r="AN108" s="14">
        <v>0.23230000000000001</v>
      </c>
      <c r="AO108" s="101">
        <v>0.21740000000000001</v>
      </c>
      <c r="AP108" s="29">
        <f>AL108*(1-AM108)*AN108</f>
        <v>40.297080999999999</v>
      </c>
      <c r="AQ108" s="102">
        <f t="shared" ref="AQ108" si="1122">AL108*(1-AM108)*AO108</f>
        <v>37.712378000000001</v>
      </c>
      <c r="AR108" s="18">
        <v>1.58</v>
      </c>
      <c r="AS108" s="18">
        <v>503.44</v>
      </c>
      <c r="AT108" s="79">
        <f>AT106+AL108-AS108</f>
        <v>513.83999999999878</v>
      </c>
      <c r="AU108" s="80"/>
      <c r="AV108" s="11"/>
      <c r="AW108" s="30"/>
      <c r="AX108" s="19"/>
      <c r="AY108" s="19"/>
      <c r="AZ108" s="19"/>
      <c r="BA108" s="19"/>
      <c r="BB108" s="31"/>
    </row>
    <row r="109" spans="1:54">
      <c r="A109" s="148"/>
      <c r="B109" s="32">
        <v>2</v>
      </c>
      <c r="C109" s="10" t="s">
        <v>53</v>
      </c>
      <c r="D109" s="33">
        <v>15892</v>
      </c>
      <c r="E109" s="33">
        <v>5</v>
      </c>
      <c r="F109" s="33">
        <v>19313</v>
      </c>
      <c r="G109" s="34">
        <v>1.6</v>
      </c>
      <c r="H109" s="34">
        <v>4.4000000000000004</v>
      </c>
      <c r="I109" s="33">
        <v>18624</v>
      </c>
      <c r="J109" s="34">
        <v>4.0999999999999996</v>
      </c>
      <c r="K109" s="33">
        <v>16231</v>
      </c>
      <c r="L109" s="35">
        <v>6.6000000000000003E-2</v>
      </c>
      <c r="M109" s="36">
        <f>ROUND(K109*(1-L109),0)</f>
        <v>15160</v>
      </c>
      <c r="N109" s="37">
        <v>0.80300000000000005</v>
      </c>
      <c r="O109" s="24">
        <f t="shared" si="1111"/>
        <v>12173.480000000001</v>
      </c>
      <c r="P109" s="35">
        <v>0.155</v>
      </c>
      <c r="Q109" s="24">
        <f t="shared" si="1112"/>
        <v>2349.8000000000002</v>
      </c>
      <c r="R109" s="38">
        <v>4.2000000000000003E-2</v>
      </c>
      <c r="S109" s="105">
        <v>0.24229999999999999</v>
      </c>
      <c r="T109" s="24">
        <f t="shared" si="1113"/>
        <v>636.72</v>
      </c>
      <c r="U109" s="27">
        <v>0.21099999999999999</v>
      </c>
      <c r="V109" s="24">
        <f t="shared" si="1114"/>
        <v>3198.7599999999998</v>
      </c>
      <c r="W109" s="38">
        <v>0.5</v>
      </c>
      <c r="X109" s="24">
        <f t="shared" si="1115"/>
        <v>7580</v>
      </c>
      <c r="Y109" s="38">
        <v>0.4</v>
      </c>
      <c r="Z109" s="24">
        <f t="shared" si="1116"/>
        <v>6064</v>
      </c>
      <c r="AA109" s="117">
        <v>2.7100000000000002E-3</v>
      </c>
      <c r="AB109" s="18">
        <f t="shared" si="765"/>
        <v>41.083600000000004</v>
      </c>
      <c r="AC109" s="39">
        <v>2.9399999999999999E-3</v>
      </c>
      <c r="AD109" s="17">
        <f t="shared" si="1118"/>
        <v>44.570399999999999</v>
      </c>
      <c r="AE109" s="26">
        <f>IF(M109&gt;0,(AG109+AP109)/M109,0)</f>
        <v>2.8290332453825861E-3</v>
      </c>
      <c r="AF109" s="39">
        <v>2.5999999999999998E-4</v>
      </c>
      <c r="AG109" s="36">
        <f t="shared" si="1119"/>
        <v>3.9415999999999998</v>
      </c>
      <c r="AH109" s="27">
        <v>0.21909999999999999</v>
      </c>
      <c r="AI109" s="40">
        <f t="shared" si="1120"/>
        <v>36.686104</v>
      </c>
      <c r="AJ109" s="27">
        <f t="shared" si="1121"/>
        <v>0.91264763993698383</v>
      </c>
      <c r="AK109" s="28">
        <f t="shared" si="681"/>
        <v>0.9091120174646844</v>
      </c>
      <c r="AL109" s="33">
        <v>184</v>
      </c>
      <c r="AM109" s="35">
        <v>0.09</v>
      </c>
      <c r="AN109" s="37">
        <v>0.2326</v>
      </c>
      <c r="AO109" s="103">
        <v>0.21829999999999999</v>
      </c>
      <c r="AP109" s="40">
        <f>AL109*(1-AM109)*AN109</f>
        <v>38.946544000000003</v>
      </c>
      <c r="AQ109" s="104">
        <f t="shared" si="726"/>
        <v>36.552152</v>
      </c>
      <c r="AR109" s="41">
        <v>1.6</v>
      </c>
      <c r="AS109" s="41"/>
      <c r="AT109" s="129">
        <f>AT108+AL109-AS109</f>
        <v>697.83999999999878</v>
      </c>
      <c r="AU109" s="82"/>
      <c r="AV109" s="42"/>
      <c r="AW109" s="43"/>
      <c r="AX109" s="44"/>
      <c r="AY109" s="44"/>
      <c r="AZ109" s="44"/>
      <c r="BA109" s="44"/>
      <c r="BB109" s="31"/>
    </row>
    <row r="110" spans="1:54">
      <c r="A110" s="148"/>
      <c r="B110" s="32">
        <v>3</v>
      </c>
      <c r="C110" s="10" t="s">
        <v>59</v>
      </c>
      <c r="D110" s="42">
        <v>17600</v>
      </c>
      <c r="E110" s="42">
        <v>5</v>
      </c>
      <c r="F110" s="42">
        <v>18670</v>
      </c>
      <c r="G110" s="36">
        <v>1</v>
      </c>
      <c r="H110" s="36">
        <v>6.5</v>
      </c>
      <c r="I110" s="42">
        <v>17643</v>
      </c>
      <c r="J110" s="36">
        <v>2.5</v>
      </c>
      <c r="K110" s="42">
        <v>16055</v>
      </c>
      <c r="L110" s="38">
        <v>6.8000000000000005E-2</v>
      </c>
      <c r="M110" s="36">
        <f>ROUND(K110*(1-L110),0)</f>
        <v>14963</v>
      </c>
      <c r="N110" s="27">
        <v>0.748</v>
      </c>
      <c r="O110" s="24">
        <f t="shared" si="1111"/>
        <v>11192.324000000001</v>
      </c>
      <c r="P110" s="38">
        <v>0.22800000000000001</v>
      </c>
      <c r="Q110" s="24">
        <f t="shared" si="1112"/>
        <v>3411.5640000000003</v>
      </c>
      <c r="R110" s="38">
        <v>2.4E-2</v>
      </c>
      <c r="S110" s="105">
        <v>0.20960000000000001</v>
      </c>
      <c r="T110" s="24">
        <f t="shared" si="1113"/>
        <v>359.11200000000002</v>
      </c>
      <c r="U110" s="27">
        <v>0.19800000000000001</v>
      </c>
      <c r="V110" s="24">
        <f t="shared" si="1114"/>
        <v>2962.674</v>
      </c>
      <c r="W110" s="38">
        <v>0.505</v>
      </c>
      <c r="X110" s="24">
        <f t="shared" si="1115"/>
        <v>7556.3150000000005</v>
      </c>
      <c r="Y110" s="38">
        <v>0.4</v>
      </c>
      <c r="Z110" s="24">
        <f t="shared" si="1116"/>
        <v>5985.2000000000007</v>
      </c>
      <c r="AA110" s="118">
        <v>2.7799999999999999E-3</v>
      </c>
      <c r="AB110" s="121">
        <f t="shared" si="765"/>
        <v>41.597139999999996</v>
      </c>
      <c r="AC110" s="45">
        <v>2.96E-3</v>
      </c>
      <c r="AD110" s="17">
        <f t="shared" si="1118"/>
        <v>44.290480000000002</v>
      </c>
      <c r="AE110" s="26">
        <f>IF(M110&gt;0,(AG110+AP110)/M110,0)</f>
        <v>2.9008818418766293E-3</v>
      </c>
      <c r="AF110" s="45">
        <v>2.4000000000000001E-4</v>
      </c>
      <c r="AG110" s="36">
        <f t="shared" si="1119"/>
        <v>3.5911200000000001</v>
      </c>
      <c r="AH110" s="27">
        <v>0.22009999999999999</v>
      </c>
      <c r="AI110" s="40">
        <f t="shared" si="1120"/>
        <v>37.053834999999999</v>
      </c>
      <c r="AJ110" s="27">
        <f t="shared" si="1121"/>
        <v>0.91992201425477149</v>
      </c>
      <c r="AK110" s="28">
        <f t="shared" si="681"/>
        <v>0.91819832406625956</v>
      </c>
      <c r="AL110" s="42">
        <v>185</v>
      </c>
      <c r="AM110" s="38">
        <v>0.09</v>
      </c>
      <c r="AN110" s="27">
        <v>0.23649999999999999</v>
      </c>
      <c r="AO110" s="105">
        <v>0.22189999999999999</v>
      </c>
      <c r="AP110" s="40">
        <f>AL110*(1-AM110)*AN110</f>
        <v>39.814774999999997</v>
      </c>
      <c r="AQ110" s="106">
        <f t="shared" si="726"/>
        <v>37.356864999999999</v>
      </c>
      <c r="AR110" s="17">
        <v>1.55</v>
      </c>
      <c r="AS110" s="17"/>
      <c r="AT110" s="129">
        <f>AT109+AL110-AS110</f>
        <v>882.83999999999878</v>
      </c>
      <c r="AU110" s="82"/>
      <c r="AV110" s="42"/>
      <c r="AW110" s="46"/>
      <c r="AX110" s="40"/>
      <c r="AY110" s="40"/>
      <c r="AZ110" s="40"/>
      <c r="BA110" s="40"/>
      <c r="BB110" s="31"/>
    </row>
    <row r="111" spans="1:54">
      <c r="A111" s="149"/>
      <c r="B111" s="47" t="s">
        <v>56</v>
      </c>
      <c r="C111" s="48"/>
      <c r="D111" s="49">
        <f t="shared" ref="D111" si="1123">SUM(D108:D110)</f>
        <v>40300</v>
      </c>
      <c r="E111" s="49"/>
      <c r="F111" s="49">
        <f t="shared" ref="F111" si="1124">SUM(F108:F110)</f>
        <v>47448</v>
      </c>
      <c r="G111" s="50"/>
      <c r="H111" s="50"/>
      <c r="I111" s="49">
        <f t="shared" ref="I111:K111" si="1125">SUM(I108:I110)</f>
        <v>45396</v>
      </c>
      <c r="J111" s="50"/>
      <c r="K111" s="49">
        <f t="shared" si="1125"/>
        <v>49139</v>
      </c>
      <c r="L111" s="20">
        <f t="shared" ref="L111" si="1126">IF(K111&gt;0,(K108*L108+K109*L109+K110*L110)/K111,0)</f>
        <v>6.4595657217281596E-2</v>
      </c>
      <c r="M111" s="50">
        <f t="shared" ref="M111" si="1127">M108+M109+M110</f>
        <v>45965</v>
      </c>
      <c r="N111" s="51">
        <f t="shared" ref="N111" si="1128">IF(M111&gt;0,O111/M111,0)</f>
        <v>0.79095494397911448</v>
      </c>
      <c r="O111" s="52">
        <f t="shared" ref="O111" si="1129">O108+O109+O110</f>
        <v>36356.243999999999</v>
      </c>
      <c r="P111" s="20">
        <f t="shared" ref="P111" si="1130">IF(M111&gt;0,Q111/M111,0)</f>
        <v>0.17841905797889701</v>
      </c>
      <c r="Q111" s="52">
        <f t="shared" ref="Q111" si="1131">Q108+Q109+Q110</f>
        <v>8201.0320000000011</v>
      </c>
      <c r="R111" s="20">
        <f t="shared" ref="R111" si="1132">IF(M111&gt;0,T111/M111,0)</f>
        <v>3.0625998041988473E-2</v>
      </c>
      <c r="S111" s="107"/>
      <c r="T111" s="52">
        <f t="shared" ref="T111" si="1133">T108+T109+T110</f>
        <v>1407.7240000000002</v>
      </c>
      <c r="U111" s="20">
        <f t="shared" ref="U111" si="1134">IF(M111&gt;0,V111/M111,0)</f>
        <v>0.21572909822691178</v>
      </c>
      <c r="V111" s="52">
        <f t="shared" ref="V111" si="1135">V108+V109+V110</f>
        <v>9915.9879999999994</v>
      </c>
      <c r="W111" s="20">
        <f t="shared" ref="W111" si="1136">IF(M111&gt;0,X111/M111,0)</f>
        <v>0.49542388774067225</v>
      </c>
      <c r="X111" s="52">
        <f t="shared" ref="X111" si="1137">X108+X109+X110</f>
        <v>22772.159</v>
      </c>
      <c r="Y111" s="20">
        <f t="shared" ref="Y111" si="1138">IF(M111&gt;0,Z111/M111,0)</f>
        <v>0.41033960622212556</v>
      </c>
      <c r="Z111" s="52">
        <f t="shared" ref="Z111" si="1139">Z108+Z109+Z110</f>
        <v>18861.260000000002</v>
      </c>
      <c r="AA111" s="119">
        <f>IF(M111&gt;0,AB111/M111,0)</f>
        <v>2.7086613727836397E-3</v>
      </c>
      <c r="AB111" s="54">
        <f t="shared" ref="AB111" si="1140">SUM(AB108:AB110)</f>
        <v>124.50362</v>
      </c>
      <c r="AC111" s="53">
        <f t="shared" ref="AC111" si="1141">IF(M111&gt;0,AD111/M111,0)</f>
        <v>2.9223848580441645E-3</v>
      </c>
      <c r="AD111" s="54">
        <f t="shared" ref="AD111" si="1142">SUM(AD108:AD110)</f>
        <v>134.32742000000002</v>
      </c>
      <c r="AE111" s="53">
        <f t="shared" ref="AE111" si="1143">IF(M111&gt;0,(AE108*M108+AE109*M109+AE110*M110)/M111,0)</f>
        <v>2.8299001414119444E-3</v>
      </c>
      <c r="AF111" s="53">
        <f t="shared" ref="AF111" si="1144">IF(K111&gt;0,(K108*AF108+K109*AF109+K110*AF110)/K111,0)</f>
        <v>2.3974684059504666E-4</v>
      </c>
      <c r="AG111" s="50">
        <f t="shared" ref="AG111" si="1145">SUM(AG108:AG110)</f>
        <v>11.01796</v>
      </c>
      <c r="AH111" s="51">
        <f t="shared" ref="AH111" si="1146">IF(K111&gt;0,(K108*AH108+K109*AH109+K110*AH110)/K111,0)</f>
        <v>0.2200440647957834</v>
      </c>
      <c r="AI111" s="56">
        <f t="shared" ref="AI111" si="1147">SUM(AI108:AI110)</f>
        <v>112.059462</v>
      </c>
      <c r="AJ111" s="51">
        <f t="shared" ref="AJ111" si="1148">IF(AND(AD111&gt;0),((AD108*AJ108+AD109*AJ109+AD110*AJ110)/AD111),0)</f>
        <v>0.91897849213822358</v>
      </c>
      <c r="AK111" s="55">
        <f t="shared" si="681"/>
        <v>0.91622045276570707</v>
      </c>
      <c r="AL111" s="49">
        <f t="shared" ref="AL111" si="1149">SUM(AL108:AL110)</f>
        <v>559</v>
      </c>
      <c r="AM111" s="20">
        <f t="shared" ref="AM111" si="1150">IF(AL111&gt;0,(AM108*AL108+AM109*AL109+AM110*AL110)/AL111,0)</f>
        <v>8.8980322003577805E-2</v>
      </c>
      <c r="AN111" s="51">
        <f>IF(K111&gt;0,(AN108*K108+AN109*K109+AN110*K110)/K111,0)</f>
        <v>0.23377134251816278</v>
      </c>
      <c r="AO111" s="107">
        <f>IF(L111&gt;0,(AO108*K108+AO109*K109+AO110*K110)/K111,0)</f>
        <v>0.21916754512708844</v>
      </c>
      <c r="AP111" s="56">
        <f t="shared" ref="AP111" si="1151">SUM(AP108:AP110)</f>
        <v>119.05840000000001</v>
      </c>
      <c r="AQ111" s="108">
        <f t="shared" si="1108"/>
        <v>111.62139500000001</v>
      </c>
      <c r="AR111" s="54"/>
      <c r="AS111" s="54">
        <f t="shared" ref="AS111" si="1152">SUM(AS108:AS110)</f>
        <v>503.44</v>
      </c>
      <c r="AT111" s="83"/>
      <c r="AU111" s="84">
        <f>AT110</f>
        <v>882.83999999999878</v>
      </c>
      <c r="AV111" s="49">
        <f t="shared" ref="AV111" si="1153">SUM(AV108:AV110)</f>
        <v>0</v>
      </c>
      <c r="AW111" s="57"/>
      <c r="AX111" s="56"/>
      <c r="AY111" s="56"/>
      <c r="AZ111" s="56"/>
      <c r="BA111" s="56"/>
      <c r="BB111" s="21"/>
    </row>
    <row r="112" spans="1:54">
      <c r="A112" s="147">
        <v>28</v>
      </c>
      <c r="B112" s="22">
        <v>1</v>
      </c>
      <c r="C112" s="10" t="s">
        <v>55</v>
      </c>
      <c r="D112" s="11">
        <v>19200</v>
      </c>
      <c r="E112" s="11">
        <v>0</v>
      </c>
      <c r="F112" s="11">
        <v>17649</v>
      </c>
      <c r="G112" s="12">
        <v>0.5</v>
      </c>
      <c r="H112" s="12">
        <v>5.9</v>
      </c>
      <c r="I112" s="11">
        <v>17388</v>
      </c>
      <c r="J112" s="12">
        <v>2.6</v>
      </c>
      <c r="K112" s="11">
        <v>16116</v>
      </c>
      <c r="L112" s="13">
        <v>5.3999999999999999E-2</v>
      </c>
      <c r="M112" s="23">
        <f>ROUND(K112*(1-L112),0)</f>
        <v>15246</v>
      </c>
      <c r="N112" s="14">
        <v>0.753</v>
      </c>
      <c r="O112" s="24">
        <f t="shared" ref="O112:O114" si="1154">M112*N112</f>
        <v>11480.237999999999</v>
      </c>
      <c r="P112" s="13">
        <v>0.22500000000000001</v>
      </c>
      <c r="Q112" s="24">
        <f t="shared" ref="Q112:Q114" si="1155">M112*P112</f>
        <v>3430.35</v>
      </c>
      <c r="R112" s="15">
        <v>2.1999999999999999E-2</v>
      </c>
      <c r="S112" s="112">
        <v>0.22570000000000001</v>
      </c>
      <c r="T112" s="24">
        <f t="shared" ref="T112:T114" si="1156">M112*R112</f>
        <v>335.41199999999998</v>
      </c>
      <c r="U112" s="25">
        <v>0.19500000000000001</v>
      </c>
      <c r="V112" s="24">
        <f t="shared" ref="V112:V114" si="1157">M112*U112</f>
        <v>2972.9700000000003</v>
      </c>
      <c r="W112" s="15">
        <v>0.51500000000000001</v>
      </c>
      <c r="X112" s="24">
        <f t="shared" ref="X112:X114" si="1158">M112*W112</f>
        <v>7851.6900000000005</v>
      </c>
      <c r="Y112" s="15">
        <v>0.39</v>
      </c>
      <c r="Z112" s="24">
        <f t="shared" ref="Z112:Z114" si="1159">Y112*M112</f>
        <v>5945.9400000000005</v>
      </c>
      <c r="AA112" s="116">
        <v>2.7200000000000002E-3</v>
      </c>
      <c r="AB112" s="18">
        <f t="shared" ref="AB112" si="1160">M112*AA112</f>
        <v>41.469120000000004</v>
      </c>
      <c r="AC112" s="16">
        <v>2.8800000000000002E-3</v>
      </c>
      <c r="AD112" s="17">
        <f t="shared" ref="AD112:AD114" si="1161">M112*AC112</f>
        <v>43.908480000000004</v>
      </c>
      <c r="AE112" s="26">
        <f>IF(M112&gt;0,(AG112+AP112)/M112,0)</f>
        <v>2.8090697887970615E-3</v>
      </c>
      <c r="AF112" s="16">
        <v>2.4000000000000001E-4</v>
      </c>
      <c r="AG112" s="23">
        <f t="shared" ref="AG112:AG114" si="1162">AF112*M112</f>
        <v>3.6590400000000001</v>
      </c>
      <c r="AH112" s="92">
        <v>0.21820000000000001</v>
      </c>
      <c r="AI112" s="29">
        <f t="shared" ref="AI112:AI114" si="1163">AL112*(1-AM112)*AH112</f>
        <v>35.939722000000003</v>
      </c>
      <c r="AJ112" s="27">
        <f t="shared" ref="AJ112:AJ114" si="1164">IF(AND(AH112&gt;0,AF112&gt;0,AC112&gt;0),((AC112-AF112)*AH112)/((AH112-AF112)*AC112),0)</f>
        <v>0.91767602618217392</v>
      </c>
      <c r="AK112" s="58">
        <f t="shared" si="681"/>
        <v>0.91548642044690198</v>
      </c>
      <c r="AL112" s="11">
        <v>181</v>
      </c>
      <c r="AM112" s="13">
        <v>0.09</v>
      </c>
      <c r="AN112" s="14">
        <v>0.23780000000000001</v>
      </c>
      <c r="AO112" s="101">
        <v>0.22739999999999999</v>
      </c>
      <c r="AP112" s="29">
        <f>AL112*(1-AM112)*AN112</f>
        <v>39.168038000000003</v>
      </c>
      <c r="AQ112" s="102">
        <f t="shared" ref="AQ112" si="1165">AL112*(1-AM112)*AO112</f>
        <v>37.455053999999997</v>
      </c>
      <c r="AR112" s="18">
        <v>1.56</v>
      </c>
      <c r="AS112" s="18"/>
      <c r="AT112" s="79">
        <f>AT110+AL112-AS112</f>
        <v>1063.8399999999988</v>
      </c>
      <c r="AU112" s="80"/>
      <c r="AV112" s="11"/>
      <c r="AW112" s="30"/>
      <c r="AX112" s="19"/>
      <c r="AY112" s="19"/>
      <c r="AZ112" s="19"/>
      <c r="BA112" s="19"/>
      <c r="BB112" s="31"/>
    </row>
    <row r="113" spans="1:54">
      <c r="A113" s="148"/>
      <c r="B113" s="32">
        <v>2</v>
      </c>
      <c r="C113" s="143" t="s">
        <v>57</v>
      </c>
      <c r="D113" s="33">
        <v>20400</v>
      </c>
      <c r="E113" s="33">
        <v>1</v>
      </c>
      <c r="F113" s="33">
        <v>13227</v>
      </c>
      <c r="G113" s="34">
        <v>0.4</v>
      </c>
      <c r="H113" s="34">
        <v>5.5</v>
      </c>
      <c r="I113" s="33">
        <v>13117</v>
      </c>
      <c r="J113" s="34">
        <v>3.5</v>
      </c>
      <c r="K113" s="33">
        <v>16172</v>
      </c>
      <c r="L113" s="35">
        <v>7.1999999999999995E-2</v>
      </c>
      <c r="M113" s="36">
        <f>ROUND(K113*(1-L113),0)</f>
        <v>15008</v>
      </c>
      <c r="N113" s="37">
        <v>0.71</v>
      </c>
      <c r="O113" s="24">
        <f t="shared" si="1154"/>
        <v>10655.68</v>
      </c>
      <c r="P113" s="35">
        <v>0.245</v>
      </c>
      <c r="Q113" s="24">
        <f t="shared" si="1155"/>
        <v>3676.96</v>
      </c>
      <c r="R113" s="38">
        <v>4.4999999999999998E-2</v>
      </c>
      <c r="S113" s="105">
        <v>0.20960000000000001</v>
      </c>
      <c r="T113" s="24">
        <f t="shared" si="1156"/>
        <v>675.36</v>
      </c>
      <c r="U113" s="27">
        <v>0.20100000000000001</v>
      </c>
      <c r="V113" s="24">
        <f t="shared" si="1157"/>
        <v>3016.6080000000002</v>
      </c>
      <c r="W113" s="38">
        <v>0.501</v>
      </c>
      <c r="X113" s="24">
        <f t="shared" si="1158"/>
        <v>7519.0079999999998</v>
      </c>
      <c r="Y113" s="38">
        <v>0.39</v>
      </c>
      <c r="Z113" s="24">
        <f t="shared" si="1159"/>
        <v>5853.12</v>
      </c>
      <c r="AA113" s="117">
        <v>2.7100000000000002E-3</v>
      </c>
      <c r="AB113" s="18">
        <f t="shared" si="765"/>
        <v>40.671680000000002</v>
      </c>
      <c r="AC113" s="39">
        <v>2.8400000000000001E-3</v>
      </c>
      <c r="AD113" s="17">
        <f t="shared" si="1161"/>
        <v>42.622720000000001</v>
      </c>
      <c r="AE113" s="26">
        <f>IF(M113&gt;0,(AG113+AP113)/M113,0)</f>
        <v>2.7991324626865672E-3</v>
      </c>
      <c r="AF113" s="39">
        <v>2.4000000000000001E-4</v>
      </c>
      <c r="AG113" s="36">
        <f t="shared" si="1162"/>
        <v>3.6019200000000002</v>
      </c>
      <c r="AH113" s="27">
        <v>0.21379999999999999</v>
      </c>
      <c r="AI113" s="40">
        <f t="shared" si="1163"/>
        <v>36.576903999999999</v>
      </c>
      <c r="AJ113" s="27">
        <f t="shared" si="1164"/>
        <v>0.91652179418522728</v>
      </c>
      <c r="AK113" s="28">
        <f t="shared" si="681"/>
        <v>0.91523757648879966</v>
      </c>
      <c r="AL113" s="33">
        <v>188</v>
      </c>
      <c r="AM113" s="35">
        <v>0.09</v>
      </c>
      <c r="AN113" s="37">
        <v>0.22450000000000001</v>
      </c>
      <c r="AO113" s="103">
        <v>0.21510000000000001</v>
      </c>
      <c r="AP113" s="40">
        <f>AL113*(1-AM113)*AN113</f>
        <v>38.40746</v>
      </c>
      <c r="AQ113" s="104">
        <f t="shared" si="726"/>
        <v>36.799308000000003</v>
      </c>
      <c r="AR113" s="41">
        <v>1.6</v>
      </c>
      <c r="AS113" s="41"/>
      <c r="AT113" s="129">
        <f>AT112+AL113-AS113</f>
        <v>1251.8399999999988</v>
      </c>
      <c r="AU113" s="82"/>
      <c r="AV113" s="42"/>
      <c r="AW113" s="43"/>
      <c r="AX113" s="44"/>
      <c r="AY113" s="44"/>
      <c r="AZ113" s="44"/>
      <c r="BA113" s="44"/>
      <c r="BB113" s="31"/>
    </row>
    <row r="114" spans="1:54">
      <c r="A114" s="148"/>
      <c r="B114" s="32">
        <v>3</v>
      </c>
      <c r="C114" s="10" t="s">
        <v>59</v>
      </c>
      <c r="D114" s="42">
        <v>13000</v>
      </c>
      <c r="E114" s="42">
        <v>1</v>
      </c>
      <c r="F114" s="42">
        <v>17314</v>
      </c>
      <c r="G114" s="36">
        <v>0.4</v>
      </c>
      <c r="H114" s="36">
        <v>5</v>
      </c>
      <c r="I114" s="42">
        <v>16355</v>
      </c>
      <c r="J114" s="36">
        <v>2.2999999999999998</v>
      </c>
      <c r="K114" s="42">
        <v>14148</v>
      </c>
      <c r="L114" s="38">
        <v>6.3E-2</v>
      </c>
      <c r="M114" s="36">
        <f>ROUND(K114*(1-L114),0)</f>
        <v>13257</v>
      </c>
      <c r="N114" s="27">
        <v>0.73</v>
      </c>
      <c r="O114" s="24">
        <f t="shared" si="1154"/>
        <v>9677.61</v>
      </c>
      <c r="P114" s="38">
        <v>0.25</v>
      </c>
      <c r="Q114" s="24">
        <f t="shared" si="1155"/>
        <v>3314.25</v>
      </c>
      <c r="R114" s="38">
        <v>0.02</v>
      </c>
      <c r="S114" s="105">
        <v>0.2056</v>
      </c>
      <c r="T114" s="24">
        <f t="shared" si="1156"/>
        <v>265.14</v>
      </c>
      <c r="U114" s="27">
        <v>0.20300000000000001</v>
      </c>
      <c r="V114" s="24">
        <f t="shared" si="1157"/>
        <v>2691.1710000000003</v>
      </c>
      <c r="W114" s="38">
        <v>0.51</v>
      </c>
      <c r="X114" s="24">
        <f t="shared" si="1158"/>
        <v>6761.07</v>
      </c>
      <c r="Y114" s="38">
        <v>0.39</v>
      </c>
      <c r="Z114" s="24">
        <f t="shared" si="1159"/>
        <v>5170.2300000000005</v>
      </c>
      <c r="AA114" s="118">
        <v>2.7100000000000002E-3</v>
      </c>
      <c r="AB114" s="121">
        <f t="shared" si="765"/>
        <v>35.926470000000002</v>
      </c>
      <c r="AC114" s="45">
        <v>2.8400000000000001E-3</v>
      </c>
      <c r="AD114" s="17">
        <f t="shared" si="1161"/>
        <v>37.649880000000003</v>
      </c>
      <c r="AE114" s="26">
        <f>IF(M114&gt;0,(AG114+AP114)/M114,0)</f>
        <v>2.9512980312287845E-3</v>
      </c>
      <c r="AF114" s="45">
        <v>2.4000000000000001E-4</v>
      </c>
      <c r="AG114" s="36">
        <f t="shared" si="1162"/>
        <v>3.1816800000000001</v>
      </c>
      <c r="AH114" s="27">
        <v>0.2109</v>
      </c>
      <c r="AI114" s="40">
        <f t="shared" si="1163"/>
        <v>32.590377000000004</v>
      </c>
      <c r="AJ114" s="27">
        <f t="shared" si="1164"/>
        <v>0.91653595741352134</v>
      </c>
      <c r="AK114" s="28">
        <f t="shared" si="681"/>
        <v>0.9196287355793048</v>
      </c>
      <c r="AL114" s="42">
        <v>170</v>
      </c>
      <c r="AM114" s="38">
        <v>9.0999999999999998E-2</v>
      </c>
      <c r="AN114" s="27">
        <v>0.2326</v>
      </c>
      <c r="AO114" s="105">
        <v>0.22539999999999999</v>
      </c>
      <c r="AP114" s="40">
        <f>AL114*(1-AM114)*AN114</f>
        <v>35.943677999999998</v>
      </c>
      <c r="AQ114" s="106">
        <f t="shared" si="726"/>
        <v>34.831061999999996</v>
      </c>
      <c r="AR114" s="17">
        <v>1.55</v>
      </c>
      <c r="AS114" s="17"/>
      <c r="AT114" s="129">
        <f>AT113+AL114-AS114</f>
        <v>1421.8399999999988</v>
      </c>
      <c r="AU114" s="82"/>
      <c r="AV114" s="42"/>
      <c r="AW114" s="46"/>
      <c r="AX114" s="40"/>
      <c r="AY114" s="40"/>
      <c r="AZ114" s="40"/>
      <c r="BA114" s="40"/>
      <c r="BB114" s="31"/>
    </row>
    <row r="115" spans="1:54">
      <c r="A115" s="149"/>
      <c r="B115" s="47" t="s">
        <v>56</v>
      </c>
      <c r="C115" s="48"/>
      <c r="D115" s="49">
        <f t="shared" ref="D115" si="1166">SUM(D112:D114)</f>
        <v>52600</v>
      </c>
      <c r="E115" s="49"/>
      <c r="F115" s="49">
        <f t="shared" ref="F115" si="1167">SUM(F112:F114)</f>
        <v>48190</v>
      </c>
      <c r="G115" s="50"/>
      <c r="H115" s="50"/>
      <c r="I115" s="49">
        <f t="shared" ref="I115:K115" si="1168">SUM(I112:I114)</f>
        <v>46860</v>
      </c>
      <c r="J115" s="50"/>
      <c r="K115" s="49">
        <f t="shared" si="1168"/>
        <v>46436</v>
      </c>
      <c r="L115" s="20">
        <f t="shared" ref="L115" si="1169">IF(K115&gt;0,(K112*L112+K113*L113+K114*L114)/K115,0)</f>
        <v>6.3010853648031703E-2</v>
      </c>
      <c r="M115" s="50">
        <f t="shared" ref="M115" si="1170">M112+M113+M114</f>
        <v>43511</v>
      </c>
      <c r="N115" s="51">
        <f t="shared" ref="N115" si="1171">IF(M115&gt;0,O115/M115,0)</f>
        <v>0.73116058008319729</v>
      </c>
      <c r="O115" s="52">
        <f t="shared" ref="O115" si="1172">O112+O113+O114</f>
        <v>31813.527999999998</v>
      </c>
      <c r="P115" s="20">
        <f t="shared" ref="P115" si="1173">IF(M115&gt;0,Q115/M115,0)</f>
        <v>0.23951552480981819</v>
      </c>
      <c r="Q115" s="52">
        <f t="shared" ref="Q115" si="1174">Q112+Q113+Q114</f>
        <v>10421.56</v>
      </c>
      <c r="R115" s="20">
        <f t="shared" ref="R115" si="1175">IF(M115&gt;0,T115/M115,0)</f>
        <v>2.9323895106984438E-2</v>
      </c>
      <c r="S115" s="107"/>
      <c r="T115" s="52">
        <f t="shared" ref="T115" si="1176">T112+T113+T114</f>
        <v>1275.9119999999998</v>
      </c>
      <c r="U115" s="20">
        <f t="shared" ref="U115" si="1177">IF(M115&gt;0,V115/M115,0)</f>
        <v>0.19950699823033255</v>
      </c>
      <c r="V115" s="52">
        <f t="shared" ref="V115" si="1178">V112+V113+V114</f>
        <v>8680.7489999999998</v>
      </c>
      <c r="W115" s="20">
        <f t="shared" ref="W115" si="1179">IF(M115&gt;0,X115/M115,0)</f>
        <v>0.50864765231780473</v>
      </c>
      <c r="X115" s="52">
        <f t="shared" ref="X115" si="1180">X112+X113+X114</f>
        <v>22131.768</v>
      </c>
      <c r="Y115" s="20">
        <f t="shared" ref="Y115" si="1181">IF(M115&gt;0,Z115/M115,0)</f>
        <v>0.39</v>
      </c>
      <c r="Z115" s="52">
        <f t="shared" ref="Z115" si="1182">Z112+Z113+Z114</f>
        <v>16969.29</v>
      </c>
      <c r="AA115" s="119">
        <f t="shared" ref="AA115" si="1183">IF(M115&gt;0,AB115/M115,0)</f>
        <v>2.7135039415320267E-3</v>
      </c>
      <c r="AB115" s="54">
        <f t="shared" ref="AB115" si="1184">SUM(AB112:AB114)</f>
        <v>118.06727000000001</v>
      </c>
      <c r="AC115" s="53">
        <f t="shared" ref="AC115" si="1185">IF(M115&gt;0,AD115/M115,0)</f>
        <v>2.8540157661281059E-3</v>
      </c>
      <c r="AD115" s="54">
        <f t="shared" ref="AD115" si="1186">SUM(AD112:AD114)</f>
        <v>124.18108000000001</v>
      </c>
      <c r="AE115" s="53">
        <f t="shared" ref="AE115" si="1187">IF(M115&gt;0,(AE112*M112+AE113*M113+AE114*M114)/M115,0)</f>
        <v>2.8489764887040057E-3</v>
      </c>
      <c r="AF115" s="53">
        <f t="shared" ref="AF115" si="1188">IF(K115&gt;0,(K112*AF112+K113*AF113+K114*AF114)/K115,0)</f>
        <v>2.4000000000000001E-4</v>
      </c>
      <c r="AG115" s="50">
        <f t="shared" ref="AG115" si="1189">SUM(AG112:AG114)</f>
        <v>10.442640000000001</v>
      </c>
      <c r="AH115" s="51">
        <f t="shared" ref="AH115" si="1190">IF(K115&gt;0,(K112*AH112+K113*AH113+K114*AH114)/K115,0)</f>
        <v>0.21444349211818414</v>
      </c>
      <c r="AI115" s="56">
        <f t="shared" ref="AI115" si="1191">SUM(AI112:AI114)</f>
        <v>105.10700300000001</v>
      </c>
      <c r="AJ115" s="51">
        <f t="shared" ref="AJ115" si="1192">IF(AND(AD115&gt;0),((AD112*AJ112+AD113*AJ113+AD114*AJ114)/AD115),0)</f>
        <v>0.9169342065784758</v>
      </c>
      <c r="AK115" s="55">
        <f t="shared" si="681"/>
        <v>0.91670924493782568</v>
      </c>
      <c r="AL115" s="49">
        <f t="shared" ref="AL115" si="1193">SUM(AL112:AL114)</f>
        <v>539</v>
      </c>
      <c r="AM115" s="20">
        <f t="shared" ref="AM115" si="1194">IF(AL115&gt;0,(AM112*AL112+AM113*AL113+AM114*AL114)/AL115,0)</f>
        <v>9.031539888682745E-2</v>
      </c>
      <c r="AN115" s="51">
        <f>IF(K115&gt;0,(AN112*K112+AN113*K113+AN114*K114)/K115,0)</f>
        <v>0.23158376259798433</v>
      </c>
      <c r="AO115" s="107">
        <f>IF(L115&gt;0,(AO112*K112+AO113*K113+AO114*K114)/K115,0)</f>
        <v>0.22250699457317596</v>
      </c>
      <c r="AP115" s="56">
        <f t="shared" ref="AP115" si="1195">SUM(AP112:AP114)</f>
        <v>113.51917600000002</v>
      </c>
      <c r="AQ115" s="108">
        <f t="shared" si="1108"/>
        <v>109.08542399999999</v>
      </c>
      <c r="AR115" s="54"/>
      <c r="AS115" s="54">
        <f t="shared" ref="AS115" si="1196">SUM(AS112:AS114)</f>
        <v>0</v>
      </c>
      <c r="AT115" s="83"/>
      <c r="AU115" s="84">
        <f>AT114</f>
        <v>1421.8399999999988</v>
      </c>
      <c r="AV115" s="49">
        <f t="shared" ref="AV115" si="1197">SUM(AV112:AV114)</f>
        <v>0</v>
      </c>
      <c r="AW115" s="57"/>
      <c r="AX115" s="56"/>
      <c r="AY115" s="56"/>
      <c r="AZ115" s="56"/>
      <c r="BA115" s="56"/>
      <c r="BB115" s="21"/>
    </row>
    <row r="116" spans="1:54">
      <c r="A116" s="148">
        <v>29</v>
      </c>
      <c r="B116" s="32">
        <v>1</v>
      </c>
      <c r="C116" s="10" t="s">
        <v>55</v>
      </c>
      <c r="D116" s="11">
        <v>14000</v>
      </c>
      <c r="E116" s="11">
        <v>0</v>
      </c>
      <c r="F116" s="11">
        <v>19348</v>
      </c>
      <c r="G116" s="12">
        <v>0.7</v>
      </c>
      <c r="H116" s="12">
        <v>4.3</v>
      </c>
      <c r="I116" s="11">
        <v>18159</v>
      </c>
      <c r="J116" s="12">
        <v>1.5</v>
      </c>
      <c r="K116" s="11">
        <v>16178</v>
      </c>
      <c r="L116" s="13">
        <v>7.3999999999999996E-2</v>
      </c>
      <c r="M116" s="23">
        <f>ROUND(K116*(1-L116),0)</f>
        <v>14981</v>
      </c>
      <c r="N116" s="14">
        <v>0.59799999999999998</v>
      </c>
      <c r="O116" s="24">
        <f t="shared" ref="O116:O118" si="1198">M116*N116</f>
        <v>8958.637999999999</v>
      </c>
      <c r="P116" s="13">
        <v>0.373</v>
      </c>
      <c r="Q116" s="24">
        <f t="shared" ref="Q116:Q118" si="1199">M116*P116</f>
        <v>5587.9129999999996</v>
      </c>
      <c r="R116" s="15">
        <v>2.9000000000000001E-2</v>
      </c>
      <c r="S116" s="112">
        <v>0.20610000000000001</v>
      </c>
      <c r="T116" s="24">
        <f t="shared" ref="T116:T118" si="1200">M116*R116</f>
        <v>434.44900000000001</v>
      </c>
      <c r="U116" s="25">
        <v>0.2</v>
      </c>
      <c r="V116" s="24">
        <f t="shared" ref="V116:V118" si="1201">M116*U116</f>
        <v>2996.2000000000003</v>
      </c>
      <c r="W116" s="15">
        <v>0.504</v>
      </c>
      <c r="X116" s="24">
        <f t="shared" ref="X116:X118" si="1202">M116*W116</f>
        <v>7550.424</v>
      </c>
      <c r="Y116" s="15">
        <v>0.38</v>
      </c>
      <c r="Z116" s="24">
        <f t="shared" ref="Z116:Z118" si="1203">Y116*M116</f>
        <v>5692.78</v>
      </c>
      <c r="AA116" s="116">
        <v>2.8600000000000001E-3</v>
      </c>
      <c r="AB116" s="18">
        <f t="shared" ref="AB116" si="1204">M116*AA116</f>
        <v>42.845660000000002</v>
      </c>
      <c r="AC116" s="16">
        <v>2.8600000000000001E-3</v>
      </c>
      <c r="AD116" s="17">
        <f t="shared" ref="AD116:AD118" si="1205">M116*AC116</f>
        <v>42.845660000000002</v>
      </c>
      <c r="AE116" s="26">
        <f>IF(M116&gt;0,(AG116+AP116)/M116,0)</f>
        <v>2.9608699285761961E-3</v>
      </c>
      <c r="AF116" s="16">
        <v>2.5000000000000001E-4</v>
      </c>
      <c r="AG116" s="23">
        <f t="shared" ref="AG116:AG118" si="1206">AF116*M116</f>
        <v>3.74525</v>
      </c>
      <c r="AH116" s="92">
        <v>0.21190000000000001</v>
      </c>
      <c r="AI116" s="29">
        <f t="shared" ref="AI116:AI118" si="1207">AL116*(1-AM116)*AH116</f>
        <v>38.264054399999999</v>
      </c>
      <c r="AJ116" s="27">
        <f t="shared" ref="AJ116:AJ118" si="1208">IF(AND(AH116&gt;0,AF116&gt;0,AC116&gt;0),((AC116-AF116)*AH116)/((AH116-AF116)*AC116),0)</f>
        <v>0.91366535661362036</v>
      </c>
      <c r="AK116" s="58">
        <f t="shared" si="681"/>
        <v>0.9165842352060658</v>
      </c>
      <c r="AL116" s="11">
        <v>198</v>
      </c>
      <c r="AM116" s="13">
        <v>8.7999999999999995E-2</v>
      </c>
      <c r="AN116" s="14">
        <v>0.22489999999999999</v>
      </c>
      <c r="AO116" s="101">
        <v>0.21790000000000001</v>
      </c>
      <c r="AP116" s="29">
        <f>AL116*(1-AM116)*AN116</f>
        <v>40.611542399999998</v>
      </c>
      <c r="AQ116" s="102">
        <f t="shared" ref="AQ116" si="1209">AL116*(1-AM116)*AO116</f>
        <v>39.347510399999997</v>
      </c>
      <c r="AR116" s="18">
        <v>1.56</v>
      </c>
      <c r="AS116" s="18"/>
      <c r="AT116" s="79">
        <f>AT114+AL116-AS116</f>
        <v>1619.8399999999988</v>
      </c>
      <c r="AU116" s="134"/>
      <c r="AV116" s="11"/>
      <c r="AW116" s="30"/>
      <c r="AX116" s="19"/>
      <c r="AY116" s="19"/>
      <c r="AZ116" s="19"/>
      <c r="BA116" s="19"/>
      <c r="BB116" s="31"/>
    </row>
    <row r="117" spans="1:54">
      <c r="A117" s="148"/>
      <c r="B117" s="32">
        <v>2</v>
      </c>
      <c r="C117" s="143" t="s">
        <v>57</v>
      </c>
      <c r="D117" s="33">
        <v>17400</v>
      </c>
      <c r="E117" s="33">
        <v>0</v>
      </c>
      <c r="F117" s="33">
        <v>12248</v>
      </c>
      <c r="G117" s="34">
        <v>0.7</v>
      </c>
      <c r="H117" s="34">
        <v>6.1</v>
      </c>
      <c r="I117" s="33">
        <v>12248</v>
      </c>
      <c r="J117" s="34">
        <v>2.2999999999999998</v>
      </c>
      <c r="K117" s="33">
        <v>16154</v>
      </c>
      <c r="L117" s="35">
        <v>6.2E-2</v>
      </c>
      <c r="M117" s="36">
        <f>ROUND(K117*(1-L117),0)</f>
        <v>15152</v>
      </c>
      <c r="N117" s="37">
        <v>0.65200000000000002</v>
      </c>
      <c r="O117" s="24">
        <f t="shared" si="1198"/>
        <v>9879.1040000000012</v>
      </c>
      <c r="P117" s="35">
        <v>0.32300000000000001</v>
      </c>
      <c r="Q117" s="24">
        <f t="shared" si="1199"/>
        <v>4894.0960000000005</v>
      </c>
      <c r="R117" s="38">
        <v>2.5000000000000001E-2</v>
      </c>
      <c r="S117" s="105">
        <v>0.2026</v>
      </c>
      <c r="T117" s="24">
        <f t="shared" si="1200"/>
        <v>378.8</v>
      </c>
      <c r="U117" s="27">
        <v>0.21</v>
      </c>
      <c r="V117" s="24">
        <f t="shared" si="1201"/>
        <v>3181.92</v>
      </c>
      <c r="W117" s="38">
        <v>0.504</v>
      </c>
      <c r="X117" s="24">
        <f t="shared" si="1202"/>
        <v>7636.6080000000002</v>
      </c>
      <c r="Y117" s="38">
        <v>0.39</v>
      </c>
      <c r="Z117" s="24">
        <f t="shared" si="1203"/>
        <v>5909.2800000000007</v>
      </c>
      <c r="AA117" s="117"/>
      <c r="AB117" s="18">
        <f t="shared" si="765"/>
        <v>0</v>
      </c>
      <c r="AC117" s="39">
        <v>2.7699999999999999E-3</v>
      </c>
      <c r="AD117" s="17">
        <f t="shared" si="1205"/>
        <v>41.971039999999995</v>
      </c>
      <c r="AE117" s="26">
        <f>IF(M117&gt;0,(AG117+AP117)/M117,0)</f>
        <v>2.9564040390707498E-3</v>
      </c>
      <c r="AF117" s="39">
        <v>2.5999999999999998E-4</v>
      </c>
      <c r="AG117" s="36">
        <f t="shared" si="1206"/>
        <v>3.9395199999999995</v>
      </c>
      <c r="AH117" s="27">
        <v>0.2094</v>
      </c>
      <c r="AI117" s="40">
        <f t="shared" si="1207"/>
        <v>37.688230799999999</v>
      </c>
      <c r="AJ117" s="27">
        <f t="shared" si="1208"/>
        <v>0.9072636815233367</v>
      </c>
      <c r="AK117" s="28">
        <f t="shared" si="681"/>
        <v>0.91310116516840178</v>
      </c>
      <c r="AL117" s="33">
        <v>198</v>
      </c>
      <c r="AM117" s="35">
        <v>9.0999999999999998E-2</v>
      </c>
      <c r="AN117" s="37">
        <v>0.22700000000000001</v>
      </c>
      <c r="AO117" s="103"/>
      <c r="AP117" s="40">
        <f>AL117*(1-AM117)*AN117</f>
        <v>40.855913999999999</v>
      </c>
      <c r="AQ117" s="104">
        <f t="shared" si="726"/>
        <v>0</v>
      </c>
      <c r="AR117" s="41">
        <v>1.55</v>
      </c>
      <c r="AS117" s="41"/>
      <c r="AT117" s="129">
        <f>AT116+AL117-AS117</f>
        <v>1817.8399999999988</v>
      </c>
      <c r="AU117" s="82"/>
      <c r="AV117" s="42"/>
      <c r="AW117" s="43"/>
      <c r="AX117" s="44"/>
      <c r="AY117" s="44"/>
      <c r="AZ117" s="44"/>
      <c r="BA117" s="44"/>
      <c r="BB117" s="31"/>
    </row>
    <row r="118" spans="1:54">
      <c r="A118" s="148"/>
      <c r="B118" s="32">
        <v>3</v>
      </c>
      <c r="C118" s="143" t="s">
        <v>58</v>
      </c>
      <c r="D118" s="42">
        <v>14500</v>
      </c>
      <c r="E118" s="42">
        <v>0</v>
      </c>
      <c r="F118" s="42">
        <v>18410</v>
      </c>
      <c r="G118" s="36">
        <v>0.5</v>
      </c>
      <c r="H118" s="36">
        <v>4.9000000000000004</v>
      </c>
      <c r="I118" s="42">
        <v>17215</v>
      </c>
      <c r="J118" s="36">
        <v>1.7</v>
      </c>
      <c r="K118" s="42">
        <v>15955</v>
      </c>
      <c r="L118" s="38">
        <v>6.6000000000000003E-2</v>
      </c>
      <c r="M118" s="36">
        <f>ROUND(K118*(1-L118),0)</f>
        <v>14902</v>
      </c>
      <c r="N118" s="27">
        <v>0.67</v>
      </c>
      <c r="O118" s="24">
        <f t="shared" si="1198"/>
        <v>9984.34</v>
      </c>
      <c r="P118" s="38">
        <v>0.27900000000000003</v>
      </c>
      <c r="Q118" s="24">
        <f t="shared" si="1199"/>
        <v>4157.6580000000004</v>
      </c>
      <c r="R118" s="38">
        <v>5.0999999999999997E-2</v>
      </c>
      <c r="S118" s="105">
        <v>0.20419999999999999</v>
      </c>
      <c r="T118" s="24">
        <f t="shared" si="1200"/>
        <v>760.00199999999995</v>
      </c>
      <c r="U118" s="27"/>
      <c r="V118" s="24">
        <f t="shared" si="1201"/>
        <v>0</v>
      </c>
      <c r="W118" s="38"/>
      <c r="X118" s="24">
        <f t="shared" si="1202"/>
        <v>0</v>
      </c>
      <c r="Y118" s="38">
        <v>0.4</v>
      </c>
      <c r="Z118" s="24">
        <f t="shared" si="1203"/>
        <v>5960.8</v>
      </c>
      <c r="AA118" s="118"/>
      <c r="AB118" s="121">
        <f t="shared" si="765"/>
        <v>0</v>
      </c>
      <c r="AC118" s="45">
        <v>2.7399999999999998E-3</v>
      </c>
      <c r="AD118" s="17">
        <f t="shared" si="1205"/>
        <v>40.831479999999999</v>
      </c>
      <c r="AE118" s="26">
        <f>IF(M118&gt;0,(AG118+AP118)/M118,0)</f>
        <v>2.5999999999999998E-4</v>
      </c>
      <c r="AF118" s="45">
        <v>2.5999999999999998E-4</v>
      </c>
      <c r="AG118" s="36">
        <f t="shared" si="1206"/>
        <v>3.8745199999999995</v>
      </c>
      <c r="AH118" s="27">
        <v>0.20480000000000001</v>
      </c>
      <c r="AI118" s="40">
        <f t="shared" si="1207"/>
        <v>35.652812800000007</v>
      </c>
      <c r="AJ118" s="27">
        <f t="shared" si="1208"/>
        <v>0.90626001446007753</v>
      </c>
      <c r="AK118" s="28">
        <f t="shared" si="681"/>
        <v>0</v>
      </c>
      <c r="AL118" s="42">
        <v>193</v>
      </c>
      <c r="AM118" s="38">
        <v>9.8000000000000004E-2</v>
      </c>
      <c r="AN118" s="27"/>
      <c r="AO118" s="105"/>
      <c r="AP118" s="40">
        <f>AL118*(1-AM118)*AN118</f>
        <v>0</v>
      </c>
      <c r="AQ118" s="106">
        <f t="shared" si="726"/>
        <v>0</v>
      </c>
      <c r="AR118" s="17">
        <v>1.55</v>
      </c>
      <c r="AS118" s="17"/>
      <c r="AT118" s="129">
        <f>AT117+AL118-AS118</f>
        <v>2010.8399999999988</v>
      </c>
      <c r="AU118" s="82"/>
      <c r="AV118" s="42"/>
      <c r="AW118" s="46"/>
      <c r="AX118" s="40"/>
      <c r="AY118" s="40"/>
      <c r="AZ118" s="40"/>
      <c r="BA118" s="40"/>
      <c r="BB118" s="31"/>
    </row>
    <row r="119" spans="1:54">
      <c r="A119" s="149"/>
      <c r="B119" s="47" t="s">
        <v>56</v>
      </c>
      <c r="C119" s="48"/>
      <c r="D119" s="49">
        <f t="shared" ref="D119" si="1210">SUM(D116:D118)</f>
        <v>45900</v>
      </c>
      <c r="E119" s="49"/>
      <c r="F119" s="49">
        <f t="shared" ref="F119" si="1211">SUM(F116:F118)</f>
        <v>50006</v>
      </c>
      <c r="G119" s="50"/>
      <c r="H119" s="50"/>
      <c r="I119" s="49">
        <f t="shared" ref="I119:K119" si="1212">SUM(I116:I118)</f>
        <v>47622</v>
      </c>
      <c r="J119" s="50"/>
      <c r="K119" s="49">
        <f t="shared" si="1212"/>
        <v>48287</v>
      </c>
      <c r="L119" s="20">
        <f t="shared" ref="L119" si="1213">IF(K119&gt;0,(K116*L116+K117*L117+K118*L118)/K119,0)</f>
        <v>6.7342141777289949E-2</v>
      </c>
      <c r="M119" s="50">
        <f t="shared" ref="M119" si="1214">M116+M117+M118</f>
        <v>45035</v>
      </c>
      <c r="N119" s="51">
        <f t="shared" ref="N119" si="1215">IF(M119&gt;0,O119/M119,0)</f>
        <v>0.63999293882535802</v>
      </c>
      <c r="O119" s="52">
        <f t="shared" ref="O119" si="1216">O116+O117+O118</f>
        <v>28822.081999999999</v>
      </c>
      <c r="P119" s="20">
        <f t="shared" ref="P119" si="1217">IF(M119&gt;0,Q119/M119,0)</f>
        <v>0.32507309870101037</v>
      </c>
      <c r="Q119" s="52">
        <f t="shared" ref="Q119" si="1218">Q116+Q117+Q118</f>
        <v>14639.667000000001</v>
      </c>
      <c r="R119" s="20">
        <f t="shared" ref="R119" si="1219">IF(M119&gt;0,T119/M119,0)</f>
        <v>3.4933962473631619E-2</v>
      </c>
      <c r="S119" s="107"/>
      <c r="T119" s="52">
        <f t="shared" ref="T119" si="1220">T116+T117+T118</f>
        <v>1573.251</v>
      </c>
      <c r="U119" s="20">
        <f t="shared" ref="U119" si="1221">IF(M119&gt;0,V119/M119,0)</f>
        <v>0.13718485622293775</v>
      </c>
      <c r="V119" s="52">
        <f t="shared" ref="V119" si="1222">V116+V117+V118</f>
        <v>6178.1200000000008</v>
      </c>
      <c r="W119" s="20">
        <f t="shared" ref="W119" si="1223">IF(M119&gt;0,X119/M119,0)</f>
        <v>0.3372273120905962</v>
      </c>
      <c r="X119" s="52">
        <f t="shared" ref="X119" si="1224">X116+X117+X118</f>
        <v>15187.031999999999</v>
      </c>
      <c r="Y119" s="20">
        <f t="shared" ref="Y119" si="1225">IF(M119&gt;0,Z119/M119,0)</f>
        <v>0.38998245808815368</v>
      </c>
      <c r="Z119" s="52">
        <f t="shared" ref="Z119" si="1226">Z116+Z117+Z118</f>
        <v>17562.86</v>
      </c>
      <c r="AA119" s="119">
        <f t="shared" ref="AA119" si="1227">IF(M119&gt;0,AB119/M119,0)</f>
        <v>9.513858110358611E-4</v>
      </c>
      <c r="AB119" s="54">
        <f t="shared" ref="AB119" si="1228">SUM(AB116:AB118)</f>
        <v>42.845660000000002</v>
      </c>
      <c r="AC119" s="53">
        <f t="shared" ref="AC119" si="1229">IF(M119&gt;0,AD119/M119,0)</f>
        <v>2.7900117686244031E-3</v>
      </c>
      <c r="AD119" s="54">
        <f t="shared" ref="AD119" si="1230">SUM(AD116:AD118)</f>
        <v>125.64818</v>
      </c>
      <c r="AE119" s="53">
        <f t="shared" ref="AE119" si="1231">IF(M119&gt;0,(AE116*M116+AE117*M117+AE118*M118)/M119,0)</f>
        <v>2.0656544110136559E-3</v>
      </c>
      <c r="AF119" s="53">
        <f t="shared" ref="AF119" si="1232">IF(K119&gt;0,(K116*AF116+K117*AF117+K118*AF118)/K119,0)</f>
        <v>2.5664961583863152E-4</v>
      </c>
      <c r="AG119" s="50">
        <f t="shared" ref="AG119" si="1233">SUM(AG116:AG118)</f>
        <v>11.559289999999999</v>
      </c>
      <c r="AH119" s="51">
        <f t="shared" ref="AH119" si="1234">IF(K119&gt;0,(K116*AH116+K117*AH117+K118*AH118)/K119,0)</f>
        <v>0.20871766313914719</v>
      </c>
      <c r="AI119" s="56">
        <f t="shared" ref="AI119" si="1235">SUM(AI116:AI118)</f>
        <v>111.60509800000001</v>
      </c>
      <c r="AJ119" s="51">
        <f t="shared" ref="AJ119" si="1236">IF(AND(AD119&gt;0),((AD116*AJ116+AD117*AJ117+AD118*AJ118)/AD119),0)</f>
        <v>0.90912047549145181</v>
      </c>
      <c r="AK119" s="55">
        <f t="shared" si="681"/>
        <v>0.8772419965567072</v>
      </c>
      <c r="AL119" s="49">
        <f t="shared" ref="AL119" si="1237">SUM(AL116:AL118)</f>
        <v>589</v>
      </c>
      <c r="AM119" s="20">
        <f t="shared" ref="AM119" si="1238">IF(AL119&gt;0,(AM116*AL116+AM117*AL117+AM118*AL118)/AL119,0)</f>
        <v>9.2285229202037355E-2</v>
      </c>
      <c r="AN119" s="51">
        <f>IF(K119&gt;0,(AN116*K116+AN117*K117+AN118*K118)/K119,0)</f>
        <v>0.1512910348541015</v>
      </c>
      <c r="AO119" s="107">
        <f>IF(L119&gt;0,(AO116*K116+AO117*K117+AO118*K118)/K119,0)</f>
        <v>7.3004870876219277E-2</v>
      </c>
      <c r="AP119" s="56">
        <f t="shared" ref="AP119" si="1239">SUM(AP116:AP118)</f>
        <v>81.467456400000003</v>
      </c>
      <c r="AQ119" s="108">
        <f t="shared" si="1108"/>
        <v>39.347510399999997</v>
      </c>
      <c r="AR119" s="54"/>
      <c r="AS119" s="54">
        <f t="shared" ref="AS119" si="1240">SUM(AS116:AS118)</f>
        <v>0</v>
      </c>
      <c r="AT119" s="83"/>
      <c r="AU119" s="84">
        <f>AT118</f>
        <v>2010.8399999999988</v>
      </c>
      <c r="AV119" s="49">
        <f t="shared" ref="AV119" si="1241">SUM(AV116:AV118)</f>
        <v>0</v>
      </c>
      <c r="AW119" s="57"/>
      <c r="AX119" s="56"/>
      <c r="AY119" s="56"/>
      <c r="AZ119" s="56"/>
      <c r="BA119" s="56"/>
      <c r="BB119" s="21"/>
    </row>
  </sheetData>
  <protectedRanges>
    <protectedRange sqref="Q1 V1 X1 Z1 O1 T1 AG1 AD1:AE1 AP1:AQ1 M1 AK1" name="Range1_1_1_1_1_1_1_1_1"/>
    <protectedRange sqref="AI1:AJ1" name="Range1_1_1_1_1_1_1"/>
    <protectedRange sqref="AB1" name="Range1_1_1_1_1_1_1_1_1_1_1_1_1"/>
    <protectedRange sqref="Q2:Q3 V2:V3 X2:X3 Z2:Z3 AP2:AQ3 O2:O3 T2:T3 AG2:AG3 AK2:AK3 AD2:AE3 M2:M3" name="Range1_1_1_1_1_1_1_1_1_1"/>
    <protectedRange sqref="AH3:AJ3 AI2:AJ2" name="Range1_1_1_1_1_1_1_1"/>
    <protectedRange sqref="AA3" name="Range1_1_1_1_1_1_1_1_1_1_1"/>
    <protectedRange sqref="AB3" name="Range1_1_1_1_1_1_1_1_1_1_1_1"/>
    <protectedRange sqref="AP4:AQ119 AK4:AK119 M4:M119" name="Range1_1_1_1_1_1_1_1_1_2"/>
    <protectedRange sqref="AH7:AJ7 AH4:AI6 AH11:AJ11 AH15:AJ15 AH19:AJ19 AH23:AJ23 AH27:AJ27 AH31:AJ31 AH35:AJ35 AH39:AJ39 AH43:AJ43 AH47:AJ47 AH51:AJ51 AH55:AJ55 AH59:AJ59 AH63:AJ63 AH67:AJ67 AH71:AJ71 AH75:AJ75 AH79:AJ79 AH83:AJ83 AH87:AJ87 AH91:AJ91 AH95:AJ95 AH99:AJ99 AH103:AJ103 AH107:AJ107 AH111:AJ111 AH115:AJ115 AH119:AJ119 AH8:AI10 AH12:AI14 AH16:AI18 AH20:AI22 AH24:AI26 AH28:AI30 AH32:AI34 AH36:AI38 AH40:AI42 AH44:AI46 AH48:AI50 AH52:AI54 AH56:AI58 AH60:AI62 AH64:AI66 AH68:AI70 AH72:AI74 AH76:AI78 AH80:AI82 AH84:AI86 AH88:AI90 AH92:AI94 AH96:AI98 AH100:AI102 AH104:AI106 AH108:AI110 AH112:AI114 AH116:AI118" name="Range1_1_1_1_1_1_1_2"/>
    <protectedRange sqref="AJ4:AJ6 AJ8:AJ10 AJ12:AJ14 AJ16:AJ18 AJ20:AJ22 AJ24:AJ26 AJ28:AJ30 AJ32:AJ34 AJ36:AJ38 AJ40:AJ42 AJ44:AJ46 AJ48:AJ50 AJ52:AJ54 AJ56:AJ58 AJ60:AJ62 AJ64:AJ66 AJ68:AJ70 AJ72:AJ74 AJ76:AJ78 AJ80:AJ82 AJ84:AJ86 AJ88:AJ90 AJ92:AJ94 AJ96:AJ98 AJ100:AJ102 AJ104:AJ106 AJ108:AJ110 AJ112:AJ114 AJ116:AJ118" name="Range1_1_1_1"/>
    <protectedRange sqref="AD7:AE7 AD4:AD6 AD11:AE11 AD8:AD10 AD15:AE15 AD12:AD14 AD19:AE19 AD16:AD18 AD23:AE23 AD20:AD22 AD27:AE27 AD24:AD26 AD31:AE31 AD28:AD30 AD35:AE35 AD32:AD34 AD39:AE39 AD36:AD38 AD43:AE43 AD40:AD42 AD47:AE47 AD44:AD46 AD51:AE51 AD48:AD50 AD55:AE55 AD52:AD54 AD59:AE59 AD56:AD58 AD63:AE63 AD60:AD62 AD67:AE67 AD64:AD66 AD71:AE71 AD68:AD70 AD75:AE75 AD72:AD74 AD79:AE79 AD76:AD78 AD83:AE83 AD80:AD82 AD87:AE87 AD84:AD86 AD91:AE91 AD88:AD90 AD95:AE95 AD92:AD94 AD99:AE99 AD96:AD98 AD103:AE103 AD100:AD102 AD107:AE107 AD104:AD106 AD111:AE111 AD108:AD110 AD115:AE115 AD112:AD114 AD119:AE119 AD116:AD118" name="Range1_1_1_1_1_2_2_1"/>
    <protectedRange sqref="O4:O119" name="Range1_1_1_1_1_5_1_1"/>
    <protectedRange sqref="Q4:Q119" name="Range1_1_1_1_1_7_1_1"/>
    <protectedRange sqref="T4:T119" name="Range1_1_1_1_1_8_1_1"/>
    <protectedRange sqref="V4:V119" name="Range1_1_1_1_1_10_1_1"/>
    <protectedRange sqref="X4:X119" name="Range1_1_1_1_1_12_1_1"/>
    <protectedRange sqref="Z4:Z119" name="Range1_1_1_1_1_16_1_1"/>
    <protectedRange sqref="AG4:AG119" name="Range1_1_1_1_1_18_1_1"/>
    <protectedRange sqref="AE4:AE6" name="Range1_1_1_1_1_2_1_31_1_1"/>
    <protectedRange sqref="AE8:AE10" name="Range1_1_1_1_1_2_1_1_2_1_1"/>
    <protectedRange sqref="AE12:AE14" name="Range1_1_1_1_1_2_1_2_1_1_1"/>
    <protectedRange sqref="AE16:AE18" name="Range1_1_1_1_1_2_1_3_1_1_1"/>
    <protectedRange sqref="AE20:AE22" name="Range1_1_1_1_1_2_1_4_1_1_1"/>
    <protectedRange sqref="AE24:AE26" name="Range1_1_1_1_1_2_1_5_1_1_1"/>
    <protectedRange sqref="AE28:AE30" name="Range1_1_1_1_1_2_1_6_1_1_1"/>
    <protectedRange sqref="AE32:AE34" name="Range1_1_1_1_1_2_1_7_1_1_1"/>
    <protectedRange sqref="AE36:AE38" name="Range1_1_1_1_1_2_1_8_1_1_1"/>
    <protectedRange sqref="AE40:AE42" name="Range1_1_1_1_1_2_1_9_1_1_1"/>
    <protectedRange sqref="AE44:AE46" name="Range1_1_1_1_1_2_1_10_1_1_1"/>
    <protectedRange sqref="AE48:AE50" name="Range1_1_1_1_1_2_1_11_1_1_1"/>
    <protectedRange sqref="AE52:AE54" name="Range1_1_1_1_1_2_1_12_1_1_1"/>
    <protectedRange sqref="AE56:AE58" name="Range1_1_1_1_1_2_1_13_1_1_1"/>
    <protectedRange sqref="AE60:AE62" name="Range1_1_1_1_1_2_1_14_1_1_1"/>
    <protectedRange sqref="AE64:AE66" name="Range1_1_1_1_1_2_1_15_1_1_1"/>
    <protectedRange sqref="AE68:AE70" name="Range1_1_1_1_1_2_1_16_1_1_1"/>
    <protectedRange sqref="AE72:AE74" name="Range1_1_1_1_1_2_1_17_1_1_1"/>
    <protectedRange sqref="AE76:AE78" name="Range1_1_1_1_1_2_1_18_1_1_1"/>
    <protectedRange sqref="AE80:AE82" name="Range1_1_1_1_1_2_1_19_1_1_1"/>
    <protectedRange sqref="AE84:AE86" name="Range1_1_1_1_1_2_1_20_1_1_1"/>
    <protectedRange sqref="AE88:AE90" name="Range1_1_1_1_1_2_1_21_1_1_1"/>
    <protectedRange sqref="AE92:AE94" name="Range1_1_1_1_1_2_1_22_1_1_1"/>
    <protectedRange sqref="AE96:AE98" name="Range1_1_1_1_1_2_1_23_1_1_1"/>
    <protectedRange sqref="AE100:AE102" name="Range1_1_1_1_1_2_1_24_1_1_1"/>
    <protectedRange sqref="AE104:AE106" name="Range1_1_1_1_1_2_1_25_1_1_1"/>
    <protectedRange sqref="AE108:AE110" name="Range1_1_1_1_1_2_1_26_1_1_1"/>
    <protectedRange sqref="AE112:AE114" name="Range1_1_1_1_1_2_1_27_1_1_1"/>
    <protectedRange sqref="AE116:AE118" name="Range1_1_1_1_1_2_1_28_1_1_1"/>
    <protectedRange sqref="AB4:AB119" name="Range1_1_1_1_1_2_2_1_1_1"/>
  </protectedRanges>
  <mergeCells count="31">
    <mergeCell ref="A116:A119"/>
    <mergeCell ref="A92:A95"/>
    <mergeCell ref="A96:A99"/>
    <mergeCell ref="A100:A103"/>
    <mergeCell ref="A104:A107"/>
    <mergeCell ref="A108:A111"/>
    <mergeCell ref="A112:A115"/>
    <mergeCell ref="A68:A71"/>
    <mergeCell ref="A72:A75"/>
    <mergeCell ref="A76:A79"/>
    <mergeCell ref="A80:A83"/>
    <mergeCell ref="A84:A87"/>
    <mergeCell ref="A88:A91"/>
    <mergeCell ref="A44:A47"/>
    <mergeCell ref="A48:A51"/>
    <mergeCell ref="A52:A55"/>
    <mergeCell ref="A56:A59"/>
    <mergeCell ref="A60:A63"/>
    <mergeCell ref="A64:A67"/>
    <mergeCell ref="A20:A23"/>
    <mergeCell ref="A24:A27"/>
    <mergeCell ref="A28:A31"/>
    <mergeCell ref="A32:A35"/>
    <mergeCell ref="A36:A39"/>
    <mergeCell ref="A40:A43"/>
    <mergeCell ref="AX1:AY1"/>
    <mergeCell ref="AZ1:BA1"/>
    <mergeCell ref="A4:A7"/>
    <mergeCell ref="A8:A11"/>
    <mergeCell ref="A12:A15"/>
    <mergeCell ref="A16:A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2026-03-30T05:20:39Z</dcterms:modified>
  <cp:category/>
  <cp:contentStatus/>
</cp:coreProperties>
</file>